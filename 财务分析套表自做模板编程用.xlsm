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50" windowHeight="8200" tabRatio="847" firstSheet="22" activeTab="23"/>
  </bookViews>
  <sheets>
    <sheet name="A财务假设" sheetId="1" r:id="rId1"/>
    <sheet name="B项目信息" sheetId="2" r:id="rId2"/>
    <sheet name="C.1项目融资信息" sheetId="3" r:id="rId3"/>
    <sheet name="C.2项目每年借款信息" sheetId="4" r:id="rId4"/>
    <sheet name="D.1建设投资" sheetId="5" r:id="rId5"/>
    <sheet name="D.2项目总投资使用计划与资金筹措表" sheetId="6" r:id="rId6"/>
    <sheet name="D.3建设投资分年计划表" sheetId="7" r:id="rId7"/>
    <sheet name="D.4流动资金估算表" sheetId="8" r:id="rId8"/>
    <sheet name="E总成本费用估算表" sheetId="9" r:id="rId9"/>
    <sheet name="E.1项目运营期费用" sheetId="10" r:id="rId10"/>
    <sheet name="E.1.1项目运营期费用(不含税）" sheetId="11" r:id="rId11"/>
    <sheet name="E.2固定资产折旧费估算表" sheetId="12" r:id="rId12"/>
    <sheet name="E.3无形资产和其他资产摊销费估算表" sheetId="13" r:id="rId13"/>
    <sheet name="E.4建设投资税后金额表" sheetId="14" r:id="rId14"/>
    <sheet name="F项目收入" sheetId="15" r:id="rId15"/>
    <sheet name="F.1项目单项收入信息" sheetId="16" r:id="rId16"/>
    <sheet name="G.税金及附加测算表" sheetId="17" r:id="rId17"/>
    <sheet name="G.1进项增值税率-建设投资" sheetId="18" r:id="rId18"/>
    <sheet name="G.2进项增值税率-运营成本" sheetId="19" r:id="rId19"/>
    <sheet name="G.3销项增值税率" sheetId="20" r:id="rId20"/>
    <sheet name="a.1财务现金流量表" sheetId="21" r:id="rId21"/>
    <sheet name="a.2项目资本金现金流量表" sheetId="22" r:id="rId22"/>
    <sheet name="b利润与利润分配表（损益和利润分配表）" sheetId="23" r:id="rId23"/>
    <sheet name="c借款还本付息计划表" sheetId="24" r:id="rId24"/>
    <sheet name="d财务计划现金流量表" sheetId="25" r:id="rId25"/>
    <sheet name="e资产负债表" sheetId="26" r:id="rId26"/>
    <sheet name="Ⅰ项目投资估算构成表" sheetId="27" r:id="rId27"/>
    <sheet name="Ⅱ项目分年度资金筹措计划表" sheetId="28" r:id="rId28"/>
    <sheet name="Ⅲ项目分年度收入合计表" sheetId="29" r:id="rId29"/>
    <sheet name="Ⅳ项目分年度成本明细表" sheetId="30" r:id="rId30"/>
    <sheet name="Ⅴ项目分年度收益表" sheetId="31" r:id="rId31"/>
    <sheet name="Ⅵ专项债券应付本息情况表" sheetId="32" r:id="rId32"/>
    <sheet name="Ⅶ专项债券资金收益与融资平衡情况表" sheetId="33" state="hidden" r:id="rId33"/>
    <sheet name="VIII债券资金覆盖率压力测试表" sheetId="34" r:id="rId34"/>
  </sheets>
  <externalReferences>
    <externalReference r:id="rId35"/>
  </externalReferences>
  <definedNames>
    <definedName name="_xlnm._FilterDatabase" localSheetId="14" hidden="1">F项目收入!$A$2:$H$25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周亮</author>
  </authors>
  <commentList>
    <comment ref="D10" authorId="0">
      <text>
        <r>
          <rPr>
            <sz val="10"/>
            <rFont val="宋体"/>
            <charset val="134"/>
          </rPr>
          <t>周亮:
建设期利息不能用专项债
优先将2.2债务资金用于2.2.1建设投资
纯专项债项目，2.2.2建设期利息均为0，建设期利息要用资本金支付，即2.1.2
建设投资不够的部分，再使用资本金，即2.1.1
纯专项债项目，专项债资金不能用于流动资金，故2.2.3为0</t>
        </r>
      </text>
    </comment>
  </commentList>
</comments>
</file>

<file path=xl/comments2.xml><?xml version="1.0" encoding="utf-8"?>
<comments xmlns="http://schemas.openxmlformats.org/spreadsheetml/2006/main">
  <authors>
    <author>周亮</author>
    <author>86139</author>
  </authors>
  <commentList>
    <comment ref="F7" authorId="0">
      <text>
        <r>
          <rPr>
            <sz val="10"/>
            <rFont val="宋体"/>
            <charset val="134"/>
          </rPr>
          <t>周亮:
需根据选项，自行单独计算每行的值，表格只做了示例的公式，供参考</t>
        </r>
      </text>
    </comment>
    <comment ref="F13" authorId="0">
      <text>
        <r>
          <rPr>
            <sz val="10"/>
            <rFont val="宋体"/>
            <charset val="134"/>
          </rPr>
          <t xml:space="preserve">周亮:
需根据选项，自行单独计算每行的值，表格只做了示例的公式，供参考144.00 
</t>
        </r>
      </text>
    </comment>
    <comment ref="F21" authorId="0">
      <text>
        <r>
          <rPr>
            <sz val="10"/>
            <rFont val="宋体"/>
            <charset val="134"/>
          </rPr>
          <t>周亮:
需根据选项，自行单独计算每行的值，表格只做了示例的公式，供参考</t>
        </r>
      </text>
    </comment>
    <comment ref="B26" authorId="1">
      <text>
        <r>
          <rPr>
            <sz val="10"/>
            <rFont val="宋体"/>
            <charset val="134"/>
          </rPr>
          <t>86139:
低空气象服务平台</t>
        </r>
      </text>
    </comment>
    <comment ref="B29" authorId="1">
      <text>
        <r>
          <rPr>
            <sz val="10"/>
            <rFont val="宋体"/>
            <charset val="134"/>
          </rPr>
          <t>86139:
东湖公园培训测试基地</t>
        </r>
      </text>
    </comment>
    <comment ref="B33" authorId="1">
      <text>
        <r>
          <rPr>
            <sz val="10"/>
            <rFont val="宋体"/>
            <charset val="134"/>
          </rPr>
          <t>86139:
物流配送无人机运营管理平台：2027年建成</t>
        </r>
      </text>
    </comment>
    <comment ref="B38" authorId="1">
      <text>
        <r>
          <rPr>
            <sz val="10"/>
            <rFont val="宋体"/>
            <charset val="134"/>
          </rPr>
          <t>86139:
城市治理无人机运营管理子系统：2026年建成</t>
        </r>
      </text>
    </comment>
  </commentList>
</comments>
</file>

<file path=xl/sharedStrings.xml><?xml version="1.0" encoding="utf-8"?>
<sst xmlns="http://schemas.openxmlformats.org/spreadsheetml/2006/main" count="1418" uniqueCount="665">
  <si>
    <t>A财务假设</t>
  </si>
  <si>
    <t>序号</t>
  </si>
  <si>
    <t>名称</t>
  </si>
  <si>
    <t>解释</t>
  </si>
  <si>
    <t>参考值</t>
  </si>
  <si>
    <t>项目投资财务基准收益率(税前)</t>
  </si>
  <si>
    <t>国家发改委《建设项目财务基准收益率取值表》</t>
  </si>
  <si>
    <t>项目投资财务基准收益率(税后)</t>
  </si>
  <si>
    <t>项目资本金财务基准收益率</t>
  </si>
  <si>
    <t>项目资本金财务基准收益率应体现项目发起人（代表项目所有权益投资者）
对投资获利的最低期望值（也称最低可接受收益率）。当项目资本金财务
内部收益率大于或等于该最低可接受收益率时，说明在该融资方案下，项目
资本金获利水平超过或达到了要求，该融资方案是可以接受的。</t>
  </si>
  <si>
    <t>城市维护建设税税率</t>
  </si>
  <si>
    <t>市区：7%；县城、镇：5%；
不在市区、县城或者镇：1% ；
缴纳基数为：增值税税额+营业税税额+消费税税额</t>
  </si>
  <si>
    <t>教育费附加费率</t>
  </si>
  <si>
    <t>缴纳基数为：增值税税额+营业税税额+消费税税额</t>
  </si>
  <si>
    <t>地方教育费附加费率</t>
  </si>
  <si>
    <t>企业所得税率</t>
  </si>
  <si>
    <t>是针对企业应纳税所得额征收的税种</t>
  </si>
  <si>
    <t>法定盈余公积提取比例</t>
  </si>
  <si>
    <t>企业应按照一定的比例从税后利润中提取盈余公积</t>
  </si>
  <si>
    <t>任意盈余公积提取比例</t>
  </si>
  <si>
    <t>提取比例由企业自主决定，没有固定标</t>
  </si>
  <si>
    <t>残值率</t>
  </si>
  <si>
    <t>资产在预计使用寿命结束时的剩余价值占其原始成本的百分比</t>
  </si>
  <si>
    <t>资本金用于流动资金比例</t>
  </si>
  <si>
    <t>不低于30%，但专项债资金不能用于流动资金，故设为 100%</t>
  </si>
  <si>
    <t>折现率</t>
  </si>
  <si>
    <t>投资者要求的最低收益率，可参考基准收益率，是由国家或行业主管部门制
定的，针对特定行业的标准折现率（如《建设项目经济评价方法与参数》中
规定的行业基准值）</t>
  </si>
  <si>
    <t>债券发行手续费率1</t>
  </si>
  <si>
    <t xml:space="preserve"> 3年期及以下债券发行手续费为发行额的0.04%</t>
  </si>
  <si>
    <t>债券发行手续费率2</t>
  </si>
  <si>
    <t>5年期及以上债券发行手续费为发行额的0.08%</t>
  </si>
  <si>
    <t>债券发行登记服务费率</t>
  </si>
  <si>
    <t>债券发行登记服务费为发行额的0.0064%</t>
  </si>
  <si>
    <t>债券还本付息兑付手续费率</t>
  </si>
  <si>
    <t>金额为本息和的0.005%</t>
  </si>
  <si>
    <t>成本浮动系数</t>
  </si>
  <si>
    <t>用于压力测试表中对应的系数填写</t>
  </si>
  <si>
    <t>收入浮动系数</t>
  </si>
  <si>
    <t>贷款利率浮动系数</t>
  </si>
  <si>
    <t>B项目信息</t>
  </si>
  <si>
    <t>值</t>
  </si>
  <si>
    <t>建设分期一</t>
  </si>
  <si>
    <t>建设开始年月</t>
  </si>
  <si>
    <t>建设完成年月</t>
  </si>
  <si>
    <t>建设期（月）</t>
  </si>
  <si>
    <t>建设完成年月-建设开始年月</t>
  </si>
  <si>
    <t>运营开始年月</t>
  </si>
  <si>
    <t>开始有运营收入的时间，可以在建设期间</t>
  </si>
  <si>
    <t>运营期（年）</t>
  </si>
  <si>
    <t>按照债务周期为截止时间，折旧年限等同于运营期</t>
  </si>
  <si>
    <t>总借款年限-运营开始年限+1</t>
  </si>
  <si>
    <t>建设分期二</t>
  </si>
  <si>
    <t>C.1项目融资信息</t>
  </si>
  <si>
    <t>借款名称</t>
  </si>
  <si>
    <t>借款类别</t>
  </si>
  <si>
    <t>借款金额
（万元）</t>
  </si>
  <si>
    <t>开始时间</t>
  </si>
  <si>
    <t>结束时间</t>
  </si>
  <si>
    <t>借款周期（年）</t>
  </si>
  <si>
    <t>借款利率</t>
  </si>
  <si>
    <t>还款方式</t>
  </si>
  <si>
    <t>首年计息月份</t>
  </si>
  <si>
    <t>债券发行费（万元）</t>
  </si>
  <si>
    <t>债券发行登记服务费
（万元）</t>
  </si>
  <si>
    <t>债券还本付息兑付手续费
（万元）</t>
  </si>
  <si>
    <t>地方政府专项债
/市场化融资</t>
  </si>
  <si>
    <t>1,2,3,5,7,10,15,20,30
根据实际需要选择</t>
  </si>
  <si>
    <t>专项债按发行前5个
工作日国债均价利率，
选择性上浮10%</t>
  </si>
  <si>
    <t>允许地方结合实际情况，采取
到期还本（10年期以下按年付息，10年期以上按半年付息）、提前还本、分年还本等不同还本方式</t>
  </si>
  <si>
    <t>3年期及以下债券发行手续费
为发行额的0.04%，5年期及以
上债券发行手续费为发行额的0.08%</t>
  </si>
  <si>
    <t>发行额的0.0064%</t>
  </si>
  <si>
    <t>在每年还本付息时支付，
金额为本息和的0.005%</t>
  </si>
  <si>
    <t>借款1</t>
  </si>
  <si>
    <t>地方政府专项债</t>
  </si>
  <si>
    <t>到期一次性还清</t>
  </si>
  <si>
    <t>对应好c</t>
  </si>
  <si>
    <t>借款2</t>
  </si>
  <si>
    <t>借款3</t>
  </si>
  <si>
    <t>借款4</t>
  </si>
  <si>
    <t>C.2项目每年借款信息（万元）</t>
  </si>
  <si>
    <t>计算期年序</t>
  </si>
  <si>
    <t>合计</t>
  </si>
  <si>
    <t>D.1建设投资</t>
  </si>
  <si>
    <t>（此表不需要填写，复制D.3的前4列，如果D.3有修改，此表也要同步复制）</t>
  </si>
  <si>
    <t>大类</t>
  </si>
  <si>
    <t>小类</t>
  </si>
  <si>
    <t>细类</t>
  </si>
  <si>
    <t>数量</t>
  </si>
  <si>
    <t>金额</t>
  </si>
  <si>
    <t>备注</t>
  </si>
  <si>
    <t>一</t>
  </si>
  <si>
    <t>项目建设工程费用</t>
  </si>
  <si>
    <t>低空基础设施</t>
  </si>
  <si>
    <t>起降设施</t>
  </si>
  <si>
    <t>低空载人起降点</t>
  </si>
  <si>
    <t>客运枢纽低空综合枢纽</t>
  </si>
  <si>
    <t>罗湖物流转运中心货运枢纽</t>
  </si>
  <si>
    <t>东湖公园低空培训测试基地</t>
  </si>
  <si>
    <t>低空智联网设施</t>
  </si>
  <si>
    <t>无人机起降场设备</t>
  </si>
  <si>
    <t>低空数据机房</t>
  </si>
  <si>
    <t>运营服务保障中心</t>
  </si>
  <si>
    <t>低空平台</t>
  </si>
  <si>
    <t>低空飞行综合运营服务
保障平台</t>
  </si>
  <si>
    <t>低空规划子系统</t>
  </si>
  <si>
    <t>低空智联网子系统</t>
  </si>
  <si>
    <t>低空反无子系统</t>
  </si>
  <si>
    <t>低空气象服务子系统</t>
  </si>
  <si>
    <t>政府联合监管子系统</t>
  </si>
  <si>
    <t>低空飞行任务调度子系统</t>
  </si>
  <si>
    <t>低空场景运营平台</t>
  </si>
  <si>
    <t>城市治理无人机运营管理子系统</t>
  </si>
  <si>
    <t>物流配送无人机运营管理平台</t>
  </si>
  <si>
    <t>二</t>
  </si>
  <si>
    <t>工程建设其他费用</t>
  </si>
  <si>
    <t>建设单位管理费</t>
  </si>
  <si>
    <t>财建【2016】504号</t>
  </si>
  <si>
    <t>前期咨询费</t>
  </si>
  <si>
    <t>《信息系统工程造价指导（2019版）》</t>
  </si>
  <si>
    <t>工程设计费</t>
  </si>
  <si>
    <t>计价格【2002】10号</t>
  </si>
  <si>
    <t>工程监理费</t>
  </si>
  <si>
    <t>发改价格【2007】670号</t>
  </si>
  <si>
    <t>第三方测评费</t>
  </si>
  <si>
    <t>工程保险费</t>
  </si>
  <si>
    <t>深圳市建设工程计价费率标准(2018)</t>
  </si>
  <si>
    <t>招标代理费</t>
  </si>
  <si>
    <t>计价格[2002] 1980号</t>
  </si>
  <si>
    <t>工程造价咨询费</t>
  </si>
  <si>
    <t>(一) × 1%</t>
  </si>
  <si>
    <t>等保测评费</t>
  </si>
  <si>
    <t>商用密码评估费</t>
  </si>
  <si>
    <t>编制环境影响报告书费</t>
  </si>
  <si>
    <t>编制环境影响报告表费</t>
  </si>
  <si>
    <t>评估编制环境报告书费</t>
  </si>
  <si>
    <t>评估编制环境报告表费</t>
  </si>
  <si>
    <t>竣工图编制费</t>
  </si>
  <si>
    <t>三</t>
  </si>
  <si>
    <t>预备费</t>
  </si>
  <si>
    <t>基本预备费</t>
  </si>
  <si>
    <t>四</t>
  </si>
  <si>
    <t>建设期利息</t>
  </si>
  <si>
    <t>建设项目总投资</t>
  </si>
  <si>
    <t>D.2项目总投资使用计划与资金筹措表（万元）</t>
  </si>
  <si>
    <t>科目</t>
  </si>
  <si>
    <t>总投资</t>
  </si>
  <si>
    <t>建设投资</t>
  </si>
  <si>
    <t>流动资金</t>
  </si>
  <si>
    <t>资金筹措</t>
  </si>
  <si>
    <t>项目资本金</t>
  </si>
  <si>
    <t>2.1.1</t>
  </si>
  <si>
    <t>用于建设投资</t>
  </si>
  <si>
    <t>2.1.2</t>
  </si>
  <si>
    <t>用于建设期利息</t>
  </si>
  <si>
    <t>2.1.3</t>
  </si>
  <si>
    <t>用于流动资金</t>
  </si>
  <si>
    <t>债务资金</t>
  </si>
  <si>
    <t>2.2.1</t>
  </si>
  <si>
    <t>2.2.2</t>
  </si>
  <si>
    <t>2.2.3</t>
  </si>
  <si>
    <t>其他资金</t>
  </si>
  <si>
    <t>资本金基数总投资</t>
  </si>
  <si>
    <t>/</t>
  </si>
  <si>
    <t>铺底流动资金</t>
  </si>
  <si>
    <t>资本金比例</t>
  </si>
  <si>
    <t>D.3建设投资分年计划表（万元）</t>
  </si>
  <si>
    <t>分项费用</t>
  </si>
  <si>
    <t>说明</t>
  </si>
  <si>
    <t>工程建设费用</t>
  </si>
  <si>
    <t>工程类费用</t>
  </si>
  <si>
    <t>建筑工程费</t>
  </si>
  <si>
    <t>建筑工程费分为直接费和间接费。其中，直接费是指直接与工程物料、施工人工、机器设备等有关的费用，例如建筑材料、人工工资、机械设备租赁费等。间接费则是指与工程间接有关的费用，包括施工单位管理费、安全费、教育培训费等。</t>
  </si>
  <si>
    <t>设备购置费</t>
  </si>
  <si>
    <t>安装工程费</t>
  </si>
  <si>
    <t>指的是建筑工程中的管线安装、设备安装（如空调、电线、水管等），以及室内装修、园林绿化等方面的费用。</t>
  </si>
  <si>
    <t>信息化建设费用</t>
  </si>
  <si>
    <t>硬件类</t>
  </si>
  <si>
    <t>包括服务器、存储、网络等设备</t>
  </si>
  <si>
    <t>软件类</t>
  </si>
  <si>
    <t>安全类</t>
  </si>
  <si>
    <t>数据类</t>
  </si>
  <si>
    <t>其他费</t>
  </si>
  <si>
    <t>总计</t>
  </si>
  <si>
    <t>D.4流动资金估算表（万元）</t>
  </si>
  <si>
    <t>项目</t>
  </si>
  <si>
    <t>最低周转天数(天)</t>
  </si>
  <si>
    <t>周转次数</t>
  </si>
  <si>
    <t>流动资产</t>
  </si>
  <si>
    <t>30</t>
  </si>
  <si>
    <t>应收账款</t>
  </si>
  <si>
    <t>45</t>
  </si>
  <si>
    <t>存货</t>
  </si>
  <si>
    <t>60</t>
  </si>
  <si>
    <t>1.2.1</t>
  </si>
  <si>
    <t>原材料</t>
  </si>
  <si>
    <t>20</t>
  </si>
  <si>
    <t>1.2.2</t>
  </si>
  <si>
    <t>燃料动力</t>
  </si>
  <si>
    <t>15</t>
  </si>
  <si>
    <t>1.2.3</t>
  </si>
  <si>
    <t>在产品</t>
  </si>
  <si>
    <t>1.2.4</t>
  </si>
  <si>
    <t>产成品</t>
  </si>
  <si>
    <t>现金</t>
  </si>
  <si>
    <t>5</t>
  </si>
  <si>
    <t>流动负债</t>
  </si>
  <si>
    <t>应付账款</t>
  </si>
  <si>
    <t>流动资金（1-2）</t>
  </si>
  <si>
    <t>流动资金当年增加额</t>
  </si>
  <si>
    <t>10</t>
  </si>
  <si>
    <t>流动资金贷款</t>
  </si>
  <si>
    <t>E总成本费用估算表（万元）</t>
  </si>
  <si>
    <t>外购原材料费</t>
  </si>
  <si>
    <t>外购燃料及动力费</t>
  </si>
  <si>
    <t>工资福利费</t>
  </si>
  <si>
    <t>修理费</t>
  </si>
  <si>
    <t>其他费用 （5.1+5.2+5.3）</t>
  </si>
  <si>
    <t>其他制造费用</t>
  </si>
  <si>
    <t>其他管理费用</t>
  </si>
  <si>
    <t>其他营业费用</t>
  </si>
  <si>
    <t>经营成本 （1+2+3+4+5）</t>
  </si>
  <si>
    <t>折旧费</t>
  </si>
  <si>
    <t>摊销费</t>
  </si>
  <si>
    <t>利息支出</t>
  </si>
  <si>
    <t>总成本费用 （6+7+8+9）</t>
  </si>
  <si>
    <t>其中固定成本 （10-10.2）</t>
  </si>
  <si>
    <t>其中可变成本 （1+2+3+5.3）</t>
  </si>
  <si>
    <t>E.1项目运营期费用（万元）</t>
  </si>
  <si>
    <t>成本类别</t>
  </si>
  <si>
    <t>取费计算方式</t>
  </si>
  <si>
    <t>单价</t>
  </si>
  <si>
    <t>浮动系数</t>
  </si>
  <si>
    <t>负荷系数</t>
  </si>
  <si>
    <t>场地维护成本</t>
  </si>
  <si>
    <t>场地租金</t>
  </si>
  <si>
    <t>按面积×租金单价</t>
  </si>
  <si>
    <t>场地日常维护（停机坪/起降场/交通枢纽/飞行营地/指挥中心等）</t>
  </si>
  <si>
    <t>按面积 × 单位维护单价（元 / ㎡・年）</t>
  </si>
  <si>
    <t>消防设施年检</t>
  </si>
  <si>
    <t>按设备数量 × 单台年检费（元 / 台・次）</t>
  </si>
  <si>
    <t>防鸟措施（驱鸟器维护）</t>
  </si>
  <si>
    <t>按套数 × 年费（元 / 套・年）+ 耗材费（如驱鸟剂）</t>
  </si>
  <si>
    <t>燃料动力费</t>
  </si>
  <si>
    <t>飞行器能耗</t>
  </si>
  <si>
    <t>按电耗或油耗计算</t>
  </si>
  <si>
    <t>核心设备电力能耗</t>
  </si>
  <si>
    <t>按实际用电量 × 电价（元 / 千瓦 时）</t>
  </si>
  <si>
    <t>水电能耗</t>
  </si>
  <si>
    <t>按面积估算</t>
  </si>
  <si>
    <t>网络费</t>
  </si>
  <si>
    <t>网络通信费用</t>
  </si>
  <si>
    <t>按年计算租金</t>
  </si>
  <si>
    <t>硬件维护成本</t>
  </si>
  <si>
    <t>硬件设备维护</t>
  </si>
  <si>
    <t>按照固定资产15%计算</t>
  </si>
  <si>
    <t>备品备件储备</t>
  </si>
  <si>
    <t>按年度设备维护预算 × 储备比例 （10%-20%）</t>
  </si>
  <si>
    <t>软件维护费</t>
  </si>
  <si>
    <t>软件维护</t>
  </si>
  <si>
    <t>按无形资产造价的20%计算</t>
  </si>
  <si>
    <t>营销费用</t>
  </si>
  <si>
    <t>营销及活动</t>
  </si>
  <si>
    <t>按年平均营业收入的2%计算</t>
  </si>
  <si>
    <t>工资及福利费</t>
  </si>
  <si>
    <t>人员薪酬</t>
  </si>
  <si>
    <t>按岗位月薪 ×12 + 福利（月薪 ×20%-30%）</t>
  </si>
  <si>
    <t>培训与资质认证</t>
  </si>
  <si>
    <t>按人次 × 人均培训费（元 / 人 次）</t>
  </si>
  <si>
    <t>办公与行政支出</t>
  </si>
  <si>
    <t>按人员数量 × 人均办公费（元 / 人・月）</t>
  </si>
  <si>
    <t>合规性与安全成本</t>
  </si>
  <si>
    <t>空域使用审批费</t>
  </si>
  <si>
    <t>按空域面积 × 年费率（元 / 平方 公里・年）</t>
  </si>
  <si>
    <t>场地责任险</t>
  </si>
  <si>
    <t>按保额 × 保险费率（年费率 0.1%-0.3%）</t>
  </si>
  <si>
    <t>安全演练与应急处置</t>
  </si>
  <si>
    <t>按次数 × 单次演练成本（元 / 次）</t>
  </si>
  <si>
    <t>其他费用</t>
  </si>
  <si>
    <t>第三方安全评估</t>
  </si>
  <si>
    <t>按项目投资额 × 评估费率 （0.1%-0.3%）</t>
  </si>
  <si>
    <t>不可预见支出</t>
  </si>
  <si>
    <t>按年度总成本 × 计提比例 （5%-10%）</t>
  </si>
  <si>
    <t>1、系统维护费：包括通信导航设备维护、气象设备校准、反制系统升级等硬件设备维护费，软件系统维护费，按系统总投资的5%进行估算；并在后续运营期内运营成本保持逐年以1.5%的增长率进行测算。
2、能耗及网络等费用：包括项目运营期间所需的水电费、网络费用、油料费等，按当年经营收入的5%进行估算；
3、场地、飞行器租金，保险及营销推广费用：本项目建设期为2025年~2028年，综合考虑项目建成时间、投入正式运营需要一定过程等因素，对建设期第一年（2025年），由于预计要到10月份才开始部分运营，因此当年完成建设项目的运营成本按照25%测算。建设期第二年（2026年），运营成本按60%测算；建设期第三年（2027年），运营成本按全部成本的80%测算。建设期第四年（2028年），运营成本全部按照100%测算。并在后续运营期内运营成本保持逐年以1.5%的增长率进行测算。</t>
  </si>
  <si>
    <t>类别</t>
  </si>
  <si>
    <t>支出项</t>
  </si>
  <si>
    <t>支出基准价
（万/年）</t>
  </si>
  <si>
    <t>2025年</t>
  </si>
  <si>
    <t>2026年</t>
  </si>
  <si>
    <t>2027年</t>
  </si>
  <si>
    <t>2028年</t>
  </si>
  <si>
    <t>2029年</t>
  </si>
  <si>
    <t>2030年</t>
  </si>
  <si>
    <t>2031年</t>
  </si>
  <si>
    <t>2032年</t>
  </si>
  <si>
    <t>2033年</t>
  </si>
  <si>
    <t>2034年</t>
  </si>
  <si>
    <t>2035年</t>
  </si>
  <si>
    <t>2036年</t>
  </si>
  <si>
    <t>2037年</t>
  </si>
  <si>
    <t>2038年</t>
  </si>
  <si>
    <t>2039年</t>
  </si>
  <si>
    <t>2040年</t>
  </si>
  <si>
    <t>2041年</t>
  </si>
  <si>
    <t>2042年</t>
  </si>
  <si>
    <t>2043年</t>
  </si>
  <si>
    <t>2044年</t>
  </si>
  <si>
    <t>2045年</t>
  </si>
  <si>
    <t>2046年</t>
  </si>
  <si>
    <t>2047年</t>
  </si>
  <si>
    <t>2048年</t>
  </si>
  <si>
    <t>业务成本</t>
  </si>
  <si>
    <t>系统维护费</t>
  </si>
  <si>
    <t>包括通信导航设备维护、气象设备校准、反制系统升级等硬件设备维护费，软件系统维护费，按系统总投资的5%进行估算</t>
  </si>
  <si>
    <t>人工成本</t>
  </si>
  <si>
    <t>按照3个管理人员，20万元/年估算</t>
  </si>
  <si>
    <t>能耗费用</t>
  </si>
  <si>
    <t>包括项目运营期间所需的水电费、网络费用、油料费等</t>
  </si>
  <si>
    <t>网络费用</t>
  </si>
  <si>
    <t>起降点及数据中心场地租赁费用</t>
  </si>
  <si>
    <t>E.1.1项目运营期费用(不含税）（万元）</t>
  </si>
  <si>
    <t>浮动后单价</t>
  </si>
  <si>
    <t>E.2固定资产折旧费估算表（万元）</t>
  </si>
  <si>
    <t>原值</t>
  </si>
  <si>
    <t>年折旧率</t>
  </si>
  <si>
    <t>年折旧额</t>
  </si>
  <si>
    <t>净值（原值-年折旧额*n）</t>
  </si>
  <si>
    <t>不含税（固定资产金额）+不含税（工程其他费）+预备费 + c建设期利息及发行费</t>
  </si>
  <si>
    <t>1 /B 折旧年限 × 100%
（折旧年限等同于运营期）</t>
  </si>
  <si>
    <t>原值 × A~（1-残值残值率）× 年折旧率）</t>
  </si>
  <si>
    <t>建设期1</t>
  </si>
  <si>
    <t>固定资产投资</t>
  </si>
  <si>
    <t>建设期2</t>
  </si>
  <si>
    <t>净值合计</t>
  </si>
  <si>
    <t/>
  </si>
  <si>
    <t>折旧额合计</t>
  </si>
  <si>
    <t>E.3无形资产和其他资产摊销费估算表</t>
  </si>
  <si>
    <t>净值</t>
  </si>
  <si>
    <t>不含税(软件类)+不含税(安全类软件)+不含税 (数据类)+专利费+土地使用权费+商标权、著作权费</t>
  </si>
  <si>
    <t>原值×年折旧率</t>
  </si>
  <si>
    <t>合计1</t>
  </si>
  <si>
    <t>1.1</t>
  </si>
  <si>
    <t>无形资产</t>
  </si>
  <si>
    <t>1.1.1</t>
  </si>
  <si>
    <t>土地使用权</t>
  </si>
  <si>
    <t>1.1.2</t>
  </si>
  <si>
    <t>专利技术</t>
  </si>
  <si>
    <t>1.1.3</t>
  </si>
  <si>
    <t>软件及其他无形资产</t>
  </si>
  <si>
    <t>1.2</t>
  </si>
  <si>
    <t>其他资产</t>
  </si>
  <si>
    <t>项目开办费</t>
  </si>
  <si>
    <t>合计2</t>
  </si>
  <si>
    <t>2.1</t>
  </si>
  <si>
    <t>2.2</t>
  </si>
  <si>
    <t>E.4建设投资税后金额表（万元）</t>
  </si>
  <si>
    <t>（此表不需要填写，复制D.3的对应列，如果D.3有修改，此表也要同步复制）</t>
  </si>
  <si>
    <t>税前金额</t>
  </si>
  <si>
    <t>增值税率</t>
  </si>
  <si>
    <t>2025
（税后）</t>
  </si>
  <si>
    <t>2026
（税后）</t>
  </si>
  <si>
    <t>2027
（税后）</t>
  </si>
  <si>
    <t>2028
（税后）</t>
  </si>
  <si>
    <t>H I J列税后计算的税率引用需对应</t>
  </si>
  <si>
    <t>F项目收入（万元）</t>
  </si>
  <si>
    <t>收入类别</t>
  </si>
  <si>
    <t>含税/不含税</t>
  </si>
  <si>
    <t>含税</t>
  </si>
  <si>
    <t>不含税</t>
  </si>
  <si>
    <t>补贴收入</t>
  </si>
  <si>
    <t>年度合计（含税）</t>
  </si>
  <si>
    <t>年度合计（不含税）</t>
  </si>
  <si>
    <t>F.1项目单项收入信息</t>
  </si>
  <si>
    <t>（此表红色部分需要填写，每行需要根据E F G列单独计算）</t>
  </si>
  <si>
    <t>单价（万元/年）</t>
  </si>
  <si>
    <t>单价年增长情况</t>
  </si>
  <si>
    <t>增长比例</t>
  </si>
  <si>
    <t>气象收入</t>
  </si>
  <si>
    <t>不增长</t>
  </si>
  <si>
    <t>不增长的公式已写好</t>
  </si>
  <si>
    <t>年度负荷</t>
  </si>
  <si>
    <t>企业服务收入</t>
  </si>
  <si>
    <t>低空物流收入</t>
  </si>
  <si>
    <t>每年增长</t>
  </si>
  <si>
    <t>每年增长的公式已写好</t>
  </si>
  <si>
    <t>低空出行收入</t>
  </si>
  <si>
    <t>广告位收入</t>
  </si>
  <si>
    <t>停车位收入</t>
  </si>
  <si>
    <t>商铺租赁收入</t>
  </si>
  <si>
    <t>政务服务收入</t>
  </si>
  <si>
    <t>数据收入</t>
  </si>
  <si>
    <t>产学研收入</t>
  </si>
  <si>
    <t>...</t>
  </si>
  <si>
    <t>本项目的经济效益分析评价依据国家发改委、建设部颁布的《建设项目经济评价方法与参数(第三版)》。分析评价中所采用的数据，按国家有关规定并结合参照广东省、其他省县市等同类型项目，现场调研数据，网上查询数据综合确定。
本项目建设期为2025年~2028年，综合考虑项目建成时间、业务推广拓展需要一定过程等因素，对建设期第一年（2025年）由于预计要到10月份才开始建设，因此当年收益可忽略不计。建设期第二年（2026年），对于2025年建成的部分项目收益项按60%测算；建设期第三年（2027年），对于在2026年建设完成的子项收益按全部收益的60%测算，对于2025年建成的部分收益按照全部收益的100%测算。建设期第四年（2028年），对于在2027年建设完成的子项收益按全部收益的60%测算，对于2025年、2026年建成的部分收益按照全部收益的100%测算。从第五年（2029年）开始按全部收益的100%测算，并在后续运营期内收益保持逐年以1%的增长率进行测算。</t>
  </si>
  <si>
    <t>收益类别</t>
  </si>
  <si>
    <t>收益内容</t>
  </si>
  <si>
    <t>测算依据</t>
  </si>
  <si>
    <t>总收入
（万/年）</t>
  </si>
  <si>
    <t>运营模式</t>
  </si>
  <si>
    <t>城发分成比例</t>
  </si>
  <si>
    <t>城发收益（万/年）</t>
  </si>
  <si>
    <t>建设完成年份</t>
  </si>
  <si>
    <t>气象服务收入</t>
  </si>
  <si>
    <t>气象客户端服务</t>
  </si>
  <si>
    <t>气象服务客户端、APP、小程序以及后续的运维，每家企业每年按照15-25万元进行收费，按照15万/年，10家企业进行估算</t>
  </si>
  <si>
    <t>合作运营</t>
  </si>
  <si>
    <t>气象专报服务</t>
  </si>
  <si>
    <t>气象服务专报、短信、邮件、区域高影响天气预警服务，每家企业每年10万，按照10家企业进行估算</t>
  </si>
  <si>
    <t>专业气象咨询服务</t>
  </si>
  <si>
    <t>提供极端天气、重大活动飞行咨询保障服务，按照2万元每次进行收益测算，按在每年10次进行估算</t>
  </si>
  <si>
    <t>无人机巡检：为企业提供电力巡检、油气管道监控、铁路巡逻等服务</t>
  </si>
  <si>
    <t>企业采购各类巡逻、巡线服务，按50万/年进行收费，预测平均每年有5个单位采购服务</t>
  </si>
  <si>
    <t>机库出租服务收入</t>
  </si>
  <si>
    <t>共有49个停机坪，按照300元/天，50%的使用率进行估算</t>
  </si>
  <si>
    <t>2026年：26个
2027年：23个</t>
  </si>
  <si>
    <t>试飞测试服务</t>
  </si>
  <si>
    <t>提供无人机检测及测试验证服务，每年承接无人机试飞约150天，平均每天收费600元，eVTOL试飞200天，每天1000元</t>
  </si>
  <si>
    <t>CAAC培训考证服务</t>
  </si>
  <si>
    <t>行业人才培训及资格认证，若每年培训视距内学员500人，超视距学员400人，深圳定价为视距内8000元，超视距2万元</t>
  </si>
  <si>
    <t>无人机起降点</t>
  </si>
  <si>
    <t>为罗湖区低空运营企业共享起降点，收取一定费用，中小型物流无人机使用的物流起降场，从飞行成本及产业发展角度出发，按照30元/架次收取起降及充换电等服务费用，假设每天60架次/起降点，本项目共建设44个无人机起降点。</t>
  </si>
  <si>
    <t>2026年：5个
2027年：19个
2028年：20个</t>
  </si>
  <si>
    <t>evtol/直升机起降场</t>
  </si>
  <si>
    <t>根据《通用航空民用机场收费标准》规定，起降费基准价为120元/架次，允许上下浮动，本次按照150元/架次进行收费。假设每年飞行3万架次；通用航空器停场费收费标准为停场2小时以内免收；每停场24小时基准价为每架次100元；超过2小时，不足24小时按24小时计收。允许上下浮动，本次按照150元/架次进行收费。假设每年3万架次，其中停场超过2小时按照20%计算</t>
  </si>
  <si>
    <t>2026年：3个
2027年：12个</t>
  </si>
  <si>
    <t>文锦渡口岸跨境低空综合枢纽、深圳火车站客运枢纽和罗湖物流转运中心货运枢纽的广告位出租收入</t>
  </si>
  <si>
    <t>在枢纽停机坪周边及枢纽墙体外可设置动态或静态广告牌,保守估测500㎡广告位/低空枢纽,参照深圳市广告位市场定价：动态广告（LED屏等）：单价：500-1200元/㎡/月（动态广告溢价较高）。静态广告（喷绘、灯箱等）：单价：200-600元/㎡/月。按动态30%+静态70%比例分配估算；</t>
  </si>
  <si>
    <t>文锦渡口岸跨境低空综合枢纽、深圳火车站客运枢纽和罗湖物流转运中心货运枢纽的停车位收入</t>
  </si>
  <si>
    <t>按照每个枢纽可预留停车场面积约500㎡，可配置约20个停车位，面向社会开放并收取停车费，每个停车位停车收费平均按60元/天（按50%时长占用率）测算；</t>
  </si>
  <si>
    <t>文锦渡口岸跨境低空综合枢纽、深圳火车站客运枢纽和罗湖物流转运中心货运枢纽的商铺租赁收入</t>
  </si>
  <si>
    <t>按照每个枢纽可出租商铺面积1000㎡估算，商铺出租价格按每月100元/平方米进行测算</t>
  </si>
  <si>
    <t>无人机巡检：国土巡查、森林巡查、抢险救灾、城市治堵、城市治安、交通巡检、电力巡检、气象探测、水利监测、环境监测等场景应用。</t>
  </si>
  <si>
    <t>政府单位采购各类政务场景服务，按50万/年进行收费，预测平均每年有15个单位采购服务</t>
  </si>
  <si>
    <t>2026年：20个
2027年：10个</t>
  </si>
  <si>
    <t>利用低空飞行器搭载的高精度传感器和摄像头，采集地理信息、环境数据、城市运行数据等，为政府、企业和科研机构提供地理测绘数据服务。</t>
  </si>
  <si>
    <t>利用测绘数据定期更新城市三维建模，按每年收入100万进行测算</t>
  </si>
  <si>
    <t>利用无人机、管理平台收集的照片、视频数据，地理信息数据，应用场景数据（交通流量、人流密度、环境监测等），低空服务数据（通导监数据、气象数据、飞行数据等）各类数据，推动数据资产入表和入市流通，实现数据资产变现。</t>
  </si>
  <si>
    <t>按每年数据变现收入100万进行测算</t>
  </si>
  <si>
    <t>中小学生及社会科普研学收入</t>
  </si>
  <si>
    <t>根据目前市面上航天科普教育基地运营情况，市场普遍收费为200元/人左右，按照3.5万人次/年进行估算</t>
  </si>
  <si>
    <t>G.税金及附加测算表（万元）</t>
  </si>
  <si>
    <t>建设投资进项税</t>
  </si>
  <si>
    <t xml:space="preserve">2025
</t>
  </si>
  <si>
    <t xml:space="preserve">2026
</t>
  </si>
  <si>
    <t xml:space="preserve">2027
</t>
  </si>
  <si>
    <t xml:space="preserve">2028
</t>
  </si>
  <si>
    <t xml:space="preserve">2029
</t>
  </si>
  <si>
    <t>G.1 进项税总计-建设投资
可一直累进抵扣，直至为0</t>
  </si>
  <si>
    <t>当期进项税额</t>
  </si>
  <si>
    <t>当期销项税额</t>
  </si>
  <si>
    <t>租赁收入</t>
  </si>
  <si>
    <t>停车收入</t>
  </si>
  <si>
    <t>充电桩收入</t>
  </si>
  <si>
    <t>当期应缴增值税</t>
  </si>
  <si>
    <t>城建税及教育费附加</t>
  </si>
  <si>
    <t>G.1进项增值税率-建设投资</t>
  </si>
  <si>
    <t>行分项跟随D.3修改</t>
  </si>
  <si>
    <t>金额（万元）</t>
  </si>
  <si>
    <t>增值税（万元）</t>
  </si>
  <si>
    <t>工程类</t>
  </si>
  <si>
    <t>进项税总计-建设投资</t>
  </si>
  <si>
    <t>G.2进项增值税率-运营成本</t>
  </si>
  <si>
    <t>行分项跟随E.1修改</t>
  </si>
  <si>
    <t>G.3销项增值税率</t>
  </si>
  <si>
    <t>行分项跟随F修改</t>
  </si>
  <si>
    <t>低空文旅收入</t>
  </si>
  <si>
    <t>a.1财务现金流量表（万元）</t>
  </si>
  <si>
    <t>现金流入</t>
  </si>
  <si>
    <t>营业收入</t>
  </si>
  <si>
    <t>回收固定资产余值</t>
  </si>
  <si>
    <t>回收流动资金</t>
  </si>
  <si>
    <t>现金流出</t>
  </si>
  <si>
    <t>经营成本</t>
  </si>
  <si>
    <t>营业税金及附加</t>
  </si>
  <si>
    <t>增值税</t>
  </si>
  <si>
    <t>维持运营投资</t>
  </si>
  <si>
    <t>所得税前净现金流量（1-2）</t>
  </si>
  <si>
    <t>累计所得税前净现金流量</t>
  </si>
  <si>
    <t>调整所得税</t>
  </si>
  <si>
    <t>所得税后净现金流量（3-5）</t>
  </si>
  <si>
    <t>累计所得税后净现金流量</t>
  </si>
  <si>
    <t>折现值-所得税前净现金流量</t>
  </si>
  <si>
    <t>折现值-累计所得税前净现金流量</t>
  </si>
  <si>
    <t>折现值-所得税后净现金流量</t>
  </si>
  <si>
    <t>折现值-累计所得税后净现金流量</t>
  </si>
  <si>
    <t>Ⅰ</t>
  </si>
  <si>
    <t>项目投资财务内部收益率（%）
（所得税前）</t>
  </si>
  <si>
    <t>Ⅱ</t>
  </si>
  <si>
    <t>项目投资财务内部收益率（%）
（所得税后）</t>
  </si>
  <si>
    <t>Ⅲ</t>
  </si>
  <si>
    <t>项目投资财务净现值（所得税前）
（ic = %）</t>
  </si>
  <si>
    <t>ic参考表A</t>
  </si>
  <si>
    <t>Ⅳ</t>
  </si>
  <si>
    <t>项目投资财务净现值（所得税后）
（ic = %）</t>
  </si>
  <si>
    <t>Ⅴ</t>
  </si>
  <si>
    <t>项目静态投资回收期（年）
（所得税前）</t>
  </si>
  <si>
    <t>看A列序号：行4转正年份 - 2025 + 行4[行4转正年份-1] / 行3[行4转正年份]</t>
  </si>
  <si>
    <t>Ⅵ</t>
  </si>
  <si>
    <t>项目动态投资回收期（年）
（所得税前）</t>
  </si>
  <si>
    <t>看A列序号：行9转正年份 - 2025 + 行9[行9转正年份-1] / 行8[行9转正年份]</t>
  </si>
  <si>
    <t>Ⅶ</t>
  </si>
  <si>
    <t>★项目静态投资回收期（年）
（所得税后）</t>
  </si>
  <si>
    <t>看A列序号：行7转正年份 - 2025 + 行7[行7转正年份-1] / 行6[行7转正年份]</t>
  </si>
  <si>
    <t>Ⅷ</t>
  </si>
  <si>
    <t>★项目动态投资回收期（年）
（所得税后）</t>
  </si>
  <si>
    <t>看A列序号：行11转正年份 - 2025 + 行11[行11转正年份-1] / 行10[行11转正年份]</t>
  </si>
  <si>
    <t>a.2项目资本金现金流量表（万元）</t>
  </si>
  <si>
    <t>借款本金偿还</t>
  </si>
  <si>
    <t>借款利息支付</t>
  </si>
  <si>
    <t>所得税</t>
  </si>
  <si>
    <t>净现金流量</t>
  </si>
  <si>
    <t>资本金财务内部收益率（%）</t>
  </si>
  <si>
    <t>b利润与利润分配表（损益和利润分配表）（万元）</t>
  </si>
  <si>
    <t>营业收入（不含增值税）</t>
  </si>
  <si>
    <t>总成本费用（不含增值税）</t>
  </si>
  <si>
    <t>利润总额（1-2-3+4）</t>
  </si>
  <si>
    <t>弥补以前年度亏损</t>
  </si>
  <si>
    <t>期末未弥补亏损</t>
  </si>
  <si>
    <t>应纳税所得额（5-6）</t>
  </si>
  <si>
    <t>净利润（5-8）</t>
  </si>
  <si>
    <t>期初未分配利润</t>
  </si>
  <si>
    <t>可供分配的利润（9+10）</t>
  </si>
  <si>
    <t>提取法定盈余公积金</t>
  </si>
  <si>
    <t>可供投资者分配的利润（11-12）</t>
  </si>
  <si>
    <t>应付优先股股利</t>
  </si>
  <si>
    <t>提取任意盈余公积金</t>
  </si>
  <si>
    <t>应付普通股股利（13-14-15）</t>
  </si>
  <si>
    <t>各投资方利润分配：</t>
  </si>
  <si>
    <t>其中：投资方</t>
  </si>
  <si>
    <t>未分配利润（13-14-15-17）</t>
  </si>
  <si>
    <t>其中：偿还借款</t>
  </si>
  <si>
    <t>累计未分配利润</t>
  </si>
  <si>
    <t>息税前利润
（利润总额+利息支出）</t>
  </si>
  <si>
    <t>息税折旧摊销前利润
（息税前利润+折旧+摊销）</t>
  </si>
  <si>
    <t>本息资金覆盖倍数</t>
  </si>
  <si>
    <t>期初借款余额</t>
  </si>
  <si>
    <t>当期还本付息</t>
  </si>
  <si>
    <t>其中：还本</t>
  </si>
  <si>
    <t>付息</t>
  </si>
  <si>
    <t>1.3</t>
  </si>
  <si>
    <t>期末借款余额</t>
  </si>
  <si>
    <t>1.4</t>
  </si>
  <si>
    <t>还本付息兑付手续费</t>
  </si>
  <si>
    <t>1.5</t>
  </si>
  <si>
    <t>债券发行及服务费</t>
  </si>
  <si>
    <t>1.6</t>
  </si>
  <si>
    <t>应付利息</t>
  </si>
  <si>
    <t>2.3</t>
  </si>
  <si>
    <t>2.4</t>
  </si>
  <si>
    <t>2.5</t>
  </si>
  <si>
    <t>2.6</t>
  </si>
  <si>
    <t>3.1</t>
  </si>
  <si>
    <t>3.2</t>
  </si>
  <si>
    <t>3.2.1</t>
  </si>
  <si>
    <t>3.2.2</t>
  </si>
  <si>
    <t>3.3</t>
  </si>
  <si>
    <t>3.4</t>
  </si>
  <si>
    <t>3.5</t>
  </si>
  <si>
    <t>3.6</t>
  </si>
  <si>
    <t>4.1</t>
  </si>
  <si>
    <t>4.2</t>
  </si>
  <si>
    <t>4.2.1</t>
  </si>
  <si>
    <t>4.2.2</t>
  </si>
  <si>
    <t>4.3</t>
  </si>
  <si>
    <t>4.4</t>
  </si>
  <si>
    <t>4.5</t>
  </si>
  <si>
    <t>4.6</t>
  </si>
  <si>
    <t>借款总结</t>
  </si>
  <si>
    <t>5.1</t>
  </si>
  <si>
    <t>5.2</t>
  </si>
  <si>
    <t>5.2.1</t>
  </si>
  <si>
    <t>5.2.2</t>
  </si>
  <si>
    <t>5.3</t>
  </si>
  <si>
    <t>5.4</t>
  </si>
  <si>
    <t>5.5</t>
  </si>
  <si>
    <t>5.6</t>
  </si>
  <si>
    <t>计算指标</t>
  </si>
  <si>
    <t>利息备付率（%）</t>
  </si>
  <si>
    <t>偿债备付率（%）</t>
  </si>
  <si>
    <t>d财务计划现金流量表（万元）</t>
  </si>
  <si>
    <t>经营活动净现金流量</t>
  </si>
  <si>
    <t>增值税销项税额</t>
  </si>
  <si>
    <t>1.1.4</t>
  </si>
  <si>
    <t>其他流入</t>
  </si>
  <si>
    <t>增值税进项税额</t>
  </si>
  <si>
    <t>1.2.5</t>
  </si>
  <si>
    <t>1.2.6</t>
  </si>
  <si>
    <t>其他流出</t>
  </si>
  <si>
    <t>投资活动净现金流量</t>
  </si>
  <si>
    <t>2.2.4</t>
  </si>
  <si>
    <t>筹资活动净现金流量</t>
  </si>
  <si>
    <t>3.1.1</t>
  </si>
  <si>
    <t>项目资本金投入</t>
  </si>
  <si>
    <t>3.1.2</t>
  </si>
  <si>
    <t>建设投资借款</t>
  </si>
  <si>
    <t>各种利息支出</t>
  </si>
  <si>
    <t>偿还债务本金</t>
  </si>
  <si>
    <t>累计盈余资金</t>
  </si>
  <si>
    <t>e资产负债表（万元）</t>
  </si>
  <si>
    <t>资产</t>
  </si>
  <si>
    <t>流动资产总额</t>
  </si>
  <si>
    <t>货币资金</t>
  </si>
  <si>
    <t>预付账款</t>
  </si>
  <si>
    <t>1.1.5</t>
  </si>
  <si>
    <t>其他</t>
  </si>
  <si>
    <t>在建工程</t>
  </si>
  <si>
    <t>固定资产净值</t>
  </si>
  <si>
    <t>无形及其他资产净值</t>
  </si>
  <si>
    <t>负债及所有者权益</t>
  </si>
  <si>
    <t>流动负债总额</t>
  </si>
  <si>
    <t>短期借款</t>
  </si>
  <si>
    <t>预收账款</t>
  </si>
  <si>
    <t>2.1.4</t>
  </si>
  <si>
    <t>流动资金借款</t>
  </si>
  <si>
    <t>负债小计</t>
  </si>
  <si>
    <t>所有者权益</t>
  </si>
  <si>
    <t>2.5.1</t>
  </si>
  <si>
    <t>资本金</t>
  </si>
  <si>
    <t>2.5.2</t>
  </si>
  <si>
    <t>资本公积</t>
  </si>
  <si>
    <t>2.5.3</t>
  </si>
  <si>
    <t>累计盈余公积金</t>
  </si>
  <si>
    <t>2.5.4</t>
  </si>
  <si>
    <t>计算指标：资产负债率</t>
  </si>
  <si>
    <t>Ⅰ项目投资估算构成表</t>
  </si>
  <si>
    <t>投资构成类别</t>
  </si>
  <si>
    <t>工程费用</t>
  </si>
  <si>
    <t>预备费用</t>
  </si>
  <si>
    <t>投资估算金额（万元）</t>
  </si>
  <si>
    <t>占比</t>
  </si>
  <si>
    <t>Ⅱ项目分年度资金筹措计划表（万元）</t>
  </si>
  <si>
    <t>注：此表依据D.2自行填写，一般财政预算资金和单位自有资金二选一</t>
  </si>
  <si>
    <t>资金来源类型</t>
  </si>
  <si>
    <t>各类型占比</t>
  </si>
  <si>
    <t>财政预算资金</t>
  </si>
  <si>
    <t>单位自有资金</t>
  </si>
  <si>
    <t>专项债券
（用作项目资本金）</t>
  </si>
  <si>
    <t>专项债券
（不用做项目资本金）</t>
  </si>
  <si>
    <t>银行贷款</t>
  </si>
  <si>
    <t>其他来源资金</t>
  </si>
  <si>
    <t>分年度占比</t>
  </si>
  <si>
    <t>Ⅲ项目分年度收入合计表（经营性收入+补贴收入）（万元）</t>
  </si>
  <si>
    <t>收入类型</t>
  </si>
  <si>
    <t>分年收入</t>
  </si>
  <si>
    <t>经营性收入</t>
  </si>
  <si>
    <t>政府补贴收入</t>
  </si>
  <si>
    <t>Ⅳ项目分年度成本明细表（万元）</t>
  </si>
  <si>
    <t>复制E.1</t>
  </si>
  <si>
    <t>Ⅴ项目分年度收益表（万元）</t>
  </si>
  <si>
    <t>项目收入</t>
  </si>
  <si>
    <t>运营成本</t>
  </si>
  <si>
    <t>项目收益</t>
  </si>
  <si>
    <t>Ⅵ专项债券应付本息情况表（万元）</t>
  </si>
  <si>
    <t>年度</t>
  </si>
  <si>
    <t>本期新增</t>
  </si>
  <si>
    <t>本期偿还</t>
  </si>
  <si>
    <t>期末本金</t>
  </si>
  <si>
    <t>融资利率</t>
  </si>
  <si>
    <t>应付本息</t>
  </si>
  <si>
    <t>VIII债券资金覆盖率压力测试表</t>
  </si>
  <si>
    <t>资金覆盖率-压力测试</t>
  </si>
  <si>
    <t>运营收入变动敏感性分析</t>
  </si>
  <si>
    <t>专项债券本息资金覆盖率</t>
  </si>
  <si>
    <t>运营成本变动敏感性分析</t>
  </si>
  <si>
    <t>债券利率变动敏感新分析</t>
  </si>
  <si>
    <t>如果公式失效修改F.1,E.1表</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</si>
</sst>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8" formatCode="&quot;￥&quot;#,##0.00;[Red]&quot;￥&quot;\-#,##0.0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0.00_ "/>
    <numFmt numFmtId="178" formatCode="0_ "/>
    <numFmt numFmtId="179" formatCode="0.0000%"/>
    <numFmt numFmtId="180" formatCode="0.000%"/>
  </numFmts>
  <fonts count="55">
    <font>
      <sz val="11"/>
      <color theme="1"/>
      <name val="宋体"/>
      <charset val="134"/>
      <scheme val="minor"/>
    </font>
    <font>
      <b/>
      <sz val="13"/>
      <color theme="0"/>
      <name val="微软雅黑"/>
      <charset val="134"/>
    </font>
    <font>
      <b/>
      <sz val="11"/>
      <color theme="1"/>
      <name val="微软雅黑"/>
      <charset val="134"/>
    </font>
    <font>
      <sz val="11"/>
      <color theme="1"/>
      <name val="微软雅黑"/>
      <charset val="134"/>
    </font>
    <font>
      <sz val="11"/>
      <color rgb="FFFF0000"/>
      <name val="微软雅黑"/>
      <charset val="134"/>
    </font>
    <font>
      <b/>
      <sz val="11"/>
      <color rgb="FFFF0000"/>
      <name val="微软雅黑"/>
      <charset val="134"/>
    </font>
    <font>
      <b/>
      <sz val="11"/>
      <color rgb="FF0070C0"/>
      <name val="宋体"/>
      <charset val="134"/>
      <scheme val="minor"/>
    </font>
    <font>
      <b/>
      <sz val="14"/>
      <color theme="0"/>
      <name val="微软雅黑"/>
      <charset val="134"/>
    </font>
    <font>
      <sz val="11"/>
      <name val="微软雅黑"/>
      <charset val="134"/>
    </font>
    <font>
      <b/>
      <sz val="14"/>
      <color rgb="FF000000"/>
      <name val="宋体"/>
      <charset val="134"/>
    </font>
    <font>
      <b/>
      <sz val="11"/>
      <color rgb="FF000000"/>
      <name val="宋体"/>
      <charset val="134"/>
    </font>
    <font>
      <sz val="11"/>
      <color rgb="FF000000"/>
      <name val="宋体"/>
      <charset val="134"/>
    </font>
    <font>
      <b/>
      <sz val="16"/>
      <color theme="0"/>
      <name val="微软雅黑"/>
      <charset val="134"/>
    </font>
    <font>
      <b/>
      <sz val="11"/>
      <color rgb="FF000000"/>
      <name val="微软雅黑"/>
      <charset val="134"/>
    </font>
    <font>
      <sz val="11"/>
      <color rgb="FF000000"/>
      <name val="微软雅黑"/>
      <charset val="134"/>
    </font>
    <font>
      <b/>
      <sz val="11"/>
      <color rgb="FF0070C0"/>
      <name val="微软雅黑"/>
      <charset val="134"/>
    </font>
    <font>
      <sz val="10"/>
      <color rgb="FFFF0000"/>
      <name val="微软雅黑"/>
      <charset val="134"/>
    </font>
    <font>
      <sz val="10"/>
      <color rgb="FF000000"/>
      <name val="宋体"/>
      <charset val="134"/>
    </font>
    <font>
      <sz val="10"/>
      <name val="宋体"/>
      <charset val="134"/>
    </font>
    <font>
      <b/>
      <sz val="10"/>
      <color rgb="FF000000"/>
      <name val="宋体"/>
      <charset val="134"/>
    </font>
    <font>
      <sz val="10"/>
      <color rgb="FFFF0000"/>
      <name val="宋体"/>
      <charset val="134"/>
    </font>
    <font>
      <b/>
      <sz val="10"/>
      <name val="宋体"/>
      <charset val="134"/>
    </font>
    <font>
      <sz val="10"/>
      <color theme="1"/>
      <name val="宋体"/>
      <charset val="134"/>
    </font>
    <font>
      <b/>
      <sz val="10"/>
      <color rgb="FFFF0000"/>
      <name val="宋体"/>
      <charset val="134"/>
    </font>
    <font>
      <sz val="11"/>
      <color theme="1"/>
      <name val="宋体"/>
      <charset val="134"/>
    </font>
    <font>
      <b/>
      <sz val="14"/>
      <name val="宋体"/>
      <charset val="134"/>
    </font>
    <font>
      <sz val="14"/>
      <name val="宋体"/>
      <charset val="134"/>
    </font>
    <font>
      <sz val="14"/>
      <color indexed="8"/>
      <name val="宋体"/>
      <charset val="134"/>
    </font>
    <font>
      <sz val="10"/>
      <color indexed="8"/>
      <name val="宋体"/>
      <charset val="134"/>
    </font>
    <font>
      <sz val="14"/>
      <color rgb="FF000000"/>
      <name val="宋体"/>
      <charset val="134"/>
    </font>
    <font>
      <b/>
      <sz val="11"/>
      <color theme="1"/>
      <name val="宋体"/>
      <charset val="134"/>
      <scheme val="minor"/>
    </font>
    <font>
      <sz val="10"/>
      <color theme="1"/>
      <name val="微软雅黑"/>
      <charset val="134"/>
    </font>
    <font>
      <b/>
      <sz val="12"/>
      <color theme="1"/>
      <name val="微软雅黑"/>
      <charset val="134"/>
    </font>
    <font>
      <sz val="12"/>
      <color rgb="FF404040"/>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name val="等线"/>
      <charset val="134"/>
    </font>
    <font>
      <sz val="10"/>
      <name val="宋体"/>
      <charset val="134"/>
    </font>
  </fonts>
  <fills count="42">
    <fill>
      <patternFill patternType="none"/>
    </fill>
    <fill>
      <patternFill patternType="gray125"/>
    </fill>
    <fill>
      <patternFill patternType="solid">
        <fgColor rgb="FF0070C0"/>
        <bgColor indexed="64"/>
      </patternFill>
    </fill>
    <fill>
      <patternFill patternType="solid">
        <fgColor theme="4" tint="0.599993896298105"/>
        <bgColor indexed="64"/>
      </patternFill>
    </fill>
    <fill>
      <patternFill patternType="solid">
        <fgColor theme="2"/>
        <bgColor indexed="64"/>
      </patternFill>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ADC6E6"/>
        <bgColor rgb="FFADC6E6"/>
      </patternFill>
    </fill>
    <fill>
      <patternFill patternType="solid">
        <fgColor rgb="FFFFC000"/>
        <bgColor indexed="64"/>
      </patternFill>
    </fill>
    <fill>
      <patternFill patternType="solid">
        <fgColor theme="5" tint="0.799951170384838"/>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0" fillId="0" borderId="0">
      <alignment vertical="center"/>
    </xf>
    <xf numFmtId="44" fontId="0" fillId="0" borderId="0">
      <alignment vertical="center"/>
    </xf>
    <xf numFmtId="9" fontId="0" fillId="0" borderId="0">
      <alignment vertical="center"/>
    </xf>
    <xf numFmtId="41" fontId="0" fillId="0" borderId="0">
      <alignment vertical="center"/>
    </xf>
    <xf numFmtId="42" fontId="0" fillId="0" borderId="0">
      <alignment vertical="center"/>
    </xf>
    <xf numFmtId="0" fontId="34" fillId="0" borderId="0">
      <alignment vertical="center"/>
    </xf>
    <xf numFmtId="0" fontId="35" fillId="0" borderId="0">
      <alignment vertical="center"/>
    </xf>
    <xf numFmtId="0" fontId="0" fillId="12" borderId="24">
      <alignment vertical="center"/>
    </xf>
    <xf numFmtId="0" fontId="36" fillId="0" borderId="0">
      <alignment vertical="center"/>
    </xf>
    <xf numFmtId="0" fontId="37" fillId="0" borderId="0">
      <alignment vertical="center"/>
    </xf>
    <xf numFmtId="0" fontId="38" fillId="0" borderId="0">
      <alignment vertical="center"/>
    </xf>
    <xf numFmtId="0" fontId="39" fillId="0" borderId="25">
      <alignment vertical="center"/>
    </xf>
    <xf numFmtId="0" fontId="40" fillId="0" borderId="25">
      <alignment vertical="center"/>
    </xf>
    <xf numFmtId="0" fontId="41" fillId="0" borderId="26">
      <alignment vertical="center"/>
    </xf>
    <xf numFmtId="0" fontId="41" fillId="0" borderId="0">
      <alignment vertical="center"/>
    </xf>
    <xf numFmtId="0" fontId="42" fillId="13" borderId="27">
      <alignment vertical="center"/>
    </xf>
    <xf numFmtId="0" fontId="43" fillId="14" borderId="28">
      <alignment vertical="center"/>
    </xf>
    <xf numFmtId="0" fontId="44" fillId="14" borderId="27">
      <alignment vertical="center"/>
    </xf>
    <xf numFmtId="0" fontId="45" fillId="15" borderId="29">
      <alignment vertical="center"/>
    </xf>
    <xf numFmtId="0" fontId="46" fillId="0" borderId="30">
      <alignment vertical="center"/>
    </xf>
    <xf numFmtId="0" fontId="47" fillId="0" borderId="31">
      <alignment vertical="center"/>
    </xf>
    <xf numFmtId="0" fontId="48" fillId="16" borderId="0">
      <alignment vertical="center"/>
    </xf>
    <xf numFmtId="0" fontId="49" fillId="17" borderId="0">
      <alignment vertical="center"/>
    </xf>
    <xf numFmtId="0" fontId="50" fillId="18" borderId="0">
      <alignment vertical="center"/>
    </xf>
    <xf numFmtId="0" fontId="51" fillId="19" borderId="0">
      <alignment vertical="center"/>
    </xf>
    <xf numFmtId="0" fontId="52" fillId="20" borderId="0">
      <alignment vertical="center"/>
    </xf>
    <xf numFmtId="0" fontId="52" fillId="3" borderId="0">
      <alignment vertical="center"/>
    </xf>
    <xf numFmtId="0" fontId="51" fillId="21" borderId="0">
      <alignment vertical="center"/>
    </xf>
    <xf numFmtId="0" fontId="51" fillId="22" borderId="0">
      <alignment vertical="center"/>
    </xf>
    <xf numFmtId="0" fontId="52" fillId="23" borderId="0">
      <alignment vertical="center"/>
    </xf>
    <xf numFmtId="0" fontId="52" fillId="24" borderId="0">
      <alignment vertical="center"/>
    </xf>
    <xf numFmtId="0" fontId="51" fillId="25" borderId="0">
      <alignment vertical="center"/>
    </xf>
    <xf numFmtId="0" fontId="51" fillId="26" borderId="0">
      <alignment vertical="center"/>
    </xf>
    <xf numFmtId="0" fontId="52" fillId="27" borderId="0">
      <alignment vertical="center"/>
    </xf>
    <xf numFmtId="0" fontId="52" fillId="28" borderId="0">
      <alignment vertical="center"/>
    </xf>
    <xf numFmtId="0" fontId="51" fillId="29" borderId="0">
      <alignment vertical="center"/>
    </xf>
    <xf numFmtId="0" fontId="51" fillId="30" borderId="0">
      <alignment vertical="center"/>
    </xf>
    <xf numFmtId="0" fontId="52" fillId="31" borderId="0">
      <alignment vertical="center"/>
    </xf>
    <xf numFmtId="0" fontId="52" fillId="32" borderId="0">
      <alignment vertical="center"/>
    </xf>
    <xf numFmtId="0" fontId="51" fillId="33" borderId="0">
      <alignment vertical="center"/>
    </xf>
    <xf numFmtId="0" fontId="51" fillId="34" borderId="0">
      <alignment vertical="center"/>
    </xf>
    <xf numFmtId="0" fontId="52" fillId="35" borderId="0">
      <alignment vertical="center"/>
    </xf>
    <xf numFmtId="0" fontId="52" fillId="36" borderId="0">
      <alignment vertical="center"/>
    </xf>
    <xf numFmtId="0" fontId="51" fillId="37" borderId="0">
      <alignment vertical="center"/>
    </xf>
    <xf numFmtId="0" fontId="51" fillId="38" borderId="0">
      <alignment vertical="center"/>
    </xf>
    <xf numFmtId="0" fontId="52" fillId="39" borderId="0">
      <alignment vertical="center"/>
    </xf>
    <xf numFmtId="0" fontId="52" fillId="40" borderId="0">
      <alignment vertical="center"/>
    </xf>
    <xf numFmtId="0" fontId="51" fillId="41" borderId="0">
      <alignment vertical="center"/>
    </xf>
    <xf numFmtId="0" fontId="53" fillId="0" borderId="0">
      <alignment vertical="center"/>
    </xf>
  </cellStyleXfs>
  <cellXfs count="210">
    <xf numFmtId="0" fontId="0" fillId="0" borderId="0" xfId="0" applyAlignment="1">
      <alignment vertical="center"/>
    </xf>
    <xf numFmtId="0" fontId="0" fillId="0" borderId="0" xfId="0" applyAlignment="1"/>
    <xf numFmtId="0" fontId="1" fillId="2" borderId="1" xfId="0" applyFont="1" applyFill="1" applyBorder="1" applyAlignment="1">
      <alignment horizontal="center" vertical="center"/>
    </xf>
    <xf numFmtId="0" fontId="0" fillId="0" borderId="2" xfId="0" applyBorder="1" applyAlignment="1"/>
    <xf numFmtId="0" fontId="0" fillId="0" borderId="3" xfId="0" applyBorder="1" applyAlignment="1"/>
    <xf numFmtId="0" fontId="2" fillId="3" borderId="1" xfId="0" applyFont="1" applyFill="1" applyBorder="1" applyAlignment="1">
      <alignment horizontal="center" vertical="center"/>
    </xf>
    <xf numFmtId="9" fontId="2" fillId="3" borderId="1" xfId="0" applyNumberFormat="1" applyFont="1" applyFill="1" applyBorder="1" applyAlignment="1">
      <alignment horizontal="center" vertical="center"/>
    </xf>
    <xf numFmtId="0" fontId="2" fillId="4" borderId="1" xfId="0" applyFont="1" applyFill="1" applyBorder="1" applyAlignment="1">
      <alignment horizontal="center"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0" fontId="1" fillId="2" borderId="4" xfId="0" applyFont="1" applyFill="1" applyBorder="1" applyAlignment="1">
      <alignment vertical="center" wrapText="1"/>
    </xf>
    <xf numFmtId="0" fontId="4" fillId="0" borderId="1" xfId="0" applyFont="1" applyBorder="1" applyAlignment="1">
      <alignment horizontal="center" vertical="center"/>
    </xf>
    <xf numFmtId="177" fontId="3" fillId="0" borderId="1" xfId="0" applyNumberFormat="1" applyFont="1" applyBorder="1" applyAlignment="1">
      <alignment horizontal="center" vertical="center"/>
    </xf>
    <xf numFmtId="0" fontId="1" fillId="2" borderId="5" xfId="0" applyFont="1" applyFill="1" applyBorder="1" applyAlignment="1">
      <alignment horizontal="center" vertical="center"/>
    </xf>
    <xf numFmtId="0" fontId="0" fillId="0" borderId="6" xfId="0" applyBorder="1" applyAlignment="1"/>
    <xf numFmtId="0" fontId="0" fillId="0" borderId="0" xfId="0" applyAlignment="1">
      <alignment vertical="center" wrapText="1"/>
    </xf>
    <xf numFmtId="0" fontId="1" fillId="2" borderId="0" xfId="0" applyFont="1" applyFill="1" applyAlignment="1">
      <alignment horizontal="center" vertical="center"/>
    </xf>
    <xf numFmtId="0" fontId="2" fillId="3" borderId="6" xfId="0" applyFont="1" applyFill="1" applyBorder="1" applyAlignment="1">
      <alignment horizontal="center" vertical="center"/>
    </xf>
    <xf numFmtId="0" fontId="2" fillId="3" borderId="6" xfId="0" applyFont="1" applyFill="1" applyBorder="1" applyAlignment="1">
      <alignment horizontal="center" vertical="center" wrapText="1"/>
    </xf>
    <xf numFmtId="0" fontId="5" fillId="3" borderId="7" xfId="0" applyFont="1" applyFill="1" applyBorder="1" applyAlignment="1">
      <alignment horizontal="center" vertical="center"/>
    </xf>
    <xf numFmtId="0" fontId="2" fillId="0" borderId="1" xfId="0" applyFont="1" applyBorder="1" applyAlignment="1">
      <alignment horizontal="center" vertical="center"/>
    </xf>
    <xf numFmtId="0" fontId="4" fillId="0" borderId="1" xfId="0" applyFont="1" applyBorder="1" applyAlignment="1">
      <alignment horizontal="center" vertical="center" wrapText="1"/>
    </xf>
    <xf numFmtId="0" fontId="0" fillId="0" borderId="8" xfId="0" applyBorder="1" applyAlignment="1"/>
    <xf numFmtId="0" fontId="5" fillId="3" borderId="6" xfId="0" applyFont="1" applyFill="1" applyBorder="1" applyAlignment="1">
      <alignment horizontal="center" vertical="center"/>
    </xf>
    <xf numFmtId="10" fontId="3" fillId="0" borderId="1" xfId="0" applyNumberFormat="1" applyFont="1" applyBorder="1" applyAlignment="1">
      <alignment horizontal="center" vertical="center"/>
    </xf>
    <xf numFmtId="0" fontId="6" fillId="0" borderId="0" xfId="0" applyFont="1" applyAlignment="1">
      <alignment vertical="center"/>
    </xf>
    <xf numFmtId="0" fontId="1" fillId="2" borderId="5" xfId="0" applyFont="1" applyFill="1" applyBorder="1" applyAlignment="1">
      <alignment vertical="center"/>
    </xf>
    <xf numFmtId="0" fontId="1" fillId="2" borderId="2" xfId="0" applyFont="1" applyFill="1" applyBorder="1" applyAlignment="1">
      <alignment vertical="center"/>
    </xf>
    <xf numFmtId="0" fontId="2" fillId="3" borderId="5" xfId="0" applyFont="1" applyFill="1" applyBorder="1" applyAlignment="1">
      <alignment vertical="center"/>
    </xf>
    <xf numFmtId="0" fontId="2" fillId="3" borderId="2" xfId="0" applyFont="1" applyFill="1" applyBorder="1" applyAlignment="1">
      <alignment vertical="center"/>
    </xf>
    <xf numFmtId="0" fontId="5" fillId="0" borderId="1" xfId="0" applyFont="1" applyBorder="1" applyAlignment="1">
      <alignment horizontal="center" vertical="center"/>
    </xf>
    <xf numFmtId="0" fontId="6" fillId="0" borderId="0" xfId="0" applyFont="1" applyAlignment="1">
      <alignment horizontal="left" vertical="center"/>
    </xf>
    <xf numFmtId="0" fontId="5" fillId="3" borderId="1" xfId="0" applyFont="1" applyFill="1" applyBorder="1" applyAlignment="1">
      <alignment horizontal="center" vertical="center"/>
    </xf>
    <xf numFmtId="176" fontId="4"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0" fillId="5" borderId="0" xfId="0" applyFill="1" applyAlignment="1">
      <alignment vertical="center"/>
    </xf>
    <xf numFmtId="0" fontId="7" fillId="6" borderId="1" xfId="0" applyFont="1" applyFill="1" applyBorder="1" applyAlignment="1">
      <alignment horizontal="center" vertical="center"/>
    </xf>
    <xf numFmtId="177" fontId="4" fillId="0" borderId="1" xfId="0" applyNumberFormat="1" applyFont="1" applyBorder="1" applyAlignment="1">
      <alignment horizontal="center" vertical="center"/>
    </xf>
    <xf numFmtId="0" fontId="3" fillId="5" borderId="1" xfId="0" applyFont="1" applyFill="1" applyBorder="1" applyAlignment="1">
      <alignment horizontal="center" vertical="center"/>
    </xf>
    <xf numFmtId="177" fontId="3" fillId="5" borderId="1" xfId="0" applyNumberFormat="1" applyFont="1" applyFill="1" applyBorder="1" applyAlignment="1">
      <alignment horizontal="center" vertical="center"/>
    </xf>
    <xf numFmtId="0" fontId="3" fillId="7" borderId="1" xfId="0" applyFont="1" applyFill="1" applyBorder="1" applyAlignment="1">
      <alignment horizontal="center" vertical="center"/>
    </xf>
    <xf numFmtId="177" fontId="4" fillId="5" borderId="1" xfId="0" applyNumberFormat="1" applyFont="1" applyFill="1" applyBorder="1" applyAlignment="1">
      <alignment horizontal="center" vertical="center"/>
    </xf>
    <xf numFmtId="0" fontId="5" fillId="8" borderId="1" xfId="0" applyFont="1" applyFill="1" applyBorder="1" applyAlignment="1">
      <alignment horizontal="center" vertical="center"/>
    </xf>
    <xf numFmtId="0" fontId="8" fillId="0" borderId="1" xfId="0" applyFont="1" applyBorder="1" applyAlignment="1">
      <alignment horizontal="center" vertical="center"/>
    </xf>
    <xf numFmtId="177" fontId="8" fillId="0" borderId="1" xfId="0" applyNumberFormat="1" applyFont="1" applyBorder="1" applyAlignment="1">
      <alignment horizontal="center" vertical="center"/>
    </xf>
    <xf numFmtId="177" fontId="0" fillId="0" borderId="0" xfId="0" applyNumberFormat="1" applyAlignment="1">
      <alignment vertical="center"/>
    </xf>
    <xf numFmtId="10" fontId="8" fillId="0" borderId="1" xfId="0" applyNumberFormat="1" applyFont="1" applyBorder="1" applyAlignment="1">
      <alignment horizontal="center" vertical="center"/>
    </xf>
    <xf numFmtId="0" fontId="3" fillId="0" borderId="0" xfId="0" applyFont="1" applyAlignment="1">
      <alignment horizontal="center" vertical="center"/>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177" fontId="11" fillId="0" borderId="1" xfId="0" applyNumberFormat="1" applyFont="1" applyBorder="1" applyAlignment="1">
      <alignment horizontal="center" vertical="center"/>
    </xf>
    <xf numFmtId="0" fontId="11" fillId="0" borderId="1" xfId="0" applyFont="1" applyBorder="1" applyAlignment="1">
      <alignment horizontal="center" vertical="center" wrapText="1"/>
    </xf>
    <xf numFmtId="177" fontId="11" fillId="9" borderId="1" xfId="0" applyNumberFormat="1" applyFont="1" applyFill="1" applyBorder="1" applyAlignment="1">
      <alignment horizontal="center" vertical="center"/>
    </xf>
    <xf numFmtId="176" fontId="11" fillId="0" borderId="1" xfId="0" applyNumberFormat="1" applyFont="1" applyBorder="1" applyAlignment="1">
      <alignment horizontal="center" vertical="center"/>
    </xf>
    <xf numFmtId="0" fontId="12" fillId="6" borderId="5" xfId="0" applyFont="1" applyFill="1" applyBorder="1" applyAlignment="1">
      <alignment horizontal="center" vertical="center"/>
    </xf>
    <xf numFmtId="0" fontId="12" fillId="6" borderId="0" xfId="0" applyFont="1" applyFill="1" applyAlignment="1">
      <alignment horizontal="center" vertical="center"/>
    </xf>
    <xf numFmtId="9" fontId="3" fillId="9" borderId="1" xfId="0" applyNumberFormat="1" applyFont="1" applyFill="1" applyBorder="1" applyAlignment="1">
      <alignment horizontal="center" vertical="center"/>
    </xf>
    <xf numFmtId="0" fontId="12" fillId="6" borderId="1" xfId="0" applyFont="1" applyFill="1" applyBorder="1" applyAlignment="1">
      <alignment horizontal="center" vertical="center"/>
    </xf>
    <xf numFmtId="0" fontId="13" fillId="0" borderId="1" xfId="0" applyFont="1" applyBorder="1" applyAlignment="1">
      <alignment horizontal="center" vertical="center"/>
    </xf>
    <xf numFmtId="0" fontId="14" fillId="0" borderId="1" xfId="0" applyFont="1" applyBorder="1" applyAlignment="1">
      <alignment horizontal="center" vertical="center"/>
    </xf>
    <xf numFmtId="177" fontId="14" fillId="0" borderId="1" xfId="0" applyNumberFormat="1" applyFont="1" applyBorder="1" applyAlignment="1">
      <alignment horizontal="center" vertical="center"/>
    </xf>
    <xf numFmtId="0" fontId="3" fillId="7" borderId="1" xfId="0" applyFont="1" applyFill="1" applyBorder="1" applyAlignment="1">
      <alignment horizontal="center" vertical="center" wrapText="1"/>
    </xf>
    <xf numFmtId="0" fontId="3" fillId="0" borderId="1" xfId="0" applyFont="1" applyBorder="1" applyAlignment="1">
      <alignment vertical="center"/>
    </xf>
    <xf numFmtId="8" fontId="3" fillId="9" borderId="1" xfId="0" applyNumberFormat="1" applyFont="1" applyFill="1" applyBorder="1" applyAlignment="1">
      <alignment horizontal="center" vertical="center"/>
    </xf>
    <xf numFmtId="2" fontId="3" fillId="9" borderId="1" xfId="0" applyNumberFormat="1" applyFont="1" applyFill="1" applyBorder="1" applyAlignment="1">
      <alignment horizontal="center" vertical="center"/>
    </xf>
    <xf numFmtId="0" fontId="3" fillId="5" borderId="5" xfId="0" applyFont="1" applyFill="1" applyBorder="1" applyAlignment="1">
      <alignment horizontal="center" vertical="center"/>
    </xf>
    <xf numFmtId="0" fontId="3" fillId="0" borderId="5" xfId="0" applyFont="1" applyBorder="1" applyAlignment="1">
      <alignment horizontal="center" vertical="center"/>
    </xf>
    <xf numFmtId="0" fontId="7" fillId="6" borderId="1" xfId="0" applyFont="1" applyFill="1" applyBorder="1" applyAlignment="1">
      <alignment horizontal="center" vertical="center" wrapText="1"/>
    </xf>
    <xf numFmtId="9" fontId="4" fillId="0" borderId="1" xfId="0" applyNumberFormat="1" applyFont="1" applyBorder="1" applyAlignment="1">
      <alignment horizontal="center" vertical="center"/>
    </xf>
    <xf numFmtId="0" fontId="4" fillId="0" borderId="0" xfId="0" applyFont="1" applyAlignment="1">
      <alignment horizontal="center" vertical="center"/>
    </xf>
    <xf numFmtId="0" fontId="15" fillId="0" borderId="0" xfId="0" applyFont="1" applyAlignment="1">
      <alignment horizontal="left" vertical="center"/>
    </xf>
    <xf numFmtId="0" fontId="3" fillId="0" borderId="1" xfId="0" applyFont="1" applyBorder="1" applyAlignment="1">
      <alignment horizontal="left" vertical="center" wrapText="1"/>
    </xf>
    <xf numFmtId="177" fontId="3" fillId="0" borderId="1" xfId="0" applyNumberFormat="1" applyFont="1" applyBorder="1" applyAlignment="1">
      <alignment horizontal="center" vertical="center" wrapText="1"/>
    </xf>
    <xf numFmtId="0" fontId="7" fillId="6" borderId="5" xfId="0" applyFont="1" applyFill="1" applyBorder="1" applyAlignment="1">
      <alignment horizontal="center" vertical="center"/>
    </xf>
    <xf numFmtId="2" fontId="3" fillId="5" borderId="1" xfId="0" applyNumberFormat="1" applyFont="1" applyFill="1" applyBorder="1" applyAlignment="1">
      <alignment horizontal="center" vertical="center"/>
    </xf>
    <xf numFmtId="0" fontId="16" fillId="0" borderId="1" xfId="0" applyFont="1" applyBorder="1" applyAlignment="1">
      <alignment horizontal="center" vertical="center"/>
    </xf>
    <xf numFmtId="177" fontId="4" fillId="9" borderId="1" xfId="0" applyNumberFormat="1" applyFont="1" applyFill="1" applyBorder="1" applyAlignment="1">
      <alignment horizontal="center" vertical="center" wrapText="1"/>
    </xf>
    <xf numFmtId="177" fontId="4" fillId="0" borderId="1" xfId="0" applyNumberFormat="1" applyFont="1" applyBorder="1" applyAlignment="1">
      <alignment horizontal="center" vertical="center" wrapText="1"/>
    </xf>
    <xf numFmtId="0" fontId="16" fillId="0" borderId="1" xfId="0" applyFont="1" applyBorder="1" applyAlignment="1">
      <alignment horizontal="center" vertical="center" wrapText="1"/>
    </xf>
    <xf numFmtId="177" fontId="4" fillId="9" borderId="1" xfId="0" applyNumberFormat="1" applyFont="1" applyFill="1" applyBorder="1" applyAlignment="1">
      <alignment horizontal="center" vertical="center"/>
    </xf>
    <xf numFmtId="0" fontId="17" fillId="0" borderId="0" xfId="0" applyFont="1" applyAlignment="1">
      <alignment horizontal="left" vertical="center" wrapText="1"/>
    </xf>
    <xf numFmtId="177" fontId="3" fillId="7" borderId="1" xfId="0" applyNumberFormat="1" applyFont="1" applyFill="1" applyBorder="1" applyAlignment="1">
      <alignment horizontal="center" vertical="center"/>
    </xf>
    <xf numFmtId="0" fontId="4" fillId="5" borderId="1" xfId="0" applyFont="1" applyFill="1" applyBorder="1" applyAlignment="1">
      <alignment horizontal="center" vertical="center"/>
    </xf>
    <xf numFmtId="0" fontId="3" fillId="4" borderId="1" xfId="0" applyFont="1" applyFill="1" applyBorder="1" applyAlignment="1">
      <alignment horizontal="center" vertical="center" wrapText="1"/>
    </xf>
    <xf numFmtId="177" fontId="3" fillId="4" borderId="1" xfId="0" applyNumberFormat="1" applyFont="1" applyFill="1" applyBorder="1" applyAlignment="1">
      <alignment horizontal="center" vertical="center" wrapText="1"/>
    </xf>
    <xf numFmtId="0" fontId="18" fillId="0" borderId="9" xfId="0" applyFont="1" applyBorder="1" applyAlignment="1">
      <alignment horizontal="left" vertical="center" wrapText="1"/>
    </xf>
    <xf numFmtId="0" fontId="19" fillId="5" borderId="10" xfId="0" applyFont="1" applyFill="1" applyBorder="1" applyAlignment="1">
      <alignment horizontal="center" vertical="center" wrapText="1"/>
    </xf>
    <xf numFmtId="0" fontId="19" fillId="5" borderId="11" xfId="0" applyFont="1" applyFill="1" applyBorder="1" applyAlignment="1">
      <alignment horizontal="left" vertical="center" wrapText="1"/>
    </xf>
    <xf numFmtId="0" fontId="19" fillId="5" borderId="11" xfId="0" applyFont="1" applyFill="1" applyBorder="1" applyAlignment="1">
      <alignment horizontal="center" vertical="center" wrapText="1"/>
    </xf>
    <xf numFmtId="0" fontId="17" fillId="5" borderId="12" xfId="0" applyFont="1" applyFill="1" applyBorder="1" applyAlignment="1">
      <alignment horizontal="center" vertical="center" wrapText="1"/>
    </xf>
    <xf numFmtId="0" fontId="17" fillId="5" borderId="1" xfId="0" applyFont="1" applyFill="1" applyBorder="1" applyAlignment="1">
      <alignment horizontal="left" vertical="center" wrapText="1"/>
    </xf>
    <xf numFmtId="0" fontId="20" fillId="5" borderId="1" xfId="0" applyFont="1" applyFill="1" applyBorder="1" applyAlignment="1">
      <alignment horizontal="center" vertical="center" wrapText="1"/>
    </xf>
    <xf numFmtId="0" fontId="17" fillId="5" borderId="1" xfId="0" applyFont="1" applyFill="1" applyBorder="1" applyAlignment="1">
      <alignment horizontal="center" vertical="center" wrapText="1"/>
    </xf>
    <xf numFmtId="9" fontId="18" fillId="5" borderId="1" xfId="0" applyNumberFormat="1" applyFont="1" applyFill="1" applyBorder="1" applyAlignment="1">
      <alignment horizontal="center" vertical="center" wrapText="1"/>
    </xf>
    <xf numFmtId="0" fontId="21" fillId="5" borderId="1" xfId="0" applyFont="1" applyFill="1" applyBorder="1" applyAlignment="1">
      <alignment horizontal="center" vertical="center" wrapText="1"/>
    </xf>
    <xf numFmtId="0" fontId="18" fillId="5" borderId="1" xfId="0" applyFont="1" applyFill="1" applyBorder="1" applyAlignment="1">
      <alignment horizontal="center" vertical="center" wrapText="1"/>
    </xf>
    <xf numFmtId="177" fontId="18" fillId="5" borderId="1" xfId="0" applyNumberFormat="1" applyFont="1" applyFill="1" applyBorder="1" applyAlignment="1">
      <alignment horizontal="center" vertical="center" wrapText="1"/>
    </xf>
    <xf numFmtId="0" fontId="18" fillId="5" borderId="1" xfId="0" applyFont="1" applyFill="1" applyBorder="1" applyAlignment="1">
      <alignment horizontal="left" vertical="center" wrapText="1"/>
    </xf>
    <xf numFmtId="0" fontId="17" fillId="5" borderId="13" xfId="0" applyFont="1" applyFill="1" applyBorder="1" applyAlignment="1">
      <alignment horizontal="left" vertical="center" wrapText="1"/>
    </xf>
    <xf numFmtId="0" fontId="19" fillId="5" borderId="14" xfId="0" applyFont="1" applyFill="1" applyBorder="1" applyAlignment="1">
      <alignment horizontal="center" vertical="center" wrapText="1"/>
    </xf>
    <xf numFmtId="0" fontId="0" fillId="0" borderId="15" xfId="0" applyBorder="1" applyAlignment="1"/>
    <xf numFmtId="0" fontId="0" fillId="0" borderId="16" xfId="0" applyBorder="1" applyAlignment="1"/>
    <xf numFmtId="177" fontId="19" fillId="5" borderId="17" xfId="0" applyNumberFormat="1" applyFont="1" applyFill="1" applyBorder="1" applyAlignment="1">
      <alignment horizontal="center" vertical="center" wrapText="1"/>
    </xf>
    <xf numFmtId="0" fontId="19" fillId="5" borderId="17" xfId="0" applyFont="1" applyFill="1" applyBorder="1" applyAlignment="1">
      <alignment horizontal="center" vertical="center" wrapText="1"/>
    </xf>
    <xf numFmtId="0" fontId="19" fillId="5" borderId="18" xfId="0" applyFont="1" applyFill="1" applyBorder="1" applyAlignment="1">
      <alignment horizontal="center" vertical="center" wrapText="1"/>
    </xf>
    <xf numFmtId="0" fontId="19" fillId="5" borderId="18" xfId="0" applyFont="1" applyFill="1" applyBorder="1" applyAlignment="1">
      <alignment horizontal="left" vertical="center" wrapText="1"/>
    </xf>
    <xf numFmtId="177" fontId="19" fillId="5" borderId="18" xfId="0" applyNumberFormat="1" applyFont="1" applyFill="1" applyBorder="1" applyAlignment="1">
      <alignment horizontal="center" vertical="center" wrapText="1"/>
    </xf>
    <xf numFmtId="10" fontId="4" fillId="5" borderId="1" xfId="0" applyNumberFormat="1" applyFont="1" applyFill="1" applyBorder="1" applyAlignment="1">
      <alignment horizontal="center" vertical="center"/>
    </xf>
    <xf numFmtId="0" fontId="19" fillId="10" borderId="11" xfId="0" applyFont="1" applyFill="1" applyBorder="1" applyAlignment="1">
      <alignment horizontal="center" vertical="center" wrapText="1"/>
    </xf>
    <xf numFmtId="0" fontId="19" fillId="7" borderId="11" xfId="0" applyFont="1" applyFill="1" applyBorder="1" applyAlignment="1">
      <alignment horizontal="center" vertical="center" wrapText="1"/>
    </xf>
    <xf numFmtId="0" fontId="22" fillId="5" borderId="1" xfId="0" applyFont="1" applyFill="1" applyBorder="1" applyAlignment="1">
      <alignment horizontal="center" vertical="center"/>
    </xf>
    <xf numFmtId="0" fontId="22" fillId="5" borderId="1" xfId="0" applyFont="1" applyFill="1" applyBorder="1" applyAlignment="1">
      <alignment horizontal="center" vertical="center" wrapText="1"/>
    </xf>
    <xf numFmtId="177" fontId="19" fillId="5" borderId="0" xfId="0" applyNumberFormat="1" applyFont="1" applyFill="1" applyAlignment="1">
      <alignment horizontal="center" vertical="center" wrapText="1"/>
    </xf>
    <xf numFmtId="0" fontId="19" fillId="5" borderId="19" xfId="0" applyFont="1" applyFill="1" applyBorder="1" applyAlignment="1">
      <alignment horizontal="center" vertical="center" wrapText="1"/>
    </xf>
    <xf numFmtId="177" fontId="18" fillId="5" borderId="20" xfId="0" applyNumberFormat="1" applyFont="1" applyFill="1" applyBorder="1" applyAlignment="1">
      <alignment horizontal="center" vertical="center" wrapText="1"/>
    </xf>
    <xf numFmtId="177" fontId="19" fillId="5" borderId="21" xfId="0" applyNumberFormat="1" applyFont="1" applyFill="1" applyBorder="1" applyAlignment="1">
      <alignment horizontal="center" vertical="center" wrapText="1"/>
    </xf>
    <xf numFmtId="177" fontId="23" fillId="0" borderId="0" xfId="0" applyNumberFormat="1" applyFont="1" applyAlignment="1">
      <alignment horizontal="left" vertical="center" wrapText="1"/>
    </xf>
    <xf numFmtId="0" fontId="7" fillId="6" borderId="1" xfId="0" applyFont="1" applyFill="1" applyBorder="1" applyAlignment="1">
      <alignment vertical="center"/>
    </xf>
    <xf numFmtId="0" fontId="14" fillId="0" borderId="1" xfId="0" applyFont="1" applyBorder="1" applyAlignment="1">
      <alignment vertical="center"/>
    </xf>
    <xf numFmtId="0" fontId="4" fillId="0" borderId="6" xfId="0" applyFont="1" applyBorder="1" applyAlignment="1">
      <alignment vertical="center"/>
    </xf>
    <xf numFmtId="177" fontId="3" fillId="5" borderId="6" xfId="0" applyNumberFormat="1" applyFont="1" applyFill="1" applyBorder="1" applyAlignment="1">
      <alignment horizontal="center" vertical="center"/>
    </xf>
    <xf numFmtId="177" fontId="3" fillId="0" borderId="6" xfId="0" applyNumberFormat="1" applyFont="1" applyBorder="1" applyAlignment="1">
      <alignment horizontal="center" vertical="center"/>
    </xf>
    <xf numFmtId="0" fontId="4" fillId="0" borderId="6" xfId="0" applyFont="1" applyBorder="1" applyAlignment="1">
      <alignment horizontal="center" vertical="center"/>
    </xf>
    <xf numFmtId="0" fontId="3" fillId="5" borderId="22" xfId="0" applyFont="1" applyFill="1" applyBorder="1" applyAlignment="1">
      <alignment vertical="center"/>
    </xf>
    <xf numFmtId="0" fontId="3" fillId="5" borderId="3" xfId="0" applyFont="1" applyFill="1" applyBorder="1" applyAlignment="1">
      <alignment vertical="center"/>
    </xf>
    <xf numFmtId="177" fontId="4" fillId="0" borderId="6" xfId="0" applyNumberFormat="1" applyFont="1" applyBorder="1" applyAlignment="1">
      <alignment horizontal="center" vertical="center"/>
    </xf>
    <xf numFmtId="0" fontId="3" fillId="5" borderId="5" xfId="0" applyFont="1" applyFill="1" applyBorder="1" applyAlignment="1">
      <alignment vertical="center"/>
    </xf>
    <xf numFmtId="0" fontId="3" fillId="0" borderId="5" xfId="0" applyFont="1" applyBorder="1" applyAlignment="1">
      <alignment vertical="center"/>
    </xf>
    <xf numFmtId="0" fontId="3" fillId="0" borderId="3" xfId="0" applyFont="1" applyBorder="1" applyAlignment="1">
      <alignment vertical="center"/>
    </xf>
    <xf numFmtId="177" fontId="3" fillId="0" borderId="0" xfId="0" applyNumberFormat="1" applyFont="1" applyAlignment="1">
      <alignment horizontal="center" vertical="center"/>
    </xf>
    <xf numFmtId="0" fontId="7" fillId="6" borderId="9" xfId="0" applyFont="1" applyFill="1" applyBorder="1" applyAlignment="1">
      <alignment horizontal="center" vertical="center"/>
    </xf>
    <xf numFmtId="0" fontId="3" fillId="4" borderId="1" xfId="0" applyFont="1" applyFill="1" applyBorder="1" applyAlignment="1">
      <alignment horizontal="center" vertical="center"/>
    </xf>
    <xf numFmtId="177" fontId="3" fillId="4" borderId="1" xfId="0" applyNumberFormat="1" applyFont="1" applyFill="1" applyBorder="1" applyAlignment="1">
      <alignment horizontal="center" vertical="center"/>
    </xf>
    <xf numFmtId="9" fontId="3" fillId="0" borderId="1" xfId="0" applyNumberFormat="1" applyFont="1" applyBorder="1" applyAlignment="1">
      <alignment horizontal="center" vertical="center"/>
    </xf>
    <xf numFmtId="0" fontId="5" fillId="3" borderId="6" xfId="0" applyFont="1" applyFill="1" applyBorder="1" applyAlignment="1">
      <alignment horizontal="center" vertical="center" wrapText="1"/>
    </xf>
    <xf numFmtId="176" fontId="3" fillId="4" borderId="1" xfId="0" applyNumberFormat="1" applyFont="1" applyFill="1" applyBorder="1" applyAlignment="1">
      <alignment horizontal="center" vertical="center"/>
    </xf>
    <xf numFmtId="176" fontId="0" fillId="0" borderId="0" xfId="0" applyNumberFormat="1" applyAlignment="1">
      <alignment vertical="center"/>
    </xf>
    <xf numFmtId="0" fontId="12" fillId="6" borderId="1" xfId="0" applyFont="1" applyFill="1" applyBorder="1" applyAlignment="1">
      <alignment vertical="center"/>
    </xf>
    <xf numFmtId="177" fontId="12" fillId="6" borderId="1" xfId="0" applyNumberFormat="1" applyFont="1" applyFill="1" applyBorder="1" applyAlignment="1">
      <alignment vertical="center"/>
    </xf>
    <xf numFmtId="177" fontId="2" fillId="3" borderId="2" xfId="0" applyNumberFormat="1" applyFont="1" applyFill="1" applyBorder="1" applyAlignment="1">
      <alignment vertical="center"/>
    </xf>
    <xf numFmtId="0" fontId="3" fillId="5" borderId="1" xfId="0" applyFont="1" applyFill="1" applyBorder="1" applyAlignment="1">
      <alignment horizontal="center" vertical="center" wrapText="1"/>
    </xf>
    <xf numFmtId="0" fontId="3" fillId="0" borderId="1" xfId="0" applyFont="1" applyBorder="1" applyAlignment="1">
      <alignment horizontal="left" vertical="center"/>
    </xf>
    <xf numFmtId="176" fontId="3" fillId="0" borderId="1" xfId="0" applyNumberFormat="1" applyFont="1" applyBorder="1" applyAlignment="1">
      <alignment horizontal="center" vertical="center" wrapText="1"/>
    </xf>
    <xf numFmtId="10" fontId="3" fillId="5" borderId="1" xfId="0" applyNumberFormat="1" applyFont="1" applyFill="1" applyBorder="1" applyAlignment="1">
      <alignment horizontal="center" vertical="center"/>
    </xf>
    <xf numFmtId="10" fontId="8" fillId="5"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3" fillId="3" borderId="5" xfId="0" applyFont="1" applyFill="1" applyBorder="1" applyAlignment="1">
      <alignment vertical="center"/>
    </xf>
    <xf numFmtId="0" fontId="3" fillId="3" borderId="2" xfId="0" applyFont="1" applyFill="1" applyBorder="1" applyAlignment="1">
      <alignment vertical="center"/>
    </xf>
    <xf numFmtId="176" fontId="4" fillId="9" borderId="1" xfId="0" applyNumberFormat="1" applyFont="1" applyFill="1" applyBorder="1" applyAlignment="1">
      <alignment horizontal="center" vertical="center" wrapText="1"/>
    </xf>
    <xf numFmtId="10" fontId="4" fillId="9" borderId="1" xfId="0" applyNumberFormat="1" applyFont="1" applyFill="1" applyBorder="1" applyAlignment="1">
      <alignment horizontal="center" vertical="center" wrapText="1"/>
    </xf>
    <xf numFmtId="176" fontId="4" fillId="0" borderId="1" xfId="0" applyNumberFormat="1" applyFont="1" applyBorder="1" applyAlignment="1">
      <alignment horizontal="center" vertical="center" wrapText="1"/>
    </xf>
    <xf numFmtId="176" fontId="3" fillId="9" borderId="1" xfId="0" applyNumberFormat="1" applyFont="1" applyFill="1" applyBorder="1" applyAlignment="1">
      <alignment horizontal="center" vertical="center" wrapText="1"/>
    </xf>
    <xf numFmtId="0" fontId="12" fillId="6" borderId="9" xfId="0" applyFont="1" applyFill="1" applyBorder="1" applyAlignment="1">
      <alignment horizontal="center" vertical="center"/>
    </xf>
    <xf numFmtId="0" fontId="24" fillId="0" borderId="0" xfId="0" applyFont="1" applyAlignment="1"/>
    <xf numFmtId="0" fontId="17" fillId="0" borderId="0" xfId="0" applyFont="1" applyAlignment="1">
      <alignment horizontal="center" vertical="center"/>
    </xf>
    <xf numFmtId="176" fontId="8" fillId="5" borderId="1" xfId="0" applyNumberFormat="1" applyFont="1" applyFill="1" applyBorder="1" applyAlignment="1">
      <alignment horizontal="center" vertical="center" wrapText="1"/>
    </xf>
    <xf numFmtId="176" fontId="8" fillId="0" borderId="1" xfId="0" applyNumberFormat="1" applyFont="1" applyBorder="1" applyAlignment="1">
      <alignment horizontal="center" vertical="center" wrapText="1"/>
    </xf>
    <xf numFmtId="0" fontId="18" fillId="0" borderId="0" xfId="0" applyFont="1" applyAlignment="1">
      <alignment horizontal="left" vertical="center" wrapText="1"/>
    </xf>
    <xf numFmtId="177" fontId="17" fillId="5" borderId="1" xfId="0" applyNumberFormat="1" applyFont="1" applyFill="1" applyBorder="1" applyAlignment="1">
      <alignment horizontal="center" vertical="center"/>
    </xf>
    <xf numFmtId="0" fontId="19" fillId="5" borderId="0" xfId="0" applyFont="1" applyFill="1" applyAlignment="1">
      <alignment horizontal="center" vertical="center" wrapText="1"/>
    </xf>
    <xf numFmtId="177" fontId="17" fillId="5" borderId="20" xfId="0" applyNumberFormat="1" applyFont="1" applyFill="1" applyBorder="1" applyAlignment="1">
      <alignment horizontal="center" vertical="center"/>
    </xf>
    <xf numFmtId="177" fontId="23" fillId="0" borderId="0" xfId="0" applyNumberFormat="1" applyFont="1" applyAlignment="1">
      <alignment horizontal="center" vertical="center"/>
    </xf>
    <xf numFmtId="0" fontId="5" fillId="3" borderId="1" xfId="0" applyFont="1" applyFill="1" applyBorder="1" applyAlignment="1">
      <alignment horizontal="center" vertical="center" wrapText="1"/>
    </xf>
    <xf numFmtId="0" fontId="0" fillId="0" borderId="0" xfId="0" applyAlignment="1">
      <alignment horizontal="center" vertical="center"/>
    </xf>
    <xf numFmtId="0" fontId="12" fillId="6" borderId="22" xfId="0" applyFont="1" applyFill="1" applyBorder="1" applyAlignment="1">
      <alignment horizontal="center" vertical="center"/>
    </xf>
    <xf numFmtId="0" fontId="0" fillId="0" borderId="4" xfId="0" applyBorder="1" applyAlignment="1"/>
    <xf numFmtId="0" fontId="3" fillId="0" borderId="13" xfId="0" applyFont="1" applyBorder="1" applyAlignment="1">
      <alignment horizontal="center" vertical="center"/>
    </xf>
    <xf numFmtId="10" fontId="3" fillId="4" borderId="1"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alignment vertical="center"/>
    </xf>
    <xf numFmtId="0" fontId="21" fillId="11" borderId="10" xfId="49" applyFont="1" applyFill="1" applyBorder="1" applyAlignment="1">
      <alignment horizontal="center" vertical="center"/>
    </xf>
    <xf numFmtId="0" fontId="21" fillId="11" borderId="11" xfId="49" applyFont="1" applyFill="1" applyBorder="1" applyAlignment="1">
      <alignment horizontal="center" vertical="center" wrapText="1"/>
    </xf>
    <xf numFmtId="0" fontId="21" fillId="11" borderId="11" xfId="49" applyFont="1" applyFill="1" applyBorder="1" applyAlignment="1">
      <alignment horizontal="center" vertical="center"/>
    </xf>
    <xf numFmtId="0" fontId="21" fillId="11" borderId="11" xfId="49" applyFont="1" applyFill="1" applyBorder="1" applyAlignment="1">
      <alignment horizontal="left" vertical="center"/>
    </xf>
    <xf numFmtId="0" fontId="21" fillId="11" borderId="19" xfId="49" applyFont="1" applyFill="1" applyBorder="1" applyAlignment="1">
      <alignment horizontal="center" vertical="center"/>
    </xf>
    <xf numFmtId="0" fontId="25" fillId="11" borderId="12" xfId="49" applyFont="1" applyFill="1" applyBorder="1" applyAlignment="1">
      <alignment horizontal="center" vertical="center"/>
    </xf>
    <xf numFmtId="0" fontId="25" fillId="11" borderId="1" xfId="49" applyFont="1" applyFill="1" applyBorder="1" applyAlignment="1">
      <alignment horizontal="center" vertical="center" wrapText="1"/>
    </xf>
    <xf numFmtId="177" fontId="21" fillId="11" borderId="1" xfId="49" applyNumberFormat="1" applyFont="1" applyFill="1" applyBorder="1" applyAlignment="1">
      <alignment horizontal="center" vertical="center" wrapText="1"/>
    </xf>
    <xf numFmtId="0" fontId="26" fillId="0" borderId="1" xfId="0" applyFont="1" applyBorder="1" applyAlignment="1">
      <alignment horizontal="center" vertical="center"/>
    </xf>
    <xf numFmtId="0" fontId="26" fillId="0" borderId="1" xfId="0" applyFont="1" applyBorder="1" applyAlignment="1">
      <alignment horizontal="center" vertical="center" wrapText="1"/>
    </xf>
    <xf numFmtId="0" fontId="27" fillId="0" borderId="1" xfId="0" applyFont="1" applyBorder="1" applyAlignment="1">
      <alignment horizontal="center" vertical="center" wrapText="1"/>
    </xf>
    <xf numFmtId="176" fontId="28" fillId="0" borderId="1" xfId="0" applyNumberFormat="1" applyFont="1" applyBorder="1" applyAlignment="1">
      <alignment horizontal="center" vertical="center" wrapText="1"/>
    </xf>
    <xf numFmtId="0" fontId="29" fillId="0" borderId="1" xfId="0" applyFont="1" applyBorder="1" applyAlignment="1">
      <alignment horizontal="center" vertical="center" wrapText="1"/>
    </xf>
    <xf numFmtId="0" fontId="27" fillId="0" borderId="1" xfId="0" applyFont="1" applyBorder="1" applyAlignment="1">
      <alignment vertical="center" wrapText="1"/>
    </xf>
    <xf numFmtId="178" fontId="29" fillId="0" borderId="1" xfId="0" applyNumberFormat="1" applyFont="1" applyBorder="1" applyAlignment="1">
      <alignment horizontal="center" vertical="center" wrapText="1"/>
    </xf>
    <xf numFmtId="0" fontId="25" fillId="11" borderId="1" xfId="49" applyFont="1" applyFill="1" applyBorder="1" applyAlignment="1">
      <alignment horizontal="center" vertical="center"/>
    </xf>
    <xf numFmtId="0" fontId="26" fillId="11" borderId="1" xfId="49" applyFont="1" applyFill="1" applyBorder="1" applyAlignment="1">
      <alignment horizontal="center" vertical="center"/>
    </xf>
    <xf numFmtId="0" fontId="26" fillId="11" borderId="1" xfId="49" applyFont="1" applyFill="1" applyBorder="1" applyAlignment="1">
      <alignment horizontal="center" vertical="center" wrapText="1"/>
    </xf>
    <xf numFmtId="0" fontId="26" fillId="11" borderId="1" xfId="49" applyFont="1" applyFill="1" applyBorder="1" applyAlignment="1">
      <alignment horizontal="left" vertical="center" wrapText="1"/>
    </xf>
    <xf numFmtId="177" fontId="18" fillId="11" borderId="1" xfId="49" applyNumberFormat="1" applyFont="1" applyFill="1" applyBorder="1" applyAlignment="1">
      <alignment horizontal="center" vertical="center"/>
    </xf>
    <xf numFmtId="177" fontId="18" fillId="11" borderId="1" xfId="49" applyNumberFormat="1" applyFont="1" applyFill="1" applyBorder="1" applyAlignment="1">
      <alignment horizontal="center" vertical="center" wrapText="1"/>
    </xf>
    <xf numFmtId="0" fontId="26" fillId="11" borderId="1" xfId="49" applyFont="1" applyFill="1" applyBorder="1" applyAlignment="1">
      <alignment horizontal="left" vertical="center"/>
    </xf>
    <xf numFmtId="177" fontId="21" fillId="11" borderId="1" xfId="0" applyNumberFormat="1" applyFont="1" applyFill="1" applyBorder="1" applyAlignment="1">
      <alignment horizontal="center" vertical="center" wrapText="1"/>
    </xf>
    <xf numFmtId="0" fontId="30" fillId="0" borderId="0" xfId="0" applyFont="1" applyAlignment="1">
      <alignment vertical="center"/>
    </xf>
    <xf numFmtId="0" fontId="31" fillId="0" borderId="1" xfId="0" applyFont="1" applyBorder="1" applyAlignment="1">
      <alignment horizontal="center" vertical="center"/>
    </xf>
    <xf numFmtId="176" fontId="31" fillId="0" borderId="1" xfId="0" applyNumberFormat="1" applyFont="1" applyBorder="1" applyAlignment="1">
      <alignment horizontal="center" vertical="center"/>
    </xf>
    <xf numFmtId="0" fontId="2" fillId="3" borderId="1" xfId="0" applyFont="1" applyFill="1" applyBorder="1" applyAlignment="1">
      <alignment horizontal="center" vertical="center" wrapText="1"/>
    </xf>
    <xf numFmtId="57" fontId="4" fillId="0" borderId="1" xfId="0" applyNumberFormat="1" applyFont="1" applyBorder="1" applyAlignment="1">
      <alignment horizontal="center" vertical="center"/>
    </xf>
    <xf numFmtId="177" fontId="8" fillId="5" borderId="1" xfId="0" applyNumberFormat="1" applyFont="1" applyFill="1" applyBorder="1" applyAlignment="1">
      <alignment horizontal="center" vertical="center"/>
    </xf>
    <xf numFmtId="177" fontId="3" fillId="9" borderId="1" xfId="0" applyNumberFormat="1" applyFont="1" applyFill="1" applyBorder="1" applyAlignment="1">
      <alignment horizontal="center" vertical="center"/>
    </xf>
    <xf numFmtId="0" fontId="32"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12" fillId="6" borderId="23" xfId="0" applyFont="1" applyFill="1" applyBorder="1" applyAlignment="1">
      <alignment horizontal="center" vertical="center"/>
    </xf>
    <xf numFmtId="0" fontId="0" fillId="0" borderId="23" xfId="0" applyBorder="1" applyAlignment="1"/>
    <xf numFmtId="0" fontId="32" fillId="3" borderId="6" xfId="0" applyFont="1" applyFill="1" applyBorder="1" applyAlignment="1">
      <alignment horizontal="center" vertical="center"/>
    </xf>
    <xf numFmtId="0" fontId="33" fillId="0" borderId="1" xfId="0" applyFont="1" applyBorder="1" applyAlignment="1">
      <alignment horizontal="center" vertical="center"/>
    </xf>
    <xf numFmtId="179" fontId="4" fillId="0" borderId="1" xfId="0" applyNumberFormat="1" applyFont="1" applyBorder="1" applyAlignment="1">
      <alignment horizontal="center" vertical="center"/>
    </xf>
    <xf numFmtId="180" fontId="4" fillId="0" borderId="1" xfId="0" applyNumberFormat="1" applyFont="1" applyBorder="1" applyAlignment="1">
      <alignment horizontal="center"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xfId="49"/>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styles" Target="styles.xml"/><Relationship Id="rId38" Type="http://schemas.microsoft.com/office/2006/relationships/vbaProject" Target="vbaProject.bin"/><Relationship Id="rId37" Type="http://schemas.openxmlformats.org/officeDocument/2006/relationships/sharedStrings" Target="sharedStrings.xml"/><Relationship Id="rId36" Type="http://schemas.openxmlformats.org/officeDocument/2006/relationships/theme" Target="theme/theme1.xml"/><Relationship Id="rId35" Type="http://schemas.openxmlformats.org/officeDocument/2006/relationships/externalLink" Target="externalLinks/externalLink1.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228600</xdr:colOff>
          <xdr:row>4</xdr:row>
          <xdr:rowOff>152400</xdr:rowOff>
        </xdr:from>
        <xdr:to>
          <xdr:col>8</xdr:col>
          <xdr:colOff>50800</xdr:colOff>
          <xdr:row>4</xdr:row>
          <xdr:rowOff>660400</xdr:rowOff>
        </xdr:to>
        <xdr:sp macro="[0]!ProcessWorkbookForExternalShare">
          <xdr:nvSpPr>
            <xdr:cNvPr id="20481" name="Button 1" hidden="1">
              <a:extLst>
                <a:ext uri="{63B3BB69-23CF-44E3-9099-C40C66FF867C}">
                  <a14:compatExt spid="_x0000_s20481"/>
                </a:ext>
              </a:extLst>
            </xdr:cNvPr>
            <xdr:cNvSpPr/>
          </xdr:nvSpPr>
          <xdr:spPr>
            <a:xfrm>
              <a:off x="9418320" y="1066800"/>
              <a:ext cx="1685290" cy="508000"/>
            </a:xfrm>
            <a:prstGeom prst="rect">
              <a:avLst/>
            </a:prstGeom>
          </xdr:spPr>
          <xdr:txBody>
            <a:bodyPr vert="horz" wrap="square" anchor="ctr" upright="1"/>
            <a:p>
              <a:pPr algn="ctr" rtl="0"/>
              <a:r>
                <a:rPr lang="zh-CN" altLang="en-US" sz="1400" b="1">
                  <a:solidFill>
                    <a:srgbClr val="FF0000"/>
                  </a:solidFill>
                  <a:latin typeface="微软雅黑" panose="020B0503020204020204" charset="-122"/>
                  <a:ea typeface="微软雅黑" panose="020B0503020204020204" charset="-122"/>
                  <a:cs typeface="微软雅黑" panose="020B0503020204020204" charset="-122"/>
                  <a:sym typeface="微软雅黑" panose="020B0503020204020204" charset="-122"/>
                </a:rPr>
                <a:t>生成外发文件</a:t>
              </a:r>
              <a:endParaRPr lang="zh-CN" altLang="en-US" sz="1400" b="1">
                <a:solidFill>
                  <a:srgbClr val="FF0000"/>
                </a:solidFill>
                <a:latin typeface="微软雅黑" panose="020B0503020204020204" charset="-122"/>
                <a:ea typeface="微软雅黑" panose="020B0503020204020204" charset="-122"/>
                <a:cs typeface="微软雅黑" panose="020B0503020204020204" charset="-122"/>
                <a:sym typeface="微软雅黑" panose="020B0503020204020204"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133350</xdr:colOff>
          <xdr:row>9</xdr:row>
          <xdr:rowOff>0</xdr:rowOff>
        </xdr:from>
        <xdr:to>
          <xdr:col>7</xdr:col>
          <xdr:colOff>1009650</xdr:colOff>
          <xdr:row>9</xdr:row>
          <xdr:rowOff>292100</xdr:rowOff>
        </xdr:to>
        <xdr:sp macro="[0]!Cal_Click">
          <xdr:nvSpPr>
            <xdr:cNvPr id="18435" name="Button 3" hidden="1">
              <a:extLst>
                <a:ext uri="{63B3BB69-23CF-44E3-9099-C40C66FF867C}">
                  <a14:compatExt spid="_x0000_s18435"/>
                </a:ext>
              </a:extLst>
            </xdr:cNvPr>
            <xdr:cNvSpPr/>
          </xdr:nvSpPr>
          <xdr:spPr>
            <a:xfrm>
              <a:off x="8601710" y="3206115"/>
              <a:ext cx="876300" cy="292100"/>
            </a:xfrm>
            <a:prstGeom prst="rect">
              <a:avLst/>
            </a:prstGeom>
          </xdr:spPr>
          <xdr:txBody>
            <a:bodyPr vert="horz" wrap="square" anchor="ctr" upright="1"/>
            <a:p>
              <a:pPr algn="ctr"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计算</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8</xdr:row>
          <xdr:rowOff>355600</xdr:rowOff>
        </xdr:from>
        <xdr:to>
          <xdr:col>6</xdr:col>
          <xdr:colOff>1035050</xdr:colOff>
          <xdr:row>9</xdr:row>
          <xdr:rowOff>292100</xdr:rowOff>
        </xdr:to>
        <xdr:sp macro="[0]!ClearAll_Click">
          <xdr:nvSpPr>
            <xdr:cNvPr id="18436" name="Button 4" hidden="1">
              <a:extLst>
                <a:ext uri="{63B3BB69-23CF-44E3-9099-C40C66FF867C}">
                  <a14:compatExt spid="_x0000_s18436"/>
                </a:ext>
              </a:extLst>
            </xdr:cNvPr>
            <xdr:cNvSpPr/>
          </xdr:nvSpPr>
          <xdr:spPr>
            <a:xfrm>
              <a:off x="7543800" y="3205480"/>
              <a:ext cx="857250" cy="292735"/>
            </a:xfrm>
            <a:prstGeom prst="rect">
              <a:avLst/>
            </a:prstGeom>
          </xdr:spPr>
          <xdr:txBody>
            <a:bodyPr vert="horz" wrap="square" anchor="ctr" upright="1"/>
            <a:p>
              <a:pPr algn="ctr"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清空</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i&#32534;&#31243;excel\&#32599;&#28246;(0820v5x)%20-%20&#21407;&#29256;(25.%2008.%2026).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财务假设"/>
      <sheetName val="B项目信息"/>
      <sheetName val="C.1项目融资信息"/>
      <sheetName val="C.2项目每年借款信息"/>
      <sheetName val="D.1建设投资"/>
      <sheetName val="D.2项目总投资使用计划与资金筹措表"/>
      <sheetName val="D.3建设投资分年计划表"/>
      <sheetName val="D.4流动资金估算表"/>
      <sheetName val="E总成本费用估算表"/>
      <sheetName val="E.1项目运营期费用"/>
      <sheetName val="E.1.1项目运营期费用(不含税）"/>
      <sheetName val="E.2固定资产折旧费估算表"/>
      <sheetName val="E.3无形资产和其他资产摊销费估算表"/>
      <sheetName val="E.4建设投资税后金额表"/>
      <sheetName val="F项目收入"/>
      <sheetName val="F.1项目单项收入信息"/>
      <sheetName val="G.税金及附加测算表"/>
      <sheetName val="G.1进项增值税率-建设投资"/>
      <sheetName val="G.2进项增值税率-运营成本"/>
      <sheetName val="G.3销项增值税率"/>
      <sheetName val="a.1财务现金流量表"/>
      <sheetName val="a.2项目资本金现金流量表"/>
      <sheetName val="b利润与利润分配表（损益和利润分配表）"/>
      <sheetName val="c借款还本付息计划表"/>
      <sheetName val="d财务计划现金流量表"/>
      <sheetName val="e资产负债表"/>
      <sheetName val="Ⅰ项目投资估算构成表"/>
      <sheetName val="Ⅱ项目分年度资金筹措计划表"/>
      <sheetName val="Ⅲ项目分年度收入合计表"/>
      <sheetName val="Ⅳ项目分年度成本明细表"/>
      <sheetName val="Ⅴ项目分年度收益表"/>
      <sheetName val="Ⅵ专项债券应付本息情况表"/>
      <sheetName val="Ⅶ专项债券资金收益与融资平衡情况表"/>
      <sheetName val="VIII债券资金覆盖率压力测试表"/>
    </sheetNames>
    <sheetDataSet>
      <sheetData sheetId="0">
        <row r="19">
          <cell r="D19">
            <v>0</v>
          </cell>
        </row>
        <row r="20">
          <cell r="D20">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34.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FF00"/>
  </sheetPr>
  <dimension ref="A1:D21"/>
  <sheetViews>
    <sheetView zoomScale="70" zoomScaleNormal="70" workbookViewId="0">
      <selection activeCell="H14" sqref="H14"/>
    </sheetView>
  </sheetViews>
  <sheetFormatPr defaultColWidth="8.89090909090909" defaultRowHeight="30" customHeight="1" outlineLevelCol="3"/>
  <cols>
    <col min="2" max="2" width="30.3363636363636" style="1" customWidth="1"/>
    <col min="3" max="3" width="70.6636363636364" style="1" customWidth="1"/>
    <col min="4" max="4" width="12.7818181818182" style="1" customWidth="1"/>
    <col min="9" max="9" width="29.2181818181818" style="1" customWidth="1"/>
  </cols>
  <sheetData>
    <row r="1" s="170" customFormat="1" ht="22.5" customHeight="1" spans="1:4">
      <c r="A1" s="204" t="s">
        <v>0</v>
      </c>
      <c r="D1" s="205"/>
    </row>
    <row r="2" s="170" customFormat="1" ht="16.5" customHeight="1" spans="1:4">
      <c r="A2" s="206" t="s">
        <v>1</v>
      </c>
      <c r="B2" s="206" t="s">
        <v>2</v>
      </c>
      <c r="C2" s="206" t="s">
        <v>3</v>
      </c>
      <c r="D2" s="206" t="s">
        <v>4</v>
      </c>
    </row>
    <row r="3" s="170" customFormat="1" ht="16.5" customHeight="1" spans="1:4">
      <c r="A3" s="8">
        <v>1</v>
      </c>
      <c r="B3" s="8" t="s">
        <v>5</v>
      </c>
      <c r="C3" s="8" t="s">
        <v>6</v>
      </c>
      <c r="D3" s="70">
        <v>0.05</v>
      </c>
    </row>
    <row r="4" s="170" customFormat="1" ht="16.5" customHeight="1" spans="1:4">
      <c r="A4" s="8">
        <v>2</v>
      </c>
      <c r="B4" s="8" t="s">
        <v>7</v>
      </c>
      <c r="C4" s="8" t="s">
        <v>6</v>
      </c>
      <c r="D4" s="70">
        <v>0.03</v>
      </c>
    </row>
    <row r="5" s="170" customFormat="1" ht="78" customHeight="1" spans="1:4">
      <c r="A5" s="8">
        <v>3</v>
      </c>
      <c r="B5" s="8" t="s">
        <v>8</v>
      </c>
      <c r="C5" s="73" t="s">
        <v>9</v>
      </c>
      <c r="D5" s="70">
        <v>0.08</v>
      </c>
    </row>
    <row r="6" s="170" customFormat="1" ht="55.05" customHeight="1" spans="1:4">
      <c r="A6" s="8">
        <v>4</v>
      </c>
      <c r="B6" s="8" t="s">
        <v>10</v>
      </c>
      <c r="C6" s="35" t="s">
        <v>11</v>
      </c>
      <c r="D6" s="70">
        <v>0.07</v>
      </c>
    </row>
    <row r="7" s="170" customFormat="1" ht="16.5" customHeight="1" spans="1:4">
      <c r="A7" s="8">
        <v>5</v>
      </c>
      <c r="B7" s="8" t="s">
        <v>12</v>
      </c>
      <c r="C7" s="8" t="s">
        <v>13</v>
      </c>
      <c r="D7" s="70">
        <v>0.03</v>
      </c>
    </row>
    <row r="8" s="170" customFormat="1" ht="16.5" customHeight="1" spans="1:4">
      <c r="A8" s="8">
        <v>6</v>
      </c>
      <c r="B8" s="8" t="s">
        <v>14</v>
      </c>
      <c r="C8" s="8" t="s">
        <v>13</v>
      </c>
      <c r="D8" s="70">
        <v>0.02</v>
      </c>
    </row>
    <row r="9" s="170" customFormat="1" ht="16.5" customHeight="1" spans="1:4">
      <c r="A9" s="8">
        <v>7</v>
      </c>
      <c r="B9" s="8" t="s">
        <v>15</v>
      </c>
      <c r="C9" s="8" t="s">
        <v>16</v>
      </c>
      <c r="D9" s="70">
        <v>0.25</v>
      </c>
    </row>
    <row r="10" s="170" customFormat="1" ht="16.5" customHeight="1" spans="1:4">
      <c r="A10" s="8">
        <v>8</v>
      </c>
      <c r="B10" s="8" t="s">
        <v>17</v>
      </c>
      <c r="C10" s="8" t="s">
        <v>18</v>
      </c>
      <c r="D10" s="70">
        <v>0.1</v>
      </c>
    </row>
    <row r="11" s="170" customFormat="1" ht="16.5" customHeight="1" spans="1:4">
      <c r="A11" s="8">
        <v>9</v>
      </c>
      <c r="B11" s="8" t="s">
        <v>19</v>
      </c>
      <c r="C11" s="8" t="s">
        <v>20</v>
      </c>
      <c r="D11" s="70">
        <v>0.05</v>
      </c>
    </row>
    <row r="12" s="170" customFormat="1" ht="16.5" customHeight="1" spans="1:4">
      <c r="A12" s="8">
        <v>10</v>
      </c>
      <c r="B12" s="8" t="s">
        <v>21</v>
      </c>
      <c r="C12" s="207" t="s">
        <v>22</v>
      </c>
      <c r="D12" s="70">
        <v>0.05</v>
      </c>
    </row>
    <row r="13" s="170" customFormat="1" ht="16.5" customHeight="1" spans="1:4">
      <c r="A13" s="8">
        <v>11</v>
      </c>
      <c r="B13" s="8" t="s">
        <v>23</v>
      </c>
      <c r="C13" s="8" t="s">
        <v>24</v>
      </c>
      <c r="D13" s="70">
        <v>1</v>
      </c>
    </row>
    <row r="14" ht="61.95" customHeight="1" spans="1:4">
      <c r="A14" s="8">
        <v>12</v>
      </c>
      <c r="B14" s="8" t="s">
        <v>25</v>
      </c>
      <c r="C14" s="73" t="s">
        <v>26</v>
      </c>
      <c r="D14" s="70">
        <v>0.03</v>
      </c>
    </row>
    <row r="15" ht="34.95" customHeight="1" spans="1:4">
      <c r="A15" s="64">
        <v>13</v>
      </c>
      <c r="B15" s="8" t="s">
        <v>27</v>
      </c>
      <c r="C15" s="35" t="s">
        <v>28</v>
      </c>
      <c r="D15" s="10">
        <v>0.0004</v>
      </c>
    </row>
    <row r="16" ht="33" customHeight="1" spans="1:4">
      <c r="A16" s="64">
        <v>14</v>
      </c>
      <c r="B16" s="8" t="s">
        <v>29</v>
      </c>
      <c r="C16" s="35" t="s">
        <v>30</v>
      </c>
      <c r="D16" s="10">
        <v>0.0008</v>
      </c>
    </row>
    <row r="17" ht="16.5" customHeight="1" spans="1:4">
      <c r="A17" s="64">
        <v>15</v>
      </c>
      <c r="B17" s="8" t="s">
        <v>31</v>
      </c>
      <c r="C17" s="8" t="s">
        <v>32</v>
      </c>
      <c r="D17" s="208">
        <v>6.4e-5</v>
      </c>
    </row>
    <row r="18" ht="16.5" customHeight="1" spans="1:4">
      <c r="A18" s="64">
        <v>16</v>
      </c>
      <c r="B18" s="8" t="s">
        <v>33</v>
      </c>
      <c r="C18" s="8" t="s">
        <v>34</v>
      </c>
      <c r="D18" s="209">
        <v>5e-5</v>
      </c>
    </row>
    <row r="19" ht="16.5" customHeight="1" spans="1:4">
      <c r="A19" s="64">
        <v>17</v>
      </c>
      <c r="B19" s="8" t="s">
        <v>35</v>
      </c>
      <c r="C19" s="8" t="s">
        <v>36</v>
      </c>
      <c r="D19" s="10">
        <v>0</v>
      </c>
    </row>
    <row r="20" ht="16.5" customHeight="1" spans="1:4">
      <c r="A20" s="64">
        <v>18</v>
      </c>
      <c r="B20" s="8" t="s">
        <v>37</v>
      </c>
      <c r="C20" s="8" t="s">
        <v>36</v>
      </c>
      <c r="D20" s="10">
        <v>0</v>
      </c>
    </row>
    <row r="21" ht="16.5" customHeight="1" spans="1:4">
      <c r="A21" s="64">
        <v>19</v>
      </c>
      <c r="B21" s="8" t="s">
        <v>38</v>
      </c>
      <c r="C21" s="8" t="s">
        <v>36</v>
      </c>
      <c r="D21" s="10">
        <v>0</v>
      </c>
    </row>
  </sheetData>
  <mergeCells count="1">
    <mergeCell ref="A1:D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0481" name="Button 1" r:id="rId3">
              <controlPr print="0" defaultSize="0">
                <anchor moveWithCells="1" sizeWithCells="1">
                  <from>
                    <xdr:col>5</xdr:col>
                    <xdr:colOff>228600</xdr:colOff>
                    <xdr:row>4</xdr:row>
                    <xdr:rowOff>152400</xdr:rowOff>
                  </from>
                  <to>
                    <xdr:col>8</xdr:col>
                    <xdr:colOff>50800</xdr:colOff>
                    <xdr:row>4</xdr:row>
                    <xdr:rowOff>660400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E14"/>
  <sheetViews>
    <sheetView workbookViewId="0">
      <selection activeCell="B7" sqref="B7"/>
    </sheetView>
  </sheetViews>
  <sheetFormatPr defaultColWidth="8.89090909090909" defaultRowHeight="28.05" customHeight="1" outlineLevelCol="4"/>
  <cols>
    <col min="2" max="2" width="22.6636363636364" style="1" customWidth="1"/>
    <col min="3" max="3" width="58.4454545454545" style="1" customWidth="1"/>
    <col min="4" max="4" width="17.1090909090909" style="1" customWidth="1"/>
    <col min="5" max="5" width="29.8909090909091" style="1" customWidth="1"/>
  </cols>
  <sheetData>
    <row r="1" customHeight="1" spans="1:4">
      <c r="A1" s="59" t="s">
        <v>39</v>
      </c>
      <c r="B1" s="3"/>
      <c r="C1" s="3"/>
      <c r="D1" s="4"/>
    </row>
    <row r="2" customHeight="1" spans="1:4">
      <c r="A2" s="202" t="s">
        <v>1</v>
      </c>
      <c r="B2" s="202" t="s">
        <v>2</v>
      </c>
      <c r="C2" s="202" t="s">
        <v>3</v>
      </c>
      <c r="D2" s="202" t="s">
        <v>40</v>
      </c>
    </row>
    <row r="3" customHeight="1" spans="1:4">
      <c r="A3" s="203">
        <v>1</v>
      </c>
      <c r="B3" s="203" t="s">
        <v>41</v>
      </c>
      <c r="C3" s="133"/>
      <c r="D3" s="133"/>
    </row>
    <row r="4" customHeight="1" spans="1:4">
      <c r="A4" s="8">
        <v>1.1</v>
      </c>
      <c r="B4" s="8" t="s">
        <v>42</v>
      </c>
      <c r="C4" s="199">
        <v>45901</v>
      </c>
      <c r="D4" s="199">
        <v>45931</v>
      </c>
    </row>
    <row r="5" customHeight="1" spans="1:4">
      <c r="A5" s="8">
        <v>1.2</v>
      </c>
      <c r="B5" s="8" t="s">
        <v>43</v>
      </c>
      <c r="C5" s="199">
        <v>46966</v>
      </c>
      <c r="D5" s="199">
        <v>46387</v>
      </c>
    </row>
    <row r="6" customHeight="1" spans="1:4">
      <c r="A6" s="8">
        <v>1.3</v>
      </c>
      <c r="B6" s="8" t="s">
        <v>44</v>
      </c>
      <c r="C6" s="39" t="s">
        <v>45</v>
      </c>
      <c r="D6" s="84">
        <v>15</v>
      </c>
    </row>
    <row r="7" customHeight="1" spans="1:4">
      <c r="A7" s="8">
        <v>1.4</v>
      </c>
      <c r="B7" s="8" t="s">
        <v>46</v>
      </c>
      <c r="C7" s="8" t="s">
        <v>47</v>
      </c>
      <c r="D7" s="199">
        <f>D5+31</f>
        <v>46418</v>
      </c>
    </row>
    <row r="8" customHeight="1" spans="1:5">
      <c r="A8" s="8">
        <v>1.5</v>
      </c>
      <c r="B8" s="8" t="s">
        <v>48</v>
      </c>
      <c r="C8" s="8" t="s">
        <v>49</v>
      </c>
      <c r="D8" s="12">
        <v>22</v>
      </c>
      <c r="E8" s="32" t="s">
        <v>50</v>
      </c>
    </row>
    <row r="9" customHeight="1" spans="1:4">
      <c r="A9" s="203">
        <v>2</v>
      </c>
      <c r="B9" s="203" t="s">
        <v>51</v>
      </c>
      <c r="C9" s="133"/>
      <c r="D9" s="203"/>
    </row>
    <row r="10" customHeight="1" spans="1:4">
      <c r="A10" s="8">
        <v>2.1</v>
      </c>
      <c r="B10" s="8" t="s">
        <v>42</v>
      </c>
      <c r="C10" s="199">
        <v>46266</v>
      </c>
      <c r="D10" s="199">
        <v>46388</v>
      </c>
    </row>
    <row r="11" customHeight="1" spans="1:4">
      <c r="A11" s="8">
        <v>2.2</v>
      </c>
      <c r="B11" s="8" t="s">
        <v>43</v>
      </c>
      <c r="C11" s="199">
        <v>46966</v>
      </c>
      <c r="D11" s="199">
        <v>47118</v>
      </c>
    </row>
    <row r="12" customHeight="1" spans="1:4">
      <c r="A12" s="8">
        <v>2.3</v>
      </c>
      <c r="B12" s="8" t="s">
        <v>44</v>
      </c>
      <c r="C12" s="39" t="s">
        <v>45</v>
      </c>
      <c r="D12" s="84">
        <v>21</v>
      </c>
    </row>
    <row r="13" customHeight="1" spans="1:4">
      <c r="A13" s="8">
        <v>2.4</v>
      </c>
      <c r="B13" s="8" t="s">
        <v>46</v>
      </c>
      <c r="C13" s="8" t="s">
        <v>47</v>
      </c>
      <c r="D13" s="199">
        <f>D11</f>
        <v>47118</v>
      </c>
    </row>
    <row r="14" customHeight="1" spans="1:5">
      <c r="A14" s="8">
        <v>2.5</v>
      </c>
      <c r="B14" s="8" t="s">
        <v>48</v>
      </c>
      <c r="C14" s="8" t="s">
        <v>49</v>
      </c>
      <c r="D14" s="12">
        <v>20</v>
      </c>
      <c r="E14" s="32" t="s">
        <v>50</v>
      </c>
    </row>
  </sheetData>
  <mergeCells count="1">
    <mergeCell ref="A1:D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7"/>
  <sheetViews>
    <sheetView zoomScale="80" zoomScaleNormal="80" workbookViewId="0">
      <selection activeCell="G12" sqref="G12"/>
    </sheetView>
  </sheetViews>
  <sheetFormatPr defaultColWidth="8.89090909090909" defaultRowHeight="28.05" customHeight="1" outlineLevelRow="6"/>
  <cols>
    <col min="1" max="1" width="7.78181818181818" style="1" customWidth="1"/>
    <col min="2" max="2" width="9.55454545454545" style="1" customWidth="1"/>
    <col min="3" max="3" width="16.5545454545455" style="1" customWidth="1"/>
    <col min="4" max="4" width="15.6636363636364" style="1" customWidth="1"/>
    <col min="5" max="5" width="11.3363636363636" style="1" customWidth="1"/>
    <col min="6" max="6" width="12.7818181818182" style="1" customWidth="1"/>
    <col min="7" max="7" width="21.7818181818182" style="1" customWidth="1"/>
    <col min="8" max="8" width="21.8909090909091" style="1" customWidth="1"/>
    <col min="9" max="9" width="28.6636363636364" style="1" customWidth="1"/>
    <col min="10" max="10" width="13.7818181818182" style="1" customWidth="1"/>
    <col min="11" max="11" width="29" style="1" customWidth="1"/>
    <col min="12" max="12" width="23.2181818181818" style="1" customWidth="1"/>
    <col min="13" max="13" width="26" style="1" customWidth="1"/>
    <col min="15" max="15" width="18.8909090909091" style="1" customWidth="1"/>
  </cols>
  <sheetData>
    <row r="1" s="48" customFormat="1" ht="22.5" customHeight="1" spans="1:13">
      <c r="A1" s="59" t="s">
        <v>52</v>
      </c>
      <c r="B1" s="3"/>
      <c r="C1" s="3"/>
      <c r="D1" s="3"/>
      <c r="E1" s="3"/>
      <c r="F1" s="3"/>
      <c r="G1" s="3"/>
      <c r="H1" s="3"/>
      <c r="I1" s="3"/>
      <c r="J1" s="3"/>
      <c r="K1" s="3"/>
      <c r="L1" s="3"/>
      <c r="M1" s="4"/>
    </row>
    <row r="2" s="48" customFormat="1" ht="40.05" customHeight="1" spans="1:13">
      <c r="A2" s="5" t="s">
        <v>1</v>
      </c>
      <c r="B2" s="5" t="s">
        <v>53</v>
      </c>
      <c r="C2" s="5" t="s">
        <v>54</v>
      </c>
      <c r="D2" s="198" t="s">
        <v>55</v>
      </c>
      <c r="E2" s="5" t="s">
        <v>56</v>
      </c>
      <c r="F2" s="5" t="s">
        <v>57</v>
      </c>
      <c r="G2" s="5" t="s">
        <v>58</v>
      </c>
      <c r="H2" s="5" t="s">
        <v>59</v>
      </c>
      <c r="I2" s="5" t="s">
        <v>60</v>
      </c>
      <c r="J2" s="5" t="s">
        <v>61</v>
      </c>
      <c r="K2" s="5" t="s">
        <v>62</v>
      </c>
      <c r="L2" s="198" t="s">
        <v>63</v>
      </c>
      <c r="M2" s="198" t="s">
        <v>64</v>
      </c>
    </row>
    <row r="3" s="48" customFormat="1" ht="82.05" customHeight="1" spans="1:13">
      <c r="A3" s="133"/>
      <c r="B3" s="133"/>
      <c r="C3" s="85" t="s">
        <v>65</v>
      </c>
      <c r="D3" s="133"/>
      <c r="E3" s="133"/>
      <c r="F3" s="133"/>
      <c r="G3" s="85" t="s">
        <v>66</v>
      </c>
      <c r="H3" s="85" t="s">
        <v>67</v>
      </c>
      <c r="I3" s="85" t="s">
        <v>68</v>
      </c>
      <c r="J3" s="133"/>
      <c r="K3" s="85" t="s">
        <v>69</v>
      </c>
      <c r="L3" s="85" t="s">
        <v>70</v>
      </c>
      <c r="M3" s="85" t="s">
        <v>71</v>
      </c>
    </row>
    <row r="4" s="48" customFormat="1" ht="16.5" customHeight="1" spans="1:14">
      <c r="A4" s="8">
        <v>1</v>
      </c>
      <c r="B4" s="12" t="s">
        <v>72</v>
      </c>
      <c r="C4" s="12" t="s">
        <v>73</v>
      </c>
      <c r="D4" s="38">
        <v>1175</v>
      </c>
      <c r="E4" s="199">
        <v>45901</v>
      </c>
      <c r="F4" s="199">
        <f>DATE(YEAR(E4)+G4,MONTH(E4),DAY(E4))</f>
        <v>53206</v>
      </c>
      <c r="G4" s="12">
        <v>20</v>
      </c>
      <c r="H4" s="10">
        <f>2.12%*(1+A财务假设!$D$21)</f>
        <v>0.0212</v>
      </c>
      <c r="I4" s="84" t="s">
        <v>74</v>
      </c>
      <c r="J4" s="199">
        <f>IF(G4&lt;10,DATE(YEAR(E4)+1,MONTH(E4),DAY(E4)),DATE(YEAR(E4),MONTH(E4)+6,DAY(E4)))</f>
        <v>46082</v>
      </c>
      <c r="K4" s="200">
        <f>IF(G4&gt;4,D4*A财务假设!$D$16,D4*A财务假设!$D$15)</f>
        <v>0.94</v>
      </c>
      <c r="L4" s="39">
        <f>D4*A财务假设!$D$17</f>
        <v>0.0752</v>
      </c>
      <c r="M4" s="201">
        <f>(c借款还本付息计划表!C9)</f>
        <v>0.08366</v>
      </c>
      <c r="N4" s="72" t="s">
        <v>75</v>
      </c>
    </row>
    <row r="5" s="48" customFormat="1" ht="16.5" customHeight="1" spans="1:14">
      <c r="A5" s="8">
        <v>2</v>
      </c>
      <c r="B5" s="12" t="s">
        <v>76</v>
      </c>
      <c r="C5" s="12" t="s">
        <v>73</v>
      </c>
      <c r="D5" s="38">
        <v>11590</v>
      </c>
      <c r="E5" s="199">
        <v>46266</v>
      </c>
      <c r="F5" s="199">
        <f>DATE(YEAR(E5)+G5,MONTH(E5),DAY(E5))</f>
        <v>53571</v>
      </c>
      <c r="G5" s="12">
        <v>20</v>
      </c>
      <c r="H5" s="10">
        <f>2.12%*(1+A财务假设!$D$21)</f>
        <v>0.0212</v>
      </c>
      <c r="I5" s="84" t="s">
        <v>74</v>
      </c>
      <c r="J5" s="199">
        <f>IF(G5&lt;10,DATE(YEAR(E5)+1,MONTH(E5),DAY(E5)),DATE(YEAR(E5),MONTH(E5)+6,DAY(E5)))</f>
        <v>46447</v>
      </c>
      <c r="K5" s="200">
        <f>IF(G5&gt;4,D5*A财务假设!$D$16,D5*A财务假设!$D$15)</f>
        <v>9.272</v>
      </c>
      <c r="L5" s="39">
        <f>D5*A财务假设!$D$17</f>
        <v>0.74176</v>
      </c>
      <c r="M5" s="201">
        <f>(c借款还本付息计划表!C18)</f>
        <v>0.825208</v>
      </c>
      <c r="N5" s="72" t="s">
        <v>75</v>
      </c>
    </row>
    <row r="6" s="48" customFormat="1" ht="16.5" customHeight="1" spans="1:14">
      <c r="A6" s="8">
        <v>3</v>
      </c>
      <c r="B6" s="12" t="s">
        <v>77</v>
      </c>
      <c r="C6" s="12" t="s">
        <v>73</v>
      </c>
      <c r="D6" s="38">
        <v>8705</v>
      </c>
      <c r="E6" s="199">
        <v>46631</v>
      </c>
      <c r="F6" s="199">
        <f>DATE(YEAR(E6)+G6,MONTH(E6),DAY(E6))</f>
        <v>53936</v>
      </c>
      <c r="G6" s="12">
        <v>20</v>
      </c>
      <c r="H6" s="10">
        <f>2.12%*(1+A财务假设!$D$21)</f>
        <v>0.0212</v>
      </c>
      <c r="I6" s="84" t="s">
        <v>74</v>
      </c>
      <c r="J6" s="199">
        <f>IF(G6&lt;10,DATE(YEAR(E6)+1,MONTH(E6),DAY(E6)),DATE(YEAR(E6),MONTH(E6)+6,DAY(E6)))</f>
        <v>46813</v>
      </c>
      <c r="K6" s="200">
        <f>IF(G6&gt;4,D6*A财务假设!$D$16,D6*A财务假设!$D$15)</f>
        <v>6.964</v>
      </c>
      <c r="L6" s="39">
        <f>D6*A财务假设!$D$17</f>
        <v>0.55712</v>
      </c>
      <c r="M6" s="201">
        <f>(c借款还本付息计划表!C27)</f>
        <v>0.619796</v>
      </c>
      <c r="N6" s="72" t="s">
        <v>75</v>
      </c>
    </row>
    <row r="7" s="48" customFormat="1" ht="16.5" customHeight="1" spans="1:14">
      <c r="A7" s="8">
        <v>4</v>
      </c>
      <c r="B7" s="12" t="s">
        <v>78</v>
      </c>
      <c r="C7" s="12" t="s">
        <v>73</v>
      </c>
      <c r="D7" s="38">
        <v>7530</v>
      </c>
      <c r="E7" s="199">
        <v>46997</v>
      </c>
      <c r="F7" s="199">
        <f>DATE(YEAR(E7)+G7,MONTH(E7),DAY(E7))</f>
        <v>54302</v>
      </c>
      <c r="G7" s="12">
        <v>20</v>
      </c>
      <c r="H7" s="10">
        <f>2.12%*(1+A财务假设!$D$21)</f>
        <v>0.0212</v>
      </c>
      <c r="I7" s="84" t="s">
        <v>74</v>
      </c>
      <c r="J7" s="199">
        <f>IF(G7&lt;10,DATE(YEAR(E7)+1,MONTH(E7),DAY(E7)),DATE(YEAR(E7),MONTH(E7)+6,DAY(E7)))</f>
        <v>47178</v>
      </c>
      <c r="K7" s="200">
        <f>IF(G7&gt;4,D7*A财务假设!$D$16,D7*A财务假设!$D$15)</f>
        <v>6.024</v>
      </c>
      <c r="L7" s="39">
        <f>D7*A财务假设!$D$17</f>
        <v>0.48192</v>
      </c>
      <c r="M7" s="201">
        <f>(c借款还本付息计划表!C36)</f>
        <v>0.536136</v>
      </c>
      <c r="N7" s="72" t="s">
        <v>75</v>
      </c>
    </row>
  </sheetData>
  <mergeCells count="1">
    <mergeCell ref="A1:M1"/>
  </mergeCells>
  <dataValidations count="1">
    <dataValidation type="list" allowBlank="1" showInputMessage="1" showErrorMessage="1" sqref="I4:I7">
      <formula1>"贷款期内本期等额本金还款,贷款期内本期等额本息还款,后五年每年还本20%,后十年每年还本10%,后二十年每年还本5%,到期一次性还清,自定义还款"</formula1>
    </dataValidation>
  </dataValidation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7"/>
  <sheetViews>
    <sheetView workbookViewId="0">
      <selection activeCell="F2" sqref="F2"/>
    </sheetView>
  </sheetViews>
  <sheetFormatPr defaultColWidth="15.3363636363636" defaultRowHeight="28.05" customHeight="1" outlineLevelRow="6" outlineLevelCol="5"/>
  <sheetData>
    <row r="1" customHeight="1" spans="1:6">
      <c r="A1" s="37" t="s">
        <v>79</v>
      </c>
      <c r="B1" s="3"/>
      <c r="C1" s="3"/>
      <c r="D1" s="3"/>
      <c r="E1" s="3"/>
      <c r="F1" s="4"/>
    </row>
    <row r="2" s="195" customFormat="1" customHeight="1" spans="1:6">
      <c r="A2" s="5" t="s">
        <v>1</v>
      </c>
      <c r="B2" s="5" t="s">
        <v>80</v>
      </c>
      <c r="C2" s="33">
        <v>2025</v>
      </c>
      <c r="D2" s="33">
        <v>2026</v>
      </c>
      <c r="E2" s="33">
        <v>2027</v>
      </c>
      <c r="F2" s="33">
        <v>2028</v>
      </c>
    </row>
    <row r="3" customHeight="1" spans="1:6">
      <c r="A3" s="8">
        <v>1</v>
      </c>
      <c r="B3" s="12" t="s">
        <v>72</v>
      </c>
      <c r="C3" s="38">
        <f>C.1项目融资信息!D4</f>
        <v>1175</v>
      </c>
      <c r="D3" s="38">
        <v>0</v>
      </c>
      <c r="E3" s="38">
        <v>0</v>
      </c>
      <c r="F3" s="38">
        <v>0</v>
      </c>
    </row>
    <row r="4" customHeight="1" spans="1:6">
      <c r="A4" s="8">
        <v>2</v>
      </c>
      <c r="B4" s="12" t="s">
        <v>76</v>
      </c>
      <c r="C4" s="38"/>
      <c r="D4" s="38">
        <f>C.1项目融资信息!D5</f>
        <v>11590</v>
      </c>
      <c r="E4" s="38"/>
      <c r="F4" s="38"/>
    </row>
    <row r="5" customHeight="1" spans="1:6">
      <c r="A5" s="8">
        <v>3</v>
      </c>
      <c r="B5" s="12" t="s">
        <v>77</v>
      </c>
      <c r="C5" s="38"/>
      <c r="D5" s="38"/>
      <c r="E5" s="38">
        <f>C.1项目融资信息!D6</f>
        <v>8705</v>
      </c>
      <c r="F5" s="38"/>
    </row>
    <row r="6" customHeight="1" spans="1:6">
      <c r="A6" s="8">
        <v>4</v>
      </c>
      <c r="B6" s="12" t="s">
        <v>78</v>
      </c>
      <c r="C6" s="38"/>
      <c r="D6" s="38"/>
      <c r="E6" s="38"/>
      <c r="F6" s="38">
        <f>C.1项目融资信息!D7</f>
        <v>7530</v>
      </c>
    </row>
    <row r="7" customHeight="1" spans="1:6">
      <c r="A7" s="196">
        <v>5</v>
      </c>
      <c r="B7" s="196" t="s">
        <v>81</v>
      </c>
      <c r="C7" s="197">
        <f>SUM(C3:C6)</f>
        <v>1175</v>
      </c>
      <c r="D7" s="197">
        <f>SUM(D3:D6)</f>
        <v>11590</v>
      </c>
      <c r="E7" s="197">
        <f>SUM(E3:E6)</f>
        <v>8705</v>
      </c>
      <c r="F7" s="197">
        <f>SUM(F3:F6)</f>
        <v>7530</v>
      </c>
    </row>
  </sheetData>
  <mergeCells count="1">
    <mergeCell ref="A1:F1"/>
  </mergeCell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70C0"/>
  </sheetPr>
  <dimension ref="A1:H39"/>
  <sheetViews>
    <sheetView zoomScale="85" zoomScaleNormal="85" workbookViewId="0">
      <selection activeCell="F38" sqref="F38"/>
    </sheetView>
  </sheetViews>
  <sheetFormatPr defaultColWidth="8.89090909090909" defaultRowHeight="28.05" customHeight="1" outlineLevelCol="7"/>
  <cols>
    <col min="2" max="4" width="20.6636363636364" style="1" customWidth="1"/>
    <col min="5" max="5" width="55.6636363636364" style="1" customWidth="1"/>
    <col min="6" max="6" width="18.8909090909091" style="1" customWidth="1"/>
  </cols>
  <sheetData>
    <row r="1" s="170" customFormat="1" ht="23.25" customHeight="1" spans="1:8">
      <c r="A1" s="59" t="s">
        <v>82</v>
      </c>
      <c r="B1" s="3"/>
      <c r="C1" s="3"/>
      <c r="D1" s="3"/>
      <c r="E1" s="3"/>
      <c r="F1" s="4"/>
      <c r="H1" s="171" t="s">
        <v>83</v>
      </c>
    </row>
    <row r="2" s="170" customFormat="1" ht="16.5" customHeight="1" spans="1:7">
      <c r="A2" s="172" t="s">
        <v>1</v>
      </c>
      <c r="B2" s="173" t="s">
        <v>84</v>
      </c>
      <c r="C2" s="174" t="s">
        <v>85</v>
      </c>
      <c r="D2" s="175" t="s">
        <v>86</v>
      </c>
      <c r="E2" s="174" t="s">
        <v>87</v>
      </c>
      <c r="F2" s="174" t="s">
        <v>88</v>
      </c>
      <c r="G2" s="176" t="s">
        <v>89</v>
      </c>
    </row>
    <row r="3" s="170" customFormat="1" ht="17.5" customHeight="1" spans="1:6">
      <c r="A3" s="177" t="s">
        <v>90</v>
      </c>
      <c r="B3" s="178" t="s">
        <v>91</v>
      </c>
      <c r="C3" s="3"/>
      <c r="D3" s="3"/>
      <c r="E3" s="4"/>
      <c r="F3" s="179">
        <v>24474.93</v>
      </c>
    </row>
    <row r="4" s="170" customFormat="1" ht="17.5" customHeight="1" spans="1:6">
      <c r="A4" s="180">
        <v>1</v>
      </c>
      <c r="B4" s="181" t="s">
        <v>92</v>
      </c>
      <c r="C4" s="180" t="s">
        <v>93</v>
      </c>
      <c r="D4" s="182" t="s">
        <v>94</v>
      </c>
      <c r="E4" s="180">
        <v>1</v>
      </c>
      <c r="F4" s="183">
        <v>3990</v>
      </c>
    </row>
    <row r="5" s="170" customFormat="1" ht="87" customHeight="1" spans="1:6">
      <c r="A5" s="180">
        <v>2</v>
      </c>
      <c r="B5" s="23"/>
      <c r="C5" s="23"/>
      <c r="D5" s="182" t="s">
        <v>95</v>
      </c>
      <c r="E5" s="180">
        <v>1</v>
      </c>
      <c r="F5" s="183">
        <v>3036</v>
      </c>
    </row>
    <row r="6" s="170" customFormat="1" ht="87" customHeight="1" spans="1:6">
      <c r="A6" s="180">
        <v>3</v>
      </c>
      <c r="B6" s="23"/>
      <c r="C6" s="15"/>
      <c r="D6" s="182" t="s">
        <v>96</v>
      </c>
      <c r="E6" s="180">
        <v>1</v>
      </c>
      <c r="F6" s="183">
        <v>1880</v>
      </c>
    </row>
    <row r="7" s="170" customFormat="1" ht="87" customHeight="1" spans="1:6">
      <c r="A7" s="180">
        <v>4</v>
      </c>
      <c r="B7" s="23"/>
      <c r="C7" s="182" t="s">
        <v>97</v>
      </c>
      <c r="D7" s="182" t="s">
        <v>97</v>
      </c>
      <c r="E7" s="180">
        <v>1</v>
      </c>
      <c r="F7" s="183">
        <v>866</v>
      </c>
    </row>
    <row r="8" s="170" customFormat="1" ht="87" customHeight="1" spans="1:6">
      <c r="A8" s="180">
        <v>5</v>
      </c>
      <c r="B8" s="23"/>
      <c r="C8" s="182" t="s">
        <v>98</v>
      </c>
      <c r="D8" s="182" t="s">
        <v>98</v>
      </c>
      <c r="E8" s="180">
        <v>1</v>
      </c>
      <c r="F8" s="183">
        <v>7128.5</v>
      </c>
    </row>
    <row r="9" s="170" customFormat="1" ht="35" customHeight="1" spans="1:6">
      <c r="A9" s="180">
        <v>6</v>
      </c>
      <c r="B9" s="23"/>
      <c r="C9" s="182" t="s">
        <v>99</v>
      </c>
      <c r="D9" s="182" t="s">
        <v>99</v>
      </c>
      <c r="E9" s="180">
        <v>1</v>
      </c>
      <c r="F9" s="183">
        <v>1420</v>
      </c>
    </row>
    <row r="10" s="170" customFormat="1" ht="46.95" customHeight="1" spans="1:6">
      <c r="A10" s="180">
        <v>7</v>
      </c>
      <c r="B10" s="23"/>
      <c r="C10" s="182" t="s">
        <v>100</v>
      </c>
      <c r="D10" s="182" t="s">
        <v>100</v>
      </c>
      <c r="E10" s="180">
        <v>1</v>
      </c>
      <c r="F10" s="183">
        <v>926.43</v>
      </c>
    </row>
    <row r="11" s="170" customFormat="1" ht="35" customHeight="1" spans="1:6">
      <c r="A11" s="180">
        <v>8</v>
      </c>
      <c r="B11" s="15"/>
      <c r="C11" s="182" t="s">
        <v>101</v>
      </c>
      <c r="D11" s="182" t="s">
        <v>101</v>
      </c>
      <c r="E11" s="180">
        <v>1</v>
      </c>
      <c r="F11" s="183">
        <v>288</v>
      </c>
    </row>
    <row r="12" s="170" customFormat="1" ht="52.05" customHeight="1" spans="1:6">
      <c r="A12" s="180">
        <v>9</v>
      </c>
      <c r="B12" s="180" t="s">
        <v>102</v>
      </c>
      <c r="C12" s="184" t="s">
        <v>103</v>
      </c>
      <c r="D12" s="185" t="s">
        <v>104</v>
      </c>
      <c r="E12" s="180">
        <v>1</v>
      </c>
      <c r="F12" s="183">
        <v>580</v>
      </c>
    </row>
    <row r="13" s="170" customFormat="1" ht="35" customHeight="1" spans="1:6">
      <c r="A13" s="180">
        <v>10</v>
      </c>
      <c r="B13" s="23"/>
      <c r="C13" s="23"/>
      <c r="D13" s="185" t="s">
        <v>105</v>
      </c>
      <c r="E13" s="180">
        <v>1</v>
      </c>
      <c r="F13" s="183">
        <v>650</v>
      </c>
    </row>
    <row r="14" s="170" customFormat="1" ht="17.5" customHeight="1" spans="1:6">
      <c r="A14" s="180">
        <v>11</v>
      </c>
      <c r="B14" s="23"/>
      <c r="C14" s="23"/>
      <c r="D14" s="185" t="s">
        <v>106</v>
      </c>
      <c r="E14" s="180">
        <v>1</v>
      </c>
      <c r="F14" s="183">
        <v>680</v>
      </c>
    </row>
    <row r="15" s="170" customFormat="1" ht="35" customHeight="1" spans="1:6">
      <c r="A15" s="180">
        <v>12</v>
      </c>
      <c r="B15" s="23"/>
      <c r="C15" s="23"/>
      <c r="D15" s="185" t="s">
        <v>107</v>
      </c>
      <c r="E15" s="180">
        <v>1</v>
      </c>
      <c r="F15" s="183">
        <v>500</v>
      </c>
    </row>
    <row r="16" s="170" customFormat="1" ht="35" customHeight="1" spans="1:6">
      <c r="A16" s="180">
        <v>13</v>
      </c>
      <c r="B16" s="23"/>
      <c r="C16" s="23"/>
      <c r="D16" s="185" t="s">
        <v>108</v>
      </c>
      <c r="E16" s="180">
        <v>1</v>
      </c>
      <c r="F16" s="183">
        <v>380</v>
      </c>
    </row>
    <row r="17" s="170" customFormat="1" ht="35" customHeight="1" spans="1:6">
      <c r="A17" s="180">
        <v>14</v>
      </c>
      <c r="B17" s="23"/>
      <c r="C17" s="15"/>
      <c r="D17" s="185" t="s">
        <v>109</v>
      </c>
      <c r="E17" s="180">
        <v>1</v>
      </c>
      <c r="F17" s="183">
        <v>800</v>
      </c>
    </row>
    <row r="18" s="170" customFormat="1" ht="35" customHeight="1" spans="1:6">
      <c r="A18" s="180">
        <v>15</v>
      </c>
      <c r="B18" s="23"/>
      <c r="C18" s="186" t="s">
        <v>110</v>
      </c>
      <c r="D18" s="185" t="s">
        <v>111</v>
      </c>
      <c r="E18" s="180">
        <v>1</v>
      </c>
      <c r="F18" s="183">
        <v>800</v>
      </c>
    </row>
    <row r="19" s="170" customFormat="1" ht="35" customHeight="1" spans="1:6">
      <c r="A19" s="180">
        <v>16</v>
      </c>
      <c r="B19" s="15"/>
      <c r="C19" s="15"/>
      <c r="D19" s="185" t="s">
        <v>112</v>
      </c>
      <c r="E19" s="180">
        <v>1</v>
      </c>
      <c r="F19" s="183">
        <v>550</v>
      </c>
    </row>
    <row r="20" s="170" customFormat="1" ht="17.5" customHeight="1" spans="1:6">
      <c r="A20" s="187" t="s">
        <v>113</v>
      </c>
      <c r="B20" s="178" t="s">
        <v>114</v>
      </c>
      <c r="C20" s="3"/>
      <c r="D20" s="3"/>
      <c r="E20" s="4"/>
      <c r="F20" s="179">
        <v>2408.1821113962</v>
      </c>
    </row>
    <row r="21" s="170" customFormat="1" ht="35" customHeight="1" spans="1:6">
      <c r="A21" s="188">
        <v>1</v>
      </c>
      <c r="B21" s="189" t="s">
        <v>115</v>
      </c>
      <c r="C21" s="4"/>
      <c r="D21" s="190" t="s">
        <v>116</v>
      </c>
      <c r="E21" s="189"/>
      <c r="F21" s="191">
        <v>284.7493</v>
      </c>
    </row>
    <row r="22" s="170" customFormat="1" ht="52.5" customHeight="1" spans="1:6">
      <c r="A22" s="188">
        <v>2</v>
      </c>
      <c r="B22" s="189" t="s">
        <v>117</v>
      </c>
      <c r="C22" s="4"/>
      <c r="D22" s="190" t="s">
        <v>118</v>
      </c>
      <c r="E22" s="189"/>
      <c r="F22" s="191">
        <v>146.84958</v>
      </c>
    </row>
    <row r="23" s="170" customFormat="1" ht="35" customHeight="1" spans="1:6">
      <c r="A23" s="188">
        <v>3</v>
      </c>
      <c r="B23" s="189" t="s">
        <v>119</v>
      </c>
      <c r="C23" s="4"/>
      <c r="D23" s="190" t="s">
        <v>120</v>
      </c>
      <c r="E23" s="189"/>
      <c r="F23" s="191">
        <v>675.8092948</v>
      </c>
    </row>
    <row r="24" s="170" customFormat="1" ht="35" customHeight="1" spans="1:6">
      <c r="A24" s="188">
        <v>4</v>
      </c>
      <c r="B24" s="189" t="s">
        <v>121</v>
      </c>
      <c r="C24" s="4"/>
      <c r="D24" s="190" t="s">
        <v>122</v>
      </c>
      <c r="E24" s="189"/>
      <c r="F24" s="191">
        <v>463.8353982</v>
      </c>
    </row>
    <row r="25" s="170" customFormat="1" ht="52.5" customHeight="1" spans="1:6">
      <c r="A25" s="188">
        <v>5</v>
      </c>
      <c r="B25" s="189" t="s">
        <v>123</v>
      </c>
      <c r="C25" s="4"/>
      <c r="D25" s="190" t="s">
        <v>118</v>
      </c>
      <c r="E25" s="189"/>
      <c r="F25" s="191">
        <v>244.7493</v>
      </c>
    </row>
    <row r="26" s="170" customFormat="1" ht="52.5" customHeight="1" spans="1:6">
      <c r="A26" s="188">
        <v>6</v>
      </c>
      <c r="B26" s="189" t="s">
        <v>124</v>
      </c>
      <c r="C26" s="4"/>
      <c r="D26" s="190" t="s">
        <v>125</v>
      </c>
      <c r="E26" s="189"/>
      <c r="F26" s="191">
        <v>29.369916</v>
      </c>
    </row>
    <row r="27" s="170" customFormat="1" ht="35" customHeight="1" spans="1:6">
      <c r="A27" s="188">
        <v>7</v>
      </c>
      <c r="B27" s="189" t="s">
        <v>126</v>
      </c>
      <c r="C27" s="4"/>
      <c r="D27" s="190" t="s">
        <v>127</v>
      </c>
      <c r="E27" s="189"/>
      <c r="F27" s="191">
        <v>53.0052788122</v>
      </c>
    </row>
    <row r="28" s="170" customFormat="1" ht="17.5" customHeight="1" spans="1:6">
      <c r="A28" s="188">
        <v>8</v>
      </c>
      <c r="B28" s="189" t="s">
        <v>128</v>
      </c>
      <c r="C28" s="4"/>
      <c r="D28" s="190" t="s">
        <v>129</v>
      </c>
      <c r="E28" s="189"/>
      <c r="F28" s="191">
        <v>244.7493</v>
      </c>
    </row>
    <row r="29" s="170" customFormat="1" ht="17.5" customHeight="1" spans="1:6">
      <c r="A29" s="188">
        <v>9</v>
      </c>
      <c r="B29" s="189" t="s">
        <v>130</v>
      </c>
      <c r="C29" s="4"/>
      <c r="D29" s="190"/>
      <c r="E29" s="189"/>
      <c r="F29" s="191">
        <v>80</v>
      </c>
    </row>
    <row r="30" s="170" customFormat="1" ht="17.5" customHeight="1" spans="1:6">
      <c r="A30" s="188">
        <v>10</v>
      </c>
      <c r="B30" s="189" t="s">
        <v>131</v>
      </c>
      <c r="C30" s="4"/>
      <c r="D30" s="190"/>
      <c r="E30" s="187"/>
      <c r="F30" s="191">
        <v>80</v>
      </c>
    </row>
    <row r="31" s="170" customFormat="1" ht="17.5" customHeight="1" spans="1:6">
      <c r="A31" s="188">
        <v>11</v>
      </c>
      <c r="B31" s="189" t="s">
        <v>132</v>
      </c>
      <c r="C31" s="4"/>
      <c r="D31" s="190"/>
      <c r="E31" s="187"/>
      <c r="F31" s="191">
        <v>35</v>
      </c>
    </row>
    <row r="32" s="170" customFormat="1" ht="17.5" customHeight="1" spans="1:6">
      <c r="A32" s="188">
        <v>12</v>
      </c>
      <c r="B32" s="189" t="s">
        <v>133</v>
      </c>
      <c r="C32" s="4"/>
      <c r="D32" s="190"/>
      <c r="E32" s="187"/>
      <c r="F32" s="191">
        <v>7</v>
      </c>
    </row>
    <row r="33" s="170" customFormat="1" ht="17.5" customHeight="1" spans="1:6">
      <c r="A33" s="188">
        <v>13</v>
      </c>
      <c r="B33" s="189" t="s">
        <v>134</v>
      </c>
      <c r="C33" s="4"/>
      <c r="D33" s="190"/>
      <c r="E33" s="187"/>
      <c r="F33" s="191">
        <v>7</v>
      </c>
    </row>
    <row r="34" s="170" customFormat="1" ht="17.5" customHeight="1" spans="1:6">
      <c r="A34" s="188">
        <v>14</v>
      </c>
      <c r="B34" s="189" t="s">
        <v>135</v>
      </c>
      <c r="C34" s="4"/>
      <c r="D34" s="190"/>
      <c r="E34" s="187"/>
      <c r="F34" s="191">
        <v>2</v>
      </c>
    </row>
    <row r="35" s="170" customFormat="1" ht="35" customHeight="1" spans="1:6">
      <c r="A35" s="188">
        <v>15</v>
      </c>
      <c r="B35" s="189" t="s">
        <v>136</v>
      </c>
      <c r="C35" s="4"/>
      <c r="D35" s="190" t="s">
        <v>116</v>
      </c>
      <c r="E35" s="187"/>
      <c r="F35" s="192">
        <v>54.064743584</v>
      </c>
    </row>
    <row r="36" s="170" customFormat="1" ht="17.5" customHeight="1" spans="1:6">
      <c r="A36" s="187" t="s">
        <v>137</v>
      </c>
      <c r="B36" s="178" t="s">
        <v>138</v>
      </c>
      <c r="C36" s="3"/>
      <c r="D36" s="3"/>
      <c r="E36" s="4"/>
      <c r="F36" s="179">
        <v>1344.15560556981</v>
      </c>
    </row>
    <row r="37" s="170" customFormat="1" ht="17.5" customHeight="1" spans="1:6">
      <c r="A37" s="188">
        <v>1</v>
      </c>
      <c r="B37" s="189" t="s">
        <v>139</v>
      </c>
      <c r="C37" s="4"/>
      <c r="D37" s="193"/>
      <c r="E37" s="189"/>
      <c r="F37" s="192">
        <v>1344.15560556981</v>
      </c>
    </row>
    <row r="38" s="170" customFormat="1" ht="17.5" customHeight="1" spans="1:6">
      <c r="A38" s="188" t="s">
        <v>140</v>
      </c>
      <c r="B38" s="178" t="s">
        <v>141</v>
      </c>
      <c r="C38" s="3"/>
      <c r="D38" s="4"/>
      <c r="E38" s="189"/>
      <c r="F38" s="179">
        <v>772.736</v>
      </c>
    </row>
    <row r="39" s="170" customFormat="1" ht="17.5" customHeight="1" spans="1:6">
      <c r="A39" s="187" t="s">
        <v>142</v>
      </c>
      <c r="B39" s="3"/>
      <c r="C39" s="3"/>
      <c r="D39" s="4"/>
      <c r="E39" s="188"/>
      <c r="F39" s="194">
        <v>29000.003716966</v>
      </c>
    </row>
  </sheetData>
  <mergeCells count="27">
    <mergeCell ref="A1:F1"/>
    <mergeCell ref="B3:E3"/>
    <mergeCell ref="B20:E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E36"/>
    <mergeCell ref="B37:C37"/>
    <mergeCell ref="B38:D38"/>
    <mergeCell ref="A39:D39"/>
    <mergeCell ref="B4:B11"/>
    <mergeCell ref="B12:B19"/>
    <mergeCell ref="C4:C6"/>
    <mergeCell ref="C12:C17"/>
    <mergeCell ref="C18:C19"/>
  </mergeCells>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FF00"/>
  </sheetPr>
  <dimension ref="A1:AA22"/>
  <sheetViews>
    <sheetView zoomScale="70" zoomScaleNormal="70" workbookViewId="0">
      <pane xSplit="3" ySplit="2" topLeftCell="D3" activePane="bottomRight" state="frozen"/>
      <selection/>
      <selection pane="topRight"/>
      <selection pane="bottomLeft"/>
      <selection pane="bottomRight" activeCell="K5" sqref="K5"/>
    </sheetView>
  </sheetViews>
  <sheetFormatPr defaultColWidth="16" defaultRowHeight="28.05" customHeight="1"/>
  <cols>
    <col min="2" max="2" width="21.4454545454545" style="1" customWidth="1"/>
    <col min="3" max="8" width="16" style="1" customWidth="1"/>
  </cols>
  <sheetData>
    <row r="1" s="48" customFormat="1" ht="22.5" customHeight="1" spans="1:9">
      <c r="A1" s="166" t="s">
        <v>143</v>
      </c>
      <c r="B1" s="167"/>
      <c r="C1" s="167"/>
      <c r="D1" s="167"/>
      <c r="E1" s="167"/>
      <c r="F1" s="167"/>
      <c r="G1" s="167"/>
      <c r="H1" s="167"/>
      <c r="I1"/>
    </row>
    <row r="2" s="48" customFormat="1" ht="16.5" customHeight="1" spans="1:27">
      <c r="A2" s="5" t="s">
        <v>1</v>
      </c>
      <c r="B2" s="5" t="s">
        <v>144</v>
      </c>
      <c r="C2" s="5" t="s">
        <v>81</v>
      </c>
      <c r="D2" s="33">
        <v>2025</v>
      </c>
      <c r="E2" s="33">
        <v>2026</v>
      </c>
      <c r="F2" s="33">
        <v>2027</v>
      </c>
      <c r="G2" s="33">
        <v>2028</v>
      </c>
      <c r="H2" s="33">
        <v>2029</v>
      </c>
      <c r="I2" s="33">
        <v>2030</v>
      </c>
      <c r="J2" s="33">
        <v>2031</v>
      </c>
      <c r="K2" s="33">
        <v>2032</v>
      </c>
      <c r="L2" s="33">
        <v>2033</v>
      </c>
      <c r="M2" s="33">
        <v>2034</v>
      </c>
      <c r="N2" s="33">
        <v>2035</v>
      </c>
      <c r="O2" s="33">
        <v>2036</v>
      </c>
      <c r="P2" s="33">
        <v>2037</v>
      </c>
      <c r="Q2" s="33">
        <v>2038</v>
      </c>
      <c r="R2" s="33">
        <v>2039</v>
      </c>
      <c r="S2" s="33">
        <v>2040</v>
      </c>
      <c r="T2" s="33">
        <v>2041</v>
      </c>
      <c r="U2" s="33">
        <v>2042</v>
      </c>
      <c r="V2" s="33">
        <v>2043</v>
      </c>
      <c r="W2" s="33">
        <v>2044</v>
      </c>
      <c r="X2" s="33">
        <v>2045</v>
      </c>
      <c r="Y2" s="33">
        <v>2046</v>
      </c>
      <c r="Z2" s="33">
        <v>2047</v>
      </c>
      <c r="AA2" s="33">
        <v>2048</v>
      </c>
    </row>
    <row r="3" s="48" customFormat="1" ht="16.5" customHeight="1" spans="1:27">
      <c r="A3" s="133">
        <v>1</v>
      </c>
      <c r="B3" s="133" t="s">
        <v>145</v>
      </c>
      <c r="C3" s="134">
        <f t="shared" ref="C3:C16" si="0">(SUM(D3:AA3))</f>
        <v>29750.2472829925</v>
      </c>
      <c r="D3" s="134">
        <f t="shared" ref="D3:AA3" si="1">SUM(D4:D6)</f>
        <v>2047.73040785312</v>
      </c>
      <c r="E3" s="134">
        <f t="shared" si="1"/>
        <v>11667.8270489455</v>
      </c>
      <c r="F3" s="134">
        <f t="shared" si="1"/>
        <v>14560.1076842527</v>
      </c>
      <c r="G3" s="134">
        <f t="shared" si="1"/>
        <v>1245.5936771544</v>
      </c>
      <c r="H3" s="134">
        <f t="shared" si="1"/>
        <v>131.675458353803</v>
      </c>
      <c r="I3" s="134">
        <f t="shared" si="1"/>
        <v>4.64687762306841</v>
      </c>
      <c r="J3" s="134">
        <f t="shared" si="1"/>
        <v>4.69630209991453</v>
      </c>
      <c r="K3" s="134">
        <f t="shared" si="1"/>
        <v>4.74626515703795</v>
      </c>
      <c r="L3" s="134">
        <f t="shared" si="1"/>
        <v>4.79677284527503</v>
      </c>
      <c r="M3" s="134">
        <f t="shared" si="1"/>
        <v>4.84783128594381</v>
      </c>
      <c r="N3" s="134">
        <f t="shared" si="1"/>
        <v>4.8994466717038</v>
      </c>
      <c r="O3" s="134">
        <f t="shared" si="1"/>
        <v>4.95162526741348</v>
      </c>
      <c r="P3" s="134">
        <f t="shared" si="1"/>
        <v>5.00437341101531</v>
      </c>
      <c r="Q3" s="134">
        <f t="shared" si="1"/>
        <v>5.05769751441778</v>
      </c>
      <c r="R3" s="134">
        <f t="shared" si="1"/>
        <v>5.11160406439279</v>
      </c>
      <c r="S3" s="134">
        <f t="shared" si="1"/>
        <v>5.16609962349219</v>
      </c>
      <c r="T3" s="134">
        <f t="shared" si="1"/>
        <v>5.22119083095669</v>
      </c>
      <c r="U3" s="134">
        <f t="shared" si="1"/>
        <v>5.27688440366518</v>
      </c>
      <c r="V3" s="134">
        <f t="shared" si="1"/>
        <v>5.33318713706763</v>
      </c>
      <c r="W3" s="134">
        <f t="shared" si="1"/>
        <v>5.39010590614373</v>
      </c>
      <c r="X3" s="134">
        <f t="shared" si="1"/>
        <v>5.45172752748636</v>
      </c>
      <c r="Y3" s="134">
        <f t="shared" si="1"/>
        <v>5.54189615611733</v>
      </c>
      <c r="Z3" s="134">
        <f t="shared" si="1"/>
        <v>5.55375787675075</v>
      </c>
      <c r="AA3" s="134">
        <f t="shared" si="1"/>
        <v>5.61936103119751</v>
      </c>
    </row>
    <row r="4" s="48" customFormat="1" ht="16.5" customHeight="1" spans="1:27">
      <c r="A4" s="8">
        <v>1.1</v>
      </c>
      <c r="B4" s="8" t="s">
        <v>146</v>
      </c>
      <c r="C4" s="134">
        <f t="shared" si="0"/>
        <v>28227.267716966</v>
      </c>
      <c r="D4" s="13">
        <f>(D.3建设投资分年计划表!E17)</f>
        <v>2038.41187451979</v>
      </c>
      <c r="E4" s="13">
        <f>(D.3建设投资分年计划表!F17)</f>
        <v>11551.0006222788</v>
      </c>
      <c r="F4" s="13">
        <f>(D.3建设投资分年计划表!G17)</f>
        <v>14084.2647296474</v>
      </c>
      <c r="G4" s="13">
        <f>(D.3建设投资分年计划表!H17)</f>
        <v>553.590490520042</v>
      </c>
      <c r="H4" s="13">
        <f>(D.3建设投资分年计划表!I17)</f>
        <v>0</v>
      </c>
      <c r="I4" s="13">
        <f>(D.3建设投资分年计划表!J17)</f>
        <v>0</v>
      </c>
      <c r="J4" s="13">
        <f>(D.3建设投资分年计划表!K17)</f>
        <v>0</v>
      </c>
      <c r="K4" s="13">
        <f>(D.3建设投资分年计划表!L17)</f>
        <v>0</v>
      </c>
      <c r="L4" s="13">
        <f>(D.3建设投资分年计划表!M17)</f>
        <v>0</v>
      </c>
      <c r="M4" s="13">
        <f>(D.3建设投资分年计划表!N17)</f>
        <v>0</v>
      </c>
      <c r="N4" s="13">
        <f>(D.3建设投资分年计划表!O17)</f>
        <v>0</v>
      </c>
      <c r="O4" s="13">
        <f>(D.3建设投资分年计划表!P17)</f>
        <v>0</v>
      </c>
      <c r="P4" s="13">
        <f>(D.3建设投资分年计划表!Q17)</f>
        <v>0</v>
      </c>
      <c r="Q4" s="13">
        <f>(D.3建设投资分年计划表!R17)</f>
        <v>0</v>
      </c>
      <c r="R4" s="13">
        <f>(D.3建设投资分年计划表!S17)</f>
        <v>0</v>
      </c>
      <c r="S4" s="13">
        <f>(D.3建设投资分年计划表!T17)</f>
        <v>0</v>
      </c>
      <c r="T4" s="13">
        <f>(D.3建设投资分年计划表!U17)</f>
        <v>0</v>
      </c>
      <c r="U4" s="13">
        <f>(D.3建设投资分年计划表!V17)</f>
        <v>0</v>
      </c>
      <c r="V4" s="13">
        <f>(D.3建设投资分年计划表!W17)</f>
        <v>0</v>
      </c>
      <c r="W4" s="13">
        <f>(D.3建设投资分年计划表!X17)</f>
        <v>0</v>
      </c>
      <c r="X4" s="13">
        <f>(D.3建设投资分年计划表!Y17)</f>
        <v>0</v>
      </c>
      <c r="Y4" s="13">
        <f>(D.3建设投资分年计划表!Z17)</f>
        <v>0</v>
      </c>
      <c r="Z4" s="13">
        <f>(D.3建设投资分年计划表!AA17)</f>
        <v>0</v>
      </c>
      <c r="AA4" s="13">
        <f>(D.3建设投资分年计划表!AB17)</f>
        <v>0</v>
      </c>
    </row>
    <row r="5" s="48" customFormat="1" ht="16.5" customHeight="1" spans="1:27">
      <c r="A5" s="8">
        <v>1.2</v>
      </c>
      <c r="B5" s="8" t="s">
        <v>141</v>
      </c>
      <c r="C5" s="134">
        <f t="shared" si="0"/>
        <v>980.681333333333</v>
      </c>
      <c r="D5" s="13">
        <f>(c借款还本付息计划表!D47+c借款还本付息计划表!D46)</f>
        <v>9.31853333333333</v>
      </c>
      <c r="E5" s="13">
        <f>(c借款还本付息计划表!E47+c借款还本付息计划表!E46)</f>
        <v>116.826426666667</v>
      </c>
      <c r="F5" s="13">
        <f>(c借款还本付息计划表!F47+c借款还本付息计划表!F46)</f>
        <v>339.654453333333</v>
      </c>
      <c r="G5" s="13">
        <f>(c借款还本付息计划表!G47+c借款还本付息计划表!G46)</f>
        <v>514.88192</v>
      </c>
      <c r="H5" s="13"/>
      <c r="I5" s="13"/>
      <c r="J5" s="13"/>
      <c r="K5" s="13"/>
      <c r="L5" s="13"/>
      <c r="M5" s="13"/>
      <c r="N5" s="13"/>
      <c r="O5" s="13"/>
      <c r="P5" s="13"/>
      <c r="Q5" s="13"/>
      <c r="R5" s="13"/>
      <c r="S5" s="13"/>
      <c r="T5" s="13"/>
      <c r="U5" s="13"/>
      <c r="V5" s="13"/>
      <c r="W5" s="13"/>
      <c r="X5" s="13"/>
      <c r="Y5" s="13"/>
      <c r="Z5" s="13"/>
      <c r="AA5" s="13"/>
    </row>
    <row r="6" s="48" customFormat="1" ht="16.5" customHeight="1" spans="1:27">
      <c r="A6" s="8">
        <v>1.3</v>
      </c>
      <c r="B6" s="8" t="s">
        <v>147</v>
      </c>
      <c r="C6" s="134">
        <f t="shared" si="0"/>
        <v>542.298232693175</v>
      </c>
      <c r="D6" s="13">
        <f>D.4流动资金估算表!E14</f>
        <v>0</v>
      </c>
      <c r="E6" s="13">
        <f>D.4流动资金估算表!F14</f>
        <v>0</v>
      </c>
      <c r="F6" s="13">
        <f>D.4流动资金估算表!G14</f>
        <v>136.188501271955</v>
      </c>
      <c r="G6" s="13">
        <f>D.4流动资金估算表!H14</f>
        <v>177.121266634357</v>
      </c>
      <c r="H6" s="13">
        <f>D.4流动资金估算表!I14</f>
        <v>131.675458353803</v>
      </c>
      <c r="I6" s="13">
        <f>D.4流动资金估算表!J14</f>
        <v>4.64687762306841</v>
      </c>
      <c r="J6" s="13">
        <f>D.4流动资金估算表!K14</f>
        <v>4.69630209991453</v>
      </c>
      <c r="K6" s="13">
        <f>D.4流动资金估算表!L14</f>
        <v>4.74626515703795</v>
      </c>
      <c r="L6" s="13">
        <f>D.4流动资金估算表!M14</f>
        <v>4.79677284527503</v>
      </c>
      <c r="M6" s="13">
        <f>D.4流动资金估算表!N14</f>
        <v>4.84783128594381</v>
      </c>
      <c r="N6" s="13">
        <f>D.4流动资金估算表!O14</f>
        <v>4.8994466717038</v>
      </c>
      <c r="O6" s="13">
        <f>D.4流动资金估算表!P14</f>
        <v>4.95162526741348</v>
      </c>
      <c r="P6" s="13">
        <f>D.4流动资金估算表!Q14</f>
        <v>5.00437341101531</v>
      </c>
      <c r="Q6" s="13">
        <f>D.4流动资金估算表!R14</f>
        <v>5.05769751441778</v>
      </c>
      <c r="R6" s="13">
        <f>D.4流动资金估算表!S14</f>
        <v>5.11160406439279</v>
      </c>
      <c r="S6" s="13">
        <f>D.4流动资金估算表!T14</f>
        <v>5.16609962349219</v>
      </c>
      <c r="T6" s="13">
        <f>D.4流动资金估算表!U14</f>
        <v>5.22119083095669</v>
      </c>
      <c r="U6" s="13">
        <f>D.4流动资金估算表!V14</f>
        <v>5.27688440366518</v>
      </c>
      <c r="V6" s="13">
        <f>D.4流动资金估算表!W14</f>
        <v>5.33318713706763</v>
      </c>
      <c r="W6" s="13">
        <f>D.4流动资金估算表!X14</f>
        <v>5.39010590614373</v>
      </c>
      <c r="X6" s="13">
        <f>D.4流动资金估算表!Y14</f>
        <v>5.45172752748636</v>
      </c>
      <c r="Y6" s="13">
        <f>D.4流动资金估算表!Z14</f>
        <v>5.54189615611733</v>
      </c>
      <c r="Z6" s="13">
        <f>D.4流动资金估算表!AA14</f>
        <v>5.55375787675075</v>
      </c>
      <c r="AA6" s="13">
        <f>D.4流动资金估算表!AB14</f>
        <v>5.61936103119751</v>
      </c>
    </row>
    <row r="7" s="48" customFormat="1" ht="16.5" customHeight="1" spans="1:27">
      <c r="A7" s="133">
        <v>2</v>
      </c>
      <c r="B7" s="133" t="s">
        <v>148</v>
      </c>
      <c r="C7" s="134">
        <f t="shared" si="0"/>
        <v>29750.2472829925</v>
      </c>
      <c r="D7" s="134">
        <f t="shared" ref="D7:AA7" si="2">D8+D12+D16</f>
        <v>2047.73040785312</v>
      </c>
      <c r="E7" s="134">
        <f t="shared" si="2"/>
        <v>11667.8270489455</v>
      </c>
      <c r="F7" s="134">
        <f t="shared" si="2"/>
        <v>14560.1076842527</v>
      </c>
      <c r="G7" s="134">
        <f t="shared" si="2"/>
        <v>1245.5936771544</v>
      </c>
      <c r="H7" s="134">
        <f t="shared" si="2"/>
        <v>131.675458353803</v>
      </c>
      <c r="I7" s="134">
        <f t="shared" si="2"/>
        <v>4.64687762306841</v>
      </c>
      <c r="J7" s="134">
        <f t="shared" si="2"/>
        <v>4.69630209991453</v>
      </c>
      <c r="K7" s="134">
        <f t="shared" si="2"/>
        <v>4.74626515703795</v>
      </c>
      <c r="L7" s="134">
        <f t="shared" si="2"/>
        <v>4.79677284527503</v>
      </c>
      <c r="M7" s="134">
        <f t="shared" si="2"/>
        <v>4.84783128594381</v>
      </c>
      <c r="N7" s="134">
        <f t="shared" si="2"/>
        <v>4.8994466717038</v>
      </c>
      <c r="O7" s="134">
        <f t="shared" si="2"/>
        <v>4.95162526741348</v>
      </c>
      <c r="P7" s="134">
        <f t="shared" si="2"/>
        <v>5.00437341101531</v>
      </c>
      <c r="Q7" s="134">
        <f t="shared" si="2"/>
        <v>5.05769751441778</v>
      </c>
      <c r="R7" s="134">
        <f t="shared" si="2"/>
        <v>5.11160406439279</v>
      </c>
      <c r="S7" s="134">
        <f t="shared" si="2"/>
        <v>5.16609962349219</v>
      </c>
      <c r="T7" s="134">
        <f t="shared" si="2"/>
        <v>5.22119083095669</v>
      </c>
      <c r="U7" s="134">
        <f t="shared" si="2"/>
        <v>5.27688440366518</v>
      </c>
      <c r="V7" s="134">
        <f t="shared" si="2"/>
        <v>5.33318713706763</v>
      </c>
      <c r="W7" s="134">
        <f t="shared" si="2"/>
        <v>5.39010590614373</v>
      </c>
      <c r="X7" s="134">
        <f t="shared" si="2"/>
        <v>5.45172752748636</v>
      </c>
      <c r="Y7" s="134">
        <f t="shared" si="2"/>
        <v>5.54189615611733</v>
      </c>
      <c r="Z7" s="134">
        <f t="shared" si="2"/>
        <v>5.55375787675075</v>
      </c>
      <c r="AA7" s="134">
        <f t="shared" si="2"/>
        <v>5.61936103119751</v>
      </c>
    </row>
    <row r="8" s="48" customFormat="1" ht="16.5" customHeight="1" spans="1:27">
      <c r="A8" s="8">
        <v>2.1</v>
      </c>
      <c r="B8" s="8" t="s">
        <v>149</v>
      </c>
      <c r="C8" s="134">
        <f t="shared" si="0"/>
        <v>750.247282992537</v>
      </c>
      <c r="D8" s="13">
        <f t="shared" ref="D8:AA8" si="3">SUM(D9:D11)</f>
        <v>872.730407853119</v>
      </c>
      <c r="E8" s="13">
        <f t="shared" si="3"/>
        <v>77.8270489454667</v>
      </c>
      <c r="F8" s="13">
        <f t="shared" si="3"/>
        <v>5855.10768425269</v>
      </c>
      <c r="G8" s="13">
        <f t="shared" si="3"/>
        <v>-6284.4063228456</v>
      </c>
      <c r="H8" s="13">
        <f t="shared" si="3"/>
        <v>131.675458353803</v>
      </c>
      <c r="I8" s="13">
        <f t="shared" si="3"/>
        <v>4.64687762306841</v>
      </c>
      <c r="J8" s="13">
        <f t="shared" si="3"/>
        <v>4.69630209991453</v>
      </c>
      <c r="K8" s="13">
        <f t="shared" si="3"/>
        <v>4.74626515703795</v>
      </c>
      <c r="L8" s="13">
        <f t="shared" si="3"/>
        <v>4.79677284527503</v>
      </c>
      <c r="M8" s="13">
        <f t="shared" si="3"/>
        <v>4.84783128594381</v>
      </c>
      <c r="N8" s="13">
        <f t="shared" si="3"/>
        <v>4.8994466717038</v>
      </c>
      <c r="O8" s="13">
        <f t="shared" si="3"/>
        <v>4.95162526741348</v>
      </c>
      <c r="P8" s="13">
        <f t="shared" si="3"/>
        <v>5.00437341101531</v>
      </c>
      <c r="Q8" s="13">
        <f t="shared" si="3"/>
        <v>5.05769751441778</v>
      </c>
      <c r="R8" s="13">
        <f t="shared" si="3"/>
        <v>5.11160406439279</v>
      </c>
      <c r="S8" s="13">
        <f t="shared" si="3"/>
        <v>5.16609962349219</v>
      </c>
      <c r="T8" s="13">
        <f t="shared" si="3"/>
        <v>5.22119083095669</v>
      </c>
      <c r="U8" s="13">
        <f t="shared" si="3"/>
        <v>5.27688440366518</v>
      </c>
      <c r="V8" s="13">
        <f t="shared" si="3"/>
        <v>5.33318713706763</v>
      </c>
      <c r="W8" s="13">
        <f t="shared" si="3"/>
        <v>5.39010590614373</v>
      </c>
      <c r="X8" s="13">
        <f t="shared" si="3"/>
        <v>5.45172752748636</v>
      </c>
      <c r="Y8" s="13">
        <f t="shared" si="3"/>
        <v>5.54189615611733</v>
      </c>
      <c r="Z8" s="13">
        <f t="shared" si="3"/>
        <v>5.55375787675075</v>
      </c>
      <c r="AA8" s="13">
        <f t="shared" si="3"/>
        <v>5.61936103119751</v>
      </c>
    </row>
    <row r="9" s="48" customFormat="1" ht="16.5" customHeight="1" spans="1:27">
      <c r="A9" s="8" t="s">
        <v>150</v>
      </c>
      <c r="B9" s="8" t="s">
        <v>151</v>
      </c>
      <c r="C9" s="134">
        <f t="shared" si="0"/>
        <v>-772.732283033972</v>
      </c>
      <c r="D9" s="40">
        <f t="shared" ref="D9:AA9" si="4">D4-D13</f>
        <v>863.411874519786</v>
      </c>
      <c r="E9" s="40">
        <f t="shared" si="4"/>
        <v>-38.9993777212003</v>
      </c>
      <c r="F9" s="40">
        <f t="shared" si="4"/>
        <v>5379.2647296474</v>
      </c>
      <c r="G9" s="40">
        <f t="shared" si="4"/>
        <v>-6976.40950947996</v>
      </c>
      <c r="H9" s="40">
        <f t="shared" si="4"/>
        <v>0</v>
      </c>
      <c r="I9" s="40">
        <f t="shared" si="4"/>
        <v>0</v>
      </c>
      <c r="J9" s="40">
        <f t="shared" si="4"/>
        <v>0</v>
      </c>
      <c r="K9" s="40">
        <f t="shared" si="4"/>
        <v>0</v>
      </c>
      <c r="L9" s="40">
        <f t="shared" si="4"/>
        <v>0</v>
      </c>
      <c r="M9" s="40">
        <f t="shared" si="4"/>
        <v>0</v>
      </c>
      <c r="N9" s="40">
        <f t="shared" si="4"/>
        <v>0</v>
      </c>
      <c r="O9" s="40">
        <f t="shared" si="4"/>
        <v>0</v>
      </c>
      <c r="P9" s="40">
        <f t="shared" si="4"/>
        <v>0</v>
      </c>
      <c r="Q9" s="40">
        <f t="shared" si="4"/>
        <v>0</v>
      </c>
      <c r="R9" s="40">
        <f t="shared" si="4"/>
        <v>0</v>
      </c>
      <c r="S9" s="40">
        <f t="shared" si="4"/>
        <v>0</v>
      </c>
      <c r="T9" s="40">
        <f t="shared" si="4"/>
        <v>0</v>
      </c>
      <c r="U9" s="40">
        <f t="shared" si="4"/>
        <v>0</v>
      </c>
      <c r="V9" s="40">
        <f t="shared" si="4"/>
        <v>0</v>
      </c>
      <c r="W9" s="40">
        <f t="shared" si="4"/>
        <v>0</v>
      </c>
      <c r="X9" s="40">
        <f t="shared" si="4"/>
        <v>0</v>
      </c>
      <c r="Y9" s="40">
        <f t="shared" si="4"/>
        <v>0</v>
      </c>
      <c r="Z9" s="40">
        <f t="shared" si="4"/>
        <v>0</v>
      </c>
      <c r="AA9" s="40">
        <f t="shared" si="4"/>
        <v>0</v>
      </c>
    </row>
    <row r="10" s="48" customFormat="1" ht="16.5" customHeight="1" spans="1:27">
      <c r="A10" s="8" t="s">
        <v>152</v>
      </c>
      <c r="B10" s="8" t="s">
        <v>153</v>
      </c>
      <c r="C10" s="134">
        <f t="shared" si="0"/>
        <v>980.681333333333</v>
      </c>
      <c r="D10" s="38">
        <f t="shared" ref="D10:AA10" si="5">D5</f>
        <v>9.31853333333333</v>
      </c>
      <c r="E10" s="38">
        <f t="shared" si="5"/>
        <v>116.826426666667</v>
      </c>
      <c r="F10" s="38">
        <f t="shared" si="5"/>
        <v>339.654453333333</v>
      </c>
      <c r="G10" s="38">
        <f t="shared" si="5"/>
        <v>514.88192</v>
      </c>
      <c r="H10" s="38">
        <f t="shared" si="5"/>
        <v>0</v>
      </c>
      <c r="I10" s="38">
        <f t="shared" si="5"/>
        <v>0</v>
      </c>
      <c r="J10" s="38">
        <f t="shared" si="5"/>
        <v>0</v>
      </c>
      <c r="K10" s="38">
        <f t="shared" si="5"/>
        <v>0</v>
      </c>
      <c r="L10" s="38">
        <f t="shared" si="5"/>
        <v>0</v>
      </c>
      <c r="M10" s="38">
        <f t="shared" si="5"/>
        <v>0</v>
      </c>
      <c r="N10" s="38">
        <f t="shared" si="5"/>
        <v>0</v>
      </c>
      <c r="O10" s="38">
        <f t="shared" si="5"/>
        <v>0</v>
      </c>
      <c r="P10" s="38">
        <f t="shared" si="5"/>
        <v>0</v>
      </c>
      <c r="Q10" s="38">
        <f t="shared" si="5"/>
        <v>0</v>
      </c>
      <c r="R10" s="38">
        <f t="shared" si="5"/>
        <v>0</v>
      </c>
      <c r="S10" s="38">
        <f t="shared" si="5"/>
        <v>0</v>
      </c>
      <c r="T10" s="38">
        <f t="shared" si="5"/>
        <v>0</v>
      </c>
      <c r="U10" s="38">
        <f t="shared" si="5"/>
        <v>0</v>
      </c>
      <c r="V10" s="38">
        <f t="shared" si="5"/>
        <v>0</v>
      </c>
      <c r="W10" s="38">
        <f t="shared" si="5"/>
        <v>0</v>
      </c>
      <c r="X10" s="38">
        <f t="shared" si="5"/>
        <v>0</v>
      </c>
      <c r="Y10" s="38">
        <f t="shared" si="5"/>
        <v>0</v>
      </c>
      <c r="Z10" s="38">
        <f t="shared" si="5"/>
        <v>0</v>
      </c>
      <c r="AA10" s="38">
        <f t="shared" si="5"/>
        <v>0</v>
      </c>
    </row>
    <row r="11" s="48" customFormat="1" ht="16.5" customHeight="1" spans="1:27">
      <c r="A11" s="8" t="s">
        <v>154</v>
      </c>
      <c r="B11" s="8" t="s">
        <v>155</v>
      </c>
      <c r="C11" s="134">
        <f t="shared" si="0"/>
        <v>542.298232693175</v>
      </c>
      <c r="D11" s="38">
        <f>D6*A财务假设!$D$13</f>
        <v>0</v>
      </c>
      <c r="E11" s="38">
        <f>E6*A财务假设!$D$13</f>
        <v>0</v>
      </c>
      <c r="F11" s="38">
        <f>F6*A财务假设!$D$13</f>
        <v>136.188501271955</v>
      </c>
      <c r="G11" s="38">
        <f>G6*A财务假设!$D$13</f>
        <v>177.121266634357</v>
      </c>
      <c r="H11" s="38">
        <f>H6*A财务假设!$D$13</f>
        <v>131.675458353803</v>
      </c>
      <c r="I11" s="38">
        <f>I6*A财务假设!$D$13</f>
        <v>4.64687762306841</v>
      </c>
      <c r="J11" s="38">
        <f>J6*A财务假设!$D$13</f>
        <v>4.69630209991453</v>
      </c>
      <c r="K11" s="38">
        <f>K6*A财务假设!$D$13</f>
        <v>4.74626515703795</v>
      </c>
      <c r="L11" s="38">
        <f>L6*A财务假设!$D$13</f>
        <v>4.79677284527503</v>
      </c>
      <c r="M11" s="38">
        <f>M6*A财务假设!$D$13</f>
        <v>4.84783128594381</v>
      </c>
      <c r="N11" s="38">
        <f>N6*A财务假设!$D$13</f>
        <v>4.8994466717038</v>
      </c>
      <c r="O11" s="38">
        <f>O6*A财务假设!$D$13</f>
        <v>4.95162526741348</v>
      </c>
      <c r="P11" s="38">
        <f>P6*A财务假设!$D$13</f>
        <v>5.00437341101531</v>
      </c>
      <c r="Q11" s="38">
        <f>Q6*A财务假设!$D$13</f>
        <v>5.05769751441778</v>
      </c>
      <c r="R11" s="38">
        <f>R6*A财务假设!$D$13</f>
        <v>5.11160406439279</v>
      </c>
      <c r="S11" s="38">
        <f>S6*A财务假设!$D$13</f>
        <v>5.16609962349219</v>
      </c>
      <c r="T11" s="38">
        <f>T6*A财务假设!$D$13</f>
        <v>5.22119083095669</v>
      </c>
      <c r="U11" s="38">
        <f>U6*A财务假设!$D$13</f>
        <v>5.27688440366518</v>
      </c>
      <c r="V11" s="38">
        <f>V6*A财务假设!$D$13</f>
        <v>5.33318713706763</v>
      </c>
      <c r="W11" s="38">
        <f>W6*A财务假设!$D$13</f>
        <v>5.39010590614373</v>
      </c>
      <c r="X11" s="38">
        <f>X6*A财务假设!$D$13</f>
        <v>5.45172752748636</v>
      </c>
      <c r="Y11" s="38">
        <f>Y6*A财务假设!$D$13</f>
        <v>5.54189615611733</v>
      </c>
      <c r="Z11" s="38">
        <f>Z6*A财务假设!$D$13</f>
        <v>5.55375787675075</v>
      </c>
      <c r="AA11" s="38">
        <f>AA6*A财务假设!$D$13</f>
        <v>5.61936103119751</v>
      </c>
    </row>
    <row r="12" s="48" customFormat="1" ht="16.5" customHeight="1" spans="1:27">
      <c r="A12" s="8">
        <v>2.2</v>
      </c>
      <c r="B12" s="8" t="s">
        <v>156</v>
      </c>
      <c r="C12" s="134">
        <f t="shared" si="0"/>
        <v>29000</v>
      </c>
      <c r="D12" s="13">
        <f>(C.2项目每年借款信息!C7)</f>
        <v>1175</v>
      </c>
      <c r="E12" s="13">
        <f>(C.2项目每年借款信息!D7)</f>
        <v>11590</v>
      </c>
      <c r="F12" s="13">
        <f>(C.2项目每年借款信息!E7)</f>
        <v>8705</v>
      </c>
      <c r="G12" s="13">
        <f>(C.2项目每年借款信息!F7)</f>
        <v>7530</v>
      </c>
      <c r="H12" s="13">
        <f>(C.2项目每年借款信息!G7)</f>
        <v>0</v>
      </c>
      <c r="I12" s="13">
        <f>(C.2项目每年借款信息!H7)</f>
        <v>0</v>
      </c>
      <c r="J12" s="13">
        <f>(C.2项目每年借款信息!I7)</f>
        <v>0</v>
      </c>
      <c r="K12" s="13">
        <f>(C.2项目每年借款信息!J7)</f>
        <v>0</v>
      </c>
      <c r="L12" s="13">
        <f>(C.2项目每年借款信息!K7)</f>
        <v>0</v>
      </c>
      <c r="M12" s="13">
        <f>(C.2项目每年借款信息!L7)</f>
        <v>0</v>
      </c>
      <c r="N12" s="13">
        <f>(C.2项目每年借款信息!M7)</f>
        <v>0</v>
      </c>
      <c r="O12" s="13">
        <f>(C.2项目每年借款信息!N7)</f>
        <v>0</v>
      </c>
      <c r="P12" s="13">
        <f>(C.2项目每年借款信息!O7)</f>
        <v>0</v>
      </c>
      <c r="Q12" s="13">
        <f>(C.2项目每年借款信息!P7)</f>
        <v>0</v>
      </c>
      <c r="R12" s="13">
        <f>(C.2项目每年借款信息!Q7)</f>
        <v>0</v>
      </c>
      <c r="S12" s="13">
        <f>(C.2项目每年借款信息!R7)</f>
        <v>0</v>
      </c>
      <c r="T12" s="13">
        <f>(C.2项目每年借款信息!S7)</f>
        <v>0</v>
      </c>
      <c r="U12" s="13">
        <f>(C.2项目每年借款信息!T7)</f>
        <v>0</v>
      </c>
      <c r="V12" s="13">
        <f>(C.2项目每年借款信息!U7)</f>
        <v>0</v>
      </c>
      <c r="W12" s="13">
        <f>(C.2项目每年借款信息!V7)</f>
        <v>0</v>
      </c>
      <c r="X12" s="13">
        <f>(C.2项目每年借款信息!W7)</f>
        <v>0</v>
      </c>
      <c r="Y12" s="13">
        <f>(C.2项目每年借款信息!X7)</f>
        <v>0</v>
      </c>
      <c r="Z12" s="13">
        <f>(C.2项目每年借款信息!Y7)</f>
        <v>0</v>
      </c>
      <c r="AA12" s="13">
        <f>(C.2项目每年借款信息!Z7)</f>
        <v>0</v>
      </c>
    </row>
    <row r="13" s="48" customFormat="1" ht="16.5" customHeight="1" spans="1:27">
      <c r="A13" s="8" t="s">
        <v>157</v>
      </c>
      <c r="B13" s="8" t="s">
        <v>151</v>
      </c>
      <c r="C13" s="134">
        <f t="shared" si="0"/>
        <v>29000</v>
      </c>
      <c r="D13" s="40">
        <f t="shared" ref="D13:AA13" si="6">D12-D14-D15-D16</f>
        <v>1175</v>
      </c>
      <c r="E13" s="40">
        <f t="shared" si="6"/>
        <v>11590</v>
      </c>
      <c r="F13" s="40">
        <f t="shared" si="6"/>
        <v>8705</v>
      </c>
      <c r="G13" s="40">
        <f t="shared" si="6"/>
        <v>7530</v>
      </c>
      <c r="H13" s="40">
        <f t="shared" si="6"/>
        <v>0</v>
      </c>
      <c r="I13" s="40">
        <f t="shared" si="6"/>
        <v>0</v>
      </c>
      <c r="J13" s="40">
        <f t="shared" si="6"/>
        <v>0</v>
      </c>
      <c r="K13" s="40">
        <f t="shared" si="6"/>
        <v>0</v>
      </c>
      <c r="L13" s="40">
        <f t="shared" si="6"/>
        <v>0</v>
      </c>
      <c r="M13" s="40">
        <f t="shared" si="6"/>
        <v>0</v>
      </c>
      <c r="N13" s="40">
        <f t="shared" si="6"/>
        <v>0</v>
      </c>
      <c r="O13" s="40">
        <f t="shared" si="6"/>
        <v>0</v>
      </c>
      <c r="P13" s="40">
        <f t="shared" si="6"/>
        <v>0</v>
      </c>
      <c r="Q13" s="40">
        <f t="shared" si="6"/>
        <v>0</v>
      </c>
      <c r="R13" s="40">
        <f t="shared" si="6"/>
        <v>0</v>
      </c>
      <c r="S13" s="40">
        <f t="shared" si="6"/>
        <v>0</v>
      </c>
      <c r="T13" s="40">
        <f t="shared" si="6"/>
        <v>0</v>
      </c>
      <c r="U13" s="40">
        <f t="shared" si="6"/>
        <v>0</v>
      </c>
      <c r="V13" s="40">
        <f t="shared" si="6"/>
        <v>0</v>
      </c>
      <c r="W13" s="40">
        <f t="shared" si="6"/>
        <v>0</v>
      </c>
      <c r="X13" s="40">
        <f t="shared" si="6"/>
        <v>0</v>
      </c>
      <c r="Y13" s="40">
        <f t="shared" si="6"/>
        <v>0</v>
      </c>
      <c r="Z13" s="40">
        <f t="shared" si="6"/>
        <v>0</v>
      </c>
      <c r="AA13" s="40">
        <f t="shared" si="6"/>
        <v>0</v>
      </c>
    </row>
    <row r="14" s="48" customFormat="1" ht="16.5" customHeight="1" spans="1:27">
      <c r="A14" s="8" t="s">
        <v>158</v>
      </c>
      <c r="B14" s="8" t="s">
        <v>153</v>
      </c>
      <c r="C14" s="134">
        <f t="shared" si="0"/>
        <v>0</v>
      </c>
      <c r="D14" s="38">
        <v>0</v>
      </c>
      <c r="E14" s="38">
        <v>0</v>
      </c>
      <c r="F14" s="38">
        <v>0</v>
      </c>
      <c r="G14" s="38">
        <v>0</v>
      </c>
      <c r="H14" s="38">
        <v>0</v>
      </c>
      <c r="I14" s="38">
        <v>0</v>
      </c>
      <c r="J14" s="38">
        <v>0</v>
      </c>
      <c r="K14" s="38">
        <v>0</v>
      </c>
      <c r="L14" s="38">
        <v>0</v>
      </c>
      <c r="M14" s="38">
        <v>0</v>
      </c>
      <c r="N14" s="38">
        <v>0</v>
      </c>
      <c r="O14" s="38">
        <v>0</v>
      </c>
      <c r="P14" s="38">
        <v>0</v>
      </c>
      <c r="Q14" s="38">
        <v>0</v>
      </c>
      <c r="R14" s="38">
        <v>0</v>
      </c>
      <c r="S14" s="38">
        <v>0</v>
      </c>
      <c r="T14" s="38">
        <v>0</v>
      </c>
      <c r="U14" s="38">
        <v>0</v>
      </c>
      <c r="V14" s="38">
        <v>0</v>
      </c>
      <c r="W14" s="38">
        <v>0</v>
      </c>
      <c r="X14" s="38">
        <v>0</v>
      </c>
      <c r="Y14" s="38">
        <v>0</v>
      </c>
      <c r="Z14" s="38">
        <v>0</v>
      </c>
      <c r="AA14" s="38">
        <v>0</v>
      </c>
    </row>
    <row r="15" s="48" customFormat="1" ht="16.5" customHeight="1" spans="1:27">
      <c r="A15" s="8" t="s">
        <v>159</v>
      </c>
      <c r="B15" s="8" t="s">
        <v>155</v>
      </c>
      <c r="C15" s="134">
        <f t="shared" si="0"/>
        <v>0</v>
      </c>
      <c r="D15" s="38">
        <f t="shared" ref="D15:AA15" si="7">D6-D11</f>
        <v>0</v>
      </c>
      <c r="E15" s="38">
        <f t="shared" si="7"/>
        <v>0</v>
      </c>
      <c r="F15" s="38">
        <f t="shared" si="7"/>
        <v>0</v>
      </c>
      <c r="G15" s="38">
        <f t="shared" si="7"/>
        <v>0</v>
      </c>
      <c r="H15" s="38">
        <f t="shared" si="7"/>
        <v>0</v>
      </c>
      <c r="I15" s="38">
        <f t="shared" si="7"/>
        <v>0</v>
      </c>
      <c r="J15" s="38">
        <f t="shared" si="7"/>
        <v>0</v>
      </c>
      <c r="K15" s="38">
        <f t="shared" si="7"/>
        <v>0</v>
      </c>
      <c r="L15" s="38">
        <f t="shared" si="7"/>
        <v>0</v>
      </c>
      <c r="M15" s="38">
        <f t="shared" si="7"/>
        <v>0</v>
      </c>
      <c r="N15" s="38">
        <f t="shared" si="7"/>
        <v>0</v>
      </c>
      <c r="O15" s="38">
        <f t="shared" si="7"/>
        <v>0</v>
      </c>
      <c r="P15" s="38">
        <f t="shared" si="7"/>
        <v>0</v>
      </c>
      <c r="Q15" s="38">
        <f t="shared" si="7"/>
        <v>0</v>
      </c>
      <c r="R15" s="38">
        <f t="shared" si="7"/>
        <v>0</v>
      </c>
      <c r="S15" s="38">
        <f t="shared" si="7"/>
        <v>0</v>
      </c>
      <c r="T15" s="38">
        <f t="shared" si="7"/>
        <v>0</v>
      </c>
      <c r="U15" s="38">
        <f t="shared" si="7"/>
        <v>0</v>
      </c>
      <c r="V15" s="38">
        <f t="shared" si="7"/>
        <v>0</v>
      </c>
      <c r="W15" s="38">
        <f t="shared" si="7"/>
        <v>0</v>
      </c>
      <c r="X15" s="38">
        <f t="shared" si="7"/>
        <v>0</v>
      </c>
      <c r="Y15" s="38">
        <f t="shared" si="7"/>
        <v>0</v>
      </c>
      <c r="Z15" s="38">
        <f t="shared" si="7"/>
        <v>0</v>
      </c>
      <c r="AA15" s="38">
        <f t="shared" si="7"/>
        <v>0</v>
      </c>
    </row>
    <row r="16" s="48" customFormat="1" ht="16.5" customHeight="1" spans="1:27">
      <c r="A16" s="8">
        <v>2.3</v>
      </c>
      <c r="B16" s="8" t="s">
        <v>160</v>
      </c>
      <c r="C16" s="134">
        <f t="shared" si="0"/>
        <v>0</v>
      </c>
      <c r="D16" s="38">
        <v>0</v>
      </c>
      <c r="E16" s="38">
        <v>0</v>
      </c>
      <c r="F16" s="38">
        <v>0</v>
      </c>
      <c r="G16" s="38">
        <v>0</v>
      </c>
      <c r="H16" s="38">
        <v>0</v>
      </c>
      <c r="I16" s="38">
        <v>0</v>
      </c>
      <c r="J16" s="38">
        <v>0</v>
      </c>
      <c r="K16" s="38">
        <v>0</v>
      </c>
      <c r="L16" s="38">
        <v>0</v>
      </c>
      <c r="M16" s="38">
        <v>0</v>
      </c>
      <c r="N16" s="38">
        <v>0</v>
      </c>
      <c r="O16" s="38">
        <v>0</v>
      </c>
      <c r="P16" s="38">
        <v>0</v>
      </c>
      <c r="Q16" s="38">
        <v>0</v>
      </c>
      <c r="R16" s="38">
        <v>0</v>
      </c>
      <c r="S16" s="38">
        <v>0</v>
      </c>
      <c r="T16" s="38">
        <v>0</v>
      </c>
      <c r="U16" s="38">
        <v>0</v>
      </c>
      <c r="V16" s="38">
        <v>0</v>
      </c>
      <c r="W16" s="38">
        <v>0</v>
      </c>
      <c r="X16" s="38">
        <v>0</v>
      </c>
      <c r="Y16" s="38">
        <v>0</v>
      </c>
      <c r="Z16" s="38">
        <v>0</v>
      </c>
      <c r="AA16" s="38">
        <v>0</v>
      </c>
    </row>
    <row r="17" s="48" customFormat="1" ht="16.5" customHeight="1" spans="1:27">
      <c r="A17" s="133">
        <v>3</v>
      </c>
      <c r="B17" s="133" t="s">
        <v>161</v>
      </c>
      <c r="C17" s="134">
        <f>SUM(C18:C20)</f>
        <v>750.247282992536</v>
      </c>
      <c r="D17" s="134" t="s">
        <v>162</v>
      </c>
      <c r="E17" s="134" t="s">
        <v>162</v>
      </c>
      <c r="F17" s="134" t="s">
        <v>162</v>
      </c>
      <c r="G17" s="134" t="s">
        <v>162</v>
      </c>
      <c r="H17" s="134" t="s">
        <v>162</v>
      </c>
      <c r="I17" s="134" t="s">
        <v>162</v>
      </c>
      <c r="J17" s="134" t="s">
        <v>162</v>
      </c>
      <c r="K17" s="134" t="s">
        <v>162</v>
      </c>
      <c r="L17" s="134" t="s">
        <v>162</v>
      </c>
      <c r="M17" s="134" t="s">
        <v>162</v>
      </c>
      <c r="N17" s="134" t="s">
        <v>162</v>
      </c>
      <c r="O17" s="134" t="s">
        <v>162</v>
      </c>
      <c r="P17" s="134" t="s">
        <v>162</v>
      </c>
      <c r="Q17" s="134" t="s">
        <v>162</v>
      </c>
      <c r="R17" s="134" t="s">
        <v>162</v>
      </c>
      <c r="S17" s="134" t="s">
        <v>162</v>
      </c>
      <c r="T17" s="134" t="s">
        <v>162</v>
      </c>
      <c r="U17" s="134" t="s">
        <v>162</v>
      </c>
      <c r="V17" s="134" t="s">
        <v>162</v>
      </c>
      <c r="W17" s="134" t="s">
        <v>162</v>
      </c>
      <c r="X17" s="134" t="s">
        <v>162</v>
      </c>
      <c r="Y17" s="134" t="s">
        <v>162</v>
      </c>
      <c r="Z17" s="134" t="s">
        <v>162</v>
      </c>
      <c r="AA17" s="134" t="s">
        <v>162</v>
      </c>
    </row>
    <row r="18" s="48" customFormat="1" ht="16.5" customHeight="1" spans="1:27">
      <c r="A18" s="8">
        <v>3.1</v>
      </c>
      <c r="B18" s="8" t="s">
        <v>146</v>
      </c>
      <c r="C18" s="13">
        <f>C9</f>
        <v>-772.732283033972</v>
      </c>
      <c r="D18" s="13" t="s">
        <v>162</v>
      </c>
      <c r="E18" s="13" t="s">
        <v>162</v>
      </c>
      <c r="F18" s="13" t="s">
        <v>162</v>
      </c>
      <c r="G18" s="13" t="s">
        <v>162</v>
      </c>
      <c r="H18" s="13" t="s">
        <v>162</v>
      </c>
      <c r="I18" s="13" t="s">
        <v>162</v>
      </c>
      <c r="J18" s="13" t="s">
        <v>162</v>
      </c>
      <c r="K18" s="13" t="s">
        <v>162</v>
      </c>
      <c r="L18" s="13" t="s">
        <v>162</v>
      </c>
      <c r="M18" s="13" t="s">
        <v>162</v>
      </c>
      <c r="N18" s="13" t="s">
        <v>162</v>
      </c>
      <c r="O18" s="13" t="s">
        <v>162</v>
      </c>
      <c r="P18" s="13" t="s">
        <v>162</v>
      </c>
      <c r="Q18" s="13" t="s">
        <v>162</v>
      </c>
      <c r="R18" s="13" t="s">
        <v>162</v>
      </c>
      <c r="S18" s="13" t="s">
        <v>162</v>
      </c>
      <c r="T18" s="13" t="s">
        <v>162</v>
      </c>
      <c r="U18" s="13" t="s">
        <v>162</v>
      </c>
      <c r="V18" s="13" t="s">
        <v>162</v>
      </c>
      <c r="W18" s="13" t="s">
        <v>162</v>
      </c>
      <c r="X18" s="13" t="s">
        <v>162</v>
      </c>
      <c r="Y18" s="13" t="s">
        <v>162</v>
      </c>
      <c r="Z18" s="13" t="s">
        <v>162</v>
      </c>
      <c r="AA18" s="13" t="s">
        <v>162</v>
      </c>
    </row>
    <row r="19" s="48" customFormat="1" ht="16.5" customHeight="1" spans="1:27">
      <c r="A19" s="8">
        <v>3.2</v>
      </c>
      <c r="B19" s="8" t="s">
        <v>141</v>
      </c>
      <c r="C19" s="13">
        <f>C10</f>
        <v>980.681333333333</v>
      </c>
      <c r="D19" s="13" t="s">
        <v>162</v>
      </c>
      <c r="E19" s="13" t="s">
        <v>162</v>
      </c>
      <c r="F19" s="13" t="s">
        <v>162</v>
      </c>
      <c r="G19" s="13" t="s">
        <v>162</v>
      </c>
      <c r="H19" s="13" t="s">
        <v>162</v>
      </c>
      <c r="I19" s="13" t="s">
        <v>162</v>
      </c>
      <c r="J19" s="13" t="s">
        <v>162</v>
      </c>
      <c r="K19" s="13" t="s">
        <v>162</v>
      </c>
      <c r="L19" s="13" t="s">
        <v>162</v>
      </c>
      <c r="M19" s="13" t="s">
        <v>162</v>
      </c>
      <c r="N19" s="13" t="s">
        <v>162</v>
      </c>
      <c r="O19" s="13" t="s">
        <v>162</v>
      </c>
      <c r="P19" s="13" t="s">
        <v>162</v>
      </c>
      <c r="Q19" s="13" t="s">
        <v>162</v>
      </c>
      <c r="R19" s="13" t="s">
        <v>162</v>
      </c>
      <c r="S19" s="13" t="s">
        <v>162</v>
      </c>
      <c r="T19" s="13" t="s">
        <v>162</v>
      </c>
      <c r="U19" s="13" t="s">
        <v>162</v>
      </c>
      <c r="V19" s="13" t="s">
        <v>162</v>
      </c>
      <c r="W19" s="13" t="s">
        <v>162</v>
      </c>
      <c r="X19" s="13" t="s">
        <v>162</v>
      </c>
      <c r="Y19" s="13" t="s">
        <v>162</v>
      </c>
      <c r="Z19" s="13" t="s">
        <v>162</v>
      </c>
      <c r="AA19" s="13" t="s">
        <v>162</v>
      </c>
    </row>
    <row r="20" s="48" customFormat="1" ht="16.5" customHeight="1" spans="1:27">
      <c r="A20" s="8">
        <v>3.3</v>
      </c>
      <c r="B20" s="8" t="s">
        <v>163</v>
      </c>
      <c r="C20" s="13">
        <f>C11</f>
        <v>542.298232693175</v>
      </c>
      <c r="D20" s="13" t="s">
        <v>162</v>
      </c>
      <c r="E20" s="13" t="s">
        <v>162</v>
      </c>
      <c r="F20" s="13" t="s">
        <v>162</v>
      </c>
      <c r="G20" s="13" t="s">
        <v>162</v>
      </c>
      <c r="H20" s="13" t="s">
        <v>162</v>
      </c>
      <c r="I20" s="13" t="s">
        <v>162</v>
      </c>
      <c r="J20" s="13" t="s">
        <v>162</v>
      </c>
      <c r="K20" s="13" t="s">
        <v>162</v>
      </c>
      <c r="L20" s="13" t="s">
        <v>162</v>
      </c>
      <c r="M20" s="13" t="s">
        <v>162</v>
      </c>
      <c r="N20" s="13" t="s">
        <v>162</v>
      </c>
      <c r="O20" s="13" t="s">
        <v>162</v>
      </c>
      <c r="P20" s="13" t="s">
        <v>162</v>
      </c>
      <c r="Q20" s="13" t="s">
        <v>162</v>
      </c>
      <c r="R20" s="13" t="s">
        <v>162</v>
      </c>
      <c r="S20" s="13" t="s">
        <v>162</v>
      </c>
      <c r="T20" s="13" t="s">
        <v>162</v>
      </c>
      <c r="U20" s="13" t="s">
        <v>162</v>
      </c>
      <c r="V20" s="13" t="s">
        <v>162</v>
      </c>
      <c r="W20" s="13" t="s">
        <v>162</v>
      </c>
      <c r="X20" s="13" t="s">
        <v>162</v>
      </c>
      <c r="Y20" s="13" t="s">
        <v>162</v>
      </c>
      <c r="Z20" s="13" t="s">
        <v>162</v>
      </c>
      <c r="AA20" s="13" t="s">
        <v>162</v>
      </c>
    </row>
    <row r="21" s="48" customFormat="1" ht="16.5" customHeight="1" spans="1:27">
      <c r="A21" s="133">
        <v>4</v>
      </c>
      <c r="B21" s="85" t="s">
        <v>164</v>
      </c>
      <c r="C21" s="169">
        <f>C17/C3</f>
        <v>0.0252181864525689</v>
      </c>
      <c r="D21" s="169" t="s">
        <v>162</v>
      </c>
      <c r="E21" s="169" t="s">
        <v>162</v>
      </c>
      <c r="F21" s="169" t="s">
        <v>162</v>
      </c>
      <c r="G21" s="169" t="s">
        <v>162</v>
      </c>
      <c r="H21" s="169" t="s">
        <v>162</v>
      </c>
      <c r="I21" s="169" t="s">
        <v>162</v>
      </c>
      <c r="J21" s="169" t="s">
        <v>162</v>
      </c>
      <c r="K21" s="169" t="s">
        <v>162</v>
      </c>
      <c r="L21" s="169" t="s">
        <v>162</v>
      </c>
      <c r="M21" s="169" t="s">
        <v>162</v>
      </c>
      <c r="N21" s="169" t="s">
        <v>162</v>
      </c>
      <c r="O21" s="169" t="s">
        <v>162</v>
      </c>
      <c r="P21" s="169" t="s">
        <v>162</v>
      </c>
      <c r="Q21" s="169" t="s">
        <v>162</v>
      </c>
      <c r="R21" s="169" t="s">
        <v>162</v>
      </c>
      <c r="S21" s="169" t="s">
        <v>162</v>
      </c>
      <c r="T21" s="169" t="s">
        <v>162</v>
      </c>
      <c r="U21" s="169" t="s">
        <v>162</v>
      </c>
      <c r="V21" s="169" t="s">
        <v>162</v>
      </c>
      <c r="W21" s="169" t="s">
        <v>162</v>
      </c>
      <c r="X21" s="169" t="s">
        <v>162</v>
      </c>
      <c r="Y21" s="169" t="s">
        <v>162</v>
      </c>
      <c r="Z21" s="169" t="s">
        <v>162</v>
      </c>
      <c r="AA21" s="169" t="s">
        <v>162</v>
      </c>
    </row>
    <row r="22" s="165" customFormat="1" ht="14" customHeight="1" spans="9:9">
      <c r="I22"/>
    </row>
  </sheetData>
  <mergeCells count="1">
    <mergeCell ref="A1:H1"/>
  </mergeCells>
  <pageMargins left="0.75" right="0.75" top="1" bottom="1" header="0.5" footer="0.5"/>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FF00"/>
  </sheetPr>
  <dimension ref="A1:I21"/>
  <sheetViews>
    <sheetView zoomScale="85" zoomScaleNormal="85" workbookViewId="0">
      <selection activeCell="B18" sqref="B18"/>
    </sheetView>
  </sheetViews>
  <sheetFormatPr defaultColWidth="33.6636363636364" defaultRowHeight="14"/>
  <cols>
    <col min="1" max="1" width="6" style="1" customWidth="1"/>
    <col min="2" max="2" width="19.3363636363636" style="1" customWidth="1"/>
    <col min="3" max="3" width="56.8909090909091" style="1" customWidth="1"/>
    <col min="4" max="4" width="14.5545454545455" style="1" customWidth="1"/>
    <col min="5" max="5" width="26.3363636363636" style="1" customWidth="1"/>
    <col min="6" max="6" width="27" style="1" customWidth="1"/>
    <col min="7" max="8" width="26" style="1" customWidth="1"/>
  </cols>
  <sheetData>
    <row r="1" s="48" customFormat="1" ht="22.5" customHeight="1" spans="1:9">
      <c r="A1" s="59" t="s">
        <v>165</v>
      </c>
      <c r="B1" s="3"/>
      <c r="C1" s="3"/>
      <c r="D1" s="3"/>
      <c r="E1" s="3"/>
      <c r="F1" s="3"/>
      <c r="G1" s="3"/>
      <c r="H1" s="4"/>
      <c r="I1"/>
    </row>
    <row r="2" s="48" customFormat="1" ht="16.5" customHeight="1" spans="1:8">
      <c r="A2" s="5" t="s">
        <v>1</v>
      </c>
      <c r="B2" s="5" t="s">
        <v>166</v>
      </c>
      <c r="C2" s="5" t="s">
        <v>167</v>
      </c>
      <c r="D2" s="5" t="s">
        <v>88</v>
      </c>
      <c r="E2" s="33">
        <v>2025</v>
      </c>
      <c r="F2" s="33">
        <v>2026</v>
      </c>
      <c r="G2" s="33">
        <v>2027</v>
      </c>
      <c r="H2" s="33">
        <v>2028</v>
      </c>
    </row>
    <row r="3" s="48" customFormat="1" ht="16.5" customHeight="1" spans="1:8">
      <c r="A3" s="8" t="s">
        <v>90</v>
      </c>
      <c r="B3" s="8" t="s">
        <v>168</v>
      </c>
      <c r="C3" s="8"/>
      <c r="D3" s="13">
        <f>SUM(D4+D8)</f>
        <v>24474.93</v>
      </c>
      <c r="E3" s="13">
        <f>E4+E8</f>
        <v>1767.4395</v>
      </c>
      <c r="F3" s="13">
        <f>F4+F8</f>
        <v>10015.4905</v>
      </c>
      <c r="G3" s="13">
        <f>G4+G8</f>
        <v>12212</v>
      </c>
      <c r="H3" s="13">
        <f>H4+H8</f>
        <v>480</v>
      </c>
    </row>
    <row r="4" s="48" customFormat="1" ht="16.5" customHeight="1" spans="1:8">
      <c r="A4" s="133">
        <v>1</v>
      </c>
      <c r="B4" s="133" t="s">
        <v>169</v>
      </c>
      <c r="C4" s="133"/>
      <c r="D4" s="134">
        <f>SUM(D5:D7)</f>
        <v>19534.93</v>
      </c>
      <c r="E4" s="134">
        <f>E5+E6+E7</f>
        <v>1267.9395</v>
      </c>
      <c r="F4" s="134">
        <f>F5+F6+F7</f>
        <v>7184.9905</v>
      </c>
      <c r="G4" s="134">
        <f>G5+G6+G7</f>
        <v>10602</v>
      </c>
      <c r="H4" s="134">
        <f>H5+H6+H7</f>
        <v>480</v>
      </c>
    </row>
    <row r="5" s="48" customFormat="1" ht="66" customHeight="1" spans="1:8">
      <c r="A5" s="8">
        <v>1.1</v>
      </c>
      <c r="B5" s="12" t="s">
        <v>170</v>
      </c>
      <c r="C5" s="73" t="s">
        <v>171</v>
      </c>
      <c r="D5" s="13">
        <f>SUM(E5:H5)</f>
        <v>9772</v>
      </c>
      <c r="E5" s="38">
        <v>260.4</v>
      </c>
      <c r="F5" s="38">
        <v>1475.6</v>
      </c>
      <c r="G5" s="38">
        <v>7796</v>
      </c>
      <c r="H5" s="38">
        <v>240</v>
      </c>
    </row>
    <row r="6" s="48" customFormat="1" ht="16.5" customHeight="1" spans="1:8">
      <c r="A6" s="8">
        <v>1.2</v>
      </c>
      <c r="B6" s="12" t="s">
        <v>172</v>
      </c>
      <c r="C6" s="8"/>
      <c r="D6" s="13">
        <f>SUM(E6:H6)</f>
        <v>9762.93</v>
      </c>
      <c r="E6" s="38">
        <v>1007.5395</v>
      </c>
      <c r="F6" s="38">
        <v>5709.3905</v>
      </c>
      <c r="G6" s="38">
        <v>2806</v>
      </c>
      <c r="H6" s="38">
        <v>240</v>
      </c>
    </row>
    <row r="7" s="48" customFormat="1" ht="33" customHeight="1" spans="1:8">
      <c r="A7" s="8">
        <v>1.3</v>
      </c>
      <c r="B7" s="12" t="s">
        <v>173</v>
      </c>
      <c r="C7" s="73" t="s">
        <v>174</v>
      </c>
      <c r="D7" s="13">
        <f>SUM(E7:H7)</f>
        <v>0</v>
      </c>
      <c r="E7" s="38"/>
      <c r="F7" s="38"/>
      <c r="G7" s="38"/>
      <c r="H7" s="38"/>
    </row>
    <row r="8" s="48" customFormat="1" ht="16.5" customHeight="1" spans="1:8">
      <c r="A8" s="133">
        <v>2</v>
      </c>
      <c r="B8" s="133" t="s">
        <v>175</v>
      </c>
      <c r="C8" s="133"/>
      <c r="D8" s="134">
        <f>SUM(D9:D12)</f>
        <v>4940</v>
      </c>
      <c r="E8" s="134">
        <f>SUM(E9:E12)</f>
        <v>499.5</v>
      </c>
      <c r="F8" s="134">
        <f>SUM(F9:F12)</f>
        <v>2830.5</v>
      </c>
      <c r="G8" s="134">
        <f>SUM(G9:G12)</f>
        <v>1610</v>
      </c>
      <c r="H8" s="134">
        <f>SUM(H9:H12)</f>
        <v>0</v>
      </c>
    </row>
    <row r="9" s="48" customFormat="1" ht="16.5" customHeight="1" spans="1:8">
      <c r="A9" s="8">
        <v>2.1</v>
      </c>
      <c r="B9" s="12" t="s">
        <v>176</v>
      </c>
      <c r="C9" s="8" t="s">
        <v>177</v>
      </c>
      <c r="D9" s="13">
        <f>SUM(E9:H9)</f>
        <v>0</v>
      </c>
      <c r="E9" s="38"/>
      <c r="F9" s="38"/>
      <c r="G9" s="38"/>
      <c r="H9" s="38"/>
    </row>
    <row r="10" s="48" customFormat="1" ht="16.5" customHeight="1" spans="1:8">
      <c r="A10" s="8">
        <v>2.2</v>
      </c>
      <c r="B10" s="12" t="s">
        <v>178</v>
      </c>
      <c r="C10" s="8"/>
      <c r="D10" s="13">
        <f>SUM(E10:H10)</f>
        <v>4940</v>
      </c>
      <c r="E10" s="38">
        <v>499.5</v>
      </c>
      <c r="F10" s="38">
        <v>2830.5</v>
      </c>
      <c r="G10" s="38">
        <v>1610</v>
      </c>
      <c r="H10" s="38">
        <v>0</v>
      </c>
    </row>
    <row r="11" s="48" customFormat="1" ht="16.5" customHeight="1" spans="1:8">
      <c r="A11" s="8">
        <v>2.3</v>
      </c>
      <c r="B11" s="12" t="s">
        <v>179</v>
      </c>
      <c r="C11" s="8"/>
      <c r="D11" s="13">
        <f>SUM(E11:H11)</f>
        <v>0</v>
      </c>
      <c r="E11" s="38"/>
      <c r="F11" s="38"/>
      <c r="G11" s="38"/>
      <c r="H11" s="38"/>
    </row>
    <row r="12" s="48" customFormat="1" ht="16.5" customHeight="1" spans="1:8">
      <c r="A12" s="8">
        <v>2.4</v>
      </c>
      <c r="B12" s="12" t="s">
        <v>180</v>
      </c>
      <c r="C12" s="8"/>
      <c r="D12" s="13">
        <f>SUM(E12:H12)</f>
        <v>0</v>
      </c>
      <c r="E12" s="38"/>
      <c r="F12" s="38"/>
      <c r="G12" s="38"/>
      <c r="H12" s="38"/>
    </row>
    <row r="13" s="48" customFormat="1" ht="16.5" customHeight="1" spans="1:8">
      <c r="A13" s="133" t="s">
        <v>113</v>
      </c>
      <c r="B13" s="133" t="s">
        <v>114</v>
      </c>
      <c r="C13" s="133"/>
      <c r="D13" s="133">
        <f>SUM(D14:D14)</f>
        <v>2408.1821113962</v>
      </c>
      <c r="E13" s="134">
        <f>SUM(E14:E14)</f>
        <v>173.905142399796</v>
      </c>
      <c r="F13" s="134">
        <f>SUM(F14:F14)</f>
        <v>985.462473598845</v>
      </c>
      <c r="G13" s="134">
        <f>SUM(G14:G14)</f>
        <v>1201.58545680704</v>
      </c>
      <c r="H13" s="134">
        <f>SUM(H14:H14)</f>
        <v>47.2290385905159</v>
      </c>
    </row>
    <row r="14" s="48" customFormat="1" ht="16.5" customHeight="1" spans="1:8">
      <c r="A14" s="8">
        <v>1</v>
      </c>
      <c r="B14" s="12" t="s">
        <v>181</v>
      </c>
      <c r="C14" s="8"/>
      <c r="D14" s="13">
        <f>SUM(E14:H14)</f>
        <v>2408.1821113962</v>
      </c>
      <c r="E14" s="38">
        <v>173.905142399796</v>
      </c>
      <c r="F14" s="38">
        <v>985.462473598845</v>
      </c>
      <c r="G14" s="38">
        <v>1201.58545680704</v>
      </c>
      <c r="H14" s="38">
        <v>47.2290385905159</v>
      </c>
    </row>
    <row r="15" s="48" customFormat="1" ht="16.5" customHeight="1" spans="1:8">
      <c r="A15" s="133" t="s">
        <v>137</v>
      </c>
      <c r="B15" s="133" t="s">
        <v>138</v>
      </c>
      <c r="C15" s="133"/>
      <c r="D15" s="134">
        <f>D16</f>
        <v>1344.15560556981</v>
      </c>
      <c r="E15" s="134">
        <f>E16</f>
        <v>97.0672321199898</v>
      </c>
      <c r="F15" s="134">
        <f>F16</f>
        <v>550.047648679942</v>
      </c>
      <c r="G15" s="134">
        <f>G16</f>
        <v>670.679272840352</v>
      </c>
      <c r="H15" s="134">
        <f>H16</f>
        <v>26.3614519295258</v>
      </c>
    </row>
    <row r="16" s="48" customFormat="1" ht="16.5" customHeight="1" spans="1:8">
      <c r="A16" s="8">
        <v>1</v>
      </c>
      <c r="B16" s="168" t="s">
        <v>139</v>
      </c>
      <c r="C16" s="168"/>
      <c r="D16" s="13">
        <f>SUM(E16:H16)</f>
        <v>1344.15560556981</v>
      </c>
      <c r="E16" s="38">
        <v>97.0672321199898</v>
      </c>
      <c r="F16" s="38">
        <v>550.047648679942</v>
      </c>
      <c r="G16" s="38">
        <v>670.679272840352</v>
      </c>
      <c r="H16" s="38">
        <v>26.3614519295258</v>
      </c>
    </row>
    <row r="17" s="48" customFormat="1" ht="16.5" customHeight="1" spans="1:8">
      <c r="A17" s="8"/>
      <c r="B17" s="8" t="s">
        <v>182</v>
      </c>
      <c r="C17" s="4"/>
      <c r="D17" s="13">
        <f>SUM(E17:H17)</f>
        <v>28227.267716966</v>
      </c>
      <c r="E17" s="13">
        <f>E15+E13+E3</f>
        <v>2038.41187451979</v>
      </c>
      <c r="F17" s="13">
        <f>F15+F13+F3</f>
        <v>11551.0006222788</v>
      </c>
      <c r="G17" s="13">
        <f>G15+G13+G3</f>
        <v>14084.2647296474</v>
      </c>
      <c r="H17" s="13">
        <f>H15+H13+H3</f>
        <v>553.590490520042</v>
      </c>
    </row>
    <row r="20" spans="2:3">
      <c r="B20"/>
      <c r="C20" s="46"/>
    </row>
    <row r="21" spans="2:3">
      <c r="B21"/>
      <c r="C21" s="46"/>
    </row>
  </sheetData>
  <mergeCells count="2">
    <mergeCell ref="A1:H1"/>
    <mergeCell ref="B17:C17"/>
  </mergeCells>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FF00"/>
  </sheetPr>
  <dimension ref="A1:AB16"/>
  <sheetViews>
    <sheetView zoomScale="85" zoomScaleNormal="85" workbookViewId="0">
      <pane xSplit="4" ySplit="2" topLeftCell="E3" activePane="bottomRight" state="frozen"/>
      <selection/>
      <selection pane="topRight"/>
      <selection pane="bottomLeft"/>
      <selection pane="bottomRight" activeCell="T18" sqref="T18"/>
    </sheetView>
  </sheetViews>
  <sheetFormatPr defaultColWidth="8.89090909090909" defaultRowHeight="28.05" customHeight="1"/>
  <cols>
    <col min="1" max="1" width="6.10909090909091" style="1" customWidth="1"/>
    <col min="2" max="2" width="20.4454545454545" style="1" customWidth="1"/>
    <col min="3" max="3" width="17.7818181818182" style="1" customWidth="1"/>
    <col min="4" max="4" width="9.55454545454545" style="1" customWidth="1"/>
    <col min="5" max="5" width="6.44545454545455" style="1" customWidth="1"/>
    <col min="6" max="9" width="7.44545454545455" style="1" customWidth="1"/>
    <col min="14" max="14" width="9.09090909090909" style="1" customWidth="1"/>
  </cols>
  <sheetData>
    <row r="1" s="48" customFormat="1" ht="22.5" customHeight="1" spans="1:11">
      <c r="A1" s="166" t="s">
        <v>183</v>
      </c>
      <c r="B1" s="167"/>
      <c r="C1" s="167"/>
      <c r="D1" s="167"/>
      <c r="E1" s="167"/>
      <c r="F1" s="167"/>
      <c r="G1" s="167"/>
      <c r="H1" s="167"/>
      <c r="I1" s="167"/>
      <c r="J1"/>
      <c r="K1"/>
    </row>
    <row r="2" s="48" customFormat="1" ht="33" customHeight="1" spans="1:28">
      <c r="A2" s="5" t="s">
        <v>1</v>
      </c>
      <c r="B2" s="5" t="s">
        <v>184</v>
      </c>
      <c r="C2" s="5" t="s">
        <v>185</v>
      </c>
      <c r="D2" s="5" t="s">
        <v>186</v>
      </c>
      <c r="E2" s="33">
        <v>2025</v>
      </c>
      <c r="F2" s="33">
        <v>2026</v>
      </c>
      <c r="G2" s="33">
        <v>2027</v>
      </c>
      <c r="H2" s="33">
        <v>2028</v>
      </c>
      <c r="I2" s="33">
        <v>2029</v>
      </c>
      <c r="J2" s="33">
        <v>2030</v>
      </c>
      <c r="K2" s="33">
        <v>2031</v>
      </c>
      <c r="L2" s="33">
        <v>2032</v>
      </c>
      <c r="M2" s="33">
        <v>2033</v>
      </c>
      <c r="N2" s="33">
        <v>2034</v>
      </c>
      <c r="O2" s="33">
        <v>2035</v>
      </c>
      <c r="P2" s="33">
        <v>2036</v>
      </c>
      <c r="Q2" s="33">
        <v>2037</v>
      </c>
      <c r="R2" s="33">
        <v>2038</v>
      </c>
      <c r="S2" s="33">
        <v>2039</v>
      </c>
      <c r="T2" s="33">
        <v>2040</v>
      </c>
      <c r="U2" s="33">
        <v>2041</v>
      </c>
      <c r="V2" s="33">
        <v>2042</v>
      </c>
      <c r="W2" s="33">
        <v>2043</v>
      </c>
      <c r="X2" s="33">
        <v>2044</v>
      </c>
      <c r="Y2" s="33">
        <v>2045</v>
      </c>
      <c r="Z2" s="33">
        <v>2046</v>
      </c>
      <c r="AA2" s="33">
        <v>2047</v>
      </c>
      <c r="AB2" s="33">
        <v>2048</v>
      </c>
    </row>
    <row r="3" s="48" customFormat="1" ht="16.5" customHeight="1" spans="1:28">
      <c r="A3" s="8">
        <v>1</v>
      </c>
      <c r="B3" s="8" t="s">
        <v>187</v>
      </c>
      <c r="C3" s="12" t="s">
        <v>188</v>
      </c>
      <c r="D3" s="8">
        <f t="shared" ref="D3:D15" si="0">360/C3</f>
        <v>12</v>
      </c>
      <c r="E3" s="44"/>
      <c r="F3" s="13">
        <f t="shared" ref="F3:AB3" si="1">F4+F5+F10</f>
        <v>0</v>
      </c>
      <c r="G3" s="13">
        <f t="shared" si="1"/>
        <v>136.953027265839</v>
      </c>
      <c r="H3" s="13">
        <f t="shared" si="1"/>
        <v>314.074293900196</v>
      </c>
      <c r="I3" s="13">
        <f t="shared" si="1"/>
        <v>445.761220143907</v>
      </c>
      <c r="J3" s="13">
        <f t="shared" si="1"/>
        <v>450.419737675232</v>
      </c>
      <c r="K3" s="13">
        <f t="shared" si="1"/>
        <v>455.127854282027</v>
      </c>
      <c r="L3" s="13">
        <f t="shared" si="1"/>
        <v>459.886111163549</v>
      </c>
      <c r="M3" s="13">
        <f t="shared" si="1"/>
        <v>464.695055609175</v>
      </c>
      <c r="N3" s="13">
        <f t="shared" si="1"/>
        <v>469.555241069476</v>
      </c>
      <c r="O3" s="13">
        <f t="shared" si="1"/>
        <v>474.467227228151</v>
      </c>
      <c r="P3" s="13">
        <f t="shared" si="1"/>
        <v>479.431580074841</v>
      </c>
      <c r="Q3" s="13">
        <f t="shared" si="1"/>
        <v>484.448871978822</v>
      </c>
      <c r="R3" s="13">
        <f t="shared" si="1"/>
        <v>489.5196817636</v>
      </c>
      <c r="S3" s="13">
        <f t="shared" si="1"/>
        <v>494.644594782408</v>
      </c>
      <c r="T3" s="13">
        <f t="shared" si="1"/>
        <v>499.824202994632</v>
      </c>
      <c r="U3" s="13">
        <f t="shared" si="1"/>
        <v>505.059105043151</v>
      </c>
      <c r="V3" s="13">
        <f t="shared" si="1"/>
        <v>510.349906332643</v>
      </c>
      <c r="W3" s="13">
        <f t="shared" si="1"/>
        <v>515.697219108824</v>
      </c>
      <c r="X3" s="13">
        <f t="shared" si="1"/>
        <v>521.101662538667</v>
      </c>
      <c r="Y3" s="13">
        <f t="shared" si="1"/>
        <v>526.56794265271</v>
      </c>
      <c r="Z3" s="13">
        <f t="shared" si="1"/>
        <v>532.124609684181</v>
      </c>
      <c r="AA3" s="13">
        <f t="shared" si="1"/>
        <v>537.693359999416</v>
      </c>
      <c r="AB3" s="13">
        <f t="shared" si="1"/>
        <v>543.327938355675</v>
      </c>
    </row>
    <row r="4" s="48" customFormat="1" ht="16.5" customHeight="1" spans="1:28">
      <c r="A4" s="8">
        <v>1.1</v>
      </c>
      <c r="B4" s="8" t="s">
        <v>189</v>
      </c>
      <c r="C4" s="12" t="s">
        <v>190</v>
      </c>
      <c r="D4" s="8">
        <f t="shared" si="0"/>
        <v>8</v>
      </c>
      <c r="E4" s="44">
        <f>(F项目收入!D24/$D$4)</f>
        <v>0</v>
      </c>
      <c r="F4" s="13">
        <f>(F项目收入!E24/$D$4)</f>
        <v>0</v>
      </c>
      <c r="G4" s="13">
        <f>(F项目收入!F24/$D$4)</f>
        <v>105.8355</v>
      </c>
      <c r="H4" s="13">
        <f>(F项目收入!G24/$D$4)</f>
        <v>274.48125</v>
      </c>
      <c r="I4" s="13">
        <f>F项目收入!H24/$D$4</f>
        <v>405.57375</v>
      </c>
      <c r="J4" s="13">
        <f>F项目收入!I24/$D$4</f>
        <v>409.6294875</v>
      </c>
      <c r="K4" s="13">
        <f>F项目收入!J24/$D$4</f>
        <v>413.725782375</v>
      </c>
      <c r="L4" s="13">
        <f>F项目收入!K24/$D$4</f>
        <v>417.86304019875</v>
      </c>
      <c r="M4" s="13">
        <f>F项目收入!L24/$D$4</f>
        <v>422.041670600738</v>
      </c>
      <c r="N4" s="13">
        <f>F项目收入!M24/$D$4</f>
        <v>426.262087306745</v>
      </c>
      <c r="O4" s="13">
        <f>F项目收入!N24/$D$4</f>
        <v>430.524708179813</v>
      </c>
      <c r="P4" s="13">
        <f>F项目收入!O24/$D$4</f>
        <v>434.829955261611</v>
      </c>
      <c r="Q4" s="13">
        <f>F项目收入!P24/$D$4</f>
        <v>439.178254814226</v>
      </c>
      <c r="R4" s="13">
        <f>F项目收入!Q24/$D$4</f>
        <v>443.570037362369</v>
      </c>
      <c r="S4" s="13">
        <f>F项目收入!R24/$D$4</f>
        <v>448.005737735992</v>
      </c>
      <c r="T4" s="13">
        <f>F项目收入!S24/$D$4</f>
        <v>452.485795113353</v>
      </c>
      <c r="U4" s="13">
        <f>F项目收入!T24/$D$4</f>
        <v>457.010653064486</v>
      </c>
      <c r="V4" s="13">
        <f>F项目收入!U24/$D$4</f>
        <v>461.580759595131</v>
      </c>
      <c r="W4" s="13">
        <f>F项目收入!V24/$D$4</f>
        <v>466.196567191083</v>
      </c>
      <c r="X4" s="13">
        <f>F项目收入!W24/$D$4</f>
        <v>470.858532862994</v>
      </c>
      <c r="Y4" s="13">
        <f>F项目收入!X24/$D$4</f>
        <v>475.567118191623</v>
      </c>
      <c r="Z4" s="13">
        <f>F项目收入!Y24/$D$4</f>
        <v>480.322789373539</v>
      </c>
      <c r="AA4" s="13">
        <f>F项目收入!Z24/$D$4</f>
        <v>485.126017267274</v>
      </c>
      <c r="AB4" s="13">
        <f>F项目收入!AA24/$D$4</f>
        <v>489.977277439947</v>
      </c>
    </row>
    <row r="5" s="48" customFormat="1" ht="16.5" customHeight="1" spans="1:28">
      <c r="A5" s="8">
        <v>1.2</v>
      </c>
      <c r="B5" s="8" t="s">
        <v>191</v>
      </c>
      <c r="C5" s="12" t="s">
        <v>192</v>
      </c>
      <c r="D5" s="8">
        <f t="shared" si="0"/>
        <v>6</v>
      </c>
      <c r="E5" s="44"/>
      <c r="F5" s="13">
        <f t="shared" ref="F5:AB5" si="2">SUM(F6:F9)</f>
        <v>0</v>
      </c>
      <c r="G5" s="13">
        <f t="shared" si="2"/>
        <v>28.627720945757</v>
      </c>
      <c r="H5" s="13">
        <f t="shared" si="2"/>
        <v>36.5932374980803</v>
      </c>
      <c r="I5" s="13">
        <f t="shared" si="2"/>
        <v>37.1425605287182</v>
      </c>
      <c r="J5" s="13">
        <f t="shared" si="2"/>
        <v>37.6996733199823</v>
      </c>
      <c r="K5" s="13">
        <f t="shared" si="2"/>
        <v>38.2651428031154</v>
      </c>
      <c r="L5" s="13">
        <f t="shared" si="2"/>
        <v>38.8390943284954</v>
      </c>
      <c r="M5" s="13">
        <f t="shared" si="2"/>
        <v>39.4216551267562</v>
      </c>
      <c r="N5" s="13">
        <f t="shared" si="2"/>
        <v>40.0129543369909</v>
      </c>
      <c r="O5" s="13">
        <f t="shared" si="2"/>
        <v>40.6131230353791</v>
      </c>
      <c r="P5" s="13">
        <f t="shared" si="2"/>
        <v>41.2222942642431</v>
      </c>
      <c r="Q5" s="13">
        <f t="shared" si="2"/>
        <v>41.8406030615401</v>
      </c>
      <c r="R5" s="13">
        <f t="shared" si="2"/>
        <v>42.4681864907965</v>
      </c>
      <c r="S5" s="13">
        <f t="shared" si="2"/>
        <v>43.1051836714918</v>
      </c>
      <c r="T5" s="13">
        <f t="shared" si="2"/>
        <v>43.7517358098974</v>
      </c>
      <c r="U5" s="13">
        <f t="shared" si="2"/>
        <v>44.4079862303793</v>
      </c>
      <c r="V5" s="13">
        <f t="shared" si="2"/>
        <v>45.0740804071682</v>
      </c>
      <c r="W5" s="13">
        <f t="shared" si="2"/>
        <v>45.7501659966092</v>
      </c>
      <c r="X5" s="13">
        <f t="shared" si="2"/>
        <v>46.4363928698916</v>
      </c>
      <c r="Y5" s="13">
        <f t="shared" si="2"/>
        <v>47.1361770351622</v>
      </c>
      <c r="Z5" s="13">
        <f t="shared" si="2"/>
        <v>47.8720064768007</v>
      </c>
      <c r="AA5" s="13">
        <f t="shared" si="2"/>
        <v>48.580882667425</v>
      </c>
      <c r="AB5" s="13">
        <f t="shared" si="2"/>
        <v>49.3054423415197</v>
      </c>
    </row>
    <row r="6" s="48" customFormat="1" ht="16.5" customHeight="1" spans="1:28">
      <c r="A6" s="8" t="s">
        <v>193</v>
      </c>
      <c r="B6" s="8" t="s">
        <v>194</v>
      </c>
      <c r="C6" s="12" t="s">
        <v>195</v>
      </c>
      <c r="D6" s="8">
        <f t="shared" si="0"/>
        <v>18</v>
      </c>
      <c r="E6" s="44"/>
      <c r="F6" s="13">
        <f>E总成本费用估算表!D3/$D$6</f>
        <v>0</v>
      </c>
      <c r="G6" s="13">
        <f>E总成本费用估算表!E3/$D$6</f>
        <v>0</v>
      </c>
      <c r="H6" s="13">
        <f>E总成本费用估算表!F3/$D$6</f>
        <v>0</v>
      </c>
      <c r="I6" s="13">
        <f>E总成本费用估算表!G3/$D$6</f>
        <v>0</v>
      </c>
      <c r="J6" s="13">
        <f>E总成本费用估算表!H3/$D$6</f>
        <v>0</v>
      </c>
      <c r="K6" s="13">
        <f>E总成本费用估算表!I3/$D$6</f>
        <v>0</v>
      </c>
      <c r="L6" s="13">
        <f>E总成本费用估算表!J3/$D$6</f>
        <v>0</v>
      </c>
      <c r="M6" s="13">
        <f>E总成本费用估算表!K3/$D$6</f>
        <v>0</v>
      </c>
      <c r="N6" s="13">
        <f>E总成本费用估算表!L3/$D$6</f>
        <v>0</v>
      </c>
      <c r="O6" s="13">
        <f>E总成本费用估算表!M3/$D$6</f>
        <v>0</v>
      </c>
      <c r="P6" s="13">
        <f>E总成本费用估算表!N3/$D$6</f>
        <v>0</v>
      </c>
      <c r="Q6" s="13">
        <f>E总成本费用估算表!O3/$D$6</f>
        <v>0</v>
      </c>
      <c r="R6" s="13">
        <f>E总成本费用估算表!P3/$D$6</f>
        <v>0</v>
      </c>
      <c r="S6" s="13">
        <f>E总成本费用估算表!Q3/$D$6</f>
        <v>0</v>
      </c>
      <c r="T6" s="13">
        <f>E总成本费用估算表!R3/$D$6</f>
        <v>0</v>
      </c>
      <c r="U6" s="13">
        <f>E总成本费用估算表!S3/$D$6</f>
        <v>0</v>
      </c>
      <c r="V6" s="13">
        <f>E总成本费用估算表!T3/$D$6</f>
        <v>0</v>
      </c>
      <c r="W6" s="13">
        <f>E总成本费用估算表!U3/$D$6</f>
        <v>0</v>
      </c>
      <c r="X6" s="13">
        <f>E总成本费用估算表!V3/$D$6</f>
        <v>0</v>
      </c>
      <c r="Y6" s="13">
        <f>E总成本费用估算表!W3/$D$6</f>
        <v>0</v>
      </c>
      <c r="Z6" s="13">
        <f>E总成本费用估算表!X3/$D$6</f>
        <v>0</v>
      </c>
      <c r="AA6" s="13">
        <f>E总成本费用估算表!Y3/$D$6</f>
        <v>0</v>
      </c>
      <c r="AB6" s="13">
        <f>E总成本费用估算表!Z3/$D$6</f>
        <v>0</v>
      </c>
    </row>
    <row r="7" s="48" customFormat="1" ht="16.5" customHeight="1" spans="1:28">
      <c r="A7" s="8" t="s">
        <v>196</v>
      </c>
      <c r="B7" s="8" t="s">
        <v>197</v>
      </c>
      <c r="C7" s="12" t="s">
        <v>198</v>
      </c>
      <c r="D7" s="8">
        <f t="shared" si="0"/>
        <v>24</v>
      </c>
      <c r="E7" s="44"/>
      <c r="F7" s="13">
        <f>E总成本费用估算表!D4/$D$7</f>
        <v>0</v>
      </c>
      <c r="G7" s="13">
        <f>E总成本费用估算表!E4/$D$7</f>
        <v>0.382262996941896</v>
      </c>
      <c r="H7" s="13">
        <f>E总成本费用估算表!F4/$D$7</f>
        <v>0.382262996941896</v>
      </c>
      <c r="I7" s="13">
        <f>E总成本费用估算表!G4/$D$7</f>
        <v>0.387996941896024</v>
      </c>
      <c r="J7" s="13">
        <f>E总成本费用估算表!H4/$D$7</f>
        <v>0.393816896024465</v>
      </c>
      <c r="K7" s="13">
        <f>E总成本费用估算表!I4/$D$7</f>
        <v>0.399724149464832</v>
      </c>
      <c r="L7" s="13">
        <f>E总成本费用估算表!J4/$D$7</f>
        <v>0.405720011706804</v>
      </c>
      <c r="M7" s="13">
        <f>E总成本费用估算表!K4/$D$7</f>
        <v>0.411805811882404</v>
      </c>
      <c r="N7" s="13">
        <f>E总成本费用估算表!L4/$D$7</f>
        <v>0.417982899060642</v>
      </c>
      <c r="O7" s="13">
        <f>E总成本费用估算表!M4/$D$7</f>
        <v>0.424252642546552</v>
      </c>
      <c r="P7" s="13">
        <f>E总成本费用估算表!N4/$D$7</f>
        <v>0.430616432184751</v>
      </c>
      <c r="Q7" s="13">
        <f>E总成本费用估算表!O4/$D$7</f>
        <v>0.437075678667523</v>
      </c>
      <c r="R7" s="13">
        <f>E总成本费用估算表!P4/$D$7</f>
        <v>0.443631813847534</v>
      </c>
      <c r="S7" s="13">
        <f>E总成本费用估算表!Q4/$D$7</f>
        <v>0.450286291055248</v>
      </c>
      <c r="T7" s="13">
        <f>E总成本费用估算表!R4/$D$7</f>
        <v>0.457040585421074</v>
      </c>
      <c r="U7" s="13">
        <f>E总成本费用估算表!S4/$D$7</f>
        <v>0.463896194202393</v>
      </c>
      <c r="V7" s="13">
        <f>E总成本费用估算表!T4/$D$7</f>
        <v>0.470854637115428</v>
      </c>
      <c r="W7" s="13">
        <f>E总成本费用估算表!U4/$D$7</f>
        <v>0.47791745667216</v>
      </c>
      <c r="X7" s="13">
        <f>E总成本费用估算表!V4/$D$7</f>
        <v>0.48508621852224</v>
      </c>
      <c r="Y7" s="13">
        <f>E总成本费用估算表!W4/$D$7</f>
        <v>0.492362511800076</v>
      </c>
      <c r="Z7" s="13">
        <f>E总成本费用估算表!X4/$D$7</f>
        <v>0.499747949477076</v>
      </c>
      <c r="AA7" s="13">
        <f>E总成本费用估算表!Y4/$D$7</f>
        <v>0.507244168719232</v>
      </c>
      <c r="AB7" s="13">
        <f>E总成本费用估算表!Z4/$D$7</f>
        <v>0.514852831250019</v>
      </c>
    </row>
    <row r="8" s="48" customFormat="1" ht="16.5" customHeight="1" spans="1:28">
      <c r="A8" s="8" t="s">
        <v>199</v>
      </c>
      <c r="B8" s="8" t="s">
        <v>200</v>
      </c>
      <c r="C8" s="12" t="s">
        <v>198</v>
      </c>
      <c r="D8" s="8">
        <f t="shared" si="0"/>
        <v>24</v>
      </c>
      <c r="E8" s="44"/>
      <c r="F8" s="38">
        <v>0</v>
      </c>
      <c r="G8" s="38">
        <v>0</v>
      </c>
      <c r="H8" s="38">
        <v>0</v>
      </c>
      <c r="I8" s="38">
        <v>0</v>
      </c>
      <c r="J8" s="38">
        <v>0</v>
      </c>
      <c r="K8" s="38">
        <v>0</v>
      </c>
      <c r="L8" s="38">
        <v>0</v>
      </c>
      <c r="M8" s="38">
        <v>0</v>
      </c>
      <c r="N8" s="38">
        <v>0</v>
      </c>
      <c r="O8" s="38">
        <v>0</v>
      </c>
      <c r="P8" s="38">
        <v>0</v>
      </c>
      <c r="Q8" s="38">
        <v>0</v>
      </c>
      <c r="R8" s="38">
        <v>0</v>
      </c>
      <c r="S8" s="38">
        <v>0</v>
      </c>
      <c r="T8" s="38">
        <v>0</v>
      </c>
      <c r="U8" s="38">
        <v>0</v>
      </c>
      <c r="V8" s="38">
        <v>0</v>
      </c>
      <c r="W8" s="38">
        <v>0</v>
      </c>
      <c r="X8" s="38">
        <v>0</v>
      </c>
      <c r="Y8" s="38">
        <v>0</v>
      </c>
      <c r="Z8" s="38">
        <v>0</v>
      </c>
      <c r="AA8" s="38">
        <v>0</v>
      </c>
      <c r="AB8" s="38">
        <v>0</v>
      </c>
    </row>
    <row r="9" s="48" customFormat="1" ht="16.5" customHeight="1" spans="1:28">
      <c r="A9" s="8" t="s">
        <v>201</v>
      </c>
      <c r="B9" s="8" t="s">
        <v>202</v>
      </c>
      <c r="C9" s="12" t="s">
        <v>195</v>
      </c>
      <c r="D9" s="8">
        <f t="shared" si="0"/>
        <v>18</v>
      </c>
      <c r="E9" s="44"/>
      <c r="F9" s="13">
        <f>(E总成本费用估算表!D11-E总成本费用估算表!D10)/$D$9</f>
        <v>0</v>
      </c>
      <c r="G9" s="13">
        <f>(E总成本费用估算表!E11-E总成本费用估算表!E10)/$D$9</f>
        <v>28.2454579488151</v>
      </c>
      <c r="H9" s="13">
        <f>(E总成本费用估算表!F11-E总成本费用估算表!F10)/$D$9</f>
        <v>36.2109745011385</v>
      </c>
      <c r="I9" s="13">
        <f>(E总成本费用估算表!G11-E总成本费用估算表!G10)/$D$9</f>
        <v>36.7545635868222</v>
      </c>
      <c r="J9" s="13">
        <f>(E总成本费用估算表!H11-E总成本费用估算表!H10)/$D$9</f>
        <v>37.3058564239579</v>
      </c>
      <c r="K9" s="13">
        <f>(E总成本费用估算表!I11-E总成本费用估算表!I10)/$D$9</f>
        <v>37.8654186536506</v>
      </c>
      <c r="L9" s="13">
        <f>(E总成本费用估算表!J11-E总成本费用估算表!J10)/$D$9</f>
        <v>38.4333743167886</v>
      </c>
      <c r="M9" s="13">
        <f>(E总成本费用估算表!K11-E总成本费用估算表!K10)/$D$9</f>
        <v>39.0098493148738</v>
      </c>
      <c r="N9" s="13">
        <f>(E总成本费用估算表!L11-E总成本费用估算表!L10)/$D$9</f>
        <v>39.5949714379302</v>
      </c>
      <c r="O9" s="13">
        <f>(E总成本费用估算表!M11-E总成本费用估算表!M10)/$D$9</f>
        <v>40.1888703928325</v>
      </c>
      <c r="P9" s="13">
        <f>(E总成本费用估算表!N11-E总成本费用估算表!N10)/$D$9</f>
        <v>40.7916778320583</v>
      </c>
      <c r="Q9" s="13">
        <f>(E总成本费用估算表!O11-E总成本费用估算表!O10)/$D$9</f>
        <v>41.4035273828726</v>
      </c>
      <c r="R9" s="13">
        <f>(E总成本费用估算表!P11-E总成本费用估算表!P10)/$D$9</f>
        <v>42.0245546769489</v>
      </c>
      <c r="S9" s="13">
        <f>(E总成本费用估算表!Q11-E总成本费用估算表!Q10)/$D$9</f>
        <v>42.6548973804365</v>
      </c>
      <c r="T9" s="13">
        <f>(E总成本费用估算表!R11-E总成本费用估算表!R10)/$D$9</f>
        <v>43.2946952244763</v>
      </c>
      <c r="U9" s="13">
        <f>(E总成本费用估算表!S11-E总成本费用估算表!S10)/$D$9</f>
        <v>43.9440900361769</v>
      </c>
      <c r="V9" s="13">
        <f>(E总成本费用估算表!T11-E总成本费用估算表!T10)/$D$9</f>
        <v>44.6032257700528</v>
      </c>
      <c r="W9" s="13">
        <f>(E总成本费用估算表!U11-E总成本费用估算表!U10)/$D$9</f>
        <v>45.272248539937</v>
      </c>
      <c r="X9" s="13">
        <f>(E总成本费用估算表!V11-E总成本费用估算表!V10)/$D$9</f>
        <v>45.9513066513694</v>
      </c>
      <c r="Y9" s="13">
        <f>(E总成本费用估算表!W11-E总成本费用估算表!W10)/$D$9</f>
        <v>46.6438145233621</v>
      </c>
      <c r="Z9" s="13">
        <f>(E总成本费用估算表!X11-E总成本费用估算表!X10)/$D$9</f>
        <v>47.3722585273237</v>
      </c>
      <c r="AA9" s="13">
        <f>(E总成本费用估算表!Y11-E总成本费用估算表!Y10)/$D$9</f>
        <v>48.0736384987057</v>
      </c>
      <c r="AB9" s="13">
        <f>(E总成本费用估算表!Z11-E总成本费用估算表!Z10)/$D$9</f>
        <v>48.7905895102697</v>
      </c>
    </row>
    <row r="10" s="48" customFormat="1" ht="16.5" customHeight="1" spans="1:28">
      <c r="A10" s="8">
        <v>1.3</v>
      </c>
      <c r="B10" s="8" t="s">
        <v>203</v>
      </c>
      <c r="C10" s="12" t="s">
        <v>204</v>
      </c>
      <c r="D10" s="8">
        <f t="shared" si="0"/>
        <v>72</v>
      </c>
      <c r="E10" s="44"/>
      <c r="F10" s="13">
        <f>(E总成本费用估算表!D5+E总成本费用估算表!D7)/$D$10</f>
        <v>0</v>
      </c>
      <c r="G10" s="13">
        <f>(E总成本费用估算表!E5+E总成本费用估算表!E7)/$D$10</f>
        <v>2.48980632008155</v>
      </c>
      <c r="H10" s="13">
        <f>(E总成本费用估算表!F5+E总成本费用估算表!F7)/$D$10</f>
        <v>2.99980640211519</v>
      </c>
      <c r="I10" s="13">
        <f>(E总成本费用估算表!G5+E总成本费用估算表!G7)/$D$10</f>
        <v>3.04490961518858</v>
      </c>
      <c r="J10" s="13">
        <f>(E总成本费用估算表!H5+E总成本费用估算表!H7)/$D$10</f>
        <v>3.09057685524975</v>
      </c>
      <c r="K10" s="13">
        <f>(E总成本费用估算表!I5+E总成本费用估算表!I7)/$D$10</f>
        <v>3.13692910391182</v>
      </c>
      <c r="L10" s="13">
        <f>(E总成本费用估算表!J5+E总成本费用估算表!J7)/$D$10</f>
        <v>3.18397663630384</v>
      </c>
      <c r="M10" s="13">
        <f>(E总成本费用估算表!K5+E总成本费用估算表!K7)/$D$10</f>
        <v>3.23172988168172</v>
      </c>
      <c r="N10" s="13">
        <f>(E总成本费用估算表!L5+E总成本费用估算表!L7)/$D$10</f>
        <v>3.28019942574028</v>
      </c>
      <c r="O10" s="13">
        <f>(E总成本费用估算表!M5+E总成本费用估算表!M7)/$D$10</f>
        <v>3.32939601295972</v>
      </c>
      <c r="P10" s="13">
        <f>(E总成本费用估算表!N5+E总成本费用估算表!N7)/$D$10</f>
        <v>3.37933054898745</v>
      </c>
      <c r="Q10" s="13">
        <f>(E总成本费用估算表!O5+E总成本费用估算表!O7)/$D$10</f>
        <v>3.4300141030556</v>
      </c>
      <c r="R10" s="13">
        <f>(E总成本费用估算表!P5+E总成本费用估算表!P7)/$D$10</f>
        <v>3.48145791043476</v>
      </c>
      <c r="S10" s="13">
        <f>(E总成本费用估算表!Q5+E总成本费用估算表!Q7)/$D$10</f>
        <v>3.53367337492461</v>
      </c>
      <c r="T10" s="13">
        <f>(E总成本费用估算表!R5+E总成本费用估算表!R7)/$D$10</f>
        <v>3.58667207138181</v>
      </c>
      <c r="U10" s="13">
        <f>(E总成本费用估算表!S5+E总成本费用估算表!S7)/$D$10</f>
        <v>3.64046574828588</v>
      </c>
      <c r="V10" s="13">
        <f>(E总成本费用估算表!T5+E总成本费用估算表!T7)/$D$10</f>
        <v>3.69506633034349</v>
      </c>
      <c r="W10" s="13">
        <f>(E总成本费用估算表!U5+E总成本费用估算表!U7)/$D$10</f>
        <v>3.75048592113199</v>
      </c>
      <c r="X10" s="13">
        <f>(E总成本费用估算表!V5+E总成本费用估算表!V7)/$D$10</f>
        <v>3.80673680578229</v>
      </c>
      <c r="Y10" s="13">
        <f>(E总成本费用估算表!W5+E总成本费用估算表!W7)/$D$10</f>
        <v>3.86464742592458</v>
      </c>
      <c r="Z10" s="13">
        <f>(E总成本费用估算表!X5+E总成本费用估算表!X7)/$D$10</f>
        <v>3.92981383384123</v>
      </c>
      <c r="AA10" s="13">
        <f>(E总成本费用估算表!Y5+E总成本费用估算表!Y7)/$D$10</f>
        <v>3.98646006471691</v>
      </c>
      <c r="AB10" s="13">
        <f>(E总成本费用估算表!Z5+E总成本费用估算表!Z7)/$D$10</f>
        <v>4.0452185742085</v>
      </c>
    </row>
    <row r="11" s="48" customFormat="1" ht="16.5" customHeight="1" spans="1:28">
      <c r="A11" s="8">
        <v>2</v>
      </c>
      <c r="B11" s="8" t="s">
        <v>205</v>
      </c>
      <c r="C11" s="12" t="s">
        <v>188</v>
      </c>
      <c r="D11" s="8">
        <f t="shared" si="0"/>
        <v>12</v>
      </c>
      <c r="E11" s="44"/>
      <c r="F11" s="13">
        <f t="shared" ref="F11:AB11" si="3">F12</f>
        <v>0</v>
      </c>
      <c r="G11" s="13">
        <f t="shared" si="3"/>
        <v>0.764525993883792</v>
      </c>
      <c r="H11" s="13">
        <f t="shared" si="3"/>
        <v>0.764525993883792</v>
      </c>
      <c r="I11" s="13">
        <f t="shared" si="3"/>
        <v>0.775993883792049</v>
      </c>
      <c r="J11" s="13">
        <f t="shared" si="3"/>
        <v>0.78763379204893</v>
      </c>
      <c r="K11" s="13">
        <f t="shared" si="3"/>
        <v>0.799448298929664</v>
      </c>
      <c r="L11" s="13">
        <f t="shared" si="3"/>
        <v>0.811440023413609</v>
      </c>
      <c r="M11" s="13">
        <f t="shared" si="3"/>
        <v>0.823611623764809</v>
      </c>
      <c r="N11" s="13">
        <f t="shared" si="3"/>
        <v>0.835965798121284</v>
      </c>
      <c r="O11" s="13">
        <f t="shared" si="3"/>
        <v>0.848505285093104</v>
      </c>
      <c r="P11" s="13">
        <f t="shared" si="3"/>
        <v>0.861232864369503</v>
      </c>
      <c r="Q11" s="13">
        <f t="shared" si="3"/>
        <v>0.874151357335046</v>
      </c>
      <c r="R11" s="13">
        <f t="shared" si="3"/>
        <v>0.887263627695069</v>
      </c>
      <c r="S11" s="13">
        <f t="shared" si="3"/>
        <v>0.900572582110497</v>
      </c>
      <c r="T11" s="13">
        <f t="shared" si="3"/>
        <v>0.914081170842148</v>
      </c>
      <c r="U11" s="13">
        <f t="shared" si="3"/>
        <v>0.927792388404786</v>
      </c>
      <c r="V11" s="13">
        <f t="shared" si="3"/>
        <v>0.941709274230856</v>
      </c>
      <c r="W11" s="13">
        <f t="shared" si="3"/>
        <v>0.955834913344319</v>
      </c>
      <c r="X11" s="13">
        <f t="shared" si="3"/>
        <v>0.97017243704448</v>
      </c>
      <c r="Y11" s="13">
        <f t="shared" si="3"/>
        <v>0.984725023600153</v>
      </c>
      <c r="Z11" s="13">
        <f t="shared" si="3"/>
        <v>0.999495898954151</v>
      </c>
      <c r="AA11" s="13">
        <f t="shared" si="3"/>
        <v>1.01448833743846</v>
      </c>
      <c r="AB11" s="13">
        <f t="shared" si="3"/>
        <v>1.02970566250004</v>
      </c>
    </row>
    <row r="12" s="48" customFormat="1" ht="16.5" customHeight="1" spans="1:28">
      <c r="A12" s="8">
        <v>2.1</v>
      </c>
      <c r="B12" s="8" t="s">
        <v>206</v>
      </c>
      <c r="C12" s="12" t="s">
        <v>188</v>
      </c>
      <c r="D12" s="8">
        <f t="shared" si="0"/>
        <v>12</v>
      </c>
      <c r="E12" s="44"/>
      <c r="F12" s="13">
        <f>(E总成本费用估算表!D3+E总成本费用估算表!D4)/$D$12</f>
        <v>0</v>
      </c>
      <c r="G12" s="13">
        <f>(E总成本费用估算表!E3+E总成本费用估算表!E4)/$D$12</f>
        <v>0.764525993883792</v>
      </c>
      <c r="H12" s="13">
        <f>(E总成本费用估算表!F3+E总成本费用估算表!F4)/$D$12</f>
        <v>0.764525993883792</v>
      </c>
      <c r="I12" s="13">
        <f>(E总成本费用估算表!G3+E总成本费用估算表!G4)/$D$12</f>
        <v>0.775993883792049</v>
      </c>
      <c r="J12" s="13">
        <f>(E总成本费用估算表!H3+E总成本费用估算表!H4)/$D$12</f>
        <v>0.78763379204893</v>
      </c>
      <c r="K12" s="13">
        <f>(E总成本费用估算表!I3+E总成本费用估算表!I4)/$D$12</f>
        <v>0.799448298929664</v>
      </c>
      <c r="L12" s="13">
        <f>(E总成本费用估算表!J3+E总成本费用估算表!J4)/$D$12</f>
        <v>0.811440023413609</v>
      </c>
      <c r="M12" s="13">
        <f>(E总成本费用估算表!K3+E总成本费用估算表!K4)/$D$12</f>
        <v>0.823611623764809</v>
      </c>
      <c r="N12" s="13">
        <f>(E总成本费用估算表!L3+E总成本费用估算表!L4)/$D$12</f>
        <v>0.835965798121284</v>
      </c>
      <c r="O12" s="13">
        <f>(E总成本费用估算表!M3+E总成本费用估算表!M4)/$D$12</f>
        <v>0.848505285093104</v>
      </c>
      <c r="P12" s="13">
        <f>(E总成本费用估算表!N3+E总成本费用估算表!N4)/$D$12</f>
        <v>0.861232864369503</v>
      </c>
      <c r="Q12" s="13">
        <f>(E总成本费用估算表!O3+E总成本费用估算表!O4)/$D$12</f>
        <v>0.874151357335046</v>
      </c>
      <c r="R12" s="13">
        <f>(E总成本费用估算表!P3+E总成本费用估算表!P4)/$D$12</f>
        <v>0.887263627695069</v>
      </c>
      <c r="S12" s="13">
        <f>(E总成本费用估算表!Q3+E总成本费用估算表!Q4)/$D$12</f>
        <v>0.900572582110497</v>
      </c>
      <c r="T12" s="13">
        <f>(E总成本费用估算表!R3+E总成本费用估算表!R4)/$D$12</f>
        <v>0.914081170842148</v>
      </c>
      <c r="U12" s="13">
        <f>(E总成本费用估算表!S3+E总成本费用估算表!S4)/$D$12</f>
        <v>0.927792388404786</v>
      </c>
      <c r="V12" s="13">
        <f>(E总成本费用估算表!T3+E总成本费用估算表!T4)/$D$12</f>
        <v>0.941709274230856</v>
      </c>
      <c r="W12" s="13">
        <f>(E总成本费用估算表!U3+E总成本费用估算表!U4)/$D$12</f>
        <v>0.955834913344319</v>
      </c>
      <c r="X12" s="13">
        <f>(E总成本费用估算表!V3+E总成本费用估算表!V4)/$D$12</f>
        <v>0.97017243704448</v>
      </c>
      <c r="Y12" s="13">
        <f>(E总成本费用估算表!W3+E总成本费用估算表!W4)/$D$12</f>
        <v>0.984725023600153</v>
      </c>
      <c r="Z12" s="13">
        <f>(E总成本费用估算表!X3+E总成本费用估算表!X4)/$D$12</f>
        <v>0.999495898954151</v>
      </c>
      <c r="AA12" s="13">
        <f>(E总成本费用估算表!Y3+E总成本费用估算表!Y4)/$D$12</f>
        <v>1.01448833743846</v>
      </c>
      <c r="AB12" s="13">
        <f>(E总成本费用估算表!Z3+E总成本费用估算表!Z4)/$D$12</f>
        <v>1.02970566250004</v>
      </c>
    </row>
    <row r="13" s="48" customFormat="1" ht="16.5" customHeight="1" spans="1:28">
      <c r="A13" s="8">
        <v>3</v>
      </c>
      <c r="B13" s="8" t="s">
        <v>207</v>
      </c>
      <c r="C13" s="12" t="s">
        <v>198</v>
      </c>
      <c r="D13" s="8">
        <f t="shared" si="0"/>
        <v>24</v>
      </c>
      <c r="E13" s="44"/>
      <c r="F13" s="13">
        <f t="shared" ref="F13:AB13" si="4">F3-F11</f>
        <v>0</v>
      </c>
      <c r="G13" s="13">
        <f t="shared" si="4"/>
        <v>136.188501271955</v>
      </c>
      <c r="H13" s="13">
        <f t="shared" si="4"/>
        <v>313.309767906312</v>
      </c>
      <c r="I13" s="13">
        <f t="shared" si="4"/>
        <v>444.985226260115</v>
      </c>
      <c r="J13" s="13">
        <f t="shared" si="4"/>
        <v>449.632103883183</v>
      </c>
      <c r="K13" s="13">
        <f t="shared" si="4"/>
        <v>454.328405983098</v>
      </c>
      <c r="L13" s="13">
        <f t="shared" si="4"/>
        <v>459.074671140136</v>
      </c>
      <c r="M13" s="13">
        <f t="shared" si="4"/>
        <v>463.871443985411</v>
      </c>
      <c r="N13" s="13">
        <f t="shared" si="4"/>
        <v>468.719275271354</v>
      </c>
      <c r="O13" s="13">
        <f t="shared" si="4"/>
        <v>473.618721943058</v>
      </c>
      <c r="P13" s="13">
        <f t="shared" si="4"/>
        <v>478.570347210472</v>
      </c>
      <c r="Q13" s="13">
        <f t="shared" si="4"/>
        <v>483.574720621487</v>
      </c>
      <c r="R13" s="13">
        <f t="shared" si="4"/>
        <v>488.632418135905</v>
      </c>
      <c r="S13" s="13">
        <f t="shared" si="4"/>
        <v>493.744022200298</v>
      </c>
      <c r="T13" s="13">
        <f t="shared" si="4"/>
        <v>498.91012182379</v>
      </c>
      <c r="U13" s="13">
        <f t="shared" si="4"/>
        <v>504.131312654747</v>
      </c>
      <c r="V13" s="13">
        <f t="shared" si="4"/>
        <v>509.408197058412</v>
      </c>
      <c r="W13" s="13">
        <f t="shared" si="4"/>
        <v>514.741384195479</v>
      </c>
      <c r="X13" s="13">
        <f t="shared" si="4"/>
        <v>520.131490101623</v>
      </c>
      <c r="Y13" s="13">
        <f t="shared" si="4"/>
        <v>525.583217629109</v>
      </c>
      <c r="Z13" s="13">
        <f t="shared" si="4"/>
        <v>531.125113785227</v>
      </c>
      <c r="AA13" s="13">
        <f t="shared" si="4"/>
        <v>536.678871661977</v>
      </c>
      <c r="AB13" s="13">
        <f t="shared" si="4"/>
        <v>542.298232693175</v>
      </c>
    </row>
    <row r="14" s="48" customFormat="1" ht="16.5" customHeight="1" spans="1:28">
      <c r="A14" s="8">
        <v>4</v>
      </c>
      <c r="B14" s="8" t="s">
        <v>208</v>
      </c>
      <c r="C14" s="12" t="s">
        <v>209</v>
      </c>
      <c r="D14" s="8">
        <f t="shared" si="0"/>
        <v>36</v>
      </c>
      <c r="E14" s="44"/>
      <c r="F14" s="13">
        <f t="shared" ref="F14:AB14" si="5">F13-E13</f>
        <v>0</v>
      </c>
      <c r="G14" s="13">
        <f t="shared" si="5"/>
        <v>136.188501271955</v>
      </c>
      <c r="H14" s="13">
        <f t="shared" si="5"/>
        <v>177.121266634357</v>
      </c>
      <c r="I14" s="13">
        <f t="shared" si="5"/>
        <v>131.675458353803</v>
      </c>
      <c r="J14" s="13">
        <f t="shared" si="5"/>
        <v>4.64687762306841</v>
      </c>
      <c r="K14" s="13">
        <f t="shared" si="5"/>
        <v>4.69630209991453</v>
      </c>
      <c r="L14" s="13">
        <f t="shared" si="5"/>
        <v>4.74626515703795</v>
      </c>
      <c r="M14" s="13">
        <f t="shared" si="5"/>
        <v>4.79677284527503</v>
      </c>
      <c r="N14" s="13">
        <f t="shared" si="5"/>
        <v>4.84783128594381</v>
      </c>
      <c r="O14" s="13">
        <f t="shared" si="5"/>
        <v>4.8994466717038</v>
      </c>
      <c r="P14" s="13">
        <f t="shared" si="5"/>
        <v>4.95162526741348</v>
      </c>
      <c r="Q14" s="13">
        <f t="shared" si="5"/>
        <v>5.00437341101531</v>
      </c>
      <c r="R14" s="13">
        <f t="shared" si="5"/>
        <v>5.05769751441778</v>
      </c>
      <c r="S14" s="13">
        <f t="shared" si="5"/>
        <v>5.11160406439279</v>
      </c>
      <c r="T14" s="13">
        <f t="shared" si="5"/>
        <v>5.16609962349219</v>
      </c>
      <c r="U14" s="13">
        <f t="shared" si="5"/>
        <v>5.22119083095669</v>
      </c>
      <c r="V14" s="13">
        <f t="shared" si="5"/>
        <v>5.27688440366518</v>
      </c>
      <c r="W14" s="13">
        <f t="shared" si="5"/>
        <v>5.33318713706763</v>
      </c>
      <c r="X14" s="13">
        <f t="shared" si="5"/>
        <v>5.39010590614373</v>
      </c>
      <c r="Y14" s="13">
        <f t="shared" si="5"/>
        <v>5.45172752748636</v>
      </c>
      <c r="Z14" s="13">
        <f t="shared" si="5"/>
        <v>5.54189615611733</v>
      </c>
      <c r="AA14" s="13">
        <f t="shared" si="5"/>
        <v>5.55375787675075</v>
      </c>
      <c r="AB14" s="13">
        <f t="shared" si="5"/>
        <v>5.61936103119751</v>
      </c>
    </row>
    <row r="15" s="48" customFormat="1" ht="16.5" customHeight="1" spans="1:28">
      <c r="A15" s="8">
        <v>5</v>
      </c>
      <c r="B15" s="8" t="s">
        <v>210</v>
      </c>
      <c r="C15" s="12" t="s">
        <v>204</v>
      </c>
      <c r="D15" s="8">
        <f t="shared" si="0"/>
        <v>72</v>
      </c>
      <c r="E15" s="9"/>
      <c r="F15" s="13">
        <f>D.2项目总投资使用计划与资金筹措表!E15</f>
        <v>0</v>
      </c>
      <c r="G15" s="13">
        <f>D.2项目总投资使用计划与资金筹措表!F15</f>
        <v>0</v>
      </c>
      <c r="H15" s="13">
        <f>D.2项目总投资使用计划与资金筹措表!G15</f>
        <v>0</v>
      </c>
      <c r="I15" s="13">
        <f>D.2项目总投资使用计划与资金筹措表!H15</f>
        <v>0</v>
      </c>
      <c r="J15" s="13">
        <f>D.2项目总投资使用计划与资金筹措表!I15</f>
        <v>0</v>
      </c>
      <c r="K15" s="13">
        <f>D.2项目总投资使用计划与资金筹措表!J15</f>
        <v>0</v>
      </c>
      <c r="L15" s="13">
        <f>D.2项目总投资使用计划与资金筹措表!K15</f>
        <v>0</v>
      </c>
      <c r="M15" s="13">
        <f>D.2项目总投资使用计划与资金筹措表!L15</f>
        <v>0</v>
      </c>
      <c r="N15" s="13">
        <f>D.2项目总投资使用计划与资金筹措表!M15</f>
        <v>0</v>
      </c>
      <c r="O15" s="13">
        <f>D.2项目总投资使用计划与资金筹措表!N15</f>
        <v>0</v>
      </c>
      <c r="P15" s="13">
        <f>D.2项目总投资使用计划与资金筹措表!O15</f>
        <v>0</v>
      </c>
      <c r="Q15" s="13">
        <f>D.2项目总投资使用计划与资金筹措表!P15</f>
        <v>0</v>
      </c>
      <c r="R15" s="13">
        <f>D.2项目总投资使用计划与资金筹措表!Q15</f>
        <v>0</v>
      </c>
      <c r="S15" s="13">
        <f>D.2项目总投资使用计划与资金筹措表!R15</f>
        <v>0</v>
      </c>
      <c r="T15" s="13">
        <f>D.2项目总投资使用计划与资金筹措表!S15</f>
        <v>0</v>
      </c>
      <c r="U15" s="13">
        <f>D.2项目总投资使用计划与资金筹措表!T15</f>
        <v>0</v>
      </c>
      <c r="V15" s="13">
        <f>D.2项目总投资使用计划与资金筹措表!U15</f>
        <v>0</v>
      </c>
      <c r="W15" s="13">
        <f>D.2项目总投资使用计划与资金筹措表!V15</f>
        <v>0</v>
      </c>
      <c r="X15" s="13">
        <f>D.2项目总投资使用计划与资金筹措表!W15</f>
        <v>0</v>
      </c>
      <c r="Y15" s="13">
        <f>D.2项目总投资使用计划与资金筹措表!X15</f>
        <v>0</v>
      </c>
      <c r="Z15" s="13">
        <f>D.2项目总投资使用计划与资金筹措表!Y15</f>
        <v>0</v>
      </c>
      <c r="AA15" s="13">
        <f>D.2项目总投资使用计划与资金筹措表!Z15</f>
        <v>0</v>
      </c>
      <c r="AB15" s="13">
        <f>D.2项目总投资使用计划与资金筹措表!AA15</f>
        <v>0</v>
      </c>
    </row>
    <row r="16" ht="14" spans="3:3">
      <c r="C16"/>
    </row>
  </sheetData>
  <mergeCells count="1">
    <mergeCell ref="A1:I1"/>
  </mergeCells>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4" tint="-0.249977111117893"/>
  </sheetPr>
  <dimension ref="A1:Z18"/>
  <sheetViews>
    <sheetView zoomScale="70" zoomScaleNormal="70" workbookViewId="0">
      <pane xSplit="2" ySplit="2" topLeftCell="C3" activePane="bottomRight" state="frozen"/>
      <selection/>
      <selection pane="topRight"/>
      <selection pane="bottomLeft"/>
      <selection pane="bottomRight" activeCell="G14" sqref="G14"/>
    </sheetView>
  </sheetViews>
  <sheetFormatPr defaultColWidth="8.89090909090909" defaultRowHeight="28.05" customHeight="1"/>
  <cols>
    <col min="2" max="2" width="29.7818181818182" style="1" customWidth="1"/>
    <col min="3" max="3" width="6.44545454545455" style="1" customWidth="1"/>
    <col min="4" max="4" width="8.66363636363636" style="1" customWidth="1"/>
    <col min="5" max="7" width="10.8909090909091" style="1" customWidth="1"/>
    <col min="8" max="8" width="10.5090909090909" style="1" customWidth="1"/>
  </cols>
  <sheetData>
    <row r="1" s="48" customFormat="1" ht="22.5" customHeight="1" spans="1:8">
      <c r="A1" s="59" t="s">
        <v>211</v>
      </c>
      <c r="B1" s="3"/>
      <c r="C1" s="3"/>
      <c r="D1" s="3"/>
      <c r="E1" s="3"/>
      <c r="F1" s="3"/>
      <c r="G1" s="4"/>
      <c r="H1"/>
    </row>
    <row r="2" s="48" customFormat="1" ht="28.2" customHeight="1" spans="1:26">
      <c r="A2" s="5" t="s">
        <v>1</v>
      </c>
      <c r="B2" s="5" t="s">
        <v>144</v>
      </c>
      <c r="C2" s="164">
        <v>2025</v>
      </c>
      <c r="D2" s="33">
        <v>2026</v>
      </c>
      <c r="E2" s="33">
        <v>2027</v>
      </c>
      <c r="F2" s="33">
        <v>2028</v>
      </c>
      <c r="G2" s="33">
        <v>2029</v>
      </c>
      <c r="H2" s="33">
        <v>2030</v>
      </c>
      <c r="I2" s="33">
        <v>2031</v>
      </c>
      <c r="J2" s="33">
        <v>2032</v>
      </c>
      <c r="K2" s="33">
        <v>2033</v>
      </c>
      <c r="L2" s="33">
        <v>2034</v>
      </c>
      <c r="M2" s="33">
        <v>2035</v>
      </c>
      <c r="N2" s="33">
        <v>2036</v>
      </c>
      <c r="O2" s="33">
        <v>2037</v>
      </c>
      <c r="P2" s="33">
        <v>2038</v>
      </c>
      <c r="Q2" s="33">
        <v>2039</v>
      </c>
      <c r="R2" s="33">
        <v>2040</v>
      </c>
      <c r="S2" s="33">
        <v>2041</v>
      </c>
      <c r="T2" s="33">
        <v>2042</v>
      </c>
      <c r="U2" s="33">
        <v>2043</v>
      </c>
      <c r="V2" s="33">
        <v>2044</v>
      </c>
      <c r="W2" s="33">
        <v>2045</v>
      </c>
      <c r="X2" s="33">
        <v>2046</v>
      </c>
      <c r="Y2" s="33">
        <v>2047</v>
      </c>
      <c r="Z2" s="33">
        <v>2048</v>
      </c>
    </row>
    <row r="3" s="48" customFormat="1" ht="16.5" customHeight="1" spans="1:26">
      <c r="A3" s="8">
        <v>1</v>
      </c>
      <c r="B3" s="8" t="s">
        <v>212</v>
      </c>
      <c r="C3" s="9"/>
      <c r="D3" s="38">
        <f>'E.1.1项目运营期费用(不含税）'!I7+'E.1.1项目运营期费用(不含税）'!I13</f>
        <v>0</v>
      </c>
      <c r="E3" s="38">
        <f>'E.1.1项目运营期费用(不含税）'!J7+'E.1.1项目运营期费用(不含税）'!J13</f>
        <v>0</v>
      </c>
      <c r="F3" s="38">
        <f>'E.1.1项目运营期费用(不含税）'!K7+'E.1.1项目运营期费用(不含税）'!K13</f>
        <v>0</v>
      </c>
      <c r="G3" s="38">
        <f>'E.1.1项目运营期费用(不含税）'!L7+'E.1.1项目运营期费用(不含税）'!L13</f>
        <v>0</v>
      </c>
      <c r="H3" s="38">
        <f>'E.1.1项目运营期费用(不含税）'!M7+'E.1.1项目运营期费用(不含税）'!M13</f>
        <v>0</v>
      </c>
      <c r="I3" s="38">
        <f>'E.1.1项目运营期费用(不含税）'!N7+'E.1.1项目运营期费用(不含税）'!N13</f>
        <v>0</v>
      </c>
      <c r="J3" s="38">
        <f>'E.1.1项目运营期费用(不含税）'!O7+'E.1.1项目运营期费用(不含税）'!O13</f>
        <v>0</v>
      </c>
      <c r="K3" s="38">
        <f>'E.1.1项目运营期费用(不含税）'!P7+'E.1.1项目运营期费用(不含税）'!P13</f>
        <v>0</v>
      </c>
      <c r="L3" s="38">
        <f>'E.1.1项目运营期费用(不含税）'!Q7+'E.1.1项目运营期费用(不含税）'!Q13</f>
        <v>0</v>
      </c>
      <c r="M3" s="38">
        <f>'E.1.1项目运营期费用(不含税）'!R7+'E.1.1项目运营期费用(不含税）'!R13</f>
        <v>0</v>
      </c>
      <c r="N3" s="38">
        <f>'E.1.1项目运营期费用(不含税）'!S7+'E.1.1项目运营期费用(不含税）'!S13</f>
        <v>0</v>
      </c>
      <c r="O3" s="38">
        <f>'E.1.1项目运营期费用(不含税）'!T7+'E.1.1项目运营期费用(不含税）'!T13</f>
        <v>0</v>
      </c>
      <c r="P3" s="38">
        <f>'E.1.1项目运营期费用(不含税）'!U7+'E.1.1项目运营期费用(不含税）'!U13</f>
        <v>0</v>
      </c>
      <c r="Q3" s="38">
        <f>'E.1.1项目运营期费用(不含税）'!V7+'E.1.1项目运营期费用(不含税）'!V13</f>
        <v>0</v>
      </c>
      <c r="R3" s="38">
        <f>'E.1.1项目运营期费用(不含税）'!W7+'E.1.1项目运营期费用(不含税）'!W13</f>
        <v>0</v>
      </c>
      <c r="S3" s="38">
        <f>'E.1.1项目运营期费用(不含税）'!X7+'E.1.1项目运营期费用(不含税）'!X13</f>
        <v>0</v>
      </c>
      <c r="T3" s="38">
        <f>'E.1.1项目运营期费用(不含税）'!Y7+'E.1.1项目运营期费用(不含税）'!Y13</f>
        <v>0</v>
      </c>
      <c r="U3" s="38">
        <f>'E.1.1项目运营期费用(不含税）'!Z7+'E.1.1项目运营期费用(不含税）'!Z13</f>
        <v>0</v>
      </c>
      <c r="V3" s="38">
        <f>'E.1.1项目运营期费用(不含税）'!AA7+'E.1.1项目运营期费用(不含税）'!AA13</f>
        <v>0</v>
      </c>
      <c r="W3" s="38">
        <f>'E.1.1项目运营期费用(不含税）'!AB7+'E.1.1项目运营期费用(不含税）'!AB13</f>
        <v>0</v>
      </c>
      <c r="X3" s="38">
        <f>'E.1.1项目运营期费用(不含税）'!AC7+'E.1.1项目运营期费用(不含税）'!AC13</f>
        <v>0</v>
      </c>
      <c r="Y3" s="38">
        <f>'E.1.1项目运营期费用(不含税）'!AD7+'E.1.1项目运营期费用(不含税）'!AD13</f>
        <v>0</v>
      </c>
      <c r="Z3" s="38">
        <f>'E.1.1项目运营期费用(不含税）'!AE7+'E.1.1项目运营期费用(不含税）'!AE13</f>
        <v>0</v>
      </c>
    </row>
    <row r="4" s="48" customFormat="1" ht="16.5" customHeight="1" spans="1:26">
      <c r="A4" s="8">
        <v>2</v>
      </c>
      <c r="B4" s="8" t="s">
        <v>213</v>
      </c>
      <c r="C4" s="9"/>
      <c r="D4" s="38">
        <f>'E.1.1项目运营期费用(不含税）'!I8+'E.1.1项目运营期费用(不含税）'!I9+'E.1.1项目运营期费用(不含税）'!I10</f>
        <v>0</v>
      </c>
      <c r="E4" s="38">
        <f>'E.1.1项目运营期费用(不含税）'!J8+'E.1.1项目运营期费用(不含税）'!J9+'E.1.1项目运营期费用(不含税）'!J10</f>
        <v>9.1743119266055</v>
      </c>
      <c r="F4" s="38">
        <f>'E.1.1项目运营期费用(不含税）'!K8+'E.1.1项目运营期费用(不含税）'!K9+'E.1.1项目运营期费用(不含税）'!K10</f>
        <v>9.1743119266055</v>
      </c>
      <c r="G4" s="38">
        <f>'E.1.1项目运营期费用(不含税）'!L8+'E.1.1项目运营期费用(不含税）'!L9+'E.1.1项目运营期费用(不含税）'!L10</f>
        <v>9.31192660550459</v>
      </c>
      <c r="H4" s="38">
        <f>'E.1.1项目运营期费用(不含税）'!M8+'E.1.1项目运营期费用(不含税）'!M9+'E.1.1项目运营期费用(不含税）'!M10</f>
        <v>9.45160550458716</v>
      </c>
      <c r="I4" s="38">
        <f>'E.1.1项目运营期费用(不含税）'!N8+'E.1.1项目运营期费用(不含税）'!N9+'E.1.1项目运营期费用(不含税）'!N10</f>
        <v>9.59337958715596</v>
      </c>
      <c r="J4" s="38">
        <f>'E.1.1项目运营期费用(不含税）'!O8+'E.1.1项目运营期费用(不含税）'!O9+'E.1.1项目运营期费用(不含税）'!O10</f>
        <v>9.7372802809633</v>
      </c>
      <c r="K4" s="38">
        <f>'E.1.1项目运营期费用(不含税）'!P8+'E.1.1项目运营期费用(不含税）'!P9+'E.1.1项目运营期费用(不含税）'!P10</f>
        <v>9.88333948517771</v>
      </c>
      <c r="L4" s="38">
        <f>'E.1.1项目运营期费用(不含税）'!Q8+'E.1.1项目运营期费用(不含税）'!Q9+'E.1.1项目运营期费用(不含税）'!Q10</f>
        <v>10.0315895774554</v>
      </c>
      <c r="M4" s="38">
        <f>'E.1.1项目运营期费用(不含税）'!R8+'E.1.1项目运营期费用(不含税）'!R9+'E.1.1项目运营期费用(不含税）'!R10</f>
        <v>10.1820634211172</v>
      </c>
      <c r="N4" s="38">
        <f>'E.1.1项目运营期费用(不含税）'!S8+'E.1.1项目运营期费用(不含税）'!S9+'E.1.1项目运营期费用(不含税）'!S10</f>
        <v>10.334794372434</v>
      </c>
      <c r="O4" s="38">
        <f>'E.1.1项目运营期费用(不含税）'!T8+'E.1.1项目运营期费用(不含税）'!T9+'E.1.1项目运营期费用(不含税）'!T10</f>
        <v>10.4898162880206</v>
      </c>
      <c r="P4" s="38">
        <f>'E.1.1项目运营期费用(不含税）'!U8+'E.1.1项目运营期费用(不含税）'!U9+'E.1.1项目运营期费用(不含税）'!U10</f>
        <v>10.6471635323408</v>
      </c>
      <c r="Q4" s="38">
        <f>'E.1.1项目运营期费用(不含税）'!V8+'E.1.1项目运营期费用(不含税）'!V9+'E.1.1项目运营期费用(不含税）'!V10</f>
        <v>10.806870985326</v>
      </c>
      <c r="R4" s="38">
        <f>'E.1.1项目运营期费用(不含税）'!W8+'E.1.1项目运营期费用(不含税）'!W9+'E.1.1项目运营期费用(不含税）'!W10</f>
        <v>10.9689740501058</v>
      </c>
      <c r="S4" s="38">
        <f>'E.1.1项目运营期费用(不含税）'!X8+'E.1.1项目运营期费用(不含税）'!X9+'E.1.1项目运营期费用(不含税）'!X10</f>
        <v>11.1335086608574</v>
      </c>
      <c r="T4" s="38">
        <f>'E.1.1项目运营期费用(不含税）'!Y8+'E.1.1项目运营期费用(不含税）'!Y9+'E.1.1项目运营期费用(不含税）'!Y10</f>
        <v>11.3005112907703</v>
      </c>
      <c r="U4" s="38">
        <f>'E.1.1项目运营期费用(不含税）'!Z8+'E.1.1项目运营期费用(不含税）'!Z9+'E.1.1项目运营期费用(不含税）'!Z10</f>
        <v>11.4700189601318</v>
      </c>
      <c r="V4" s="38">
        <f>'E.1.1项目运营期费用(不含税）'!AA8+'E.1.1项目运营期费用(不含税）'!AA9+'E.1.1项目运营期费用(不含税）'!AA10</f>
        <v>11.6420692445338</v>
      </c>
      <c r="W4" s="38">
        <f>'E.1.1项目运营期费用(不含税）'!AB8+'E.1.1项目运营期费用(不含税）'!AB9+'E.1.1项目运营期费用(不含税）'!AB10</f>
        <v>11.8167002832018</v>
      </c>
      <c r="X4" s="38">
        <f>'E.1.1项目运营期费用(不含税）'!AC8+'E.1.1项目运营期费用(不含税）'!AC9+'E.1.1项目运营期费用(不含税）'!AC10</f>
        <v>11.9939507874498</v>
      </c>
      <c r="Y4" s="38">
        <f>'E.1.1项目运营期费用(不含税）'!AD8+'E.1.1项目运营期费用(不含税）'!AD9+'E.1.1项目运营期费用(不含税）'!AD10</f>
        <v>12.1738600492616</v>
      </c>
      <c r="Z4" s="38">
        <f>'E.1.1项目运营期费用(不含税）'!AE8+'E.1.1项目运营期费用(不含税）'!AE9+'E.1.1项目运营期费用(不含税）'!AE10</f>
        <v>12.3564679500005</v>
      </c>
    </row>
    <row r="5" s="48" customFormat="1" ht="16.5" customHeight="1" spans="1:26">
      <c r="A5" s="8">
        <v>3</v>
      </c>
      <c r="B5" s="8" t="s">
        <v>214</v>
      </c>
      <c r="C5" s="9"/>
      <c r="D5" s="38">
        <f>'E.1.1项目运营期费用(不含税）'!I16</f>
        <v>0</v>
      </c>
      <c r="E5" s="38">
        <f>'E.1.1项目运营期费用(不含税）'!J16</f>
        <v>60</v>
      </c>
      <c r="F5" s="38">
        <f>'E.1.1项目运营期费用(不含税）'!K16</f>
        <v>60</v>
      </c>
      <c r="G5" s="38">
        <f>'E.1.1项目运营期费用(不含税）'!L16</f>
        <v>60.9</v>
      </c>
      <c r="H5" s="38">
        <f>'E.1.1项目运营期费用(不含税）'!M16</f>
        <v>61.8135</v>
      </c>
      <c r="I5" s="38">
        <f>'E.1.1项目运营期费用(不含税）'!N16</f>
        <v>62.7407025</v>
      </c>
      <c r="J5" s="38">
        <f>'E.1.1项目运营期费用(不含税）'!O16</f>
        <v>63.6818130375</v>
      </c>
      <c r="K5" s="38">
        <f>'E.1.1项目运营期费用(不含税）'!P16</f>
        <v>64.6370402330625</v>
      </c>
      <c r="L5" s="38">
        <f>'E.1.1项目运营期费用(不含税）'!Q16</f>
        <v>65.6065958365584</v>
      </c>
      <c r="M5" s="38">
        <f>'E.1.1项目运营期费用(不含税）'!R16</f>
        <v>66.5906947741068</v>
      </c>
      <c r="N5" s="38">
        <f>'E.1.1项目运营期费用(不含税）'!S16</f>
        <v>67.5895551957184</v>
      </c>
      <c r="O5" s="38">
        <f>'E.1.1项目运营期费用(不含税）'!T16</f>
        <v>68.6033985236541</v>
      </c>
      <c r="P5" s="38">
        <f>'E.1.1项目运营期费用(不含税）'!U16</f>
        <v>69.6324495015089</v>
      </c>
      <c r="Q5" s="38">
        <f>'E.1.1项目运营期费用(不含税）'!V16</f>
        <v>70.6769362440316</v>
      </c>
      <c r="R5" s="38">
        <f>'E.1.1项目运营期费用(不含税）'!W16</f>
        <v>71.737090287692</v>
      </c>
      <c r="S5" s="38">
        <f>'E.1.1项目运营期费用(不含税）'!X16</f>
        <v>72.8131466420074</v>
      </c>
      <c r="T5" s="38">
        <f>'E.1.1项目运营期费用(不含税）'!Y16</f>
        <v>73.9053438416375</v>
      </c>
      <c r="U5" s="38">
        <f>'E.1.1项目运营期费用(不含税）'!Z16</f>
        <v>75.0139239992621</v>
      </c>
      <c r="V5" s="38">
        <f>'E.1.1项目运营期费用(不含税）'!AA16</f>
        <v>76.139132859251</v>
      </c>
      <c r="W5" s="38">
        <f>'E.1.1项目运营期费用(不含税）'!AB16</f>
        <v>77.2812198521398</v>
      </c>
      <c r="X5" s="38">
        <f>'E.1.1项目运营期费用(不含税）'!AC16</f>
        <v>78.4404381499218</v>
      </c>
      <c r="Y5" s="38">
        <f>'E.1.1项目运营期费用(不含税）'!AD16</f>
        <v>79.6170447221707</v>
      </c>
      <c r="Z5" s="38">
        <f>'E.1.1项目运营期费用(不含税）'!AE16</f>
        <v>80.8113003930032</v>
      </c>
    </row>
    <row r="6" s="48" customFormat="1" ht="16.5" customHeight="1" spans="1:26">
      <c r="A6" s="8">
        <v>4</v>
      </c>
      <c r="B6" s="8" t="s">
        <v>215</v>
      </c>
      <c r="C6" s="9"/>
      <c r="D6" s="38">
        <f>'E.1.1项目运营期费用(不含税）'!I5+'E.1.1项目运营期费用(不含税）'!I12</f>
        <v>0</v>
      </c>
      <c r="E6" s="38">
        <f>'E.1.1项目运营期费用(不含税）'!J5+'E.1.1项目运营期费用(不含税）'!J12</f>
        <v>319.977876106195</v>
      </c>
      <c r="F6" s="38">
        <f>'E.1.1项目运营期费用(不含税）'!K5+'E.1.1项目运营期费用(不含税）'!K12</f>
        <v>426.637168141593</v>
      </c>
      <c r="G6" s="38">
        <f>'E.1.1项目运营期费用(不含税）'!L5+'E.1.1项目运营期费用(不含税）'!L12</f>
        <v>433.036725663717</v>
      </c>
      <c r="H6" s="38">
        <f>'E.1.1项目运营期费用(不含税）'!M5+'E.1.1项目运营期费用(不含税）'!M12</f>
        <v>439.532276548673</v>
      </c>
      <c r="I6" s="38">
        <f>'E.1.1项目运营期费用(不含税）'!N5+'E.1.1项目运营期费用(不含税）'!N12</f>
        <v>446.125260696903</v>
      </c>
      <c r="J6" s="38">
        <f>'E.1.1项目运营期费用(不含税）'!O5+'E.1.1项目运营期费用(不含税）'!O12</f>
        <v>452.817139607356</v>
      </c>
      <c r="K6" s="38">
        <f>'E.1.1项目运营期费用(不含税）'!P5+'E.1.1项目运营期费用(不含税）'!P12</f>
        <v>459.609396701466</v>
      </c>
      <c r="L6" s="38">
        <f>'E.1.1项目运营期费用(不含税）'!Q5+'E.1.1项目运营期费用(不含税）'!Q12</f>
        <v>466.503537651988</v>
      </c>
      <c r="M6" s="38">
        <f>'E.1.1项目运营期费用(不含税）'!R5+'E.1.1项目运营期费用(不含税）'!R12</f>
        <v>473.501090716768</v>
      </c>
      <c r="N6" s="38">
        <f>'E.1.1项目运营期费用(不含税）'!S5+'E.1.1项目运营期费用(不含税）'!S12</f>
        <v>480.60360707752</v>
      </c>
      <c r="O6" s="38">
        <f>'E.1.1项目运营期费用(不含税）'!T5+'E.1.1项目运营期费用(不含税）'!T12</f>
        <v>487.812661183682</v>
      </c>
      <c r="P6" s="38">
        <f>'E.1.1项目运营期费用(不含税）'!U5+'E.1.1项目运营期费用(不含税）'!U12</f>
        <v>495.129851101437</v>
      </c>
      <c r="Q6" s="38">
        <f>'E.1.1项目运营期费用(不含税）'!V5+'E.1.1项目运营期费用(不含税）'!V12</f>
        <v>502.556798867959</v>
      </c>
      <c r="R6" s="38">
        <f>'E.1.1项目运营期费用(不含税）'!W5+'E.1.1项目运营期费用(不含税）'!W12</f>
        <v>510.095150850978</v>
      </c>
      <c r="S6" s="38">
        <f>'E.1.1项目运营期费用(不含税）'!X5+'E.1.1项目运营期费用(不含税）'!X12</f>
        <v>517.746578113743</v>
      </c>
      <c r="T6" s="38">
        <f>'E.1.1项目运营期费用(不含税）'!Y5+'E.1.1项目运营期费用(不含税）'!Y12</f>
        <v>525.512776785449</v>
      </c>
      <c r="U6" s="38">
        <f>'E.1.1项目运营期费用(不含税）'!Z5+'E.1.1项目运营期费用(不含税）'!Z12</f>
        <v>533.395468437231</v>
      </c>
      <c r="V6" s="38">
        <f>'E.1.1项目运营期费用(不含税）'!AA5+'E.1.1项目运营期费用(不含税）'!AA12</f>
        <v>541.396400463789</v>
      </c>
      <c r="W6" s="38">
        <f>'E.1.1项目运营期费用(不含税）'!AB5+'E.1.1项目运营期费用(不含税）'!AB12</f>
        <v>549.517346470746</v>
      </c>
      <c r="X6" s="38">
        <f>'E.1.1项目运营期费用(不含税）'!AC5+'E.1.1项目运营期费用(不含税）'!AC12</f>
        <v>557.760106667807</v>
      </c>
      <c r="Y6" s="38">
        <f>'E.1.1项目运营期费用(不含税）'!AD5+'E.1.1项目运营期费用(不含税）'!AD12</f>
        <v>566.126508267824</v>
      </c>
      <c r="Z6" s="38">
        <f>'E.1.1项目运营期费用(不含税）'!AE5+'E.1.1项目运营期费用(不含税）'!AE12</f>
        <v>574.618405891842</v>
      </c>
    </row>
    <row r="7" s="48" customFormat="1" ht="16.5" customHeight="1" spans="1:26">
      <c r="A7" s="8">
        <v>5</v>
      </c>
      <c r="B7" s="8" t="s">
        <v>216</v>
      </c>
      <c r="C7" s="9"/>
      <c r="D7" s="40">
        <f t="shared" ref="D7:Z7" si="0">D8+D9+D10</f>
        <v>0</v>
      </c>
      <c r="E7" s="40">
        <f t="shared" si="0"/>
        <v>119.266055045872</v>
      </c>
      <c r="F7" s="40">
        <f t="shared" si="0"/>
        <v>155.986060952294</v>
      </c>
      <c r="G7" s="40">
        <f t="shared" si="0"/>
        <v>158.333492293578</v>
      </c>
      <c r="H7" s="40">
        <f t="shared" si="0"/>
        <v>160.708033577982</v>
      </c>
      <c r="I7" s="40">
        <f t="shared" si="0"/>
        <v>163.118192981651</v>
      </c>
      <c r="J7" s="40">
        <f t="shared" si="0"/>
        <v>165.564504776376</v>
      </c>
      <c r="K7" s="40">
        <f t="shared" si="0"/>
        <v>168.047511248022</v>
      </c>
      <c r="L7" s="40">
        <f t="shared" si="0"/>
        <v>170.567762816742</v>
      </c>
      <c r="M7" s="40">
        <f t="shared" si="0"/>
        <v>173.125818158993</v>
      </c>
      <c r="N7" s="40">
        <f t="shared" si="0"/>
        <v>175.722244331378</v>
      </c>
      <c r="O7" s="40">
        <f t="shared" si="0"/>
        <v>178.357616896349</v>
      </c>
      <c r="P7" s="40">
        <f t="shared" si="0"/>
        <v>181.032520049794</v>
      </c>
      <c r="Q7" s="40">
        <f t="shared" si="0"/>
        <v>183.747546750541</v>
      </c>
      <c r="R7" s="40">
        <f t="shared" si="0"/>
        <v>186.503298851798</v>
      </c>
      <c r="S7" s="40">
        <f t="shared" si="0"/>
        <v>189.300387234576</v>
      </c>
      <c r="T7" s="40">
        <f t="shared" si="0"/>
        <v>192.139431943094</v>
      </c>
      <c r="U7" s="40">
        <f t="shared" si="0"/>
        <v>195.021062322241</v>
      </c>
      <c r="V7" s="40">
        <f t="shared" si="0"/>
        <v>197.945917157074</v>
      </c>
      <c r="W7" s="40">
        <f t="shared" si="0"/>
        <v>200.97339481443</v>
      </c>
      <c r="X7" s="40">
        <f t="shared" si="0"/>
        <v>204.506157886647</v>
      </c>
      <c r="Y7" s="40">
        <f t="shared" si="0"/>
        <v>207.408079937447</v>
      </c>
      <c r="Z7" s="40">
        <f t="shared" si="0"/>
        <v>210.444436950009</v>
      </c>
    </row>
    <row r="8" s="48" customFormat="1" ht="16.5" customHeight="1" spans="1:26">
      <c r="A8" s="8">
        <v>5.1</v>
      </c>
      <c r="B8" s="8" t="s">
        <v>217</v>
      </c>
      <c r="C8" s="9"/>
      <c r="D8" s="42">
        <f>'E.1.1项目运营期费用(不含税）'!I4+'E.1.1项目运营期费用(不含税）'!I14</f>
        <v>0</v>
      </c>
      <c r="E8" s="42">
        <f>'E.1.1项目运营期费用(不含税）'!J4+'E.1.1项目运营期费用(不含税）'!J14</f>
        <v>110.091743119266</v>
      </c>
      <c r="F8" s="42">
        <f>'E.1.1项目运营期费用(不含税）'!K4+'E.1.1项目运营期费用(不含税）'!K14</f>
        <v>146.788990825688</v>
      </c>
      <c r="G8" s="42">
        <f>'E.1.1项目运营期费用(不含税）'!L4+'E.1.1项目运营期费用(不含税）'!L14</f>
        <v>148.990825688073</v>
      </c>
      <c r="H8" s="42">
        <f>'E.1.1项目运营期费用(不含税）'!M4+'E.1.1项目运营期费用(不含税）'!M14</f>
        <v>151.225688073395</v>
      </c>
      <c r="I8" s="42">
        <f>'E.1.1项目运营期费用(不含税）'!N4+'E.1.1项目运营期费用(不含税）'!N14</f>
        <v>153.494073394495</v>
      </c>
      <c r="J8" s="42">
        <f>'E.1.1项目运营期费用(不含税）'!O4+'E.1.1项目运营期费用(不含税）'!O14</f>
        <v>155.796484495413</v>
      </c>
      <c r="K8" s="42">
        <f>'E.1.1项目运营期费用(不含税）'!P4+'E.1.1项目运营期费用(不含税）'!P14</f>
        <v>158.133431762844</v>
      </c>
      <c r="L8" s="42">
        <f>'E.1.1项目运营期费用(不含税）'!Q4+'E.1.1项目运营期费用(不含税）'!Q14</f>
        <v>160.505433239286</v>
      </c>
      <c r="M8" s="42">
        <f>'E.1.1项目运营期费用(不含税）'!R4+'E.1.1项目运营期费用(不含税）'!R14</f>
        <v>162.913014737876</v>
      </c>
      <c r="N8" s="42">
        <f>'E.1.1项目运营期费用(不含税）'!S4+'E.1.1项目运营期费用(不含税）'!S14</f>
        <v>165.356709958944</v>
      </c>
      <c r="O8" s="42">
        <f>'E.1.1项目运营期费用(不含税）'!T4+'E.1.1项目运营期费用(不含税）'!T14</f>
        <v>167.837060608328</v>
      </c>
      <c r="P8" s="42">
        <f>'E.1.1项目运营期费用(不含税）'!U4+'E.1.1项目运营期费用(不含税）'!U14</f>
        <v>170.354616517453</v>
      </c>
      <c r="Q8" s="42">
        <f>'E.1.1项目运营期费用(不含税）'!V4+'E.1.1项目运营期费用(不含税）'!V14</f>
        <v>172.909935765215</v>
      </c>
      <c r="R8" s="42">
        <f>'E.1.1项目运营期费用(不含税）'!W4+'E.1.1项目运营期费用(不含税）'!W14</f>
        <v>175.503584801693</v>
      </c>
      <c r="S8" s="42">
        <f>'E.1.1项目运营期费用(不含税）'!X4+'E.1.1项目运营期费用(不含税）'!X14</f>
        <v>178.136138573718</v>
      </c>
      <c r="T8" s="42">
        <f>'E.1.1项目运营期费用(不含税）'!Y4+'E.1.1项目运营期费用(不含税）'!Y14</f>
        <v>180.808180652324</v>
      </c>
      <c r="U8" s="42">
        <f>'E.1.1项目运营期费用(不含税）'!Z4+'E.1.1项目运营期费用(不含税）'!Z14</f>
        <v>183.520303362109</v>
      </c>
      <c r="V8" s="42">
        <f>'E.1.1项目运营期费用(不含税）'!AA4+'E.1.1项目运营期费用(不含税）'!AA14</f>
        <v>186.27310791254</v>
      </c>
      <c r="W8" s="42">
        <f>'E.1.1项目运营期费用(不含税）'!AB4+'E.1.1项目运营期费用(不含税）'!AB14</f>
        <v>189.067204531228</v>
      </c>
      <c r="X8" s="42">
        <f>'E.1.1项目运营期费用(不含税）'!AC4+'E.1.1项目运营期费用(不含税）'!AC14</f>
        <v>191.903212599197</v>
      </c>
      <c r="Y8" s="42">
        <f>'E.1.1项目运营期费用(不含税）'!AD4+'E.1.1项目运营期费用(不含税）'!AD14</f>
        <v>194.781760788185</v>
      </c>
      <c r="Z8" s="42">
        <f>'E.1.1项目运营期费用(不含税）'!AE4+'E.1.1项目运营期费用(不含税）'!AE14</f>
        <v>197.703487200008</v>
      </c>
    </row>
    <row r="9" s="48" customFormat="1" ht="16.5" customHeight="1" spans="1:26">
      <c r="A9" s="8">
        <v>5.2</v>
      </c>
      <c r="B9" s="8" t="s">
        <v>218</v>
      </c>
      <c r="C9" s="9"/>
      <c r="D9" s="38">
        <f>'E.1.1项目运营期费用(不含税）'!I6+'E.1.1项目运营期费用(不含税）'!I11+'E.1.1项目运营期费用(不含税）'!I17+'E.1.1项目运营期费用(不含税）'!I18+'E.1.1项目运营期费用(不含税）'!I19+'E.1.1项目运营期费用(不含税）'!I20+'E.1.1项目运营期费用(不含税）'!I21+'E.1.1项目运营期费用(不含税）'!I22</f>
        <v>0</v>
      </c>
      <c r="E9" s="38">
        <f>'E.1.1项目运营期费用(不含税）'!J6+'E.1.1项目运营期费用(不含税）'!J11+'E.1.1项目运营期费用(不含税）'!J17+'E.1.1项目运营期费用(不含税）'!J18+'E.1.1项目运营期费用(不含税）'!J19+'E.1.1项目运营期费用(不含税）'!J20+'E.1.1项目运营期费用(不含税）'!J21+'E.1.1项目运营期费用(不含税）'!J22+'E.1.1项目运营期费用(不含税）'!J23</f>
        <v>9.1743119266055</v>
      </c>
      <c r="F9" s="38">
        <f>'E.1.1项目运营期费用(不含税）'!K6+'E.1.1项目运营期费用(不含税）'!K11+'E.1.1项目运营期费用(不含税）'!K17+'E.1.1项目运营期费用(不含税）'!K18+'E.1.1项目运营期费用(不含税）'!K19+'E.1.1项目运营期费用(不含税）'!K20+'E.1.1项目运营期费用(不含税）'!K21+'E.1.1项目运营期费用(不含税）'!K22+'E.1.1项目运营期费用(不含税）'!K23+c借款还本付息计划表!G45</f>
        <v>9.1970701266055</v>
      </c>
      <c r="G9" s="38">
        <f>'E.1.1项目运营期费用(不含税）'!L6+'E.1.1项目运营期费用(不含税）'!L11+'E.1.1项目运营期费用(不含税）'!L17+'E.1.1项目运营期费用(不含税）'!L18+'E.1.1项目运营期费用(不含税）'!L19+'E.1.1项目运营期费用(不含税）'!L20+'E.1.1项目运营期费用(不含税）'!L21+'E.1.1项目运营期费用(不含税）'!L22+'E.1.1项目运营期费用(不含税）'!L23+c借款还本付息计划表!H45</f>
        <v>9.34266660550459</v>
      </c>
      <c r="H9" s="38">
        <f>'E.1.1项目运营期费用(不含税）'!M6+'E.1.1项目运营期费用(不含税）'!M11+'E.1.1项目运营期费用(不含税）'!M17+'E.1.1项目运营期费用(不含税）'!M18+'E.1.1项目运营期费用(不含税）'!M19+'E.1.1项目运营期费用(不含税）'!M20+'E.1.1项目运营期费用(不含税）'!M21+'E.1.1项目运营期费用(不含税）'!M22+'E.1.1项目运营期费用(不含税）'!M23+c借款还本付息计划表!I45</f>
        <v>9.48234550458716</v>
      </c>
      <c r="I9" s="38">
        <f>'E.1.1项目运营期费用(不含税）'!N6+'E.1.1项目运营期费用(不含税）'!N11+'E.1.1项目运营期费用(不含税）'!N17+'E.1.1项目运营期费用(不含税）'!N18+'E.1.1项目运营期费用(不含税）'!N19+'E.1.1项目运营期费用(不含税）'!N20+'E.1.1项目运营期费用(不含税）'!N21+'E.1.1项目运营期费用(不含税）'!N22+'E.1.1项目运营期费用(不含税）'!N23+c借款还本付息计划表!J45</f>
        <v>9.62411958715596</v>
      </c>
      <c r="J9" s="38">
        <f>'E.1.1项目运营期费用(不含税）'!O6+'E.1.1项目运营期费用(不含税）'!O11+'E.1.1项目运营期费用(不含税）'!O17+'E.1.1项目运营期费用(不含税）'!O18+'E.1.1项目运营期费用(不含税）'!O19+'E.1.1项目运营期费用(不含税）'!O20+'E.1.1项目运营期费用(不含税）'!O21+'E.1.1项目运营期费用(不含税）'!O22+'E.1.1项目运营期费用(不含税）'!O23+c借款还本付息计划表!K45</f>
        <v>9.7680202809633</v>
      </c>
      <c r="K9" s="38">
        <f>'E.1.1项目运营期费用(不含税）'!P6+'E.1.1项目运营期费用(不含税）'!P11+'E.1.1项目运营期费用(不含税）'!P17+'E.1.1项目运营期费用(不含税）'!P18+'E.1.1项目运营期费用(不含税）'!P19+'E.1.1项目运营期费用(不含税）'!P20+'E.1.1项目运营期费用(不含税）'!P21+'E.1.1项目运营期费用(不含税）'!P22+'E.1.1项目运营期费用(不含税）'!P23+c借款还本付息计划表!L45</f>
        <v>9.91407948517771</v>
      </c>
      <c r="L9" s="38">
        <f>'E.1.1项目运营期费用(不含税）'!Q6+'E.1.1项目运营期费用(不含税）'!Q11+'E.1.1项目运营期费用(不含税）'!Q17+'E.1.1项目运营期费用(不含税）'!Q18+'E.1.1项目运营期费用(不含税）'!Q19+'E.1.1项目运营期费用(不含税）'!Q20+'E.1.1项目运营期费用(不含税）'!Q21+'E.1.1项目运营期费用(不含税）'!Q22+'E.1.1项目运营期费用(不含税）'!Q23+c借款还本付息计划表!M45</f>
        <v>10.0623295774554</v>
      </c>
      <c r="M9" s="38">
        <f>'E.1.1项目运营期费用(不含税）'!R6+'E.1.1项目运营期费用(不含税）'!R11+'E.1.1项目运营期费用(不含税）'!R17+'E.1.1项目运营期费用(不含税）'!R18+'E.1.1项目运营期费用(不含税）'!R19+'E.1.1项目运营期费用(不含税）'!R20+'E.1.1项目运营期费用(不含税）'!R21+'E.1.1项目运营期费用(不含税）'!R22+'E.1.1项目运营期费用(不含税）'!R23+c借款还本付息计划表!N45</f>
        <v>10.2128034211172</v>
      </c>
      <c r="N9" s="38">
        <f>'E.1.1项目运营期费用(不含税）'!S6+'E.1.1项目运营期费用(不含税）'!S11+'E.1.1项目运营期费用(不含税）'!S17+'E.1.1项目运营期费用(不含税）'!S18+'E.1.1项目运营期费用(不含税）'!S19+'E.1.1项目运营期费用(不含税）'!S20+'E.1.1项目运营期费用(不含税）'!S21+'E.1.1项目运营期费用(不含税）'!S22+'E.1.1项目运营期费用(不含税）'!S23+c借款还本付息计划表!O45</f>
        <v>10.365534372434</v>
      </c>
      <c r="O9" s="38">
        <f>'E.1.1项目运营期费用(不含税）'!T6+'E.1.1项目运营期费用(不含税）'!T11+'E.1.1项目运营期费用(不含税）'!T17+'E.1.1项目运营期费用(不含税）'!T18+'E.1.1项目运营期费用(不含税）'!T19+'E.1.1项目运营期费用(不含税）'!T20+'E.1.1项目运营期费用(不含税）'!T21+'E.1.1项目运营期费用(不含税）'!T22+'E.1.1项目运营期费用(不含税）'!T23+c借款还本付息计划表!P45</f>
        <v>10.5205562880206</v>
      </c>
      <c r="P9" s="38">
        <f>'E.1.1项目运营期费用(不含税）'!U6+'E.1.1项目运营期费用(不含税）'!U11+'E.1.1项目运营期费用(不含税）'!U17+'E.1.1项目运营期费用(不含税）'!U18+'E.1.1项目运营期费用(不含税）'!U19+'E.1.1项目运营期费用(不含税）'!U20+'E.1.1项目运营期费用(不含税）'!U21+'E.1.1项目运营期费用(不含税）'!U22+'E.1.1项目运营期费用(不含税）'!U23+c借款还本付息计划表!Q45</f>
        <v>10.6779035323408</v>
      </c>
      <c r="Q9" s="38">
        <f>'E.1.1项目运营期费用(不含税）'!V6+'E.1.1项目运营期费用(不含税）'!V11+'E.1.1项目运营期费用(不含税）'!V17+'E.1.1项目运营期费用(不含税）'!V18+'E.1.1项目运营期费用(不含税）'!V19+'E.1.1项目运营期费用(不含税）'!V20+'E.1.1项目运营期费用(不含税）'!V21+'E.1.1项目运营期费用(不含税）'!V22+'E.1.1项目运营期费用(不含税）'!V23+c借款还本付息计划表!R45</f>
        <v>10.837610985326</v>
      </c>
      <c r="R9" s="38">
        <f>'E.1.1项目运营期费用(不含税）'!W6+'E.1.1项目运营期费用(不含税）'!W11+'E.1.1项目运营期费用(不含税）'!W17+'E.1.1项目运营期费用(不含税）'!W18+'E.1.1项目运营期费用(不含税）'!W19+'E.1.1项目运营期费用(不含税）'!W20+'E.1.1项目运营期费用(不含税）'!W21+'E.1.1项目运营期费用(不含税）'!W22+'E.1.1项目运营期费用(不含税）'!W23+c借款还本付息计划表!S45</f>
        <v>10.9997140501058</v>
      </c>
      <c r="S9" s="38">
        <f>'E.1.1项目运营期费用(不含税）'!X6+'E.1.1项目运营期费用(不含税）'!X11+'E.1.1项目运营期费用(不含税）'!X17+'E.1.1项目运营期费用(不含税）'!X18+'E.1.1项目运营期费用(不含税）'!X19+'E.1.1项目运营期费用(不含税）'!X20+'E.1.1项目运营期费用(不含税）'!X21+'E.1.1项目运营期费用(不含税）'!X22+'E.1.1项目运营期费用(不含税）'!X23+c借款还本付息计划表!T45</f>
        <v>11.1642486608574</v>
      </c>
      <c r="T9" s="38">
        <f>'E.1.1项目运营期费用(不含税）'!Y6+'E.1.1项目运营期费用(不含税）'!Y11+'E.1.1项目运营期费用(不含税）'!Y17+'E.1.1项目运营期费用(不含税）'!Y18+'E.1.1项目运营期费用(不含税）'!Y19+'E.1.1项目运营期费用(不含税）'!Y20+'E.1.1项目运营期费用(不含税）'!Y21+'E.1.1项目运营期费用(不含税）'!Y22+'E.1.1项目运营期费用(不含税）'!Y23+c借款还本付息计划表!U45</f>
        <v>11.3312512907703</v>
      </c>
      <c r="U9" s="38">
        <f>'E.1.1项目运营期费用(不含税）'!Z6+'E.1.1项目运营期费用(不含税）'!Z11+'E.1.1项目运营期费用(不含税）'!Z17+'E.1.1项目运营期费用(不含税）'!Z18+'E.1.1项目运营期费用(不含税）'!Z19+'E.1.1项目运营期费用(不含税）'!Z20+'E.1.1项目运营期费用(不含税）'!Z21+'E.1.1项目运营期费用(不含税）'!Z22+'E.1.1项目运营期费用(不含税）'!Z23+c借款还本付息计划表!V45</f>
        <v>11.5007589601318</v>
      </c>
      <c r="V9" s="38">
        <f>'E.1.1项目运营期费用(不含税）'!AA6+'E.1.1项目运营期费用(不含税）'!AA11+'E.1.1项目运营期费用(不含税）'!AA17+'E.1.1项目运营期费用(不含税）'!AA18+'E.1.1项目运营期费用(不含税）'!AA19+'E.1.1项目运营期费用(不含税）'!AA20+'E.1.1项目运营期费用(不含税）'!AA21+'E.1.1项目运营期费用(不含税）'!AA22+'E.1.1项目运营期费用(不含税）'!AA23+c借款还本付息计划表!W45</f>
        <v>11.6728092445338</v>
      </c>
      <c r="W9" s="38">
        <f>'E.1.1项目运营期费用(不含税）'!AB6+'E.1.1项目运营期费用(不含税）'!AB11+'E.1.1项目运营期费用(不含税）'!AB17+'E.1.1项目运营期费用(不含税）'!AB18+'E.1.1项目运营期费用(不含税）'!AB19+'E.1.1项目运营期费用(不含税）'!AB20+'E.1.1项目运营期费用(不含税）'!AB21+'E.1.1项目运营期费用(不含税）'!AB22+'E.1.1项目运营期费用(不含税）'!AB23+c借款还本付息计划表!X45</f>
        <v>11.9061902832018</v>
      </c>
      <c r="X9" s="38">
        <f>'E.1.1项目运营期费用(不含税）'!AC6+'E.1.1项目运营期费用(不含税）'!AC11+'E.1.1项目运营期费用(不含税）'!AC17+'E.1.1项目运营期费用(不含税）'!AC18+'E.1.1项目运营期费用(不含税）'!AC19+'E.1.1项目运营期费用(不含税）'!AC20+'E.1.1项目运营期费用(不含税）'!AC21+'E.1.1项目运营期费用(不含税）'!AC22+'E.1.1项目运营期费用(不含税）'!AC23+c借款还本付息计划表!Y45</f>
        <v>12.6029452874498</v>
      </c>
      <c r="Y9" s="38">
        <f>'E.1.1项目运营期费用(不含税）'!AD6+'E.1.1项目运营期费用(不含税）'!AD11+'E.1.1项目运营期费用(不含税）'!AD17+'E.1.1项目运营期费用(不含税）'!AD18+'E.1.1项目运营期费用(不含税）'!AD19+'E.1.1项目运营期费用(不含税）'!AD20+'E.1.1项目运营期费用(不含税）'!AD21+'E.1.1项目运营期费用(不含税）'!AD22+'E.1.1项目运营期费用(不含税）'!AD23+c借款还本付息计划表!Z45</f>
        <v>12.6263191492616</v>
      </c>
      <c r="Z9" s="38">
        <f>'E.1.1项目运营期费用(不含税）'!AE6+'E.1.1项目运营期费用(不含税）'!AE11+'E.1.1项目运营期费用(不含税）'!AE17+'E.1.1项目运营期费用(不含税）'!AE18+'E.1.1项目运营期费用(不含税）'!AE19+'E.1.1项目运营期费用(不含税）'!AE20+'E.1.1项目运营期费用(不含税）'!AE21+'E.1.1项目运营期费用(不含税）'!AE22+'E.1.1项目运营期费用(不含税）'!AE23+c借款还本付息计划表!AA45</f>
        <v>12.7409497500005</v>
      </c>
    </row>
    <row r="10" s="48" customFormat="1" ht="16.5" customHeight="1" spans="1:26">
      <c r="A10" s="8">
        <v>5.3</v>
      </c>
      <c r="B10" s="8" t="s">
        <v>219</v>
      </c>
      <c r="C10" s="9"/>
      <c r="D10" s="38">
        <f>'E.1.1项目运营期费用(不含税）'!I15</f>
        <v>0</v>
      </c>
      <c r="E10" s="38">
        <f>'E.1.1项目运营期费用(不含税）'!J15</f>
        <v>0</v>
      </c>
      <c r="F10" s="38">
        <f>'E.1.1项目运营期费用(不含税）'!K15</f>
        <v>0</v>
      </c>
      <c r="G10" s="38">
        <f>'E.1.1项目运营期费用(不含税）'!L15</f>
        <v>0</v>
      </c>
      <c r="H10" s="38">
        <f>'E.1.1项目运营期费用(不含税）'!M15</f>
        <v>0</v>
      </c>
      <c r="I10" s="38">
        <f>'E.1.1项目运营期费用(不含税）'!N15</f>
        <v>0</v>
      </c>
      <c r="J10" s="38">
        <f>'E.1.1项目运营期费用(不含税）'!O15</f>
        <v>0</v>
      </c>
      <c r="K10" s="38">
        <f>'E.1.1项目运营期费用(不含税）'!P15</f>
        <v>0</v>
      </c>
      <c r="L10" s="38">
        <f>'E.1.1项目运营期费用(不含税）'!Q15</f>
        <v>0</v>
      </c>
      <c r="M10" s="38">
        <f>'E.1.1项目运营期费用(不含税）'!R15</f>
        <v>0</v>
      </c>
      <c r="N10" s="38">
        <f>'E.1.1项目运营期费用(不含税）'!S15</f>
        <v>0</v>
      </c>
      <c r="O10" s="38">
        <f>'E.1.1项目运营期费用(不含税）'!T15</f>
        <v>0</v>
      </c>
      <c r="P10" s="38">
        <f>'E.1.1项目运营期费用(不含税）'!U15</f>
        <v>0</v>
      </c>
      <c r="Q10" s="38">
        <f>'E.1.1项目运营期费用(不含税）'!V15</f>
        <v>0</v>
      </c>
      <c r="R10" s="38">
        <f>'E.1.1项目运营期费用(不含税）'!W15</f>
        <v>0</v>
      </c>
      <c r="S10" s="38">
        <f>'E.1.1项目运营期费用(不含税）'!X15</f>
        <v>0</v>
      </c>
      <c r="T10" s="38">
        <f>'E.1.1项目运营期费用(不含税）'!Y15</f>
        <v>0</v>
      </c>
      <c r="U10" s="38">
        <f>'E.1.1项目运营期费用(不含税）'!Z15</f>
        <v>0</v>
      </c>
      <c r="V10" s="38">
        <f>'E.1.1项目运营期费用(不含税）'!AA15</f>
        <v>0</v>
      </c>
      <c r="W10" s="38">
        <f>'E.1.1项目运营期费用(不含税）'!AB15</f>
        <v>0</v>
      </c>
      <c r="X10" s="38">
        <f>'E.1.1项目运营期费用(不含税）'!AC15</f>
        <v>0</v>
      </c>
      <c r="Y10" s="38">
        <f>'E.1.1项目运营期费用(不含税）'!AD15</f>
        <v>0</v>
      </c>
      <c r="Z10" s="38">
        <f>'E.1.1项目运营期费用(不含税）'!AE15</f>
        <v>0</v>
      </c>
    </row>
    <row r="11" s="48" customFormat="1" ht="16.5" customHeight="1" spans="1:26">
      <c r="A11" s="8">
        <v>6</v>
      </c>
      <c r="B11" s="8" t="s">
        <v>220</v>
      </c>
      <c r="C11" s="9"/>
      <c r="D11" s="13">
        <f t="shared" ref="D11:Z11" si="1">D3+D4+D5+D6+D7</f>
        <v>0</v>
      </c>
      <c r="E11" s="13">
        <f t="shared" si="1"/>
        <v>508.418243078672</v>
      </c>
      <c r="F11" s="13">
        <f t="shared" si="1"/>
        <v>651.797541020492</v>
      </c>
      <c r="G11" s="13">
        <f t="shared" si="1"/>
        <v>661.582144562799</v>
      </c>
      <c r="H11" s="13">
        <f t="shared" si="1"/>
        <v>671.505415631241</v>
      </c>
      <c r="I11" s="13">
        <f t="shared" si="1"/>
        <v>681.57753576571</v>
      </c>
      <c r="J11" s="13">
        <f t="shared" si="1"/>
        <v>691.800737702195</v>
      </c>
      <c r="K11" s="13">
        <f t="shared" si="1"/>
        <v>702.177287667728</v>
      </c>
      <c r="L11" s="13">
        <f t="shared" si="1"/>
        <v>712.709485882744</v>
      </c>
      <c r="M11" s="13">
        <f t="shared" si="1"/>
        <v>723.399667070986</v>
      </c>
      <c r="N11" s="13">
        <f t="shared" si="1"/>
        <v>734.25020097705</v>
      </c>
      <c r="O11" s="13">
        <f t="shared" si="1"/>
        <v>745.263492891706</v>
      </c>
      <c r="P11" s="13">
        <f t="shared" si="1"/>
        <v>756.441984185081</v>
      </c>
      <c r="Q11" s="13">
        <f t="shared" si="1"/>
        <v>767.788152847858</v>
      </c>
      <c r="R11" s="13">
        <f t="shared" si="1"/>
        <v>779.304514040574</v>
      </c>
      <c r="S11" s="13">
        <f t="shared" si="1"/>
        <v>790.993620651184</v>
      </c>
      <c r="T11" s="13">
        <f t="shared" si="1"/>
        <v>802.858063860951</v>
      </c>
      <c r="U11" s="13">
        <f t="shared" si="1"/>
        <v>814.900473718866</v>
      </c>
      <c r="V11" s="13">
        <f t="shared" si="1"/>
        <v>827.123519724648</v>
      </c>
      <c r="W11" s="13">
        <f t="shared" si="1"/>
        <v>839.588661420518</v>
      </c>
      <c r="X11" s="13">
        <f t="shared" si="1"/>
        <v>852.700653491826</v>
      </c>
      <c r="Y11" s="13">
        <f t="shared" si="1"/>
        <v>865.325492976703</v>
      </c>
      <c r="Z11" s="13">
        <f t="shared" si="1"/>
        <v>878.230611184854</v>
      </c>
    </row>
    <row r="12" s="48" customFormat="1" ht="16.5" customHeight="1" spans="1:26">
      <c r="A12" s="8">
        <v>7</v>
      </c>
      <c r="B12" s="8" t="s">
        <v>221</v>
      </c>
      <c r="C12" s="158">
        <f>(E.2固定资产折旧费估算表!F10)</f>
        <v>0</v>
      </c>
      <c r="D12" s="158">
        <f>(E.2固定资产折旧费估算表!G10)</f>
        <v>0</v>
      </c>
      <c r="E12" s="158">
        <f>(E.2固定资产折旧费估算表!H10)</f>
        <v>406.07530921051</v>
      </c>
      <c r="F12" s="158">
        <f>(E.2固定资产折旧费估算表!I10)</f>
        <v>406.07530921051</v>
      </c>
      <c r="G12" s="158">
        <f>(E.2固定资产折旧费估算表!J10)</f>
        <v>1013.96873184612</v>
      </c>
      <c r="H12" s="158">
        <f>(E.2固定资产折旧费估算表!K10)</f>
        <v>1013.96873184612</v>
      </c>
      <c r="I12" s="158">
        <f>(E.2固定资产折旧费估算表!L10)</f>
        <v>1013.96873184612</v>
      </c>
      <c r="J12" s="158">
        <f>(E.2固定资产折旧费估算表!M10)</f>
        <v>1013.96873184612</v>
      </c>
      <c r="K12" s="158">
        <f>(E.2固定资产折旧费估算表!N10)</f>
        <v>1013.96873184612</v>
      </c>
      <c r="L12" s="158">
        <f>(E.2固定资产折旧费估算表!O10)</f>
        <v>1013.96873184612</v>
      </c>
      <c r="M12" s="158">
        <f>(E.2固定资产折旧费估算表!P10)</f>
        <v>1013.96873184612</v>
      </c>
      <c r="N12" s="158">
        <f>(E.2固定资产折旧费估算表!Q10)</f>
        <v>1013.96873184612</v>
      </c>
      <c r="O12" s="158">
        <f>(E.2固定资产折旧费估算表!R10)</f>
        <v>1013.96873184612</v>
      </c>
      <c r="P12" s="158">
        <f>(E.2固定资产折旧费估算表!S10)</f>
        <v>1013.96873184612</v>
      </c>
      <c r="Q12" s="158">
        <f>(E.2固定资产折旧费估算表!T10)</f>
        <v>1013.96873184612</v>
      </c>
      <c r="R12" s="158">
        <f>(E.2固定资产折旧费估算表!U10)</f>
        <v>1013.96873184612</v>
      </c>
      <c r="S12" s="158">
        <f>(E.2固定资产折旧费估算表!V10)</f>
        <v>1013.96873184612</v>
      </c>
      <c r="T12" s="158">
        <f>(E.2固定资产折旧费估算表!W10)</f>
        <v>1013.96873184612</v>
      </c>
      <c r="U12" s="158">
        <f>(E.2固定资产折旧费估算表!X10)</f>
        <v>1013.96873184612</v>
      </c>
      <c r="V12" s="158">
        <f>(E.2固定资产折旧费估算表!Y10)</f>
        <v>1013.96873184612</v>
      </c>
      <c r="W12" s="158">
        <f>(E.2固定资产折旧费估算表!Z10)</f>
        <v>1013.96873184612</v>
      </c>
      <c r="X12" s="158">
        <f>(E.2固定资产折旧费估算表!AA10)</f>
        <v>1013.96873184612</v>
      </c>
      <c r="Y12" s="158">
        <f>(E.2固定资产折旧费估算表!AB10)</f>
        <v>1013.96873184612</v>
      </c>
      <c r="Z12" s="158">
        <f>(E.2固定资产折旧费估算表!AC10)</f>
        <v>1013.96873184612</v>
      </c>
    </row>
    <row r="13" s="48" customFormat="1" ht="16.5" customHeight="1" spans="1:26">
      <c r="A13" s="8">
        <v>8</v>
      </c>
      <c r="B13" s="8" t="s">
        <v>222</v>
      </c>
      <c r="C13" s="158">
        <f>(E.3无形资产和其他资产摊销费估算表!F34)</f>
        <v>0</v>
      </c>
      <c r="D13" s="158">
        <f>(E.3无形资产和其他资产摊销费估算表!G34)</f>
        <v>0</v>
      </c>
      <c r="E13" s="158">
        <f>(E.3无形资产和其他资产摊销费估算表!H34)</f>
        <v>142.795883361921</v>
      </c>
      <c r="F13" s="158">
        <f>(E.3无形资产和其他资产摊销费估算表!I34)</f>
        <v>142.795883361921</v>
      </c>
      <c r="G13" s="158">
        <f>(E.3无形资产和其他资产摊销费估算表!J34)</f>
        <v>218.739279588336</v>
      </c>
      <c r="H13" s="158">
        <f>(E.3无形资产和其他资产摊销费估算表!K34)</f>
        <v>218.739279588336</v>
      </c>
      <c r="I13" s="158">
        <f>(E.3无形资产和其他资产摊销费估算表!L34)</f>
        <v>218.739279588336</v>
      </c>
      <c r="J13" s="158">
        <f>(E.3无形资产和其他资产摊销费估算表!M34)</f>
        <v>218.739279588336</v>
      </c>
      <c r="K13" s="158">
        <f>(E.3无形资产和其他资产摊销费估算表!N34)</f>
        <v>218.739279588336</v>
      </c>
      <c r="L13" s="158">
        <f>(E.3无形资产和其他资产摊销费估算表!O34)</f>
        <v>218.739279588336</v>
      </c>
      <c r="M13" s="158">
        <f>(E.3无形资产和其他资产摊销费估算表!P34)</f>
        <v>218.739279588336</v>
      </c>
      <c r="N13" s="158">
        <f>(E.3无形资产和其他资产摊销费估算表!Q34)</f>
        <v>218.739279588336</v>
      </c>
      <c r="O13" s="158">
        <f>(E.3无形资产和其他资产摊销费估算表!R34)</f>
        <v>218.739279588336</v>
      </c>
      <c r="P13" s="158">
        <f>(E.3无形资产和其他资产摊销费估算表!S34)</f>
        <v>218.739279588336</v>
      </c>
      <c r="Q13" s="158">
        <f>(E.3无形资产和其他资产摊销费估算表!T34)</f>
        <v>218.739279588336</v>
      </c>
      <c r="R13" s="158">
        <f>(E.3无形资产和其他资产摊销费估算表!U34)</f>
        <v>218.739279588336</v>
      </c>
      <c r="S13" s="158">
        <f>(E.3无形资产和其他资产摊销费估算表!V34)</f>
        <v>218.739279588336</v>
      </c>
      <c r="T13" s="158">
        <f>(E.3无形资产和其他资产摊销费估算表!W34)</f>
        <v>218.739279588336</v>
      </c>
      <c r="U13" s="158">
        <f>(E.3无形资产和其他资产摊销费估算表!X34)</f>
        <v>218.739279588336</v>
      </c>
      <c r="V13" s="158">
        <f>(E.3无形资产和其他资产摊销费估算表!Y34)</f>
        <v>218.739279588336</v>
      </c>
      <c r="W13" s="158">
        <f>(E.3无形资产和其他资产摊销费估算表!Z34)</f>
        <v>218.739279588336</v>
      </c>
      <c r="X13" s="158">
        <f>(E.3无形资产和其他资产摊销费估算表!AA34)</f>
        <v>218.739279588336</v>
      </c>
      <c r="Y13" s="158">
        <f>(E.3无形资产和其他资产摊销费估算表!AB34)</f>
        <v>218.739279588336</v>
      </c>
      <c r="Z13" s="158">
        <f>(E.3无形资产和其他资产摊销费估算表!AC34)</f>
        <v>218.739279588336</v>
      </c>
    </row>
    <row r="14" s="48" customFormat="1" ht="16.5" customHeight="1" spans="1:26">
      <c r="A14" s="8">
        <v>9</v>
      </c>
      <c r="B14" s="8" t="s">
        <v>223</v>
      </c>
      <c r="C14" s="144"/>
      <c r="D14" s="13"/>
      <c r="E14" s="13"/>
      <c r="F14" s="13"/>
      <c r="G14" s="13">
        <f>(c借款还本付息计划表!H47+c借款还本付息计划表!H45)</f>
        <v>614.83074</v>
      </c>
      <c r="H14" s="13">
        <f>(c借款还本付息计划表!I47+c借款还本付息计划表!I45)</f>
        <v>614.83074</v>
      </c>
      <c r="I14" s="13">
        <f>(c借款还本付息计划表!J47+c借款还本付息计划表!J45)</f>
        <v>614.83074</v>
      </c>
      <c r="J14" s="13">
        <f>(c借款还本付息计划表!K47+c借款还本付息计划表!K45)</f>
        <v>614.83074</v>
      </c>
      <c r="K14" s="13">
        <f>(c借款还本付息计划表!L47+c借款还本付息计划表!L45)</f>
        <v>614.83074</v>
      </c>
      <c r="L14" s="13">
        <f>(c借款还本付息计划表!M47+c借款还本付息计划表!M45)</f>
        <v>614.83074</v>
      </c>
      <c r="M14" s="13">
        <f>(c借款还本付息计划表!N47+c借款还本付息计划表!N45)</f>
        <v>614.83074</v>
      </c>
      <c r="N14" s="13">
        <f>(c借款还本付息计划表!O47+c借款还本付息计划表!O45)</f>
        <v>614.83074</v>
      </c>
      <c r="O14" s="13">
        <f>(c借款还本付息计划表!P47+c借款还本付息计划表!P45)</f>
        <v>614.83074</v>
      </c>
      <c r="P14" s="13">
        <f>(c借款还本付息计划表!Q47+c借款还本付息计划表!Q45)</f>
        <v>614.83074</v>
      </c>
      <c r="Q14" s="13">
        <f>(c借款还本付息计划表!R47+c借款还本付息计划表!R45)</f>
        <v>614.83074</v>
      </c>
      <c r="R14" s="13">
        <f>(c借款还本付息计划表!S47+c借款还本付息计划表!S45)</f>
        <v>614.83074</v>
      </c>
      <c r="S14" s="13">
        <f>(c借款还本付息计划表!T47+c借款还本付息计划表!T45)</f>
        <v>614.83074</v>
      </c>
      <c r="T14" s="13">
        <f>(c借款还本付息计划表!U47+c借款还本付息计划表!U45)</f>
        <v>614.83074</v>
      </c>
      <c r="U14" s="13">
        <f>(c借款还本付息计划表!V47+c借款还本付息计划表!V45)</f>
        <v>614.83074</v>
      </c>
      <c r="V14" s="13">
        <f>(c借款还本付息计划表!W47+c借款还本付息计划表!W45)</f>
        <v>614.83074</v>
      </c>
      <c r="W14" s="13">
        <f>(c借款还本付息计划表!X47+c借款还本付息计划表!X45)</f>
        <v>606.586156666667</v>
      </c>
      <c r="X14" s="13">
        <f>(c借款还本付息计划表!Y47+c借款还本付息计划表!Y45)</f>
        <v>508.596327833333</v>
      </c>
      <c r="Y14" s="13">
        <f>(c借款还本付息计划表!Z47+c借款还本付息计划表!Z45)</f>
        <v>283.119125766667</v>
      </c>
      <c r="Z14" s="13">
        <f>(c借款还本付息计划表!AA47+c借款还本付息计划表!AA45)</f>
        <v>106.8084818</v>
      </c>
    </row>
    <row r="15" s="48" customFormat="1" ht="16.5" customHeight="1" spans="1:26">
      <c r="A15" s="8">
        <v>10</v>
      </c>
      <c r="B15" s="8" t="s">
        <v>224</v>
      </c>
      <c r="C15" s="9"/>
      <c r="D15" s="13">
        <f t="shared" ref="D15:Z15" si="2">D11+D12+D13+D14</f>
        <v>0</v>
      </c>
      <c r="E15" s="13">
        <f t="shared" si="2"/>
        <v>1057.2894356511</v>
      </c>
      <c r="F15" s="13">
        <f t="shared" si="2"/>
        <v>1200.66873359292</v>
      </c>
      <c r="G15" s="13">
        <f t="shared" si="2"/>
        <v>2509.12089599726</v>
      </c>
      <c r="H15" s="13">
        <f t="shared" si="2"/>
        <v>2519.0441670657</v>
      </c>
      <c r="I15" s="13">
        <f t="shared" si="2"/>
        <v>2529.11628720017</v>
      </c>
      <c r="J15" s="13">
        <f t="shared" si="2"/>
        <v>2539.33948913665</v>
      </c>
      <c r="K15" s="13">
        <f t="shared" si="2"/>
        <v>2549.71603910218</v>
      </c>
      <c r="L15" s="13">
        <f t="shared" si="2"/>
        <v>2560.2482373172</v>
      </c>
      <c r="M15" s="13">
        <f t="shared" si="2"/>
        <v>2570.93841850544</v>
      </c>
      <c r="N15" s="13">
        <f t="shared" si="2"/>
        <v>2581.78895241151</v>
      </c>
      <c r="O15" s="13">
        <f t="shared" si="2"/>
        <v>2592.80224432616</v>
      </c>
      <c r="P15" s="13">
        <f t="shared" si="2"/>
        <v>2603.98073561954</v>
      </c>
      <c r="Q15" s="13">
        <f t="shared" si="2"/>
        <v>2615.32690428231</v>
      </c>
      <c r="R15" s="13">
        <f t="shared" si="2"/>
        <v>2626.84326547503</v>
      </c>
      <c r="S15" s="13">
        <f t="shared" si="2"/>
        <v>2638.53237208564</v>
      </c>
      <c r="T15" s="13">
        <f t="shared" si="2"/>
        <v>2650.39681529541</v>
      </c>
      <c r="U15" s="13">
        <f t="shared" si="2"/>
        <v>2662.43922515332</v>
      </c>
      <c r="V15" s="13">
        <f t="shared" si="2"/>
        <v>2674.6622711591</v>
      </c>
      <c r="W15" s="13">
        <f t="shared" si="2"/>
        <v>2678.88282952164</v>
      </c>
      <c r="X15" s="13">
        <f t="shared" si="2"/>
        <v>2594.00499275961</v>
      </c>
      <c r="Y15" s="13">
        <f t="shared" si="2"/>
        <v>2381.15263017783</v>
      </c>
      <c r="Z15" s="13">
        <f t="shared" si="2"/>
        <v>2217.74710441931</v>
      </c>
    </row>
    <row r="16" s="48" customFormat="1" ht="16.5" customHeight="1" spans="1:26">
      <c r="A16" s="8">
        <v>10.1</v>
      </c>
      <c r="B16" s="8" t="s">
        <v>225</v>
      </c>
      <c r="C16" s="9"/>
      <c r="D16" s="13">
        <f t="shared" ref="D16:Z16" si="3">D15-D17</f>
        <v>0</v>
      </c>
      <c r="E16" s="13">
        <f t="shared" si="3"/>
        <v>988.115123724497</v>
      </c>
      <c r="F16" s="13">
        <f t="shared" si="3"/>
        <v>1131.49442166632</v>
      </c>
      <c r="G16" s="13">
        <f t="shared" si="3"/>
        <v>2438.90896939175</v>
      </c>
      <c r="H16" s="13">
        <f t="shared" si="3"/>
        <v>2447.77906156111</v>
      </c>
      <c r="I16" s="13">
        <f t="shared" si="3"/>
        <v>2456.78220511301</v>
      </c>
      <c r="J16" s="13">
        <f t="shared" si="3"/>
        <v>2465.92039581819</v>
      </c>
      <c r="K16" s="13">
        <f t="shared" si="3"/>
        <v>2475.19565938394</v>
      </c>
      <c r="L16" s="13">
        <f t="shared" si="3"/>
        <v>2484.61005190319</v>
      </c>
      <c r="M16" s="13">
        <f t="shared" si="3"/>
        <v>2494.16566031022</v>
      </c>
      <c r="N16" s="13">
        <f t="shared" si="3"/>
        <v>2503.86460284335</v>
      </c>
      <c r="O16" s="13">
        <f t="shared" si="3"/>
        <v>2513.70902951449</v>
      </c>
      <c r="P16" s="13">
        <f t="shared" si="3"/>
        <v>2523.70112258569</v>
      </c>
      <c r="Q16" s="13">
        <f t="shared" si="3"/>
        <v>2533.84309705296</v>
      </c>
      <c r="R16" s="13">
        <f t="shared" si="3"/>
        <v>2544.13720113723</v>
      </c>
      <c r="S16" s="13">
        <f t="shared" si="3"/>
        <v>2554.58571678278</v>
      </c>
      <c r="T16" s="13">
        <f t="shared" si="3"/>
        <v>2565.190960163</v>
      </c>
      <c r="U16" s="13">
        <f t="shared" si="3"/>
        <v>2575.95528219393</v>
      </c>
      <c r="V16" s="13">
        <f t="shared" si="3"/>
        <v>2586.88106905532</v>
      </c>
      <c r="W16" s="13">
        <f t="shared" si="3"/>
        <v>2589.7849093863</v>
      </c>
      <c r="X16" s="13">
        <f t="shared" si="3"/>
        <v>2503.57060382224</v>
      </c>
      <c r="Y16" s="13">
        <f t="shared" si="3"/>
        <v>2289.36172540639</v>
      </c>
      <c r="Z16" s="13">
        <f t="shared" si="3"/>
        <v>2124.57933607631</v>
      </c>
    </row>
    <row r="17" s="48" customFormat="1" ht="16.5" customHeight="1" spans="1:26">
      <c r="A17" s="8">
        <v>10.2</v>
      </c>
      <c r="B17" s="8" t="s">
        <v>226</v>
      </c>
      <c r="C17" s="9"/>
      <c r="D17" s="13">
        <f t="shared" ref="D17:Z17" si="4">D3+D4+D5+D10</f>
        <v>0</v>
      </c>
      <c r="E17" s="13">
        <f t="shared" si="4"/>
        <v>69.1743119266055</v>
      </c>
      <c r="F17" s="13">
        <f t="shared" si="4"/>
        <v>69.1743119266055</v>
      </c>
      <c r="G17" s="13">
        <f t="shared" si="4"/>
        <v>70.2119266055046</v>
      </c>
      <c r="H17" s="13">
        <f t="shared" si="4"/>
        <v>71.2651055045872</v>
      </c>
      <c r="I17" s="13">
        <f t="shared" si="4"/>
        <v>72.334082087156</v>
      </c>
      <c r="J17" s="13">
        <f t="shared" si="4"/>
        <v>73.4190933184633</v>
      </c>
      <c r="K17" s="13">
        <f t="shared" si="4"/>
        <v>74.5203797182402</v>
      </c>
      <c r="L17" s="13">
        <f t="shared" si="4"/>
        <v>75.6381854140138</v>
      </c>
      <c r="M17" s="13">
        <f t="shared" si="4"/>
        <v>76.772758195224</v>
      </c>
      <c r="N17" s="13">
        <f t="shared" si="4"/>
        <v>77.9243495681524</v>
      </c>
      <c r="O17" s="13">
        <f t="shared" si="4"/>
        <v>79.0932148116747</v>
      </c>
      <c r="P17" s="13">
        <f t="shared" si="4"/>
        <v>80.2796130338497</v>
      </c>
      <c r="Q17" s="13">
        <f t="shared" si="4"/>
        <v>81.4838072293576</v>
      </c>
      <c r="R17" s="13">
        <f t="shared" si="4"/>
        <v>82.7060643377978</v>
      </c>
      <c r="S17" s="13">
        <f t="shared" si="4"/>
        <v>83.9466553028648</v>
      </c>
      <c r="T17" s="13">
        <f t="shared" si="4"/>
        <v>85.2058551324078</v>
      </c>
      <c r="U17" s="13">
        <f t="shared" si="4"/>
        <v>86.4839429593939</v>
      </c>
      <c r="V17" s="13">
        <f t="shared" si="4"/>
        <v>87.7812021037848</v>
      </c>
      <c r="W17" s="13">
        <f t="shared" si="4"/>
        <v>89.0979201353416</v>
      </c>
      <c r="X17" s="13">
        <f t="shared" si="4"/>
        <v>90.4343889373716</v>
      </c>
      <c r="Y17" s="13">
        <f t="shared" si="4"/>
        <v>91.7909047714323</v>
      </c>
      <c r="Z17" s="13">
        <f t="shared" si="4"/>
        <v>93.1677683430036</v>
      </c>
    </row>
    <row r="18" ht="14" customHeight="1" spans="3:3">
      <c r="C18" s="165"/>
    </row>
  </sheetData>
  <mergeCells count="1">
    <mergeCell ref="A1:G1"/>
  </mergeCells>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AF33"/>
  <sheetViews>
    <sheetView zoomScale="70" zoomScaleNormal="70" workbookViewId="0">
      <selection activeCell="H11" sqref="H11"/>
    </sheetView>
  </sheetViews>
  <sheetFormatPr defaultColWidth="8.89090909090909" defaultRowHeight="28.05" customHeight="1"/>
  <cols>
    <col min="1" max="1" width="19.6636363636364" style="1" customWidth="1"/>
    <col min="3" max="3" width="32.3363636363636" style="1" customWidth="1"/>
    <col min="4" max="4" width="58.1090909090909" style="1" customWidth="1"/>
    <col min="5" max="5" width="14.1090909090909" style="1" customWidth="1"/>
    <col min="6" max="6" width="12.3363636363636" style="1" customWidth="1"/>
    <col min="7" max="8" width="15.1090909090909" style="1" customWidth="1"/>
    <col min="9" max="9" width="15.4454545454545" style="1" customWidth="1"/>
    <col min="10" max="10" width="16.1090909090909" style="1" customWidth="1"/>
    <col min="11" max="11" width="17" style="1" customWidth="1"/>
    <col min="12" max="12" width="15.4454545454545" style="1" customWidth="1"/>
    <col min="13" max="13" width="16.1090909090909" style="1" customWidth="1"/>
    <col min="14" max="14" width="17" style="1" customWidth="1"/>
    <col min="15" max="15" width="15.4454545454545" style="1" customWidth="1"/>
    <col min="16" max="16" width="16.1090909090909" style="1" customWidth="1"/>
    <col min="17" max="17" width="17" style="1" customWidth="1"/>
    <col min="18" max="18" width="15.4454545454545" style="1" customWidth="1"/>
    <col min="19" max="19" width="16.1090909090909" style="1" customWidth="1"/>
    <col min="20" max="20" width="17" style="1" customWidth="1"/>
    <col min="21" max="21" width="15.4454545454545" style="1" customWidth="1"/>
    <col min="22" max="22" width="16.1090909090909" style="1" customWidth="1"/>
    <col min="23" max="23" width="17" style="1" customWidth="1"/>
    <col min="24" max="24" width="15.4454545454545" style="1" customWidth="1"/>
    <col min="25" max="25" width="16.1090909090909" style="1" customWidth="1"/>
    <col min="26" max="26" width="17" style="1" customWidth="1"/>
    <col min="27" max="27" width="15.4454545454545" style="1" customWidth="1"/>
    <col min="28" max="28" width="16.1090909090909" style="1" customWidth="1"/>
    <col min="29" max="31" width="17" style="1" customWidth="1"/>
    <col min="32" max="32" width="16.5545454545455" style="1" customWidth="1"/>
  </cols>
  <sheetData>
    <row r="1" s="48" customFormat="1" ht="22.5" customHeight="1" spans="1:1">
      <c r="A1" s="154" t="s">
        <v>227</v>
      </c>
    </row>
    <row r="2" s="48" customFormat="1" ht="16.5" customHeight="1" spans="1:32">
      <c r="A2" s="18" t="s">
        <v>228</v>
      </c>
      <c r="B2" s="18" t="s">
        <v>1</v>
      </c>
      <c r="C2" s="18" t="s">
        <v>144</v>
      </c>
      <c r="D2" s="18" t="s">
        <v>229</v>
      </c>
      <c r="E2" s="18" t="s">
        <v>87</v>
      </c>
      <c r="F2" s="19" t="s">
        <v>230</v>
      </c>
      <c r="G2" s="19" t="s">
        <v>231</v>
      </c>
      <c r="H2" s="20">
        <v>2025</v>
      </c>
      <c r="I2" s="24">
        <v>2026</v>
      </c>
      <c r="J2" s="20">
        <v>2027</v>
      </c>
      <c r="K2" s="24">
        <v>2028</v>
      </c>
      <c r="L2" s="20">
        <v>2029</v>
      </c>
      <c r="M2" s="24">
        <v>2030</v>
      </c>
      <c r="N2" s="20">
        <v>2031</v>
      </c>
      <c r="O2" s="24">
        <v>2032</v>
      </c>
      <c r="P2" s="20">
        <v>2033</v>
      </c>
      <c r="Q2" s="24">
        <v>2034</v>
      </c>
      <c r="R2" s="20">
        <v>2035</v>
      </c>
      <c r="S2" s="24">
        <v>2036</v>
      </c>
      <c r="T2" s="20">
        <v>2037</v>
      </c>
      <c r="U2" s="24">
        <v>2038</v>
      </c>
      <c r="V2" s="20">
        <v>2039</v>
      </c>
      <c r="W2" s="24">
        <v>2040</v>
      </c>
      <c r="X2" s="20">
        <v>2041</v>
      </c>
      <c r="Y2" s="24">
        <v>2042</v>
      </c>
      <c r="Z2" s="20">
        <v>2043</v>
      </c>
      <c r="AA2" s="20">
        <v>2044</v>
      </c>
      <c r="AB2" s="20">
        <v>2045</v>
      </c>
      <c r="AC2" s="20">
        <v>2046</v>
      </c>
      <c r="AD2" s="20">
        <v>2047</v>
      </c>
      <c r="AE2" s="20">
        <v>2048</v>
      </c>
      <c r="AF2" s="18" t="s">
        <v>81</v>
      </c>
    </row>
    <row r="3" s="48" customFormat="1" ht="16.5" customHeight="1" spans="1:32">
      <c r="A3" s="15"/>
      <c r="B3" s="15"/>
      <c r="C3" s="15"/>
      <c r="D3" s="15"/>
      <c r="E3" s="15"/>
      <c r="F3" s="15"/>
      <c r="G3" s="15"/>
      <c r="H3" s="21" t="s">
        <v>232</v>
      </c>
      <c r="I3" s="10">
        <v>0.7</v>
      </c>
      <c r="J3" s="10">
        <v>0.7</v>
      </c>
      <c r="K3" s="70">
        <v>0.8</v>
      </c>
      <c r="L3" s="10">
        <v>0.9</v>
      </c>
      <c r="M3" s="10">
        <v>1</v>
      </c>
      <c r="N3" s="70">
        <v>0.8</v>
      </c>
      <c r="O3" s="10">
        <v>0.7</v>
      </c>
      <c r="P3" s="10">
        <v>0.7</v>
      </c>
      <c r="Q3" s="70">
        <v>0.8</v>
      </c>
      <c r="R3" s="10">
        <v>0.7</v>
      </c>
      <c r="S3" s="10">
        <v>0.7</v>
      </c>
      <c r="T3" s="70">
        <v>0.8</v>
      </c>
      <c r="U3" s="10">
        <v>0.7</v>
      </c>
      <c r="V3" s="10">
        <v>0.7</v>
      </c>
      <c r="W3" s="70">
        <v>0.8</v>
      </c>
      <c r="X3" s="10">
        <v>0.7</v>
      </c>
      <c r="Y3" s="10">
        <v>0.7</v>
      </c>
      <c r="Z3" s="70">
        <v>0.8</v>
      </c>
      <c r="AA3" s="10">
        <v>0.7</v>
      </c>
      <c r="AB3" s="10">
        <v>0.7</v>
      </c>
      <c r="AC3" s="10">
        <v>0.7</v>
      </c>
      <c r="AD3" s="10">
        <v>0.7</v>
      </c>
      <c r="AE3" s="10">
        <v>0.7</v>
      </c>
      <c r="AF3" s="8" t="s">
        <v>162</v>
      </c>
    </row>
    <row r="4" s="48" customFormat="1" ht="16.5" customHeight="1" spans="1:32">
      <c r="A4" s="12" t="s">
        <v>233</v>
      </c>
      <c r="B4" s="12">
        <v>1</v>
      </c>
      <c r="C4" s="12" t="s">
        <v>234</v>
      </c>
      <c r="D4" s="12" t="s">
        <v>235</v>
      </c>
      <c r="E4" s="38"/>
      <c r="F4" s="38"/>
      <c r="G4" s="157">
        <f>[1]A财务假设!D19</f>
        <v>0</v>
      </c>
      <c r="H4" s="158">
        <f t="shared" ref="H4:AE4" si="0">F30*(1+$G4)</f>
        <v>0</v>
      </c>
      <c r="I4" s="158">
        <f t="shared" si="0"/>
        <v>0</v>
      </c>
      <c r="J4" s="158">
        <f t="shared" si="0"/>
        <v>120</v>
      </c>
      <c r="K4" s="158">
        <f t="shared" si="0"/>
        <v>160</v>
      </c>
      <c r="L4" s="158">
        <f t="shared" si="0"/>
        <v>162.4</v>
      </c>
      <c r="M4" s="158">
        <f t="shared" si="0"/>
        <v>164.836</v>
      </c>
      <c r="N4" s="158">
        <f t="shared" si="0"/>
        <v>167.30854</v>
      </c>
      <c r="O4" s="158">
        <f t="shared" si="0"/>
        <v>169.8181681</v>
      </c>
      <c r="P4" s="158">
        <f t="shared" si="0"/>
        <v>172.3654406215</v>
      </c>
      <c r="Q4" s="158">
        <f t="shared" si="0"/>
        <v>174.950922230822</v>
      </c>
      <c r="R4" s="158">
        <f t="shared" si="0"/>
        <v>177.575186064285</v>
      </c>
      <c r="S4" s="158">
        <f t="shared" si="0"/>
        <v>180.238813855249</v>
      </c>
      <c r="T4" s="158">
        <f t="shared" si="0"/>
        <v>182.942396063078</v>
      </c>
      <c r="U4" s="158">
        <f t="shared" si="0"/>
        <v>185.686532004024</v>
      </c>
      <c r="V4" s="158">
        <f t="shared" si="0"/>
        <v>188.471829984084</v>
      </c>
      <c r="W4" s="158">
        <f t="shared" si="0"/>
        <v>191.298907433845</v>
      </c>
      <c r="X4" s="158">
        <f t="shared" si="0"/>
        <v>194.168391045353</v>
      </c>
      <c r="Y4" s="158">
        <f t="shared" si="0"/>
        <v>197.080916911033</v>
      </c>
      <c r="Z4" s="158">
        <f t="shared" si="0"/>
        <v>200.037130664699</v>
      </c>
      <c r="AA4" s="158">
        <f t="shared" si="0"/>
        <v>203.037687624669</v>
      </c>
      <c r="AB4" s="158">
        <f t="shared" si="0"/>
        <v>206.083252939039</v>
      </c>
      <c r="AC4" s="158">
        <f t="shared" si="0"/>
        <v>209.174501733125</v>
      </c>
      <c r="AD4" s="158">
        <f t="shared" si="0"/>
        <v>212.312119259122</v>
      </c>
      <c r="AE4" s="158">
        <f t="shared" si="0"/>
        <v>215.496801048009</v>
      </c>
      <c r="AF4" s="13">
        <f t="shared" ref="AF4:AF23" si="1">SUM(H4:AE4)</f>
        <v>4035.28353758194</v>
      </c>
    </row>
    <row r="5" s="48" customFormat="1" ht="48" customHeight="1" spans="1:32">
      <c r="A5" s="23"/>
      <c r="B5" s="12">
        <v>2</v>
      </c>
      <c r="C5" s="22" t="s">
        <v>236</v>
      </c>
      <c r="D5" s="12" t="s">
        <v>237</v>
      </c>
      <c r="E5" s="38"/>
      <c r="F5" s="38"/>
      <c r="G5" s="157"/>
      <c r="H5" s="158"/>
      <c r="I5" s="158"/>
      <c r="J5" s="158"/>
      <c r="K5" s="158"/>
      <c r="L5" s="158"/>
      <c r="M5" s="158"/>
      <c r="N5" s="158"/>
      <c r="O5" s="158"/>
      <c r="P5" s="158"/>
      <c r="Q5" s="158"/>
      <c r="R5" s="158"/>
      <c r="S5" s="158"/>
      <c r="T5" s="158"/>
      <c r="U5" s="158"/>
      <c r="V5" s="158"/>
      <c r="W5" s="158"/>
      <c r="X5" s="158"/>
      <c r="Y5" s="158"/>
      <c r="Z5" s="158"/>
      <c r="AA5" s="158"/>
      <c r="AB5" s="158"/>
      <c r="AC5" s="158"/>
      <c r="AD5" s="158"/>
      <c r="AE5" s="158"/>
      <c r="AF5" s="13">
        <f t="shared" si="1"/>
        <v>0</v>
      </c>
    </row>
    <row r="6" s="48" customFormat="1" ht="16.5" customHeight="1" spans="1:32">
      <c r="A6" s="23"/>
      <c r="B6" s="12">
        <v>3</v>
      </c>
      <c r="C6" s="12" t="s">
        <v>238</v>
      </c>
      <c r="D6" s="12" t="s">
        <v>239</v>
      </c>
      <c r="E6" s="38"/>
      <c r="F6" s="38"/>
      <c r="G6" s="157"/>
      <c r="H6" s="158"/>
      <c r="I6" s="158"/>
      <c r="J6" s="158"/>
      <c r="K6" s="158"/>
      <c r="L6" s="158"/>
      <c r="M6" s="158"/>
      <c r="N6" s="158"/>
      <c r="O6" s="158"/>
      <c r="P6" s="158"/>
      <c r="Q6" s="158"/>
      <c r="R6" s="158"/>
      <c r="S6" s="158"/>
      <c r="T6" s="158"/>
      <c r="U6" s="158"/>
      <c r="V6" s="158"/>
      <c r="W6" s="158"/>
      <c r="X6" s="158"/>
      <c r="Y6" s="158"/>
      <c r="Z6" s="158"/>
      <c r="AA6" s="158"/>
      <c r="AB6" s="158"/>
      <c r="AC6" s="158"/>
      <c r="AD6" s="158"/>
      <c r="AE6" s="158"/>
      <c r="AF6" s="13">
        <f t="shared" si="1"/>
        <v>0</v>
      </c>
    </row>
    <row r="7" s="48" customFormat="1" ht="16.5" customHeight="1" spans="1:32">
      <c r="A7" s="15"/>
      <c r="B7" s="12">
        <v>4</v>
      </c>
      <c r="C7" s="12" t="s">
        <v>240</v>
      </c>
      <c r="D7" s="12" t="s">
        <v>241</v>
      </c>
      <c r="E7" s="38"/>
      <c r="F7" s="38"/>
      <c r="G7" s="157"/>
      <c r="H7" s="158"/>
      <c r="I7" s="158"/>
      <c r="J7" s="158"/>
      <c r="K7" s="158"/>
      <c r="L7" s="158"/>
      <c r="M7" s="158"/>
      <c r="N7" s="158"/>
      <c r="O7" s="158"/>
      <c r="P7" s="158"/>
      <c r="Q7" s="158"/>
      <c r="R7" s="158"/>
      <c r="S7" s="158"/>
      <c r="T7" s="158"/>
      <c r="U7" s="158"/>
      <c r="V7" s="158"/>
      <c r="W7" s="158"/>
      <c r="X7" s="158"/>
      <c r="Y7" s="158"/>
      <c r="Z7" s="158"/>
      <c r="AA7" s="158"/>
      <c r="AB7" s="158"/>
      <c r="AC7" s="158"/>
      <c r="AD7" s="158"/>
      <c r="AE7" s="158"/>
      <c r="AF7" s="13">
        <f t="shared" si="1"/>
        <v>0</v>
      </c>
    </row>
    <row r="8" s="48" customFormat="1" ht="16.5" customHeight="1" spans="1:32">
      <c r="A8" s="12" t="s">
        <v>242</v>
      </c>
      <c r="B8" s="12">
        <v>5</v>
      </c>
      <c r="C8" s="12" t="s">
        <v>243</v>
      </c>
      <c r="D8" s="12" t="s">
        <v>244</v>
      </c>
      <c r="E8" s="38"/>
      <c r="F8" s="38"/>
      <c r="G8" s="157"/>
      <c r="H8" s="158"/>
      <c r="I8" s="158"/>
      <c r="J8" s="158"/>
      <c r="K8" s="158"/>
      <c r="L8" s="158"/>
      <c r="M8" s="158"/>
      <c r="N8" s="158"/>
      <c r="O8" s="158"/>
      <c r="P8" s="158"/>
      <c r="Q8" s="158"/>
      <c r="R8" s="158"/>
      <c r="S8" s="158"/>
      <c r="T8" s="158"/>
      <c r="U8" s="158"/>
      <c r="V8" s="158"/>
      <c r="W8" s="158"/>
      <c r="X8" s="158"/>
      <c r="Y8" s="158"/>
      <c r="Z8" s="158"/>
      <c r="AA8" s="158"/>
      <c r="AB8" s="158"/>
      <c r="AC8" s="158"/>
      <c r="AD8" s="158"/>
      <c r="AE8" s="158"/>
      <c r="AF8" s="13">
        <f t="shared" si="1"/>
        <v>0</v>
      </c>
    </row>
    <row r="9" s="48" customFormat="1" ht="16.5" customHeight="1" spans="1:32">
      <c r="A9" s="23"/>
      <c r="B9" s="12">
        <v>6</v>
      </c>
      <c r="C9" s="12" t="s">
        <v>245</v>
      </c>
      <c r="D9" s="12" t="s">
        <v>246</v>
      </c>
      <c r="E9" s="38"/>
      <c r="F9" s="38"/>
      <c r="G9" s="157"/>
      <c r="H9" s="158"/>
      <c r="I9" s="158"/>
      <c r="J9" s="158"/>
      <c r="K9" s="158"/>
      <c r="L9" s="158"/>
      <c r="M9" s="158"/>
      <c r="N9" s="158"/>
      <c r="O9" s="158"/>
      <c r="P9" s="158"/>
      <c r="Q9" s="158"/>
      <c r="R9" s="158"/>
      <c r="S9" s="158"/>
      <c r="T9" s="158"/>
      <c r="U9" s="158"/>
      <c r="V9" s="158"/>
      <c r="W9" s="158"/>
      <c r="X9" s="158"/>
      <c r="Y9" s="158"/>
      <c r="Z9" s="158"/>
      <c r="AA9" s="158"/>
      <c r="AB9" s="158"/>
      <c r="AC9" s="158"/>
      <c r="AD9" s="158"/>
      <c r="AE9" s="158"/>
      <c r="AF9" s="13">
        <f t="shared" si="1"/>
        <v>0</v>
      </c>
    </row>
    <row r="10" s="48" customFormat="1" ht="16.5" customHeight="1" spans="1:32">
      <c r="A10" s="15"/>
      <c r="B10" s="12">
        <v>7</v>
      </c>
      <c r="C10" s="12" t="s">
        <v>247</v>
      </c>
      <c r="D10" s="12" t="s">
        <v>248</v>
      </c>
      <c r="E10" s="38"/>
      <c r="F10" s="38"/>
      <c r="G10" s="157">
        <f>G4</f>
        <v>0</v>
      </c>
      <c r="H10" s="158">
        <f t="shared" ref="H10:AE10" si="2">F28*(1+$G10)</f>
        <v>0</v>
      </c>
      <c r="I10" s="158">
        <f t="shared" si="2"/>
        <v>0</v>
      </c>
      <c r="J10" s="158">
        <f t="shared" si="2"/>
        <v>10</v>
      </c>
      <c r="K10" s="158">
        <f t="shared" si="2"/>
        <v>10</v>
      </c>
      <c r="L10" s="158">
        <f t="shared" si="2"/>
        <v>10.15</v>
      </c>
      <c r="M10" s="158">
        <f t="shared" si="2"/>
        <v>10.30225</v>
      </c>
      <c r="N10" s="158">
        <f t="shared" si="2"/>
        <v>10.45678375</v>
      </c>
      <c r="O10" s="158">
        <f t="shared" si="2"/>
        <v>10.61363550625</v>
      </c>
      <c r="P10" s="158">
        <f t="shared" si="2"/>
        <v>10.7728400388437</v>
      </c>
      <c r="Q10" s="158">
        <f t="shared" si="2"/>
        <v>10.9344326394264</v>
      </c>
      <c r="R10" s="158">
        <f t="shared" si="2"/>
        <v>11.0984491290178</v>
      </c>
      <c r="S10" s="158">
        <f t="shared" si="2"/>
        <v>11.2649258659531</v>
      </c>
      <c r="T10" s="158">
        <f t="shared" si="2"/>
        <v>11.4338997539424</v>
      </c>
      <c r="U10" s="158">
        <f t="shared" si="2"/>
        <v>11.6054082502515</v>
      </c>
      <c r="V10" s="158">
        <f t="shared" si="2"/>
        <v>11.7794893740053</v>
      </c>
      <c r="W10" s="158">
        <f t="shared" si="2"/>
        <v>11.9561817146153</v>
      </c>
      <c r="X10" s="158">
        <f t="shared" si="2"/>
        <v>12.1355244403346</v>
      </c>
      <c r="Y10" s="158">
        <f t="shared" si="2"/>
        <v>12.3175573069396</v>
      </c>
      <c r="Z10" s="158">
        <f t="shared" si="2"/>
        <v>12.5023206665437</v>
      </c>
      <c r="AA10" s="158">
        <f t="shared" si="2"/>
        <v>12.6898554765418</v>
      </c>
      <c r="AB10" s="158">
        <f t="shared" si="2"/>
        <v>12.88020330869</v>
      </c>
      <c r="AC10" s="158">
        <f t="shared" si="2"/>
        <v>13.0734063583203</v>
      </c>
      <c r="AD10" s="158">
        <f t="shared" si="2"/>
        <v>13.2695074536951</v>
      </c>
      <c r="AE10" s="158">
        <f t="shared" si="2"/>
        <v>13.4685500655005</v>
      </c>
      <c r="AF10" s="13">
        <f t="shared" si="1"/>
        <v>254.705221098871</v>
      </c>
    </row>
    <row r="11" s="48" customFormat="1" ht="16.5" customHeight="1" spans="1:32">
      <c r="A11" s="12" t="s">
        <v>249</v>
      </c>
      <c r="B11" s="12">
        <v>8</v>
      </c>
      <c r="C11" s="12" t="s">
        <v>250</v>
      </c>
      <c r="D11" s="12" t="s">
        <v>251</v>
      </c>
      <c r="E11" s="38"/>
      <c r="F11" s="38"/>
      <c r="G11" s="157">
        <f>G4</f>
        <v>0</v>
      </c>
      <c r="H11" s="158">
        <f t="shared" ref="H11:AE11" si="3">F29*(1+$G11)</f>
        <v>0</v>
      </c>
      <c r="I11" s="158">
        <f t="shared" si="3"/>
        <v>0</v>
      </c>
      <c r="J11" s="158">
        <f t="shared" si="3"/>
        <v>10</v>
      </c>
      <c r="K11" s="158">
        <f t="shared" si="3"/>
        <v>10</v>
      </c>
      <c r="L11" s="158">
        <f t="shared" si="3"/>
        <v>10.15</v>
      </c>
      <c r="M11" s="158">
        <f t="shared" si="3"/>
        <v>10.30225</v>
      </c>
      <c r="N11" s="158">
        <f t="shared" si="3"/>
        <v>10.45678375</v>
      </c>
      <c r="O11" s="158">
        <f t="shared" si="3"/>
        <v>10.61363550625</v>
      </c>
      <c r="P11" s="158">
        <f t="shared" si="3"/>
        <v>10.7728400388437</v>
      </c>
      <c r="Q11" s="158">
        <f t="shared" si="3"/>
        <v>10.9344326394264</v>
      </c>
      <c r="R11" s="158">
        <f t="shared" si="3"/>
        <v>11.0984491290178</v>
      </c>
      <c r="S11" s="158">
        <f t="shared" si="3"/>
        <v>11.2649258659531</v>
      </c>
      <c r="T11" s="158">
        <f t="shared" si="3"/>
        <v>11.4338997539424</v>
      </c>
      <c r="U11" s="158">
        <f t="shared" si="3"/>
        <v>11.6054082502515</v>
      </c>
      <c r="V11" s="158">
        <f t="shared" si="3"/>
        <v>11.7794893740053</v>
      </c>
      <c r="W11" s="158">
        <f t="shared" si="3"/>
        <v>11.9561817146153</v>
      </c>
      <c r="X11" s="158">
        <f t="shared" si="3"/>
        <v>12.1355244403346</v>
      </c>
      <c r="Y11" s="158">
        <f t="shared" si="3"/>
        <v>12.3175573069396</v>
      </c>
      <c r="Z11" s="158">
        <f t="shared" si="3"/>
        <v>12.5023206665437</v>
      </c>
      <c r="AA11" s="158">
        <f t="shared" si="3"/>
        <v>12.6898554765418</v>
      </c>
      <c r="AB11" s="158">
        <f t="shared" si="3"/>
        <v>12.88020330869</v>
      </c>
      <c r="AC11" s="158">
        <f t="shared" si="3"/>
        <v>13.0734063583203</v>
      </c>
      <c r="AD11" s="158">
        <f t="shared" si="3"/>
        <v>13.2695074536951</v>
      </c>
      <c r="AE11" s="158">
        <f t="shared" si="3"/>
        <v>13.4685500655005</v>
      </c>
      <c r="AF11" s="13">
        <f t="shared" si="1"/>
        <v>254.705221098871</v>
      </c>
    </row>
    <row r="12" s="48" customFormat="1" ht="16.5" customHeight="1" spans="1:32">
      <c r="A12" s="12" t="s">
        <v>252</v>
      </c>
      <c r="B12" s="12">
        <v>9</v>
      </c>
      <c r="C12" s="12" t="s">
        <v>253</v>
      </c>
      <c r="D12" s="12" t="s">
        <v>254</v>
      </c>
      <c r="E12" s="38"/>
      <c r="F12" s="38"/>
      <c r="G12" s="157">
        <f>G4</f>
        <v>0</v>
      </c>
      <c r="H12" s="158">
        <f t="shared" ref="H12:AE12" si="4">F26*(1+$G12)</f>
        <v>0</v>
      </c>
      <c r="I12" s="158">
        <f t="shared" si="4"/>
        <v>0</v>
      </c>
      <c r="J12" s="158">
        <f t="shared" si="4"/>
        <v>361.575</v>
      </c>
      <c r="K12" s="158">
        <f t="shared" si="4"/>
        <v>482.1</v>
      </c>
      <c r="L12" s="158">
        <f t="shared" si="4"/>
        <v>489.3315</v>
      </c>
      <c r="M12" s="158">
        <f t="shared" si="4"/>
        <v>496.6714725</v>
      </c>
      <c r="N12" s="158">
        <f t="shared" si="4"/>
        <v>504.1215445875</v>
      </c>
      <c r="O12" s="158">
        <f t="shared" si="4"/>
        <v>511.683367756312</v>
      </c>
      <c r="P12" s="158">
        <f t="shared" si="4"/>
        <v>519.358618272657</v>
      </c>
      <c r="Q12" s="158">
        <f t="shared" si="4"/>
        <v>527.148997546747</v>
      </c>
      <c r="R12" s="158">
        <f t="shared" si="4"/>
        <v>535.056232509948</v>
      </c>
      <c r="S12" s="158">
        <f t="shared" si="4"/>
        <v>543.082075997597</v>
      </c>
      <c r="T12" s="158">
        <f t="shared" si="4"/>
        <v>551.228307137561</v>
      </c>
      <c r="U12" s="158">
        <f t="shared" si="4"/>
        <v>559.496731744624</v>
      </c>
      <c r="V12" s="158">
        <f t="shared" si="4"/>
        <v>567.889182720794</v>
      </c>
      <c r="W12" s="158">
        <f t="shared" si="4"/>
        <v>576.407520461605</v>
      </c>
      <c r="X12" s="158">
        <f t="shared" si="4"/>
        <v>585.05363326853</v>
      </c>
      <c r="Y12" s="158">
        <f t="shared" si="4"/>
        <v>593.829437767557</v>
      </c>
      <c r="Z12" s="158">
        <f t="shared" si="4"/>
        <v>602.736879334071</v>
      </c>
      <c r="AA12" s="158">
        <f t="shared" si="4"/>
        <v>611.777932524082</v>
      </c>
      <c r="AB12" s="158">
        <f t="shared" si="4"/>
        <v>620.954601511943</v>
      </c>
      <c r="AC12" s="158">
        <f t="shared" si="4"/>
        <v>630.268920534622</v>
      </c>
      <c r="AD12" s="158">
        <f t="shared" si="4"/>
        <v>639.722954342641</v>
      </c>
      <c r="AE12" s="158">
        <f t="shared" si="4"/>
        <v>649.318798657781</v>
      </c>
      <c r="AF12" s="13">
        <f t="shared" si="1"/>
        <v>12158.8137091766</v>
      </c>
    </row>
    <row r="13" s="48" customFormat="1" ht="16.5" customHeight="1" spans="1:32">
      <c r="A13" s="15"/>
      <c r="B13" s="12">
        <v>10</v>
      </c>
      <c r="C13" s="12" t="s">
        <v>255</v>
      </c>
      <c r="D13" s="12" t="s">
        <v>256</v>
      </c>
      <c r="E13" s="38"/>
      <c r="F13" s="38"/>
      <c r="G13" s="157"/>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3">
        <f t="shared" si="1"/>
        <v>0</v>
      </c>
    </row>
    <row r="14" s="48" customFormat="1" ht="16.5" customHeight="1" spans="1:32">
      <c r="A14" s="12" t="s">
        <v>257</v>
      </c>
      <c r="B14" s="12">
        <v>11</v>
      </c>
      <c r="C14" s="12" t="s">
        <v>258</v>
      </c>
      <c r="D14" s="12" t="s">
        <v>259</v>
      </c>
      <c r="E14" s="38"/>
      <c r="F14" s="38"/>
      <c r="G14" s="157"/>
      <c r="H14" s="158"/>
      <c r="I14" s="158"/>
      <c r="J14" s="158"/>
      <c r="K14" s="158"/>
      <c r="L14" s="158"/>
      <c r="M14" s="158"/>
      <c r="N14" s="158"/>
      <c r="O14" s="158"/>
      <c r="P14" s="158"/>
      <c r="Q14" s="158"/>
      <c r="R14" s="158"/>
      <c r="S14" s="158"/>
      <c r="T14" s="158"/>
      <c r="U14" s="158"/>
      <c r="V14" s="158"/>
      <c r="W14" s="158"/>
      <c r="X14" s="158"/>
      <c r="Y14" s="158"/>
      <c r="Z14" s="158"/>
      <c r="AA14" s="158"/>
      <c r="AB14" s="158"/>
      <c r="AC14" s="158"/>
      <c r="AD14" s="158"/>
      <c r="AE14" s="158"/>
      <c r="AF14" s="13">
        <f t="shared" si="1"/>
        <v>0</v>
      </c>
    </row>
    <row r="15" s="48" customFormat="1" ht="16.5" customHeight="1" spans="1:32">
      <c r="A15" s="12" t="s">
        <v>260</v>
      </c>
      <c r="B15" s="12">
        <v>12</v>
      </c>
      <c r="C15" s="12" t="s">
        <v>261</v>
      </c>
      <c r="D15" s="12" t="s">
        <v>262</v>
      </c>
      <c r="E15" s="38"/>
      <c r="F15" s="38"/>
      <c r="G15" s="157"/>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3">
        <f t="shared" si="1"/>
        <v>0</v>
      </c>
    </row>
    <row r="16" s="48" customFormat="1" ht="16.5" customHeight="1" spans="1:32">
      <c r="A16" s="12" t="s">
        <v>263</v>
      </c>
      <c r="B16" s="12">
        <v>13</v>
      </c>
      <c r="C16" s="12" t="s">
        <v>264</v>
      </c>
      <c r="D16" s="12" t="s">
        <v>265</v>
      </c>
      <c r="E16" s="38"/>
      <c r="F16" s="38"/>
      <c r="G16" s="157">
        <f>G4</f>
        <v>0</v>
      </c>
      <c r="H16" s="158">
        <f t="shared" ref="H16:AE16" si="5">F27*(1+$G16)</f>
        <v>0</v>
      </c>
      <c r="I16" s="158">
        <f t="shared" si="5"/>
        <v>0</v>
      </c>
      <c r="J16" s="158">
        <f t="shared" si="5"/>
        <v>60</v>
      </c>
      <c r="K16" s="158">
        <f t="shared" si="5"/>
        <v>60</v>
      </c>
      <c r="L16" s="158">
        <f t="shared" si="5"/>
        <v>60.9</v>
      </c>
      <c r="M16" s="158">
        <f t="shared" si="5"/>
        <v>61.8135</v>
      </c>
      <c r="N16" s="158">
        <f t="shared" si="5"/>
        <v>62.7407025</v>
      </c>
      <c r="O16" s="158">
        <f t="shared" si="5"/>
        <v>63.6818130375</v>
      </c>
      <c r="P16" s="158">
        <f t="shared" si="5"/>
        <v>64.6370402330625</v>
      </c>
      <c r="Q16" s="158">
        <f t="shared" si="5"/>
        <v>65.6065958365584</v>
      </c>
      <c r="R16" s="158">
        <f t="shared" si="5"/>
        <v>66.5906947741068</v>
      </c>
      <c r="S16" s="158">
        <f t="shared" si="5"/>
        <v>67.5895551957184</v>
      </c>
      <c r="T16" s="158">
        <f t="shared" si="5"/>
        <v>68.6033985236541</v>
      </c>
      <c r="U16" s="158">
        <f t="shared" si="5"/>
        <v>69.6324495015089</v>
      </c>
      <c r="V16" s="158">
        <f t="shared" si="5"/>
        <v>70.6769362440316</v>
      </c>
      <c r="W16" s="158">
        <f t="shared" si="5"/>
        <v>71.737090287692</v>
      </c>
      <c r="X16" s="158">
        <f t="shared" si="5"/>
        <v>72.8131466420074</v>
      </c>
      <c r="Y16" s="158">
        <f t="shared" si="5"/>
        <v>73.9053438416375</v>
      </c>
      <c r="Z16" s="158">
        <f t="shared" si="5"/>
        <v>75.0139239992621</v>
      </c>
      <c r="AA16" s="158">
        <f t="shared" si="5"/>
        <v>76.139132859251</v>
      </c>
      <c r="AB16" s="158">
        <f t="shared" si="5"/>
        <v>77.2812198521398</v>
      </c>
      <c r="AC16" s="158">
        <f t="shared" si="5"/>
        <v>78.4404381499218</v>
      </c>
      <c r="AD16" s="158">
        <f t="shared" si="5"/>
        <v>79.6170447221707</v>
      </c>
      <c r="AE16" s="158">
        <f t="shared" si="5"/>
        <v>80.8113003930032</v>
      </c>
      <c r="AF16" s="13">
        <f t="shared" si="1"/>
        <v>1528.23132659323</v>
      </c>
    </row>
    <row r="17" s="48" customFormat="1" ht="16.5" customHeight="1" spans="1:32">
      <c r="A17" s="23"/>
      <c r="B17" s="12">
        <v>14</v>
      </c>
      <c r="C17" s="12" t="s">
        <v>266</v>
      </c>
      <c r="D17" s="12" t="s">
        <v>267</v>
      </c>
      <c r="E17" s="38"/>
      <c r="F17" s="38"/>
      <c r="G17" s="157"/>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3">
        <f t="shared" si="1"/>
        <v>0</v>
      </c>
    </row>
    <row r="18" s="48" customFormat="1" ht="16.5" customHeight="1" spans="1:32">
      <c r="A18" s="15"/>
      <c r="B18" s="12">
        <v>15</v>
      </c>
      <c r="C18" s="12" t="s">
        <v>268</v>
      </c>
      <c r="D18" s="12" t="s">
        <v>269</v>
      </c>
      <c r="E18" s="38"/>
      <c r="F18" s="38"/>
      <c r="G18" s="157"/>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3">
        <f t="shared" si="1"/>
        <v>0</v>
      </c>
    </row>
    <row r="19" s="48" customFormat="1" ht="16.5" customHeight="1" spans="1:32">
      <c r="A19" s="12" t="s">
        <v>270</v>
      </c>
      <c r="B19" s="12">
        <v>16</v>
      </c>
      <c r="C19" s="12" t="s">
        <v>271</v>
      </c>
      <c r="D19" s="12" t="s">
        <v>272</v>
      </c>
      <c r="E19" s="38"/>
      <c r="F19" s="38"/>
      <c r="G19" s="157"/>
      <c r="H19" s="158"/>
      <c r="I19" s="158"/>
      <c r="J19" s="158"/>
      <c r="K19" s="158"/>
      <c r="L19" s="158"/>
      <c r="M19" s="158"/>
      <c r="N19" s="158"/>
      <c r="O19" s="158"/>
      <c r="P19" s="158"/>
      <c r="Q19" s="158"/>
      <c r="R19" s="158"/>
      <c r="S19" s="158"/>
      <c r="T19" s="158"/>
      <c r="U19" s="158"/>
      <c r="V19" s="158"/>
      <c r="W19" s="158"/>
      <c r="X19" s="158"/>
      <c r="Y19" s="158"/>
      <c r="Z19" s="158"/>
      <c r="AA19" s="158"/>
      <c r="AB19" s="158"/>
      <c r="AC19" s="158"/>
      <c r="AD19" s="158"/>
      <c r="AE19" s="158"/>
      <c r="AF19" s="13">
        <f t="shared" si="1"/>
        <v>0</v>
      </c>
    </row>
    <row r="20" s="48" customFormat="1" ht="16.5" customHeight="1" spans="1:32">
      <c r="A20" s="23"/>
      <c r="B20" s="12">
        <v>17</v>
      </c>
      <c r="C20" s="12" t="s">
        <v>273</v>
      </c>
      <c r="D20" s="12" t="s">
        <v>274</v>
      </c>
      <c r="E20" s="38"/>
      <c r="F20" s="38"/>
      <c r="G20" s="157"/>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3">
        <f t="shared" si="1"/>
        <v>0</v>
      </c>
    </row>
    <row r="21" s="48" customFormat="1" ht="16.5" customHeight="1" spans="1:32">
      <c r="A21" s="15"/>
      <c r="B21" s="12">
        <v>18</v>
      </c>
      <c r="C21" s="12" t="s">
        <v>275</v>
      </c>
      <c r="D21" s="12" t="s">
        <v>276</v>
      </c>
      <c r="E21" s="38"/>
      <c r="F21" s="38"/>
      <c r="G21" s="157"/>
      <c r="H21" s="158"/>
      <c r="I21" s="158"/>
      <c r="J21" s="158"/>
      <c r="K21" s="158"/>
      <c r="L21" s="158"/>
      <c r="M21" s="158"/>
      <c r="N21" s="158"/>
      <c r="O21" s="158"/>
      <c r="P21" s="158"/>
      <c r="Q21" s="158"/>
      <c r="R21" s="158"/>
      <c r="S21" s="158"/>
      <c r="T21" s="158"/>
      <c r="U21" s="158"/>
      <c r="V21" s="158"/>
      <c r="W21" s="158"/>
      <c r="X21" s="158"/>
      <c r="Y21" s="158"/>
      <c r="Z21" s="158"/>
      <c r="AA21" s="158"/>
      <c r="AB21" s="158"/>
      <c r="AC21" s="158"/>
      <c r="AD21" s="158"/>
      <c r="AE21" s="158"/>
      <c r="AF21" s="13">
        <f t="shared" si="1"/>
        <v>0</v>
      </c>
    </row>
    <row r="22" s="48" customFormat="1" ht="16.5" customHeight="1" spans="1:32">
      <c r="A22" s="12" t="s">
        <v>277</v>
      </c>
      <c r="B22" s="12">
        <v>19</v>
      </c>
      <c r="C22" s="12" t="s">
        <v>278</v>
      </c>
      <c r="D22" s="12" t="s">
        <v>279</v>
      </c>
      <c r="E22" s="38"/>
      <c r="F22" s="38"/>
      <c r="G22" s="157"/>
      <c r="H22" s="158"/>
      <c r="I22" s="158"/>
      <c r="J22" s="158"/>
      <c r="K22" s="158"/>
      <c r="L22" s="158"/>
      <c r="M22" s="158"/>
      <c r="N22" s="158"/>
      <c r="O22" s="158"/>
      <c r="P22" s="158"/>
      <c r="Q22" s="158"/>
      <c r="R22" s="158"/>
      <c r="S22" s="158"/>
      <c r="T22" s="158"/>
      <c r="U22" s="158"/>
      <c r="V22" s="158"/>
      <c r="W22" s="158"/>
      <c r="X22" s="158"/>
      <c r="Y22" s="158"/>
      <c r="Z22" s="158"/>
      <c r="AA22" s="158"/>
      <c r="AB22" s="158"/>
      <c r="AC22" s="158"/>
      <c r="AD22" s="158"/>
      <c r="AE22" s="158"/>
      <c r="AF22" s="13">
        <f t="shared" si="1"/>
        <v>0</v>
      </c>
    </row>
    <row r="23" s="48" customFormat="1" ht="16.5" customHeight="1" spans="1:32">
      <c r="A23" s="15"/>
      <c r="B23" s="12">
        <v>20</v>
      </c>
      <c r="C23" s="12" t="s">
        <v>280</v>
      </c>
      <c r="D23" s="12" t="s">
        <v>281</v>
      </c>
      <c r="E23" s="38"/>
      <c r="F23" s="38"/>
      <c r="G23" s="157"/>
      <c r="H23" s="158"/>
      <c r="I23" s="158"/>
      <c r="J23" s="158"/>
      <c r="K23" s="158"/>
      <c r="L23" s="158"/>
      <c r="M23" s="158"/>
      <c r="N23" s="158"/>
      <c r="O23" s="158"/>
      <c r="P23" s="158"/>
      <c r="Q23" s="158"/>
      <c r="R23" s="158"/>
      <c r="S23" s="158"/>
      <c r="T23" s="158"/>
      <c r="U23" s="158"/>
      <c r="V23" s="158"/>
      <c r="W23" s="158"/>
      <c r="X23" s="158"/>
      <c r="Y23" s="158"/>
      <c r="Z23" s="158"/>
      <c r="AA23" s="158"/>
      <c r="AB23" s="158"/>
      <c r="AC23" s="158"/>
      <c r="AD23" s="158"/>
      <c r="AE23" s="158"/>
      <c r="AF23" s="13">
        <f t="shared" si="1"/>
        <v>0</v>
      </c>
    </row>
    <row r="24" s="156" customFormat="1" ht="58.05" customHeight="1" spans="1:1">
      <c r="A24" s="159" t="s">
        <v>282</v>
      </c>
    </row>
    <row r="25" s="156" customFormat="1" ht="26" customHeight="1" spans="1:29">
      <c r="A25" s="88" t="s">
        <v>1</v>
      </c>
      <c r="B25" s="90" t="s">
        <v>283</v>
      </c>
      <c r="C25" s="90" t="s">
        <v>184</v>
      </c>
      <c r="D25" s="90" t="s">
        <v>284</v>
      </c>
      <c r="E25" s="90" t="s">
        <v>285</v>
      </c>
      <c r="F25" s="110" t="s">
        <v>286</v>
      </c>
      <c r="G25" s="110" t="s">
        <v>287</v>
      </c>
      <c r="H25" s="110" t="s">
        <v>288</v>
      </c>
      <c r="I25" s="110" t="s">
        <v>289</v>
      </c>
      <c r="J25" s="111" t="s">
        <v>290</v>
      </c>
      <c r="K25" s="90" t="s">
        <v>291</v>
      </c>
      <c r="L25" s="90" t="s">
        <v>292</v>
      </c>
      <c r="M25" s="90" t="s">
        <v>293</v>
      </c>
      <c r="N25" s="90" t="s">
        <v>294</v>
      </c>
      <c r="O25" s="90" t="s">
        <v>295</v>
      </c>
      <c r="P25" s="90" t="s">
        <v>296</v>
      </c>
      <c r="Q25" s="90" t="s">
        <v>297</v>
      </c>
      <c r="R25" s="90" t="s">
        <v>298</v>
      </c>
      <c r="S25" s="90" t="s">
        <v>299</v>
      </c>
      <c r="T25" s="90" t="s">
        <v>300</v>
      </c>
      <c r="U25" s="90" t="s">
        <v>301</v>
      </c>
      <c r="V25" s="90" t="s">
        <v>302</v>
      </c>
      <c r="W25" s="90" t="s">
        <v>303</v>
      </c>
      <c r="X25" s="90" t="s">
        <v>304</v>
      </c>
      <c r="Y25" s="90" t="s">
        <v>305</v>
      </c>
      <c r="Z25" s="90" t="s">
        <v>306</v>
      </c>
      <c r="AA25" s="90" t="s">
        <v>307</v>
      </c>
      <c r="AB25" s="90" t="s">
        <v>308</v>
      </c>
      <c r="AC25" s="115" t="s">
        <v>309</v>
      </c>
    </row>
    <row r="26" s="156" customFormat="1" ht="37.95" customHeight="1" spans="1:29">
      <c r="A26" s="91">
        <v>1</v>
      </c>
      <c r="B26" s="94" t="s">
        <v>310</v>
      </c>
      <c r="C26" s="94" t="s">
        <v>311</v>
      </c>
      <c r="D26" s="94" t="s">
        <v>312</v>
      </c>
      <c r="E26" s="98">
        <v>602.625</v>
      </c>
      <c r="F26" s="160"/>
      <c r="G26" s="160"/>
      <c r="H26" s="160">
        <f>E26*60%</f>
        <v>361.575</v>
      </c>
      <c r="I26" s="160">
        <f>E26*80%</f>
        <v>482.1</v>
      </c>
      <c r="J26" s="160">
        <f t="shared" ref="J26:AC26" si="6">I26*1.015</f>
        <v>489.3315</v>
      </c>
      <c r="K26" s="160">
        <f t="shared" si="6"/>
        <v>496.6714725</v>
      </c>
      <c r="L26" s="160">
        <f t="shared" si="6"/>
        <v>504.1215445875</v>
      </c>
      <c r="M26" s="160">
        <f t="shared" si="6"/>
        <v>511.683367756312</v>
      </c>
      <c r="N26" s="160">
        <f t="shared" si="6"/>
        <v>519.358618272657</v>
      </c>
      <c r="O26" s="160">
        <f t="shared" si="6"/>
        <v>527.148997546747</v>
      </c>
      <c r="P26" s="160">
        <f t="shared" si="6"/>
        <v>535.056232509948</v>
      </c>
      <c r="Q26" s="160">
        <f t="shared" si="6"/>
        <v>543.082075997597</v>
      </c>
      <c r="R26" s="160">
        <f t="shared" si="6"/>
        <v>551.228307137561</v>
      </c>
      <c r="S26" s="160">
        <f t="shared" si="6"/>
        <v>559.496731744624</v>
      </c>
      <c r="T26" s="160">
        <f t="shared" si="6"/>
        <v>567.889182720794</v>
      </c>
      <c r="U26" s="160">
        <f t="shared" si="6"/>
        <v>576.407520461605</v>
      </c>
      <c r="V26" s="160">
        <f t="shared" si="6"/>
        <v>585.05363326853</v>
      </c>
      <c r="W26" s="160">
        <f t="shared" si="6"/>
        <v>593.829437767557</v>
      </c>
      <c r="X26" s="160">
        <f t="shared" si="6"/>
        <v>602.736879334071</v>
      </c>
      <c r="Y26" s="160">
        <f t="shared" si="6"/>
        <v>611.777932524082</v>
      </c>
      <c r="Z26" s="160">
        <f t="shared" si="6"/>
        <v>620.954601511943</v>
      </c>
      <c r="AA26" s="160">
        <f t="shared" si="6"/>
        <v>630.268920534622</v>
      </c>
      <c r="AB26" s="160">
        <f t="shared" si="6"/>
        <v>639.722954342641</v>
      </c>
      <c r="AC26" s="162">
        <f t="shared" si="6"/>
        <v>649.318798657781</v>
      </c>
    </row>
    <row r="27" s="156" customFormat="1" ht="13" customHeight="1" spans="1:29">
      <c r="A27" s="91">
        <v>2</v>
      </c>
      <c r="B27" s="23"/>
      <c r="C27" s="94" t="s">
        <v>313</v>
      </c>
      <c r="D27" s="94" t="s">
        <v>314</v>
      </c>
      <c r="E27" s="98">
        <v>60</v>
      </c>
      <c r="F27" s="98"/>
      <c r="G27" s="98"/>
      <c r="H27" s="98">
        <v>60</v>
      </c>
      <c r="I27" s="98">
        <v>60</v>
      </c>
      <c r="J27" s="160">
        <f t="shared" ref="J27:AC27" si="7">I27*1.015</f>
        <v>60.9</v>
      </c>
      <c r="K27" s="160">
        <f t="shared" si="7"/>
        <v>61.8135</v>
      </c>
      <c r="L27" s="160">
        <f t="shared" si="7"/>
        <v>62.7407025</v>
      </c>
      <c r="M27" s="160">
        <f t="shared" si="7"/>
        <v>63.6818130375</v>
      </c>
      <c r="N27" s="160">
        <f t="shared" si="7"/>
        <v>64.6370402330625</v>
      </c>
      <c r="O27" s="160">
        <f t="shared" si="7"/>
        <v>65.6065958365584</v>
      </c>
      <c r="P27" s="160">
        <f t="shared" si="7"/>
        <v>66.5906947741068</v>
      </c>
      <c r="Q27" s="160">
        <f t="shared" si="7"/>
        <v>67.5895551957184</v>
      </c>
      <c r="R27" s="160">
        <f t="shared" si="7"/>
        <v>68.6033985236541</v>
      </c>
      <c r="S27" s="160">
        <f t="shared" si="7"/>
        <v>69.6324495015089</v>
      </c>
      <c r="T27" s="160">
        <f t="shared" si="7"/>
        <v>70.6769362440316</v>
      </c>
      <c r="U27" s="160">
        <f t="shared" si="7"/>
        <v>71.737090287692</v>
      </c>
      <c r="V27" s="160">
        <f t="shared" si="7"/>
        <v>72.8131466420074</v>
      </c>
      <c r="W27" s="160">
        <f t="shared" si="7"/>
        <v>73.9053438416375</v>
      </c>
      <c r="X27" s="160">
        <f t="shared" si="7"/>
        <v>75.0139239992621</v>
      </c>
      <c r="Y27" s="160">
        <f t="shared" si="7"/>
        <v>76.139132859251</v>
      </c>
      <c r="Z27" s="160">
        <f t="shared" si="7"/>
        <v>77.2812198521398</v>
      </c>
      <c r="AA27" s="160">
        <f t="shared" si="7"/>
        <v>78.4404381499218</v>
      </c>
      <c r="AB27" s="160">
        <f t="shared" si="7"/>
        <v>79.6170447221707</v>
      </c>
      <c r="AC27" s="160">
        <f t="shared" si="7"/>
        <v>80.8113003930032</v>
      </c>
    </row>
    <row r="28" s="156" customFormat="1" ht="13" customHeight="1" spans="1:29">
      <c r="A28" s="91">
        <v>2</v>
      </c>
      <c r="B28" s="23"/>
      <c r="C28" s="94" t="s">
        <v>315</v>
      </c>
      <c r="D28" s="94" t="s">
        <v>316</v>
      </c>
      <c r="E28" s="98">
        <v>10</v>
      </c>
      <c r="F28" s="98"/>
      <c r="G28" s="98"/>
      <c r="H28" s="98">
        <v>10</v>
      </c>
      <c r="I28" s="98">
        <v>10</v>
      </c>
      <c r="J28" s="160">
        <f t="shared" ref="J28:AC28" si="8">I28*1.015</f>
        <v>10.15</v>
      </c>
      <c r="K28" s="160">
        <f t="shared" si="8"/>
        <v>10.30225</v>
      </c>
      <c r="L28" s="160">
        <f t="shared" si="8"/>
        <v>10.45678375</v>
      </c>
      <c r="M28" s="160">
        <f t="shared" si="8"/>
        <v>10.61363550625</v>
      </c>
      <c r="N28" s="160">
        <f t="shared" si="8"/>
        <v>10.7728400388437</v>
      </c>
      <c r="O28" s="160">
        <f t="shared" si="8"/>
        <v>10.9344326394264</v>
      </c>
      <c r="P28" s="160">
        <f t="shared" si="8"/>
        <v>11.0984491290178</v>
      </c>
      <c r="Q28" s="160">
        <f t="shared" si="8"/>
        <v>11.2649258659531</v>
      </c>
      <c r="R28" s="160">
        <f t="shared" si="8"/>
        <v>11.4338997539424</v>
      </c>
      <c r="S28" s="160">
        <f t="shared" si="8"/>
        <v>11.6054082502515</v>
      </c>
      <c r="T28" s="160">
        <f t="shared" si="8"/>
        <v>11.7794893740053</v>
      </c>
      <c r="U28" s="160">
        <f t="shared" si="8"/>
        <v>11.9561817146153</v>
      </c>
      <c r="V28" s="160">
        <f t="shared" si="8"/>
        <v>12.1355244403346</v>
      </c>
      <c r="W28" s="160">
        <f t="shared" si="8"/>
        <v>12.3175573069396</v>
      </c>
      <c r="X28" s="160">
        <f t="shared" si="8"/>
        <v>12.5023206665437</v>
      </c>
      <c r="Y28" s="160">
        <f t="shared" si="8"/>
        <v>12.6898554765418</v>
      </c>
      <c r="Z28" s="160">
        <f t="shared" si="8"/>
        <v>12.88020330869</v>
      </c>
      <c r="AA28" s="160">
        <f t="shared" si="8"/>
        <v>13.0734063583203</v>
      </c>
      <c r="AB28" s="160">
        <f t="shared" si="8"/>
        <v>13.2695074536951</v>
      </c>
      <c r="AC28" s="160">
        <f t="shared" si="8"/>
        <v>13.4685500655005</v>
      </c>
    </row>
    <row r="29" s="156" customFormat="1" ht="13" customHeight="1" spans="1:29">
      <c r="A29" s="91">
        <v>2</v>
      </c>
      <c r="B29" s="23"/>
      <c r="C29" s="94" t="s">
        <v>317</v>
      </c>
      <c r="D29" s="94" t="s">
        <v>316</v>
      </c>
      <c r="E29" s="98">
        <v>10</v>
      </c>
      <c r="F29" s="98"/>
      <c r="G29" s="98"/>
      <c r="H29" s="98">
        <v>10</v>
      </c>
      <c r="I29" s="98">
        <v>10</v>
      </c>
      <c r="J29" s="160">
        <f t="shared" ref="J29:AC29" si="9">I29*1.015</f>
        <v>10.15</v>
      </c>
      <c r="K29" s="160">
        <f t="shared" si="9"/>
        <v>10.30225</v>
      </c>
      <c r="L29" s="160">
        <f t="shared" si="9"/>
        <v>10.45678375</v>
      </c>
      <c r="M29" s="160">
        <f t="shared" si="9"/>
        <v>10.61363550625</v>
      </c>
      <c r="N29" s="160">
        <f t="shared" si="9"/>
        <v>10.7728400388437</v>
      </c>
      <c r="O29" s="160">
        <f t="shared" si="9"/>
        <v>10.9344326394264</v>
      </c>
      <c r="P29" s="160">
        <f t="shared" si="9"/>
        <v>11.0984491290178</v>
      </c>
      <c r="Q29" s="160">
        <f t="shared" si="9"/>
        <v>11.2649258659531</v>
      </c>
      <c r="R29" s="160">
        <f t="shared" si="9"/>
        <v>11.4338997539424</v>
      </c>
      <c r="S29" s="160">
        <f t="shared" si="9"/>
        <v>11.6054082502515</v>
      </c>
      <c r="T29" s="160">
        <f t="shared" si="9"/>
        <v>11.7794893740053</v>
      </c>
      <c r="U29" s="160">
        <f t="shared" si="9"/>
        <v>11.9561817146153</v>
      </c>
      <c r="V29" s="160">
        <f t="shared" si="9"/>
        <v>12.1355244403346</v>
      </c>
      <c r="W29" s="160">
        <f t="shared" si="9"/>
        <v>12.3175573069396</v>
      </c>
      <c r="X29" s="160">
        <f t="shared" si="9"/>
        <v>12.5023206665437</v>
      </c>
      <c r="Y29" s="160">
        <f t="shared" si="9"/>
        <v>12.6898554765418</v>
      </c>
      <c r="Z29" s="160">
        <f t="shared" si="9"/>
        <v>12.88020330869</v>
      </c>
      <c r="AA29" s="160">
        <f t="shared" si="9"/>
        <v>13.0734063583203</v>
      </c>
      <c r="AB29" s="160">
        <f t="shared" si="9"/>
        <v>13.2695074536951</v>
      </c>
      <c r="AC29" s="160">
        <f t="shared" si="9"/>
        <v>13.4685500655005</v>
      </c>
    </row>
    <row r="30" s="156" customFormat="1" ht="24" customHeight="1" spans="1:29">
      <c r="A30" s="91">
        <v>3</v>
      </c>
      <c r="B30" s="15"/>
      <c r="C30" s="94" t="s">
        <v>234</v>
      </c>
      <c r="D30" s="94" t="s">
        <v>318</v>
      </c>
      <c r="E30" s="98">
        <v>200</v>
      </c>
      <c r="F30" s="160"/>
      <c r="G30" s="160"/>
      <c r="H30" s="160">
        <f>E30*60%</f>
        <v>120</v>
      </c>
      <c r="I30" s="160">
        <f>E30*80%</f>
        <v>160</v>
      </c>
      <c r="J30" s="160">
        <f t="shared" ref="J30:AC30" si="10">I30*1.015</f>
        <v>162.4</v>
      </c>
      <c r="K30" s="160">
        <f t="shared" si="10"/>
        <v>164.836</v>
      </c>
      <c r="L30" s="160">
        <f t="shared" si="10"/>
        <v>167.30854</v>
      </c>
      <c r="M30" s="160">
        <f t="shared" si="10"/>
        <v>169.8181681</v>
      </c>
      <c r="N30" s="160">
        <f t="shared" si="10"/>
        <v>172.3654406215</v>
      </c>
      <c r="O30" s="160">
        <f t="shared" si="10"/>
        <v>174.950922230822</v>
      </c>
      <c r="P30" s="160">
        <f t="shared" si="10"/>
        <v>177.575186064285</v>
      </c>
      <c r="Q30" s="160">
        <f t="shared" si="10"/>
        <v>180.238813855249</v>
      </c>
      <c r="R30" s="160">
        <f t="shared" si="10"/>
        <v>182.942396063078</v>
      </c>
      <c r="S30" s="160">
        <f t="shared" si="10"/>
        <v>185.686532004024</v>
      </c>
      <c r="T30" s="160">
        <f t="shared" si="10"/>
        <v>188.471829984084</v>
      </c>
      <c r="U30" s="160">
        <f t="shared" si="10"/>
        <v>191.298907433845</v>
      </c>
      <c r="V30" s="160">
        <f t="shared" si="10"/>
        <v>194.168391045353</v>
      </c>
      <c r="W30" s="160">
        <f t="shared" si="10"/>
        <v>197.080916911033</v>
      </c>
      <c r="X30" s="160">
        <f t="shared" si="10"/>
        <v>200.037130664699</v>
      </c>
      <c r="Y30" s="160">
        <f t="shared" si="10"/>
        <v>203.037687624669</v>
      </c>
      <c r="Z30" s="160">
        <f t="shared" si="10"/>
        <v>206.083252939039</v>
      </c>
      <c r="AA30" s="160">
        <f t="shared" si="10"/>
        <v>209.174501733125</v>
      </c>
      <c r="AB30" s="160">
        <f t="shared" si="10"/>
        <v>212.312119259122</v>
      </c>
      <c r="AC30" s="162">
        <f t="shared" si="10"/>
        <v>215.496801048009</v>
      </c>
    </row>
    <row r="31" s="156" customFormat="1" ht="15" customHeight="1" spans="1:30">
      <c r="A31" s="101" t="s">
        <v>81</v>
      </c>
      <c r="B31" s="102"/>
      <c r="C31" s="102"/>
      <c r="D31" s="103"/>
      <c r="E31" s="104">
        <f t="shared" ref="E31:AC31" si="11">SUM(E26:E30)</f>
        <v>882.625</v>
      </c>
      <c r="F31" s="104">
        <f t="shared" si="11"/>
        <v>0</v>
      </c>
      <c r="G31" s="104">
        <f t="shared" si="11"/>
        <v>0</v>
      </c>
      <c r="H31" s="104">
        <f t="shared" si="11"/>
        <v>561.575</v>
      </c>
      <c r="I31" s="104">
        <f t="shared" si="11"/>
        <v>722.1</v>
      </c>
      <c r="J31" s="104">
        <f t="shared" si="11"/>
        <v>732.9315</v>
      </c>
      <c r="K31" s="104">
        <f t="shared" si="11"/>
        <v>743.9254725</v>
      </c>
      <c r="L31" s="104">
        <f t="shared" si="11"/>
        <v>755.0843545875</v>
      </c>
      <c r="M31" s="104">
        <f t="shared" si="11"/>
        <v>766.410619906312</v>
      </c>
      <c r="N31" s="104">
        <f t="shared" si="11"/>
        <v>777.906779204907</v>
      </c>
      <c r="O31" s="104">
        <f t="shared" si="11"/>
        <v>789.57538089298</v>
      </c>
      <c r="P31" s="104">
        <f t="shared" si="11"/>
        <v>801.419011606375</v>
      </c>
      <c r="Q31" s="104">
        <f t="shared" si="11"/>
        <v>813.44029678047</v>
      </c>
      <c r="R31" s="104">
        <f t="shared" si="11"/>
        <v>825.641901232177</v>
      </c>
      <c r="S31" s="104">
        <f t="shared" si="11"/>
        <v>838.02652975066</v>
      </c>
      <c r="T31" s="104">
        <f t="shared" si="11"/>
        <v>850.59692769692</v>
      </c>
      <c r="U31" s="104">
        <f t="shared" si="11"/>
        <v>863.355881612374</v>
      </c>
      <c r="V31" s="104">
        <f t="shared" si="11"/>
        <v>876.306219836559</v>
      </c>
      <c r="W31" s="104">
        <f t="shared" si="11"/>
        <v>889.450813134107</v>
      </c>
      <c r="X31" s="104">
        <f t="shared" si="11"/>
        <v>902.792575331119</v>
      </c>
      <c r="Y31" s="104">
        <f t="shared" si="11"/>
        <v>916.334463961086</v>
      </c>
      <c r="Z31" s="104">
        <f t="shared" si="11"/>
        <v>930.079480920502</v>
      </c>
      <c r="AA31" s="104">
        <f t="shared" si="11"/>
        <v>944.030673134309</v>
      </c>
      <c r="AB31" s="104">
        <f t="shared" si="11"/>
        <v>958.191133231324</v>
      </c>
      <c r="AC31" s="117">
        <f t="shared" si="11"/>
        <v>972.564000229793</v>
      </c>
      <c r="AD31" s="163">
        <f>SUM(F31:AC31)</f>
        <v>18231.7390155495</v>
      </c>
    </row>
    <row r="32" s="156" customFormat="1" ht="15" customHeight="1" spans="1:30">
      <c r="A32" s="161"/>
      <c r="B32" s="161"/>
      <c r="C32" s="161"/>
      <c r="D32" s="161"/>
      <c r="E32" s="114"/>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63"/>
    </row>
    <row r="33" s="156" customFormat="1" ht="15" customHeight="1" spans="1:30">
      <c r="A33" s="161"/>
      <c r="B33" s="161"/>
      <c r="C33" s="161"/>
      <c r="D33" s="161"/>
      <c r="E33" s="114"/>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63"/>
    </row>
  </sheetData>
  <mergeCells count="17">
    <mergeCell ref="A1:AF1"/>
    <mergeCell ref="A24:AC24"/>
    <mergeCell ref="A31:D31"/>
    <mergeCell ref="A2:A3"/>
    <mergeCell ref="A4:A7"/>
    <mergeCell ref="A8:A10"/>
    <mergeCell ref="A12:A13"/>
    <mergeCell ref="A16:A18"/>
    <mergeCell ref="A19:A21"/>
    <mergeCell ref="A22:A23"/>
    <mergeCell ref="B2:B3"/>
    <mergeCell ref="B26:B30"/>
    <mergeCell ref="C2:C3"/>
    <mergeCell ref="D2:D3"/>
    <mergeCell ref="E2:E3"/>
    <mergeCell ref="F2:F3"/>
    <mergeCell ref="G2:G3"/>
  </mergeCells>
  <pageMargins left="0.75" right="0.75" top="1" bottom="1" header="0.5" footer="0.5"/>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0070C0"/>
  </sheetPr>
  <dimension ref="A1:AF24"/>
  <sheetViews>
    <sheetView zoomScale="70" zoomScaleNormal="70" workbookViewId="0">
      <pane xSplit="7" ySplit="3" topLeftCell="H4" activePane="bottomRight" state="frozen"/>
      <selection/>
      <selection pane="topRight"/>
      <selection pane="bottomLeft"/>
      <selection pane="bottomRight" activeCell="J12" sqref="J12"/>
    </sheetView>
  </sheetViews>
  <sheetFormatPr defaultColWidth="20.7818181818182" defaultRowHeight="30" customHeight="1"/>
  <cols>
    <col min="1" max="1" width="18.4454545454545" style="1" customWidth="1"/>
    <col min="2" max="2" width="13.3363636363636" style="1" customWidth="1"/>
    <col min="3" max="3" width="24.7818181818182" style="16" customWidth="1"/>
    <col min="4" max="4" width="23.8909090909091" style="16" customWidth="1"/>
    <col min="5" max="6" width="6.78181818181818" style="1" customWidth="1"/>
    <col min="7" max="7" width="12.3363636363636" style="1" customWidth="1"/>
    <col min="8" max="8" width="10.1090909090909" style="1" customWidth="1"/>
    <col min="9" max="10" width="9.33636363636364" style="1" customWidth="1"/>
    <col min="11" max="11" width="8" style="1" customWidth="1"/>
    <col min="12" max="12" width="9.33636363636364" style="1" customWidth="1"/>
    <col min="13" max="13" width="11.7818181818182" style="1" customWidth="1"/>
    <col min="14" max="32" width="10.9090909090909" style="1" customWidth="1"/>
  </cols>
  <sheetData>
    <row r="1" ht="22.5" customHeight="1" spans="1:1">
      <c r="A1" s="154" t="s">
        <v>319</v>
      </c>
    </row>
    <row r="2" ht="16.5" customHeight="1" spans="1:32">
      <c r="A2" s="18" t="s">
        <v>228</v>
      </c>
      <c r="B2" s="18" t="s">
        <v>1</v>
      </c>
      <c r="C2" s="19" t="s">
        <v>144</v>
      </c>
      <c r="D2" s="19" t="s">
        <v>229</v>
      </c>
      <c r="E2" s="18" t="s">
        <v>87</v>
      </c>
      <c r="F2" s="19" t="s">
        <v>230</v>
      </c>
      <c r="G2" s="19" t="s">
        <v>320</v>
      </c>
      <c r="H2" s="20">
        <v>2025</v>
      </c>
      <c r="I2" s="24">
        <v>2026</v>
      </c>
      <c r="J2" s="20">
        <v>2027</v>
      </c>
      <c r="K2" s="24">
        <v>2028</v>
      </c>
      <c r="L2" s="20">
        <v>2029</v>
      </c>
      <c r="M2" s="20">
        <v>2030</v>
      </c>
      <c r="N2" s="20">
        <v>2031</v>
      </c>
      <c r="O2" s="20">
        <v>2032</v>
      </c>
      <c r="P2" s="20">
        <v>2033</v>
      </c>
      <c r="Q2" s="20">
        <v>2034</v>
      </c>
      <c r="R2" s="20">
        <v>2035</v>
      </c>
      <c r="S2" s="20">
        <v>2036</v>
      </c>
      <c r="T2" s="20">
        <v>2037</v>
      </c>
      <c r="U2" s="20">
        <v>2038</v>
      </c>
      <c r="V2" s="20">
        <v>2039</v>
      </c>
      <c r="W2" s="20">
        <v>2040</v>
      </c>
      <c r="X2" s="20">
        <v>2041</v>
      </c>
      <c r="Y2" s="20">
        <v>2042</v>
      </c>
      <c r="Z2" s="20">
        <v>2043</v>
      </c>
      <c r="AA2" s="20">
        <v>2044</v>
      </c>
      <c r="AB2" s="20">
        <v>2045</v>
      </c>
      <c r="AC2" s="20">
        <v>2046</v>
      </c>
      <c r="AD2" s="20">
        <v>2047</v>
      </c>
      <c r="AE2" s="20">
        <v>2048</v>
      </c>
      <c r="AF2" s="20" t="s">
        <v>81</v>
      </c>
    </row>
    <row r="3" ht="16.5" customHeight="1" spans="1:32">
      <c r="A3" s="15"/>
      <c r="B3" s="15"/>
      <c r="C3" s="15"/>
      <c r="D3" s="15"/>
      <c r="E3" s="15"/>
      <c r="F3" s="15"/>
      <c r="G3" s="15"/>
      <c r="H3" s="21" t="s">
        <v>232</v>
      </c>
      <c r="I3" s="25">
        <f>E.1项目运营期费用!I3</f>
        <v>0.7</v>
      </c>
      <c r="J3" s="25">
        <f>E.1项目运营期费用!J3</f>
        <v>0.7</v>
      </c>
      <c r="K3" s="135">
        <f>E.1项目运营期费用!K3</f>
        <v>0.8</v>
      </c>
      <c r="L3" s="25">
        <f>E.1项目运营期费用!L3</f>
        <v>0.9</v>
      </c>
      <c r="M3" s="25">
        <f>E.1项目运营期费用!M3</f>
        <v>1</v>
      </c>
      <c r="N3" s="25">
        <f>E.1项目运营期费用!N3</f>
        <v>0.8</v>
      </c>
      <c r="O3" s="25">
        <f>E.1项目运营期费用!O3</f>
        <v>0.7</v>
      </c>
      <c r="P3" s="25">
        <f>E.1项目运营期费用!P3</f>
        <v>0.7</v>
      </c>
      <c r="Q3" s="25">
        <f>E.1项目运营期费用!Q3</f>
        <v>0.8</v>
      </c>
      <c r="R3" s="25">
        <f>E.1项目运营期费用!R3</f>
        <v>0.7</v>
      </c>
      <c r="S3" s="25">
        <f>E.1项目运营期费用!S3</f>
        <v>0.7</v>
      </c>
      <c r="T3" s="25">
        <f>E.1项目运营期费用!T3</f>
        <v>0.8</v>
      </c>
      <c r="U3" s="25">
        <f>E.1项目运营期费用!U3</f>
        <v>0.7</v>
      </c>
      <c r="V3" s="25">
        <f>E.1项目运营期费用!V3</f>
        <v>0.7</v>
      </c>
      <c r="W3" s="25">
        <f>E.1项目运营期费用!W3</f>
        <v>0.8</v>
      </c>
      <c r="X3" s="25">
        <f>E.1项目运营期费用!X3</f>
        <v>0.7</v>
      </c>
      <c r="Y3" s="25">
        <f>E.1项目运营期费用!Y3</f>
        <v>0.7</v>
      </c>
      <c r="Z3" s="25">
        <f>E.1项目运营期费用!Z3</f>
        <v>0.8</v>
      </c>
      <c r="AA3" s="25">
        <f>E.1项目运营期费用!AA3</f>
        <v>0.7</v>
      </c>
      <c r="AB3" s="25">
        <f>E.1项目运营期费用!AB3</f>
        <v>0.7</v>
      </c>
      <c r="AC3" s="25">
        <f>E.1项目运营期费用!AC3</f>
        <v>0.7</v>
      </c>
      <c r="AD3" s="25">
        <f>E.1项目运营期费用!AD3</f>
        <v>0.7</v>
      </c>
      <c r="AE3" s="25">
        <f>E.1项目运营期费用!AE3</f>
        <v>0.7</v>
      </c>
      <c r="AF3" s="25" t="s">
        <v>162</v>
      </c>
    </row>
    <row r="4" ht="16.5" customHeight="1" spans="1:32">
      <c r="A4" s="12" t="s">
        <v>233</v>
      </c>
      <c r="B4" s="12">
        <f>E.1项目运营期费用!B4</f>
        <v>1</v>
      </c>
      <c r="C4" s="22" t="str">
        <f>E.1项目运营期费用!C4</f>
        <v>场地租金</v>
      </c>
      <c r="D4" s="22" t="str">
        <f>E.1项目运营期费用!D4</f>
        <v>按面积×租金单价</v>
      </c>
      <c r="E4" s="13">
        <f>E.1项目运营期费用!E4</f>
        <v>0</v>
      </c>
      <c r="F4" s="13">
        <f>E.1项目运营期费用!F4</f>
        <v>0</v>
      </c>
      <c r="G4" s="13">
        <f>E.1项目运营期费用!G4</f>
        <v>0</v>
      </c>
      <c r="H4" s="13">
        <f>E.1项目运营期费用!H4*(1-'G.2进项增值税率-运营成本'!$C3)</f>
        <v>0</v>
      </c>
      <c r="I4" s="13">
        <f>E.1项目运营期费用!I4/(1+'G.2进项增值税率-运营成本'!$C3)</f>
        <v>0</v>
      </c>
      <c r="J4" s="13">
        <f>E.1项目运营期费用!J4/(1+'G.2进项增值税率-运营成本'!$C3)</f>
        <v>110.091743119266</v>
      </c>
      <c r="K4" s="13">
        <f>E.1项目运营期费用!K4/(1+'G.2进项增值税率-运营成本'!$C3)</f>
        <v>146.788990825688</v>
      </c>
      <c r="L4" s="13">
        <f>E.1项目运营期费用!L4/(1+'G.2进项增值税率-运营成本'!$C3)</f>
        <v>148.990825688073</v>
      </c>
      <c r="M4" s="13">
        <f>E.1项目运营期费用!M4/(1+'G.2进项增值税率-运营成本'!$C3)</f>
        <v>151.225688073395</v>
      </c>
      <c r="N4" s="13">
        <f>E.1项目运营期费用!N4/(1+'G.2进项增值税率-运营成本'!$C3)</f>
        <v>153.494073394495</v>
      </c>
      <c r="O4" s="13">
        <f>E.1项目运营期费用!O4/(1+'G.2进项增值税率-运营成本'!$C3)</f>
        <v>155.796484495413</v>
      </c>
      <c r="P4" s="13">
        <f>E.1项目运营期费用!P4/(1+'G.2进项增值税率-运营成本'!$C3)</f>
        <v>158.133431762844</v>
      </c>
      <c r="Q4" s="13">
        <f>E.1项目运营期费用!Q4/(1+'G.2进项增值税率-运营成本'!$C3)</f>
        <v>160.505433239286</v>
      </c>
      <c r="R4" s="13">
        <f>E.1项目运营期费用!R4/(1+'G.2进项增值税率-运营成本'!$C3)</f>
        <v>162.913014737876</v>
      </c>
      <c r="S4" s="13">
        <f>E.1项目运营期费用!S4/(1+'G.2进项增值税率-运营成本'!$C3)</f>
        <v>165.356709958944</v>
      </c>
      <c r="T4" s="13">
        <f>E.1项目运营期费用!T4/(1+'G.2进项增值税率-运营成本'!$C3)</f>
        <v>167.837060608328</v>
      </c>
      <c r="U4" s="13">
        <f>E.1项目运营期费用!U4/(1+'G.2进项增值税率-运营成本'!$C3)</f>
        <v>170.354616517453</v>
      </c>
      <c r="V4" s="13">
        <f>E.1项目运营期费用!V4/(1+'G.2进项增值税率-运营成本'!$C3)</f>
        <v>172.909935765215</v>
      </c>
      <c r="W4" s="13">
        <f>E.1项目运营期费用!W4/(1+'G.2进项增值税率-运营成本'!$C3)</f>
        <v>175.503584801693</v>
      </c>
      <c r="X4" s="13">
        <f>E.1项目运营期费用!X4/(1+'G.2进项增值税率-运营成本'!$C3)</f>
        <v>178.136138573718</v>
      </c>
      <c r="Y4" s="13">
        <f>E.1项目运营期费用!Y4/(1+'G.2进项增值税率-运营成本'!$C3)</f>
        <v>180.808180652324</v>
      </c>
      <c r="Z4" s="13">
        <f>E.1项目运营期费用!Z4/(1+'G.2进项增值税率-运营成本'!$C3)</f>
        <v>183.520303362109</v>
      </c>
      <c r="AA4" s="13">
        <f>E.1项目运营期费用!AA4/(1+'G.2进项增值税率-运营成本'!$C3)</f>
        <v>186.27310791254</v>
      </c>
      <c r="AB4" s="13">
        <f>E.1项目运营期费用!AB4/(1+'G.2进项增值税率-运营成本'!$C3)</f>
        <v>189.067204531228</v>
      </c>
      <c r="AC4" s="13">
        <f>E.1项目运营期费用!AC4/(1+'G.2进项增值税率-运营成本'!$C3)</f>
        <v>191.903212599197</v>
      </c>
      <c r="AD4" s="13">
        <f>E.1项目运营期费用!AD4/(1+'G.2进项增值税率-运营成本'!$C3)</f>
        <v>194.781760788185</v>
      </c>
      <c r="AE4" s="13">
        <f>E.1项目运营期费用!AE4/(1+'G.2进项增值税率-运营成本'!$C3)</f>
        <v>197.703487200008</v>
      </c>
      <c r="AF4" s="13">
        <f t="shared" ref="AF4:AF23" si="0">(SUM(H4:AE4))</f>
        <v>3702.09498860728</v>
      </c>
    </row>
    <row r="5" ht="37.95" customHeight="1" spans="1:32">
      <c r="A5" s="23"/>
      <c r="B5" s="12">
        <f>E.1项目运营期费用!B5</f>
        <v>2</v>
      </c>
      <c r="C5" s="22" t="str">
        <f>E.1项目运营期费用!C5</f>
        <v>场地日常维护（停机坪/起降场/交通枢纽/飞行营地/指挥中心等）</v>
      </c>
      <c r="D5" s="22" t="str">
        <f>E.1项目运营期费用!D5</f>
        <v>按面积 × 单位维护单价（元 / ㎡・年）</v>
      </c>
      <c r="E5" s="13">
        <f>E.1项目运营期费用!E5</f>
        <v>0</v>
      </c>
      <c r="F5" s="13">
        <f>E.1项目运营期费用!F5</f>
        <v>0</v>
      </c>
      <c r="G5" s="13">
        <f>E.1项目运营期费用!G5</f>
        <v>0</v>
      </c>
      <c r="H5" s="13">
        <f>E.1项目运营期费用!H5*(1-'G.2进项增值税率-运营成本'!$C4)</f>
        <v>0</v>
      </c>
      <c r="I5" s="13">
        <f>E.1项目运营期费用!I5/(1+'G.2进项增值税率-运营成本'!$C4)</f>
        <v>0</v>
      </c>
      <c r="J5" s="13">
        <f>E.1项目运营期费用!J5/(1+'G.2进项增值税率-运营成本'!$C4)</f>
        <v>0</v>
      </c>
      <c r="K5" s="13">
        <f>E.1项目运营期费用!K5/(1+'G.2进项增值税率-运营成本'!$C4)</f>
        <v>0</v>
      </c>
      <c r="L5" s="13">
        <f>E.1项目运营期费用!L5/(1+'G.2进项增值税率-运营成本'!$C4)</f>
        <v>0</v>
      </c>
      <c r="M5" s="13">
        <f>E.1项目运营期费用!M5/(1+'G.2进项增值税率-运营成本'!$C4)</f>
        <v>0</v>
      </c>
      <c r="N5" s="13">
        <f>E.1项目运营期费用!N5/(1+'G.2进项增值税率-运营成本'!$C4)</f>
        <v>0</v>
      </c>
      <c r="O5" s="13">
        <f>E.1项目运营期费用!O5/(1+'G.2进项增值税率-运营成本'!$C4)</f>
        <v>0</v>
      </c>
      <c r="P5" s="13">
        <f>E.1项目运营期费用!P5/(1+'G.2进项增值税率-运营成本'!$C4)</f>
        <v>0</v>
      </c>
      <c r="Q5" s="13">
        <f>E.1项目运营期费用!Q5/(1+'G.2进项增值税率-运营成本'!$C4)</f>
        <v>0</v>
      </c>
      <c r="R5" s="13">
        <f>E.1项目运营期费用!R5/(1+'G.2进项增值税率-运营成本'!$C4)</f>
        <v>0</v>
      </c>
      <c r="S5" s="13">
        <f>E.1项目运营期费用!S5/(1+'G.2进项增值税率-运营成本'!$C4)</f>
        <v>0</v>
      </c>
      <c r="T5" s="13">
        <f>E.1项目运营期费用!T5/(1+'G.2进项增值税率-运营成本'!$C4)</f>
        <v>0</v>
      </c>
      <c r="U5" s="13">
        <f>E.1项目运营期费用!U5/(1+'G.2进项增值税率-运营成本'!$C4)</f>
        <v>0</v>
      </c>
      <c r="V5" s="13">
        <f>E.1项目运营期费用!V5/(1+'G.2进项增值税率-运营成本'!$C4)</f>
        <v>0</v>
      </c>
      <c r="W5" s="13">
        <f>E.1项目运营期费用!W5/(1+'G.2进项增值税率-运营成本'!$C4)</f>
        <v>0</v>
      </c>
      <c r="X5" s="13">
        <f>E.1项目运营期费用!X5/(1+'G.2进项增值税率-运营成本'!$C4)</f>
        <v>0</v>
      </c>
      <c r="Y5" s="13">
        <f>E.1项目运营期费用!Y5/(1+'G.2进项增值税率-运营成本'!$C4)</f>
        <v>0</v>
      </c>
      <c r="Z5" s="13">
        <f>E.1项目运营期费用!Z5/(1+'G.2进项增值税率-运营成本'!$C4)</f>
        <v>0</v>
      </c>
      <c r="AA5" s="13">
        <f>E.1项目运营期费用!AA5/(1+'G.2进项增值税率-运营成本'!$C4)</f>
        <v>0</v>
      </c>
      <c r="AB5" s="13">
        <f>E.1项目运营期费用!AB5/(1+'G.2进项增值税率-运营成本'!$C4)</f>
        <v>0</v>
      </c>
      <c r="AC5" s="13">
        <f>E.1项目运营期费用!AC5/(1+'G.2进项增值税率-运营成本'!$C4)</f>
        <v>0</v>
      </c>
      <c r="AD5" s="13">
        <f>E.1项目运营期费用!AD5/(1+'G.2进项增值税率-运营成本'!$C4)</f>
        <v>0</v>
      </c>
      <c r="AE5" s="13">
        <f>E.1项目运营期费用!AE5/(1+'G.2进项增值税率-运营成本'!$C4)</f>
        <v>0</v>
      </c>
      <c r="AF5" s="13">
        <f t="shared" si="0"/>
        <v>0</v>
      </c>
    </row>
    <row r="6" ht="33" customHeight="1" spans="1:32">
      <c r="A6" s="23"/>
      <c r="B6" s="12">
        <f>E.1项目运营期费用!B6</f>
        <v>3</v>
      </c>
      <c r="C6" s="22" t="str">
        <f>E.1项目运营期费用!C6</f>
        <v>消防设施年检</v>
      </c>
      <c r="D6" s="22" t="str">
        <f>E.1项目运营期费用!D6</f>
        <v>按设备数量 × 单台年检费（元 / 台・次）</v>
      </c>
      <c r="E6" s="13">
        <f>E.1项目运营期费用!E6</f>
        <v>0</v>
      </c>
      <c r="F6" s="13">
        <f>E.1项目运营期费用!F6</f>
        <v>0</v>
      </c>
      <c r="G6" s="13">
        <f>E.1项目运营期费用!G6</f>
        <v>0</v>
      </c>
      <c r="H6" s="13">
        <f>E.1项目运营期费用!H6*(1-'G.2进项增值税率-运营成本'!$C5)</f>
        <v>0</v>
      </c>
      <c r="I6" s="13">
        <f>E.1项目运营期费用!I6/(1+'G.2进项增值税率-运营成本'!$C5)</f>
        <v>0</v>
      </c>
      <c r="J6" s="13">
        <f>E.1项目运营期费用!J6/(1+'G.2进项增值税率-运营成本'!$C5)</f>
        <v>0</v>
      </c>
      <c r="K6" s="13">
        <f>E.1项目运营期费用!K6/(1+'G.2进项增值税率-运营成本'!$C5)</f>
        <v>0</v>
      </c>
      <c r="L6" s="13">
        <f>E.1项目运营期费用!L6/(1+'G.2进项增值税率-运营成本'!$C5)</f>
        <v>0</v>
      </c>
      <c r="M6" s="13">
        <f>E.1项目运营期费用!M6/(1+'G.2进项增值税率-运营成本'!$C5)</f>
        <v>0</v>
      </c>
      <c r="N6" s="13">
        <f>E.1项目运营期费用!N6/(1+'G.2进项增值税率-运营成本'!$C5)</f>
        <v>0</v>
      </c>
      <c r="O6" s="13">
        <f>E.1项目运营期费用!O6/(1+'G.2进项增值税率-运营成本'!$C5)</f>
        <v>0</v>
      </c>
      <c r="P6" s="13">
        <f>E.1项目运营期费用!P6/(1+'G.2进项增值税率-运营成本'!$C5)</f>
        <v>0</v>
      </c>
      <c r="Q6" s="13">
        <f>E.1项目运营期费用!Q6/(1+'G.2进项增值税率-运营成本'!$C5)</f>
        <v>0</v>
      </c>
      <c r="R6" s="13">
        <f>E.1项目运营期费用!R6/(1+'G.2进项增值税率-运营成本'!$C5)</f>
        <v>0</v>
      </c>
      <c r="S6" s="13">
        <f>E.1项目运营期费用!S6/(1+'G.2进项增值税率-运营成本'!$C5)</f>
        <v>0</v>
      </c>
      <c r="T6" s="13">
        <f>E.1项目运营期费用!T6/(1+'G.2进项增值税率-运营成本'!$C5)</f>
        <v>0</v>
      </c>
      <c r="U6" s="13">
        <f>E.1项目运营期费用!U6/(1+'G.2进项增值税率-运营成本'!$C5)</f>
        <v>0</v>
      </c>
      <c r="V6" s="13">
        <f>E.1项目运营期费用!V6/(1+'G.2进项增值税率-运营成本'!$C5)</f>
        <v>0</v>
      </c>
      <c r="W6" s="13">
        <f>E.1项目运营期费用!W6/(1+'G.2进项增值税率-运营成本'!$C5)</f>
        <v>0</v>
      </c>
      <c r="X6" s="13">
        <f>E.1项目运营期费用!X6/(1+'G.2进项增值税率-运营成本'!$C5)</f>
        <v>0</v>
      </c>
      <c r="Y6" s="13">
        <f>E.1项目运营期费用!Y6/(1+'G.2进项增值税率-运营成本'!$C5)</f>
        <v>0</v>
      </c>
      <c r="Z6" s="13">
        <f>E.1项目运营期费用!Z6/(1+'G.2进项增值税率-运营成本'!$C5)</f>
        <v>0</v>
      </c>
      <c r="AA6" s="13">
        <f>E.1项目运营期费用!AA6/(1+'G.2进项增值税率-运营成本'!$C5)</f>
        <v>0</v>
      </c>
      <c r="AB6" s="13">
        <f>E.1项目运营期费用!AB6/(1+'G.2进项增值税率-运营成本'!$C5)</f>
        <v>0</v>
      </c>
      <c r="AC6" s="13">
        <f>E.1项目运营期费用!AC6/(1+'G.2进项增值税率-运营成本'!$C5)</f>
        <v>0</v>
      </c>
      <c r="AD6" s="13">
        <f>E.1项目运营期费用!AD6/(1+'G.2进项增值税率-运营成本'!$C5)</f>
        <v>0</v>
      </c>
      <c r="AE6" s="13">
        <f>E.1项目运营期费用!AE6/(1+'G.2进项增值税率-运营成本'!$C5)</f>
        <v>0</v>
      </c>
      <c r="AF6" s="13">
        <f t="shared" si="0"/>
        <v>0</v>
      </c>
    </row>
    <row r="7" ht="49.5" customHeight="1" spans="1:32">
      <c r="A7" s="15"/>
      <c r="B7" s="12">
        <f>E.1项目运营期费用!B7</f>
        <v>4</v>
      </c>
      <c r="C7" s="22" t="str">
        <f>E.1项目运营期费用!C7</f>
        <v>防鸟措施（驱鸟器维护）</v>
      </c>
      <c r="D7" s="22" t="str">
        <f>E.1项目运营期费用!D7</f>
        <v>按套数 × 年费（元 / 套・年）+ 耗材费（如驱鸟剂）</v>
      </c>
      <c r="E7" s="13">
        <f>E.1项目运营期费用!E7</f>
        <v>0</v>
      </c>
      <c r="F7" s="13">
        <f>E.1项目运营期费用!F7</f>
        <v>0</v>
      </c>
      <c r="G7" s="13">
        <f>E.1项目运营期费用!G7</f>
        <v>0</v>
      </c>
      <c r="H7" s="13">
        <f>E.1项目运营期费用!H7*(1-'G.2进项增值税率-运营成本'!$C6)</f>
        <v>0</v>
      </c>
      <c r="I7" s="13">
        <f>E.1项目运营期费用!I7/(1+'G.2进项增值税率-运营成本'!$C6)</f>
        <v>0</v>
      </c>
      <c r="J7" s="13">
        <f>E.1项目运营期费用!J7/(1+'G.2进项增值税率-运营成本'!$C6)</f>
        <v>0</v>
      </c>
      <c r="K7" s="13">
        <f>E.1项目运营期费用!K7/(1+'G.2进项增值税率-运营成本'!$C6)</f>
        <v>0</v>
      </c>
      <c r="L7" s="13">
        <f>E.1项目运营期费用!L7/(1+'G.2进项增值税率-运营成本'!$C6)</f>
        <v>0</v>
      </c>
      <c r="M7" s="13">
        <f>E.1项目运营期费用!M7/(1+'G.2进项增值税率-运营成本'!$C6)</f>
        <v>0</v>
      </c>
      <c r="N7" s="13">
        <f>E.1项目运营期费用!N7/(1+'G.2进项增值税率-运营成本'!$C6)</f>
        <v>0</v>
      </c>
      <c r="O7" s="13">
        <f>E.1项目运营期费用!O7/(1+'G.2进项增值税率-运营成本'!$C6)</f>
        <v>0</v>
      </c>
      <c r="P7" s="13">
        <f>E.1项目运营期费用!P7/(1+'G.2进项增值税率-运营成本'!$C6)</f>
        <v>0</v>
      </c>
      <c r="Q7" s="13">
        <f>E.1项目运营期费用!Q7/(1+'G.2进项增值税率-运营成本'!$C6)</f>
        <v>0</v>
      </c>
      <c r="R7" s="13">
        <f>E.1项目运营期费用!R7/(1+'G.2进项增值税率-运营成本'!$C6)</f>
        <v>0</v>
      </c>
      <c r="S7" s="13">
        <f>E.1项目运营期费用!S7/(1+'G.2进项增值税率-运营成本'!$C6)</f>
        <v>0</v>
      </c>
      <c r="T7" s="13">
        <f>E.1项目运营期费用!T7/(1+'G.2进项增值税率-运营成本'!$C6)</f>
        <v>0</v>
      </c>
      <c r="U7" s="13">
        <f>E.1项目运营期费用!U7/(1+'G.2进项增值税率-运营成本'!$C6)</f>
        <v>0</v>
      </c>
      <c r="V7" s="13">
        <f>E.1项目运营期费用!V7/(1+'G.2进项增值税率-运营成本'!$C6)</f>
        <v>0</v>
      </c>
      <c r="W7" s="13">
        <f>E.1项目运营期费用!W7/(1+'G.2进项增值税率-运营成本'!$C6)</f>
        <v>0</v>
      </c>
      <c r="X7" s="13">
        <f>E.1项目运营期费用!X7/(1+'G.2进项增值税率-运营成本'!$C6)</f>
        <v>0</v>
      </c>
      <c r="Y7" s="13">
        <f>E.1项目运营期费用!Y7/(1+'G.2进项增值税率-运营成本'!$C6)</f>
        <v>0</v>
      </c>
      <c r="Z7" s="13">
        <f>E.1项目运营期费用!Z7/(1+'G.2进项增值税率-运营成本'!$C6)</f>
        <v>0</v>
      </c>
      <c r="AA7" s="13">
        <f>E.1项目运营期费用!AA7/(1+'G.2进项增值税率-运营成本'!$C6)</f>
        <v>0</v>
      </c>
      <c r="AB7" s="13">
        <f>E.1项目运营期费用!AB7/(1+'G.2进项增值税率-运营成本'!$C6)</f>
        <v>0</v>
      </c>
      <c r="AC7" s="13">
        <f>E.1项目运营期费用!AC7/(1+'G.2进项增值税率-运营成本'!$C6)</f>
        <v>0</v>
      </c>
      <c r="AD7" s="13">
        <f>E.1项目运营期费用!AD7/(1+'G.2进项增值税率-运营成本'!$C6)</f>
        <v>0</v>
      </c>
      <c r="AE7" s="13">
        <f>E.1项目运营期费用!AE7/(1+'G.2进项增值税率-运营成本'!$C6)</f>
        <v>0</v>
      </c>
      <c r="AF7" s="13">
        <f t="shared" si="0"/>
        <v>0</v>
      </c>
    </row>
    <row r="8" ht="16.5" customHeight="1" spans="1:32">
      <c r="A8" s="12" t="s">
        <v>242</v>
      </c>
      <c r="B8" s="12">
        <f>E.1项目运营期费用!B8</f>
        <v>5</v>
      </c>
      <c r="C8" s="22" t="str">
        <f>E.1项目运营期费用!C8</f>
        <v>飞行器能耗</v>
      </c>
      <c r="D8" s="22" t="str">
        <f>E.1项目运营期费用!D8</f>
        <v>按电耗或油耗计算</v>
      </c>
      <c r="E8" s="13">
        <f>E.1项目运营期费用!E8</f>
        <v>0</v>
      </c>
      <c r="F8" s="13">
        <f>E.1项目运营期费用!F8</f>
        <v>0</v>
      </c>
      <c r="G8" s="13">
        <f>E.1项目运营期费用!G8</f>
        <v>0</v>
      </c>
      <c r="H8" s="13">
        <f>E.1项目运营期费用!H8*(1-'G.2进项增值税率-运营成本'!$C7)</f>
        <v>0</v>
      </c>
      <c r="I8" s="13">
        <f>E.1项目运营期费用!I8/(1+'G.2进项增值税率-运营成本'!$C7)</f>
        <v>0</v>
      </c>
      <c r="J8" s="13">
        <f>E.1项目运营期费用!J8/(1+'G.2进项增值税率-运营成本'!$C7)</f>
        <v>0</v>
      </c>
      <c r="K8" s="13">
        <f>E.1项目运营期费用!K8/(1+'G.2进项增值税率-运营成本'!$C7)</f>
        <v>0</v>
      </c>
      <c r="L8" s="13">
        <f>E.1项目运营期费用!L8/(1+'G.2进项增值税率-运营成本'!$C7)</f>
        <v>0</v>
      </c>
      <c r="M8" s="13">
        <f>E.1项目运营期费用!M8/(1+'G.2进项增值税率-运营成本'!$C7)</f>
        <v>0</v>
      </c>
      <c r="N8" s="13">
        <f>E.1项目运营期费用!N8/(1+'G.2进项增值税率-运营成本'!$C7)</f>
        <v>0</v>
      </c>
      <c r="O8" s="13">
        <f>E.1项目运营期费用!O8/(1+'G.2进项增值税率-运营成本'!$C7)</f>
        <v>0</v>
      </c>
      <c r="P8" s="13">
        <f>E.1项目运营期费用!P8/(1+'G.2进项增值税率-运营成本'!$C7)</f>
        <v>0</v>
      </c>
      <c r="Q8" s="13">
        <f>E.1项目运营期费用!Q8/(1+'G.2进项增值税率-运营成本'!$C7)</f>
        <v>0</v>
      </c>
      <c r="R8" s="13">
        <f>E.1项目运营期费用!R8/(1+'G.2进项增值税率-运营成本'!$C7)</f>
        <v>0</v>
      </c>
      <c r="S8" s="13">
        <f>E.1项目运营期费用!S8/(1+'G.2进项增值税率-运营成本'!$C7)</f>
        <v>0</v>
      </c>
      <c r="T8" s="13">
        <f>E.1项目运营期费用!T8/(1+'G.2进项增值税率-运营成本'!$C7)</f>
        <v>0</v>
      </c>
      <c r="U8" s="13">
        <f>E.1项目运营期费用!U8/(1+'G.2进项增值税率-运营成本'!$C7)</f>
        <v>0</v>
      </c>
      <c r="V8" s="13">
        <f>E.1项目运营期费用!V8/(1+'G.2进项增值税率-运营成本'!$C7)</f>
        <v>0</v>
      </c>
      <c r="W8" s="13">
        <f>E.1项目运营期费用!W8/(1+'G.2进项增值税率-运营成本'!$C7)</f>
        <v>0</v>
      </c>
      <c r="X8" s="13">
        <f>E.1项目运营期费用!X8/(1+'G.2进项增值税率-运营成本'!$C7)</f>
        <v>0</v>
      </c>
      <c r="Y8" s="13">
        <f>E.1项目运营期费用!Y8/(1+'G.2进项增值税率-运营成本'!$C7)</f>
        <v>0</v>
      </c>
      <c r="Z8" s="13">
        <f>E.1项目运营期费用!Z8/(1+'G.2进项增值税率-运营成本'!$C7)</f>
        <v>0</v>
      </c>
      <c r="AA8" s="13">
        <f>E.1项目运营期费用!AA8/(1+'G.2进项增值税率-运营成本'!$C7)</f>
        <v>0</v>
      </c>
      <c r="AB8" s="13">
        <f>E.1项目运营期费用!AB8/(1+'G.2进项增值税率-运营成本'!$C7)</f>
        <v>0</v>
      </c>
      <c r="AC8" s="13">
        <f>E.1项目运营期费用!AC8/(1+'G.2进项增值税率-运营成本'!$C7)</f>
        <v>0</v>
      </c>
      <c r="AD8" s="13">
        <f>E.1项目运营期费用!AD8/(1+'G.2进项增值税率-运营成本'!$C7)</f>
        <v>0</v>
      </c>
      <c r="AE8" s="13">
        <f>E.1项目运营期费用!AE8/(1+'G.2进项增值税率-运营成本'!$C7)</f>
        <v>0</v>
      </c>
      <c r="AF8" s="13">
        <f t="shared" si="0"/>
        <v>0</v>
      </c>
    </row>
    <row r="9" ht="33" customHeight="1" spans="1:32">
      <c r="A9" s="23"/>
      <c r="B9" s="12">
        <f>E.1项目运营期费用!B9</f>
        <v>6</v>
      </c>
      <c r="C9" s="22" t="str">
        <f>E.1项目运营期费用!C9</f>
        <v>核心设备电力能耗</v>
      </c>
      <c r="D9" s="22" t="str">
        <f>E.1项目运营期费用!D9</f>
        <v>按实际用电量 × 电价（元 / 千瓦 时）</v>
      </c>
      <c r="E9" s="13">
        <f>E.1项目运营期费用!E9</f>
        <v>0</v>
      </c>
      <c r="F9" s="13">
        <f>E.1项目运营期费用!F9</f>
        <v>0</v>
      </c>
      <c r="G9" s="13">
        <f>E.1项目运营期费用!G9</f>
        <v>0</v>
      </c>
      <c r="H9" s="13">
        <f>E.1项目运营期费用!H9*(1-'G.2进项增值税率-运营成本'!$C8)</f>
        <v>0</v>
      </c>
      <c r="I9" s="13">
        <f>E.1项目运营期费用!I9/(1+'G.2进项增值税率-运营成本'!$C8)</f>
        <v>0</v>
      </c>
      <c r="J9" s="13">
        <f>E.1项目运营期费用!J9/(1+'G.2进项增值税率-运营成本'!$C8)</f>
        <v>0</v>
      </c>
      <c r="K9" s="13">
        <f>E.1项目运营期费用!K9/(1+'G.2进项增值税率-运营成本'!$C8)</f>
        <v>0</v>
      </c>
      <c r="L9" s="13">
        <f>E.1项目运营期费用!L9/(1+'G.2进项增值税率-运营成本'!$C8)</f>
        <v>0</v>
      </c>
      <c r="M9" s="13">
        <f>E.1项目运营期费用!M9/(1+'G.2进项增值税率-运营成本'!$C8)</f>
        <v>0</v>
      </c>
      <c r="N9" s="13">
        <f>E.1项目运营期费用!N9/(1+'G.2进项增值税率-运营成本'!$C8)</f>
        <v>0</v>
      </c>
      <c r="O9" s="13">
        <f>E.1项目运营期费用!O9/(1+'G.2进项增值税率-运营成本'!$C8)</f>
        <v>0</v>
      </c>
      <c r="P9" s="13">
        <f>E.1项目运营期费用!P9/(1+'G.2进项增值税率-运营成本'!$C8)</f>
        <v>0</v>
      </c>
      <c r="Q9" s="13">
        <f>E.1项目运营期费用!Q9/(1+'G.2进项增值税率-运营成本'!$C8)</f>
        <v>0</v>
      </c>
      <c r="R9" s="13">
        <f>E.1项目运营期费用!R9/(1+'G.2进项增值税率-运营成本'!$C8)</f>
        <v>0</v>
      </c>
      <c r="S9" s="13">
        <f>E.1项目运营期费用!S9/(1+'G.2进项增值税率-运营成本'!$C8)</f>
        <v>0</v>
      </c>
      <c r="T9" s="13">
        <f>E.1项目运营期费用!T9/(1+'G.2进项增值税率-运营成本'!$C8)</f>
        <v>0</v>
      </c>
      <c r="U9" s="13">
        <f>E.1项目运营期费用!U9/(1+'G.2进项增值税率-运营成本'!$C8)</f>
        <v>0</v>
      </c>
      <c r="V9" s="13">
        <f>E.1项目运营期费用!V9/(1+'G.2进项增值税率-运营成本'!$C8)</f>
        <v>0</v>
      </c>
      <c r="W9" s="13">
        <f>E.1项目运营期费用!W9/(1+'G.2进项增值税率-运营成本'!$C8)</f>
        <v>0</v>
      </c>
      <c r="X9" s="13">
        <f>E.1项目运营期费用!X9/(1+'G.2进项增值税率-运营成本'!$C8)</f>
        <v>0</v>
      </c>
      <c r="Y9" s="13">
        <f>E.1项目运营期费用!Y9/(1+'G.2进项增值税率-运营成本'!$C8)</f>
        <v>0</v>
      </c>
      <c r="Z9" s="13">
        <f>E.1项目运营期费用!Z9/(1+'G.2进项增值税率-运营成本'!$C8)</f>
        <v>0</v>
      </c>
      <c r="AA9" s="13">
        <f>E.1项目运营期费用!AA9/(1+'G.2进项增值税率-运营成本'!$C8)</f>
        <v>0</v>
      </c>
      <c r="AB9" s="13">
        <f>E.1项目运营期费用!AB9/(1+'G.2进项增值税率-运营成本'!$C8)</f>
        <v>0</v>
      </c>
      <c r="AC9" s="13">
        <f>E.1项目运营期费用!AC9/(1+'G.2进项增值税率-运营成本'!$C8)</f>
        <v>0</v>
      </c>
      <c r="AD9" s="13">
        <f>E.1项目运营期费用!AD9/(1+'G.2进项增值税率-运营成本'!$C8)</f>
        <v>0</v>
      </c>
      <c r="AE9" s="13">
        <f>E.1项目运营期费用!AE9/(1+'G.2进项增值税率-运营成本'!$C8)</f>
        <v>0</v>
      </c>
      <c r="AF9" s="13">
        <f t="shared" si="0"/>
        <v>0</v>
      </c>
    </row>
    <row r="10" ht="16.5" customHeight="1" spans="1:32">
      <c r="A10" s="15"/>
      <c r="B10" s="12">
        <f>E.1项目运营期费用!B10</f>
        <v>7</v>
      </c>
      <c r="C10" s="22" t="str">
        <f>E.1项目运营期费用!C10</f>
        <v>水电能耗</v>
      </c>
      <c r="D10" s="22" t="str">
        <f>E.1项目运营期费用!D10</f>
        <v>按面积估算</v>
      </c>
      <c r="E10" s="13">
        <f>E.1项目运营期费用!E10</f>
        <v>0</v>
      </c>
      <c r="F10" s="13">
        <f>E.1项目运营期费用!F10</f>
        <v>0</v>
      </c>
      <c r="G10" s="13">
        <f>E.1项目运营期费用!G10</f>
        <v>0</v>
      </c>
      <c r="H10" s="13">
        <f>E.1项目运营期费用!H10*(1-'G.2进项增值税率-运营成本'!$C9)</f>
        <v>0</v>
      </c>
      <c r="I10" s="13">
        <f>E.1项目运营期费用!I10/(1+'G.2进项增值税率-运营成本'!$C9)</f>
        <v>0</v>
      </c>
      <c r="J10" s="13">
        <f>E.1项目运营期费用!J10/(1+'G.2进项增值税率-运营成本'!$C9)</f>
        <v>9.1743119266055</v>
      </c>
      <c r="K10" s="13">
        <f>E.1项目运营期费用!K10/(1+'G.2进项增值税率-运营成本'!$C9)</f>
        <v>9.1743119266055</v>
      </c>
      <c r="L10" s="13">
        <f>E.1项目运营期费用!L10/(1+'G.2进项增值税率-运营成本'!$C9)</f>
        <v>9.31192660550459</v>
      </c>
      <c r="M10" s="13">
        <f>E.1项目运营期费用!M10/(1+'G.2进项增值税率-运营成本'!$C9)</f>
        <v>9.45160550458716</v>
      </c>
      <c r="N10" s="13">
        <f>E.1项目运营期费用!N10/(1+'G.2进项增值税率-运营成本'!$C9)</f>
        <v>9.59337958715596</v>
      </c>
      <c r="O10" s="13">
        <f>E.1项目运营期费用!O10/(1+'G.2进项增值税率-运营成本'!$C9)</f>
        <v>9.7372802809633</v>
      </c>
      <c r="P10" s="13">
        <f>E.1项目运营期费用!P10/(1+'G.2进项增值税率-运营成本'!$C9)</f>
        <v>9.88333948517771</v>
      </c>
      <c r="Q10" s="13">
        <f>E.1项目运营期费用!Q10/(1+'G.2进项增值税率-运营成本'!$C9)</f>
        <v>10.0315895774554</v>
      </c>
      <c r="R10" s="13">
        <f>E.1项目运营期费用!R10/(1+'G.2进项增值税率-运营成本'!$C9)</f>
        <v>10.1820634211172</v>
      </c>
      <c r="S10" s="13">
        <f>E.1项目运营期费用!S10/(1+'G.2进项增值税率-运营成本'!$C9)</f>
        <v>10.334794372434</v>
      </c>
      <c r="T10" s="13">
        <f>E.1项目运营期费用!T10/(1+'G.2进项增值税率-运营成本'!$C9)</f>
        <v>10.4898162880206</v>
      </c>
      <c r="U10" s="13">
        <f>E.1项目运营期费用!U10/(1+'G.2进项增值税率-运营成本'!$C9)</f>
        <v>10.6471635323408</v>
      </c>
      <c r="V10" s="13">
        <f>E.1项目运营期费用!V10/(1+'G.2进项增值税率-运营成本'!$C9)</f>
        <v>10.806870985326</v>
      </c>
      <c r="W10" s="13">
        <f>E.1项目运营期费用!W10/(1+'G.2进项增值税率-运营成本'!$C9)</f>
        <v>10.9689740501058</v>
      </c>
      <c r="X10" s="13">
        <f>E.1项目运营期费用!X10/(1+'G.2进项增值税率-运营成本'!$C9)</f>
        <v>11.1335086608574</v>
      </c>
      <c r="Y10" s="13">
        <f>E.1项目运营期费用!Y10/(1+'G.2进项增值税率-运营成本'!$C9)</f>
        <v>11.3005112907703</v>
      </c>
      <c r="Z10" s="13">
        <f>E.1项目运营期费用!Z10/(1+'G.2进项增值税率-运营成本'!$C9)</f>
        <v>11.4700189601318</v>
      </c>
      <c r="AA10" s="13">
        <f>E.1项目运营期费用!AA10/(1+'G.2进项增值税率-运营成本'!$C9)</f>
        <v>11.6420692445338</v>
      </c>
      <c r="AB10" s="13">
        <f>E.1项目运营期费用!AB10/(1+'G.2进项增值税率-运营成本'!$C9)</f>
        <v>11.8167002832018</v>
      </c>
      <c r="AC10" s="13">
        <f>E.1项目运营期费用!AC10/(1+'G.2进项增值税率-运营成本'!$C9)</f>
        <v>11.9939507874498</v>
      </c>
      <c r="AD10" s="13">
        <f>E.1项目运营期费用!AD10/(1+'G.2进项增值税率-运营成本'!$C9)</f>
        <v>12.1738600492616</v>
      </c>
      <c r="AE10" s="13">
        <f>E.1项目运营期费用!AE10/(1+'G.2进项增值税率-运营成本'!$C9)</f>
        <v>12.3564679500005</v>
      </c>
      <c r="AF10" s="13">
        <f t="shared" si="0"/>
        <v>233.674514769606</v>
      </c>
    </row>
    <row r="11" ht="16.5" customHeight="1" spans="1:32">
      <c r="A11" s="12" t="s">
        <v>249</v>
      </c>
      <c r="B11" s="12">
        <f>E.1项目运营期费用!B11</f>
        <v>8</v>
      </c>
      <c r="C11" s="22" t="str">
        <f>E.1项目运营期费用!C11</f>
        <v>网络通信费用</v>
      </c>
      <c r="D11" s="22" t="str">
        <f>E.1项目运营期费用!D11</f>
        <v>按年计算租金</v>
      </c>
      <c r="E11" s="13">
        <f>E.1项目运营期费用!E11</f>
        <v>0</v>
      </c>
      <c r="F11" s="13">
        <f>E.1项目运营期费用!F11</f>
        <v>0</v>
      </c>
      <c r="G11" s="13">
        <f>E.1项目运营期费用!G11</f>
        <v>0</v>
      </c>
      <c r="H11" s="13">
        <f>E.1项目运营期费用!H11*(1-'G.2进项增值税率-运营成本'!$C10)</f>
        <v>0</v>
      </c>
      <c r="I11" s="13">
        <f>E.1项目运营期费用!I11/(1+'G.2进项增值税率-运营成本'!$C10)</f>
        <v>0</v>
      </c>
      <c r="J11" s="13">
        <f>E.1项目运营期费用!J11/(1+'G.2进项增值税率-运营成本'!$C10)</f>
        <v>9.1743119266055</v>
      </c>
      <c r="K11" s="13">
        <f>E.1项目运营期费用!K11/(1+'G.2进项增值税率-运营成本'!$C10)</f>
        <v>9.1743119266055</v>
      </c>
      <c r="L11" s="13">
        <f>E.1项目运营期费用!L11/(1+'G.2进项增值税率-运营成本'!$C10)</f>
        <v>9.31192660550459</v>
      </c>
      <c r="M11" s="13">
        <f>E.1项目运营期费用!M11/(1+'G.2进项增值税率-运营成本'!$C10)</f>
        <v>9.45160550458716</v>
      </c>
      <c r="N11" s="13">
        <f>E.1项目运营期费用!N11/(1+'G.2进项增值税率-运营成本'!$C10)</f>
        <v>9.59337958715596</v>
      </c>
      <c r="O11" s="13">
        <f>E.1项目运营期费用!O11/(1+'G.2进项增值税率-运营成本'!$C10)</f>
        <v>9.7372802809633</v>
      </c>
      <c r="P11" s="13">
        <f>E.1项目运营期费用!P11/(1+'G.2进项增值税率-运营成本'!$C10)</f>
        <v>9.88333948517771</v>
      </c>
      <c r="Q11" s="13">
        <f>E.1项目运营期费用!Q11/(1+'G.2进项增值税率-运营成本'!$C10)</f>
        <v>10.0315895774554</v>
      </c>
      <c r="R11" s="13">
        <f>E.1项目运营期费用!R11/(1+'G.2进项增值税率-运营成本'!$C10)</f>
        <v>10.1820634211172</v>
      </c>
      <c r="S11" s="13">
        <f>E.1项目运营期费用!S11/(1+'G.2进项增值税率-运营成本'!$C10)</f>
        <v>10.334794372434</v>
      </c>
      <c r="T11" s="13">
        <f>E.1项目运营期费用!T11/(1+'G.2进项增值税率-运营成本'!$C10)</f>
        <v>10.4898162880206</v>
      </c>
      <c r="U11" s="13">
        <f>E.1项目运营期费用!U11/(1+'G.2进项增值税率-运营成本'!$C10)</f>
        <v>10.6471635323408</v>
      </c>
      <c r="V11" s="13">
        <f>E.1项目运营期费用!V11/(1+'G.2进项增值税率-运营成本'!$C10)</f>
        <v>10.806870985326</v>
      </c>
      <c r="W11" s="13">
        <f>E.1项目运营期费用!W11/(1+'G.2进项增值税率-运营成本'!$C10)</f>
        <v>10.9689740501058</v>
      </c>
      <c r="X11" s="13">
        <f>E.1项目运营期费用!X11/(1+'G.2进项增值税率-运营成本'!$C10)</f>
        <v>11.1335086608574</v>
      </c>
      <c r="Y11" s="13">
        <f>E.1项目运营期费用!Y11/(1+'G.2进项增值税率-运营成本'!$C10)</f>
        <v>11.3005112907703</v>
      </c>
      <c r="Z11" s="13">
        <f>E.1项目运营期费用!Z11/(1+'G.2进项增值税率-运营成本'!$C10)</f>
        <v>11.4700189601318</v>
      </c>
      <c r="AA11" s="13">
        <f>E.1项目运营期费用!AA11/(1+'G.2进项增值税率-运营成本'!$C10)</f>
        <v>11.6420692445338</v>
      </c>
      <c r="AB11" s="13">
        <f>E.1项目运营期费用!AB11/(1+'G.2进项增值税率-运营成本'!$C10)</f>
        <v>11.8167002832018</v>
      </c>
      <c r="AC11" s="13">
        <f>E.1项目运营期费用!AC11/(1+'G.2进项增值税率-运营成本'!$C10)</f>
        <v>11.9939507874498</v>
      </c>
      <c r="AD11" s="13">
        <f>E.1项目运营期费用!AD11/(1+'G.2进项增值税率-运营成本'!$C10)</f>
        <v>12.1738600492616</v>
      </c>
      <c r="AE11" s="13">
        <f>E.1项目运营期费用!AE11/(1+'G.2进项增值税率-运营成本'!$C10)</f>
        <v>12.3564679500005</v>
      </c>
      <c r="AF11" s="13">
        <f t="shared" si="0"/>
        <v>233.674514769606</v>
      </c>
    </row>
    <row r="12" ht="16.5" customHeight="1" spans="1:32">
      <c r="A12" s="12" t="s">
        <v>252</v>
      </c>
      <c r="B12" s="12">
        <f>E.1项目运营期费用!B12</f>
        <v>9</v>
      </c>
      <c r="C12" s="22" t="str">
        <f>E.1项目运营期费用!C12</f>
        <v>硬件设备维护</v>
      </c>
      <c r="D12" s="22" t="str">
        <f>E.1项目运营期费用!D12</f>
        <v>按照固定资产15%计算</v>
      </c>
      <c r="E12" s="13">
        <f>E.1项目运营期费用!E12</f>
        <v>0</v>
      </c>
      <c r="F12" s="13">
        <f>E.1项目运营期费用!F12</f>
        <v>0</v>
      </c>
      <c r="G12" s="13">
        <f>E.1项目运营期费用!G12</f>
        <v>0</v>
      </c>
      <c r="H12" s="13">
        <f>E.1项目运营期费用!H12*(1-'G.2进项增值税率-运营成本'!$C11)</f>
        <v>0</v>
      </c>
      <c r="I12" s="13">
        <f>E.1项目运营期费用!I12/(1+'G.2进项增值税率-运营成本'!$C11)</f>
        <v>0</v>
      </c>
      <c r="J12" s="13">
        <f>E.1项目运营期费用!J12/(1+'G.2进项增值税率-运营成本'!$C11)</f>
        <v>319.977876106195</v>
      </c>
      <c r="K12" s="13">
        <f>E.1项目运营期费用!K12/(1+'G.2进项增值税率-运营成本'!$C11)</f>
        <v>426.637168141593</v>
      </c>
      <c r="L12" s="13">
        <f>E.1项目运营期费用!L12/(1+'G.2进项增值税率-运营成本'!$C11)</f>
        <v>433.036725663717</v>
      </c>
      <c r="M12" s="13">
        <f>E.1项目运营期费用!M12/(1+'G.2进项增值税率-运营成本'!$C11)</f>
        <v>439.532276548673</v>
      </c>
      <c r="N12" s="13">
        <f>E.1项目运营期费用!N12/(1+'G.2进项增值税率-运营成本'!$C11)</f>
        <v>446.125260696903</v>
      </c>
      <c r="O12" s="13">
        <f>E.1项目运营期费用!O12/(1+'G.2进项增值税率-运营成本'!$C11)</f>
        <v>452.817139607356</v>
      </c>
      <c r="P12" s="13">
        <f>E.1项目运营期费用!P12/(1+'G.2进项增值税率-运营成本'!$C11)</f>
        <v>459.609396701466</v>
      </c>
      <c r="Q12" s="13">
        <f>E.1项目运营期费用!Q12/(1+'G.2进项增值税率-运营成本'!$C11)</f>
        <v>466.503537651988</v>
      </c>
      <c r="R12" s="13">
        <f>E.1项目运营期费用!R12/(1+'G.2进项增值税率-运营成本'!$C11)</f>
        <v>473.501090716768</v>
      </c>
      <c r="S12" s="13">
        <f>E.1项目运营期费用!S12/(1+'G.2进项增值税率-运营成本'!$C11)</f>
        <v>480.60360707752</v>
      </c>
      <c r="T12" s="13">
        <f>E.1项目运营期费用!T12/(1+'G.2进项增值税率-运营成本'!$C11)</f>
        <v>487.812661183682</v>
      </c>
      <c r="U12" s="13">
        <f>E.1项目运营期费用!U12/(1+'G.2进项增值税率-运营成本'!$C11)</f>
        <v>495.129851101437</v>
      </c>
      <c r="V12" s="13">
        <f>E.1项目运营期费用!V12/(1+'G.2进项增值税率-运营成本'!$C11)</f>
        <v>502.556798867959</v>
      </c>
      <c r="W12" s="13">
        <f>E.1项目运营期费用!W12/(1+'G.2进项增值税率-运营成本'!$C11)</f>
        <v>510.095150850978</v>
      </c>
      <c r="X12" s="13">
        <f>E.1项目运营期费用!X12/(1+'G.2进项增值税率-运营成本'!$C11)</f>
        <v>517.746578113743</v>
      </c>
      <c r="Y12" s="13">
        <f>E.1项目运营期费用!Y12/(1+'G.2进项增值税率-运营成本'!$C11)</f>
        <v>525.512776785449</v>
      </c>
      <c r="Z12" s="13">
        <f>E.1项目运营期费用!Z12/(1+'G.2进项增值税率-运营成本'!$C11)</f>
        <v>533.395468437231</v>
      </c>
      <c r="AA12" s="13">
        <f>E.1项目运营期费用!AA12/(1+'G.2进项增值税率-运营成本'!$C11)</f>
        <v>541.396400463789</v>
      </c>
      <c r="AB12" s="13">
        <f>E.1项目运营期费用!AB12/(1+'G.2进项增值税率-运营成本'!$C11)</f>
        <v>549.517346470746</v>
      </c>
      <c r="AC12" s="13">
        <f>E.1项目运营期费用!AC12/(1+'G.2进项增值税率-运营成本'!$C11)</f>
        <v>557.760106667807</v>
      </c>
      <c r="AD12" s="13">
        <f>E.1项目运营期费用!AD12/(1+'G.2进项增值税率-运营成本'!$C11)</f>
        <v>566.126508267824</v>
      </c>
      <c r="AE12" s="13">
        <f>E.1项目运营期费用!AE12/(1+'G.2进项增值税率-运营成本'!$C11)</f>
        <v>574.618405891842</v>
      </c>
      <c r="AF12" s="13">
        <f t="shared" si="0"/>
        <v>10760.0121320147</v>
      </c>
    </row>
    <row r="13" ht="33" customHeight="1" spans="1:32">
      <c r="A13" s="15"/>
      <c r="B13" s="12">
        <f>E.1项目运营期费用!B13</f>
        <v>10</v>
      </c>
      <c r="C13" s="22" t="str">
        <f>E.1项目运营期费用!C13</f>
        <v>备品备件储备</v>
      </c>
      <c r="D13" s="22" t="str">
        <f>E.1项目运营期费用!D13</f>
        <v>按年度设备维护预算 × 储备比例 （10%-20%）</v>
      </c>
      <c r="E13" s="13">
        <f>E.1项目运营期费用!E13</f>
        <v>0</v>
      </c>
      <c r="F13" s="13">
        <f>E.1项目运营期费用!F13</f>
        <v>0</v>
      </c>
      <c r="G13" s="13">
        <f>E.1项目运营期费用!G13</f>
        <v>0</v>
      </c>
      <c r="H13" s="13">
        <f>E.1项目运营期费用!H13*(1-'G.2进项增值税率-运营成本'!$C12)</f>
        <v>0</v>
      </c>
      <c r="I13" s="13">
        <f>E.1项目运营期费用!I13/(1+'G.2进项增值税率-运营成本'!$C12)</f>
        <v>0</v>
      </c>
      <c r="J13" s="13">
        <f>E.1项目运营期费用!J13/(1+'G.2进项增值税率-运营成本'!$C12)</f>
        <v>0</v>
      </c>
      <c r="K13" s="13">
        <f>E.1项目运营期费用!K13/(1+'G.2进项增值税率-运营成本'!$C12)</f>
        <v>0</v>
      </c>
      <c r="L13" s="13">
        <f>E.1项目运营期费用!L13/(1+'G.2进项增值税率-运营成本'!$C12)</f>
        <v>0</v>
      </c>
      <c r="M13" s="13">
        <f>E.1项目运营期费用!M13/(1+'G.2进项增值税率-运营成本'!$C12)</f>
        <v>0</v>
      </c>
      <c r="N13" s="13">
        <f>E.1项目运营期费用!N13/(1+'G.2进项增值税率-运营成本'!$C12)</f>
        <v>0</v>
      </c>
      <c r="O13" s="13">
        <f>E.1项目运营期费用!O13/(1+'G.2进项增值税率-运营成本'!$C12)</f>
        <v>0</v>
      </c>
      <c r="P13" s="13">
        <f>E.1项目运营期费用!P13/(1+'G.2进项增值税率-运营成本'!$C12)</f>
        <v>0</v>
      </c>
      <c r="Q13" s="13">
        <f>E.1项目运营期费用!Q13/(1+'G.2进项增值税率-运营成本'!$C12)</f>
        <v>0</v>
      </c>
      <c r="R13" s="13">
        <f>E.1项目运营期费用!R13/(1+'G.2进项增值税率-运营成本'!$C12)</f>
        <v>0</v>
      </c>
      <c r="S13" s="13">
        <f>E.1项目运营期费用!S13/(1+'G.2进项增值税率-运营成本'!$C12)</f>
        <v>0</v>
      </c>
      <c r="T13" s="13">
        <f>E.1项目运营期费用!T13/(1+'G.2进项增值税率-运营成本'!$C12)</f>
        <v>0</v>
      </c>
      <c r="U13" s="13">
        <f>E.1项目运营期费用!U13/(1+'G.2进项增值税率-运营成本'!$C12)</f>
        <v>0</v>
      </c>
      <c r="V13" s="13">
        <f>E.1项目运营期费用!V13/(1+'G.2进项增值税率-运营成本'!$C12)</f>
        <v>0</v>
      </c>
      <c r="W13" s="13">
        <f>E.1项目运营期费用!W13/(1+'G.2进项增值税率-运营成本'!$C12)</f>
        <v>0</v>
      </c>
      <c r="X13" s="13">
        <f>E.1项目运营期费用!X13/(1+'G.2进项增值税率-运营成本'!$C12)</f>
        <v>0</v>
      </c>
      <c r="Y13" s="13">
        <f>E.1项目运营期费用!Y13/(1+'G.2进项增值税率-运营成本'!$C12)</f>
        <v>0</v>
      </c>
      <c r="Z13" s="13">
        <f>E.1项目运营期费用!Z13/(1+'G.2进项增值税率-运营成本'!$C12)</f>
        <v>0</v>
      </c>
      <c r="AA13" s="13">
        <f>E.1项目运营期费用!AA13/(1+'G.2进项增值税率-运营成本'!$C12)</f>
        <v>0</v>
      </c>
      <c r="AB13" s="13">
        <f>E.1项目运营期费用!AB13/(1+'G.2进项增值税率-运营成本'!$C12)</f>
        <v>0</v>
      </c>
      <c r="AC13" s="13">
        <f>E.1项目运营期费用!AC13/(1+'G.2进项增值税率-运营成本'!$C12)</f>
        <v>0</v>
      </c>
      <c r="AD13" s="13">
        <f>E.1项目运营期费用!AD13/(1+'G.2进项增值税率-运营成本'!$C12)</f>
        <v>0</v>
      </c>
      <c r="AE13" s="13">
        <f>E.1项目运营期费用!AE13/(1+'G.2进项增值税率-运营成本'!$C12)</f>
        <v>0</v>
      </c>
      <c r="AF13" s="13">
        <f t="shared" si="0"/>
        <v>0</v>
      </c>
    </row>
    <row r="14" ht="33" customHeight="1" spans="1:32">
      <c r="A14" s="12" t="s">
        <v>257</v>
      </c>
      <c r="B14" s="12">
        <f>E.1项目运营期费用!B14</f>
        <v>11</v>
      </c>
      <c r="C14" s="22" t="str">
        <f>E.1项目运营期费用!C14</f>
        <v>软件维护</v>
      </c>
      <c r="D14" s="22" t="str">
        <f>E.1项目运营期费用!D14</f>
        <v>按无形资产造价的20%计算</v>
      </c>
      <c r="E14" s="13">
        <f>E.1项目运营期费用!E14</f>
        <v>0</v>
      </c>
      <c r="F14" s="13">
        <f>E.1项目运营期费用!F14</f>
        <v>0</v>
      </c>
      <c r="G14" s="13">
        <f>E.1项目运营期费用!G14</f>
        <v>0</v>
      </c>
      <c r="H14" s="13">
        <f>E.1项目运营期费用!H14*(1-'G.2进项增值税率-运营成本'!$C13)</f>
        <v>0</v>
      </c>
      <c r="I14" s="13">
        <f>E.1项目运营期费用!I14/(1+'G.2进项增值税率-运营成本'!$C13)</f>
        <v>0</v>
      </c>
      <c r="J14" s="13">
        <f>E.1项目运营期费用!J14/(1+'G.2进项增值税率-运营成本'!$C13)</f>
        <v>0</v>
      </c>
      <c r="K14" s="13">
        <f>E.1项目运营期费用!K14/(1+'G.2进项增值税率-运营成本'!$C13)</f>
        <v>0</v>
      </c>
      <c r="L14" s="13">
        <f>E.1项目运营期费用!L14/(1+'G.2进项增值税率-运营成本'!$C13)</f>
        <v>0</v>
      </c>
      <c r="M14" s="13">
        <f>E.1项目运营期费用!M14/(1+'G.2进项增值税率-运营成本'!$C13)</f>
        <v>0</v>
      </c>
      <c r="N14" s="13">
        <f>E.1项目运营期费用!N14/(1+'G.2进项增值税率-运营成本'!$C13)</f>
        <v>0</v>
      </c>
      <c r="O14" s="13">
        <f>E.1项目运营期费用!O14/(1+'G.2进项增值税率-运营成本'!$C13)</f>
        <v>0</v>
      </c>
      <c r="P14" s="13">
        <f>E.1项目运营期费用!P14/(1+'G.2进项增值税率-运营成本'!$C13)</f>
        <v>0</v>
      </c>
      <c r="Q14" s="13">
        <f>E.1项目运营期费用!Q14/(1+'G.2进项增值税率-运营成本'!$C13)</f>
        <v>0</v>
      </c>
      <c r="R14" s="13">
        <f>E.1项目运营期费用!R14/(1+'G.2进项增值税率-运营成本'!$C13)</f>
        <v>0</v>
      </c>
      <c r="S14" s="13">
        <f>E.1项目运营期费用!S14/(1+'G.2进项增值税率-运营成本'!$C13)</f>
        <v>0</v>
      </c>
      <c r="T14" s="13">
        <f>E.1项目运营期费用!T14/(1+'G.2进项增值税率-运营成本'!$C13)</f>
        <v>0</v>
      </c>
      <c r="U14" s="13">
        <f>E.1项目运营期费用!U14/(1+'G.2进项增值税率-运营成本'!$C13)</f>
        <v>0</v>
      </c>
      <c r="V14" s="13">
        <f>E.1项目运营期费用!V14/(1+'G.2进项增值税率-运营成本'!$C13)</f>
        <v>0</v>
      </c>
      <c r="W14" s="13">
        <f>E.1项目运营期费用!W14/(1+'G.2进项增值税率-运营成本'!$C13)</f>
        <v>0</v>
      </c>
      <c r="X14" s="13">
        <f>E.1项目运营期费用!X14/(1+'G.2进项增值税率-运营成本'!$C13)</f>
        <v>0</v>
      </c>
      <c r="Y14" s="13">
        <f>E.1项目运营期费用!Y14/(1+'G.2进项增值税率-运营成本'!$C13)</f>
        <v>0</v>
      </c>
      <c r="Z14" s="13">
        <f>E.1项目运营期费用!Z14/(1+'G.2进项增值税率-运营成本'!$C13)</f>
        <v>0</v>
      </c>
      <c r="AA14" s="13">
        <f>E.1项目运营期费用!AA14/(1+'G.2进项增值税率-运营成本'!$C13)</f>
        <v>0</v>
      </c>
      <c r="AB14" s="13">
        <f>E.1项目运营期费用!AB14/(1+'G.2进项增值税率-运营成本'!$C13)</f>
        <v>0</v>
      </c>
      <c r="AC14" s="13">
        <f>E.1项目运营期费用!AC14/(1+'G.2进项增值税率-运营成本'!$C13)</f>
        <v>0</v>
      </c>
      <c r="AD14" s="13">
        <f>E.1项目运营期费用!AD14/(1+'G.2进项增值税率-运营成本'!$C13)</f>
        <v>0</v>
      </c>
      <c r="AE14" s="13">
        <f>E.1项目运营期费用!AE14/(1+'G.2进项增值税率-运营成本'!$C13)</f>
        <v>0</v>
      </c>
      <c r="AF14" s="13">
        <f t="shared" si="0"/>
        <v>0</v>
      </c>
    </row>
    <row r="15" ht="33" customHeight="1" spans="1:32">
      <c r="A15" s="12" t="s">
        <v>260</v>
      </c>
      <c r="B15" s="12">
        <f>E.1项目运营期费用!B15</f>
        <v>12</v>
      </c>
      <c r="C15" s="22" t="str">
        <f>E.1项目运营期费用!C15</f>
        <v>营销及活动</v>
      </c>
      <c r="D15" s="22" t="str">
        <f>E.1项目运营期费用!D15</f>
        <v>按年平均营业收入的2%计算</v>
      </c>
      <c r="E15" s="13">
        <f>E.1项目运营期费用!E15</f>
        <v>0</v>
      </c>
      <c r="F15" s="13">
        <f>E.1项目运营期费用!F15</f>
        <v>0</v>
      </c>
      <c r="G15" s="13">
        <f>E.1项目运营期费用!G15</f>
        <v>0</v>
      </c>
      <c r="H15" s="13">
        <f>E.1项目运营期费用!H15*(1-'G.2进项增值税率-运营成本'!$C14)</f>
        <v>0</v>
      </c>
      <c r="I15" s="13">
        <f>E.1项目运营期费用!I15/(1+'G.2进项增值税率-运营成本'!$C14)</f>
        <v>0</v>
      </c>
      <c r="J15" s="13">
        <f>E.1项目运营期费用!J15/(1+'G.2进项增值税率-运营成本'!$C14)</f>
        <v>0</v>
      </c>
      <c r="K15" s="13">
        <f>E.1项目运营期费用!K15/(1+'G.2进项增值税率-运营成本'!$C14)</f>
        <v>0</v>
      </c>
      <c r="L15" s="13">
        <f>E.1项目运营期费用!L15/(1+'G.2进项增值税率-运营成本'!$C14)</f>
        <v>0</v>
      </c>
      <c r="M15" s="13">
        <f>E.1项目运营期费用!M15/(1+'G.2进项增值税率-运营成本'!$C14)</f>
        <v>0</v>
      </c>
      <c r="N15" s="13">
        <f>E.1项目运营期费用!N15/(1+'G.2进项增值税率-运营成本'!$C14)</f>
        <v>0</v>
      </c>
      <c r="O15" s="13">
        <f>E.1项目运营期费用!O15/(1+'G.2进项增值税率-运营成本'!$C14)</f>
        <v>0</v>
      </c>
      <c r="P15" s="13">
        <f>E.1项目运营期费用!P15/(1+'G.2进项增值税率-运营成本'!$C14)</f>
        <v>0</v>
      </c>
      <c r="Q15" s="13">
        <f>E.1项目运营期费用!Q15/(1+'G.2进项增值税率-运营成本'!$C14)</f>
        <v>0</v>
      </c>
      <c r="R15" s="13">
        <f>E.1项目运营期费用!R15/(1+'G.2进项增值税率-运营成本'!$C14)</f>
        <v>0</v>
      </c>
      <c r="S15" s="13">
        <f>E.1项目运营期费用!S15/(1+'G.2进项增值税率-运营成本'!$C14)</f>
        <v>0</v>
      </c>
      <c r="T15" s="13">
        <f>E.1项目运营期费用!T15/(1+'G.2进项增值税率-运营成本'!$C14)</f>
        <v>0</v>
      </c>
      <c r="U15" s="13">
        <f>E.1项目运营期费用!U15/(1+'G.2进项增值税率-运营成本'!$C14)</f>
        <v>0</v>
      </c>
      <c r="V15" s="13">
        <f>E.1项目运营期费用!V15/(1+'G.2进项增值税率-运营成本'!$C14)</f>
        <v>0</v>
      </c>
      <c r="W15" s="13">
        <f>E.1项目运营期费用!W15/(1+'G.2进项增值税率-运营成本'!$C14)</f>
        <v>0</v>
      </c>
      <c r="X15" s="13">
        <f>E.1项目运营期费用!X15/(1+'G.2进项增值税率-运营成本'!$C14)</f>
        <v>0</v>
      </c>
      <c r="Y15" s="13">
        <f>E.1项目运营期费用!Y15/(1+'G.2进项增值税率-运营成本'!$C14)</f>
        <v>0</v>
      </c>
      <c r="Z15" s="13">
        <f>E.1项目运营期费用!Z15/(1+'G.2进项增值税率-运营成本'!$C14)</f>
        <v>0</v>
      </c>
      <c r="AA15" s="13">
        <f>E.1项目运营期费用!AA15/(1+'G.2进项增值税率-运营成本'!$C14)</f>
        <v>0</v>
      </c>
      <c r="AB15" s="13">
        <f>E.1项目运营期费用!AB15/(1+'G.2进项增值税率-运营成本'!$C14)</f>
        <v>0</v>
      </c>
      <c r="AC15" s="13">
        <f>E.1项目运营期费用!AC15/(1+'G.2进项增值税率-运营成本'!$C14)</f>
        <v>0</v>
      </c>
      <c r="AD15" s="13">
        <f>E.1项目运营期费用!AD15/(1+'G.2进项增值税率-运营成本'!$C14)</f>
        <v>0</v>
      </c>
      <c r="AE15" s="13">
        <f>E.1项目运营期费用!AE15/(1+'G.2进项增值税率-运营成本'!$C14)</f>
        <v>0</v>
      </c>
      <c r="AF15" s="13">
        <f t="shared" si="0"/>
        <v>0</v>
      </c>
    </row>
    <row r="16" ht="33" customHeight="1" spans="1:32">
      <c r="A16" s="12" t="s">
        <v>263</v>
      </c>
      <c r="B16" s="12">
        <f>E.1项目运营期费用!B16</f>
        <v>13</v>
      </c>
      <c r="C16" s="22" t="str">
        <f>E.1项目运营期费用!C16</f>
        <v>人员薪酬</v>
      </c>
      <c r="D16" s="22" t="str">
        <f>E.1项目运营期费用!D16</f>
        <v>按岗位月薪 ×12 + 福利（月薪 ×20%-30%）</v>
      </c>
      <c r="E16" s="13">
        <f>E.1项目运营期费用!E16</f>
        <v>0</v>
      </c>
      <c r="F16" s="13">
        <f>E.1项目运营期费用!F16</f>
        <v>0</v>
      </c>
      <c r="G16" s="13">
        <f>E.1项目运营期费用!G16</f>
        <v>0</v>
      </c>
      <c r="H16" s="13">
        <f>E.1项目运营期费用!H16*(1-'G.2进项增值税率-运营成本'!$C15)</f>
        <v>0</v>
      </c>
      <c r="I16" s="13">
        <f>E.1项目运营期费用!I16/(1+'G.2进项增值税率-运营成本'!$C15)</f>
        <v>0</v>
      </c>
      <c r="J16" s="13">
        <f>E.1项目运营期费用!J16/(1+'G.2进项增值税率-运营成本'!$C15)</f>
        <v>60</v>
      </c>
      <c r="K16" s="13">
        <f>E.1项目运营期费用!K16/(1+'G.2进项增值税率-运营成本'!$C15)</f>
        <v>60</v>
      </c>
      <c r="L16" s="13">
        <f>E.1项目运营期费用!L16/(1+'G.2进项增值税率-运营成本'!$C15)</f>
        <v>60.9</v>
      </c>
      <c r="M16" s="13">
        <f>E.1项目运营期费用!M16/(1+'G.2进项增值税率-运营成本'!$C15)</f>
        <v>61.8135</v>
      </c>
      <c r="N16" s="13">
        <f>E.1项目运营期费用!N16/(1+'G.2进项增值税率-运营成本'!$C15)</f>
        <v>62.7407025</v>
      </c>
      <c r="O16" s="13">
        <f>E.1项目运营期费用!O16/(1+'G.2进项增值税率-运营成本'!$C15)</f>
        <v>63.6818130375</v>
      </c>
      <c r="P16" s="13">
        <f>E.1项目运营期费用!P16/(1+'G.2进项增值税率-运营成本'!$C15)</f>
        <v>64.6370402330625</v>
      </c>
      <c r="Q16" s="13">
        <f>E.1项目运营期费用!Q16/(1+'G.2进项增值税率-运营成本'!$C15)</f>
        <v>65.6065958365584</v>
      </c>
      <c r="R16" s="13">
        <f>E.1项目运营期费用!R16/(1+'G.2进项增值税率-运营成本'!$C15)</f>
        <v>66.5906947741068</v>
      </c>
      <c r="S16" s="13">
        <f>E.1项目运营期费用!S16/(1+'G.2进项增值税率-运营成本'!$C15)</f>
        <v>67.5895551957184</v>
      </c>
      <c r="T16" s="13">
        <f>E.1项目运营期费用!T16/(1+'G.2进项增值税率-运营成本'!$C15)</f>
        <v>68.6033985236541</v>
      </c>
      <c r="U16" s="13">
        <f>E.1项目运营期费用!U16/(1+'G.2进项增值税率-运营成本'!$C15)</f>
        <v>69.6324495015089</v>
      </c>
      <c r="V16" s="13">
        <f>E.1项目运营期费用!V16/(1+'G.2进项增值税率-运营成本'!$C15)</f>
        <v>70.6769362440316</v>
      </c>
      <c r="W16" s="13">
        <f>E.1项目运营期费用!W16/(1+'G.2进项增值税率-运营成本'!$C15)</f>
        <v>71.737090287692</v>
      </c>
      <c r="X16" s="13">
        <f>E.1项目运营期费用!X16/(1+'G.2进项增值税率-运营成本'!$C15)</f>
        <v>72.8131466420074</v>
      </c>
      <c r="Y16" s="13">
        <f>E.1项目运营期费用!Y16/(1+'G.2进项增值税率-运营成本'!$C15)</f>
        <v>73.9053438416375</v>
      </c>
      <c r="Z16" s="13">
        <f>E.1项目运营期费用!Z16/(1+'G.2进项增值税率-运营成本'!$C15)</f>
        <v>75.0139239992621</v>
      </c>
      <c r="AA16" s="13">
        <f>E.1项目运营期费用!AA16/(1+'G.2进项增值税率-运营成本'!$C15)</f>
        <v>76.139132859251</v>
      </c>
      <c r="AB16" s="13">
        <f>E.1项目运营期费用!AB16/(1+'G.2进项增值税率-运营成本'!$C15)</f>
        <v>77.2812198521398</v>
      </c>
      <c r="AC16" s="13">
        <f>E.1项目运营期费用!AC16/(1+'G.2进项增值税率-运营成本'!$C15)</f>
        <v>78.4404381499218</v>
      </c>
      <c r="AD16" s="13">
        <f>E.1项目运营期费用!AD16/(1+'G.2进项增值税率-运营成本'!$C15)</f>
        <v>79.6170447221707</v>
      </c>
      <c r="AE16" s="13">
        <f>E.1项目运营期费用!AE16/(1+'G.2进项增值税率-运营成本'!$C15)</f>
        <v>80.8113003930032</v>
      </c>
      <c r="AF16" s="13">
        <f t="shared" si="0"/>
        <v>1528.23132659323</v>
      </c>
    </row>
    <row r="17" ht="33" customHeight="1" spans="1:32">
      <c r="A17" s="23"/>
      <c r="B17" s="12">
        <f>E.1项目运营期费用!B17</f>
        <v>14</v>
      </c>
      <c r="C17" s="22" t="str">
        <f>E.1项目运营期费用!C17</f>
        <v>培训与资质认证</v>
      </c>
      <c r="D17" s="22" t="str">
        <f>E.1项目运营期费用!D17</f>
        <v>按人次 × 人均培训费（元 / 人 次）</v>
      </c>
      <c r="E17" s="13">
        <f>E.1项目运营期费用!E17</f>
        <v>0</v>
      </c>
      <c r="F17" s="13">
        <f>E.1项目运营期费用!F17</f>
        <v>0</v>
      </c>
      <c r="G17" s="13">
        <f>E.1项目运营期费用!G17</f>
        <v>0</v>
      </c>
      <c r="H17" s="13">
        <f>E.1项目运营期费用!H17*(1-'G.2进项增值税率-运营成本'!$C16)</f>
        <v>0</v>
      </c>
      <c r="I17" s="13">
        <f>E.1项目运营期费用!I17/(1+'G.2进项增值税率-运营成本'!$C16)</f>
        <v>0</v>
      </c>
      <c r="J17" s="13">
        <f>E.1项目运营期费用!J17/(1+'G.2进项增值税率-运营成本'!$C16)</f>
        <v>0</v>
      </c>
      <c r="K17" s="13">
        <f>E.1项目运营期费用!K17/(1+'G.2进项增值税率-运营成本'!$C16)</f>
        <v>0</v>
      </c>
      <c r="L17" s="13">
        <f>E.1项目运营期费用!L17/(1+'G.2进项增值税率-运营成本'!$C16)</f>
        <v>0</v>
      </c>
      <c r="M17" s="13">
        <f>E.1项目运营期费用!M17/(1+'G.2进项增值税率-运营成本'!$C16)</f>
        <v>0</v>
      </c>
      <c r="N17" s="13">
        <f>E.1项目运营期费用!N17/(1+'G.2进项增值税率-运营成本'!$C16)</f>
        <v>0</v>
      </c>
      <c r="O17" s="13">
        <f>E.1项目运营期费用!O17/(1+'G.2进项增值税率-运营成本'!$C16)</f>
        <v>0</v>
      </c>
      <c r="P17" s="13">
        <f>E.1项目运营期费用!P17/(1+'G.2进项增值税率-运营成本'!$C16)</f>
        <v>0</v>
      </c>
      <c r="Q17" s="13">
        <f>E.1项目运营期费用!Q17/(1+'G.2进项增值税率-运营成本'!$C16)</f>
        <v>0</v>
      </c>
      <c r="R17" s="13">
        <f>E.1项目运营期费用!R17/(1+'G.2进项增值税率-运营成本'!$C16)</f>
        <v>0</v>
      </c>
      <c r="S17" s="13">
        <f>E.1项目运营期费用!S17/(1+'G.2进项增值税率-运营成本'!$C16)</f>
        <v>0</v>
      </c>
      <c r="T17" s="13">
        <f>E.1项目运营期费用!T17/(1+'G.2进项增值税率-运营成本'!$C16)</f>
        <v>0</v>
      </c>
      <c r="U17" s="13">
        <f>E.1项目运营期费用!U17/(1+'G.2进项增值税率-运营成本'!$C16)</f>
        <v>0</v>
      </c>
      <c r="V17" s="13">
        <f>E.1项目运营期费用!V17/(1+'G.2进项增值税率-运营成本'!$C16)</f>
        <v>0</v>
      </c>
      <c r="W17" s="13">
        <f>E.1项目运营期费用!W17/(1+'G.2进项增值税率-运营成本'!$C16)</f>
        <v>0</v>
      </c>
      <c r="X17" s="13">
        <f>E.1项目运营期费用!X17/(1+'G.2进项增值税率-运营成本'!$C16)</f>
        <v>0</v>
      </c>
      <c r="Y17" s="13">
        <f>E.1项目运营期费用!Y17/(1+'G.2进项增值税率-运营成本'!$C16)</f>
        <v>0</v>
      </c>
      <c r="Z17" s="13">
        <f>E.1项目运营期费用!Z17/(1+'G.2进项增值税率-运营成本'!$C16)</f>
        <v>0</v>
      </c>
      <c r="AA17" s="13">
        <f>E.1项目运营期费用!AA17/(1+'G.2进项增值税率-运营成本'!$C16)</f>
        <v>0</v>
      </c>
      <c r="AB17" s="13">
        <f>E.1项目运营期费用!AB17/(1+'G.2进项增值税率-运营成本'!$C16)</f>
        <v>0</v>
      </c>
      <c r="AC17" s="13">
        <f>E.1项目运营期费用!AC17/(1+'G.2进项增值税率-运营成本'!$C16)</f>
        <v>0</v>
      </c>
      <c r="AD17" s="13">
        <f>E.1项目运营期费用!AD17/(1+'G.2进项增值税率-运营成本'!$C16)</f>
        <v>0</v>
      </c>
      <c r="AE17" s="13">
        <f>E.1项目运营期费用!AE17/(1+'G.2进项增值税率-运营成本'!$C16)</f>
        <v>0</v>
      </c>
      <c r="AF17" s="13">
        <f t="shared" si="0"/>
        <v>0</v>
      </c>
    </row>
    <row r="18" ht="33" customHeight="1" spans="1:32">
      <c r="A18" s="15"/>
      <c r="B18" s="12">
        <f>E.1项目运营期费用!B18</f>
        <v>15</v>
      </c>
      <c r="C18" s="22" t="str">
        <f>E.1项目运营期费用!C18</f>
        <v>办公与行政支出</v>
      </c>
      <c r="D18" s="22" t="str">
        <f>E.1项目运营期费用!D18</f>
        <v>按人员数量 × 人均办公费（元 / 人・月）</v>
      </c>
      <c r="E18" s="13">
        <f>E.1项目运营期费用!E18</f>
        <v>0</v>
      </c>
      <c r="F18" s="13">
        <f>E.1项目运营期费用!F18</f>
        <v>0</v>
      </c>
      <c r="G18" s="13">
        <f>E.1项目运营期费用!G18</f>
        <v>0</v>
      </c>
      <c r="H18" s="13">
        <f>E.1项目运营期费用!H18*(1-'G.2进项增值税率-运营成本'!$C17)</f>
        <v>0</v>
      </c>
      <c r="I18" s="13">
        <f>E.1项目运营期费用!I18/(1+'G.2进项增值税率-运营成本'!$C17)</f>
        <v>0</v>
      </c>
      <c r="J18" s="13">
        <f>E.1项目运营期费用!J18/(1+'G.2进项增值税率-运营成本'!$C17)</f>
        <v>0</v>
      </c>
      <c r="K18" s="13">
        <f>E.1项目运营期费用!K18/(1+'G.2进项增值税率-运营成本'!$C17)</f>
        <v>0</v>
      </c>
      <c r="L18" s="13">
        <f>E.1项目运营期费用!L18/(1+'G.2进项增值税率-运营成本'!$C17)</f>
        <v>0</v>
      </c>
      <c r="M18" s="13">
        <f>E.1项目运营期费用!M18/(1+'G.2进项增值税率-运营成本'!$C17)</f>
        <v>0</v>
      </c>
      <c r="N18" s="13">
        <f>E.1项目运营期费用!N18/(1+'G.2进项增值税率-运营成本'!$C17)</f>
        <v>0</v>
      </c>
      <c r="O18" s="13">
        <f>E.1项目运营期费用!O18/(1+'G.2进项增值税率-运营成本'!$C17)</f>
        <v>0</v>
      </c>
      <c r="P18" s="13">
        <f>E.1项目运营期费用!P18/(1+'G.2进项增值税率-运营成本'!$C17)</f>
        <v>0</v>
      </c>
      <c r="Q18" s="13">
        <f>E.1项目运营期费用!Q18/(1+'G.2进项增值税率-运营成本'!$C17)</f>
        <v>0</v>
      </c>
      <c r="R18" s="13">
        <f>E.1项目运营期费用!R18/(1+'G.2进项增值税率-运营成本'!$C17)</f>
        <v>0</v>
      </c>
      <c r="S18" s="13">
        <f>E.1项目运营期费用!S18/(1+'G.2进项增值税率-运营成本'!$C17)</f>
        <v>0</v>
      </c>
      <c r="T18" s="13">
        <f>E.1项目运营期费用!T18/(1+'G.2进项增值税率-运营成本'!$C17)</f>
        <v>0</v>
      </c>
      <c r="U18" s="13">
        <f>E.1项目运营期费用!U18/(1+'G.2进项增值税率-运营成本'!$C17)</f>
        <v>0</v>
      </c>
      <c r="V18" s="13">
        <f>E.1项目运营期费用!V18/(1+'G.2进项增值税率-运营成本'!$C17)</f>
        <v>0</v>
      </c>
      <c r="W18" s="13">
        <f>E.1项目运营期费用!W18/(1+'G.2进项增值税率-运营成本'!$C17)</f>
        <v>0</v>
      </c>
      <c r="X18" s="13">
        <f>E.1项目运营期费用!X18/(1+'G.2进项增值税率-运营成本'!$C17)</f>
        <v>0</v>
      </c>
      <c r="Y18" s="13">
        <f>E.1项目运营期费用!Y18/(1+'G.2进项增值税率-运营成本'!$C17)</f>
        <v>0</v>
      </c>
      <c r="Z18" s="13">
        <f>E.1项目运营期费用!Z18/(1+'G.2进项增值税率-运营成本'!$C17)</f>
        <v>0</v>
      </c>
      <c r="AA18" s="13">
        <f>E.1项目运营期费用!AA18/(1+'G.2进项增值税率-运营成本'!$C17)</f>
        <v>0</v>
      </c>
      <c r="AB18" s="13">
        <f>E.1项目运营期费用!AB18/(1+'G.2进项增值税率-运营成本'!$C17)</f>
        <v>0</v>
      </c>
      <c r="AC18" s="13">
        <f>E.1项目运营期费用!AC18/(1+'G.2进项增值税率-运营成本'!$C17)</f>
        <v>0</v>
      </c>
      <c r="AD18" s="13">
        <f>E.1项目运营期费用!AD18/(1+'G.2进项增值税率-运营成本'!$C17)</f>
        <v>0</v>
      </c>
      <c r="AE18" s="13">
        <f>E.1项目运营期费用!AE18/(1+'G.2进项增值税率-运营成本'!$C17)</f>
        <v>0</v>
      </c>
      <c r="AF18" s="13">
        <f t="shared" si="0"/>
        <v>0</v>
      </c>
    </row>
    <row r="19" ht="33" customHeight="1" spans="1:32">
      <c r="A19" s="12" t="s">
        <v>270</v>
      </c>
      <c r="B19" s="12">
        <f>E.1项目运营期费用!B19</f>
        <v>16</v>
      </c>
      <c r="C19" s="22" t="str">
        <f>E.1项目运营期费用!C19</f>
        <v>空域使用审批费</v>
      </c>
      <c r="D19" s="22" t="str">
        <f>E.1项目运营期费用!D19</f>
        <v>按空域面积 × 年费率（元 / 平方 公里・年）</v>
      </c>
      <c r="E19" s="13">
        <f>E.1项目运营期费用!E19</f>
        <v>0</v>
      </c>
      <c r="F19" s="13">
        <f>E.1项目运营期费用!F19</f>
        <v>0</v>
      </c>
      <c r="G19" s="13">
        <f>E.1项目运营期费用!G19</f>
        <v>0</v>
      </c>
      <c r="H19" s="13">
        <f>E.1项目运营期费用!H19*(1-'G.2进项增值税率-运营成本'!$C18)</f>
        <v>0</v>
      </c>
      <c r="I19" s="13">
        <f>E.1项目运营期费用!I19/(1+'G.2进项增值税率-运营成本'!$C18)</f>
        <v>0</v>
      </c>
      <c r="J19" s="13">
        <f>E.1项目运营期费用!J19/(1+'G.2进项增值税率-运营成本'!$C18)</f>
        <v>0</v>
      </c>
      <c r="K19" s="13">
        <f>E.1项目运营期费用!K19/(1+'G.2进项增值税率-运营成本'!$C18)</f>
        <v>0</v>
      </c>
      <c r="L19" s="13">
        <f>E.1项目运营期费用!L19/(1+'G.2进项增值税率-运营成本'!$C18)</f>
        <v>0</v>
      </c>
      <c r="M19" s="13">
        <f>E.1项目运营期费用!M19/(1+'G.2进项增值税率-运营成本'!$C18)</f>
        <v>0</v>
      </c>
      <c r="N19" s="13">
        <f>E.1项目运营期费用!N19/(1+'G.2进项增值税率-运营成本'!$C18)</f>
        <v>0</v>
      </c>
      <c r="O19" s="13">
        <f>E.1项目运营期费用!O19/(1+'G.2进项增值税率-运营成本'!$C18)</f>
        <v>0</v>
      </c>
      <c r="P19" s="13">
        <f>E.1项目运营期费用!P19/(1+'G.2进项增值税率-运营成本'!$C18)</f>
        <v>0</v>
      </c>
      <c r="Q19" s="13">
        <f>E.1项目运营期费用!Q19/(1+'G.2进项增值税率-运营成本'!$C18)</f>
        <v>0</v>
      </c>
      <c r="R19" s="13">
        <f>E.1项目运营期费用!R19/(1+'G.2进项增值税率-运营成本'!$C18)</f>
        <v>0</v>
      </c>
      <c r="S19" s="13">
        <f>E.1项目运营期费用!S19/(1+'G.2进项增值税率-运营成本'!$C18)</f>
        <v>0</v>
      </c>
      <c r="T19" s="13">
        <f>E.1项目运营期费用!T19/(1+'G.2进项增值税率-运营成本'!$C18)</f>
        <v>0</v>
      </c>
      <c r="U19" s="13">
        <f>E.1项目运营期费用!U19/(1+'G.2进项增值税率-运营成本'!$C18)</f>
        <v>0</v>
      </c>
      <c r="V19" s="13">
        <f>E.1项目运营期费用!V19/(1+'G.2进项增值税率-运营成本'!$C18)</f>
        <v>0</v>
      </c>
      <c r="W19" s="13">
        <f>E.1项目运营期费用!W19/(1+'G.2进项增值税率-运营成本'!$C18)</f>
        <v>0</v>
      </c>
      <c r="X19" s="13">
        <f>E.1项目运营期费用!X19/(1+'G.2进项增值税率-运营成本'!$C18)</f>
        <v>0</v>
      </c>
      <c r="Y19" s="13">
        <f>E.1项目运营期费用!Y19/(1+'G.2进项增值税率-运营成本'!$C18)</f>
        <v>0</v>
      </c>
      <c r="Z19" s="13">
        <f>E.1项目运营期费用!Z19/(1+'G.2进项增值税率-运营成本'!$C18)</f>
        <v>0</v>
      </c>
      <c r="AA19" s="13">
        <f>E.1项目运营期费用!AA19/(1+'G.2进项增值税率-运营成本'!$C18)</f>
        <v>0</v>
      </c>
      <c r="AB19" s="13">
        <f>E.1项目运营期费用!AB19/(1+'G.2进项增值税率-运营成本'!$C18)</f>
        <v>0</v>
      </c>
      <c r="AC19" s="13">
        <f>E.1项目运营期费用!AC19/(1+'G.2进项增值税率-运营成本'!$C18)</f>
        <v>0</v>
      </c>
      <c r="AD19" s="13">
        <f>E.1项目运营期费用!AD19/(1+'G.2进项增值税率-运营成本'!$C18)</f>
        <v>0</v>
      </c>
      <c r="AE19" s="13">
        <f>E.1项目运营期费用!AE19/(1+'G.2进项增值税率-运营成本'!$C18)</f>
        <v>0</v>
      </c>
      <c r="AF19" s="13">
        <f t="shared" si="0"/>
        <v>0</v>
      </c>
    </row>
    <row r="20" ht="33" customHeight="1" spans="1:32">
      <c r="A20" s="23"/>
      <c r="B20" s="12">
        <f>E.1项目运营期费用!B20</f>
        <v>17</v>
      </c>
      <c r="C20" s="22" t="str">
        <f>E.1项目运营期费用!C20</f>
        <v>场地责任险</v>
      </c>
      <c r="D20" s="22" t="str">
        <f>E.1项目运营期费用!D20</f>
        <v>按保额 × 保险费率（年费率 0.1%-0.3%）</v>
      </c>
      <c r="E20" s="13">
        <f>E.1项目运营期费用!E20</f>
        <v>0</v>
      </c>
      <c r="F20" s="13">
        <f>E.1项目运营期费用!F20</f>
        <v>0</v>
      </c>
      <c r="G20" s="13">
        <f>E.1项目运营期费用!G20</f>
        <v>0</v>
      </c>
      <c r="H20" s="13">
        <f>E.1项目运营期费用!H20*(1-'G.2进项增值税率-运营成本'!$C19)</f>
        <v>0</v>
      </c>
      <c r="I20" s="13">
        <f>E.1项目运营期费用!I20/(1+'G.2进项增值税率-运营成本'!$C19)</f>
        <v>0</v>
      </c>
      <c r="J20" s="13">
        <f>E.1项目运营期费用!J20/(1+'G.2进项增值税率-运营成本'!$C19)</f>
        <v>0</v>
      </c>
      <c r="K20" s="13">
        <f>E.1项目运营期费用!K20/(1+'G.2进项增值税率-运营成本'!$C19)</f>
        <v>0</v>
      </c>
      <c r="L20" s="13">
        <f>E.1项目运营期费用!L20/(1+'G.2进项增值税率-运营成本'!$C19)</f>
        <v>0</v>
      </c>
      <c r="M20" s="13">
        <f>E.1项目运营期费用!M20/(1+'G.2进项增值税率-运营成本'!$C19)</f>
        <v>0</v>
      </c>
      <c r="N20" s="13">
        <f>E.1项目运营期费用!N20/(1+'G.2进项增值税率-运营成本'!$C19)</f>
        <v>0</v>
      </c>
      <c r="O20" s="13">
        <f>E.1项目运营期费用!O20/(1+'G.2进项增值税率-运营成本'!$C19)</f>
        <v>0</v>
      </c>
      <c r="P20" s="13">
        <f>E.1项目运营期费用!P20/(1+'G.2进项增值税率-运营成本'!$C19)</f>
        <v>0</v>
      </c>
      <c r="Q20" s="13">
        <f>E.1项目运营期费用!Q20/(1+'G.2进项增值税率-运营成本'!$C19)</f>
        <v>0</v>
      </c>
      <c r="R20" s="13">
        <f>E.1项目运营期费用!R20/(1+'G.2进项增值税率-运营成本'!$C19)</f>
        <v>0</v>
      </c>
      <c r="S20" s="13">
        <f>E.1项目运营期费用!S20/(1+'G.2进项增值税率-运营成本'!$C19)</f>
        <v>0</v>
      </c>
      <c r="T20" s="13">
        <f>E.1项目运营期费用!T20/(1+'G.2进项增值税率-运营成本'!$C19)</f>
        <v>0</v>
      </c>
      <c r="U20" s="13">
        <f>E.1项目运营期费用!U20/(1+'G.2进项增值税率-运营成本'!$C19)</f>
        <v>0</v>
      </c>
      <c r="V20" s="13">
        <f>E.1项目运营期费用!V20/(1+'G.2进项增值税率-运营成本'!$C19)</f>
        <v>0</v>
      </c>
      <c r="W20" s="13">
        <f>E.1项目运营期费用!W20/(1+'G.2进项增值税率-运营成本'!$C19)</f>
        <v>0</v>
      </c>
      <c r="X20" s="13">
        <f>E.1项目运营期费用!X20/(1+'G.2进项增值税率-运营成本'!$C19)</f>
        <v>0</v>
      </c>
      <c r="Y20" s="13">
        <f>E.1项目运营期费用!Y20/(1+'G.2进项增值税率-运营成本'!$C19)</f>
        <v>0</v>
      </c>
      <c r="Z20" s="13">
        <f>E.1项目运营期费用!Z20/(1+'G.2进项增值税率-运营成本'!$C19)</f>
        <v>0</v>
      </c>
      <c r="AA20" s="13">
        <f>E.1项目运营期费用!AA20/(1+'G.2进项增值税率-运营成本'!$C19)</f>
        <v>0</v>
      </c>
      <c r="AB20" s="13">
        <f>E.1项目运营期费用!AB20/(1+'G.2进项增值税率-运营成本'!$C19)</f>
        <v>0</v>
      </c>
      <c r="AC20" s="13">
        <f>E.1项目运营期费用!AC20/(1+'G.2进项增值税率-运营成本'!$C19)</f>
        <v>0</v>
      </c>
      <c r="AD20" s="13">
        <f>E.1项目运营期费用!AD20/(1+'G.2进项增值税率-运营成本'!$C19)</f>
        <v>0</v>
      </c>
      <c r="AE20" s="13">
        <f>E.1项目运营期费用!AE20/(1+'G.2进项增值税率-运营成本'!$C19)</f>
        <v>0</v>
      </c>
      <c r="AF20" s="13">
        <f t="shared" si="0"/>
        <v>0</v>
      </c>
    </row>
    <row r="21" ht="33" customHeight="1" spans="1:32">
      <c r="A21" s="15"/>
      <c r="B21" s="12">
        <f>E.1项目运营期费用!B21</f>
        <v>18</v>
      </c>
      <c r="C21" s="22" t="str">
        <f>E.1项目运营期费用!C21</f>
        <v>安全演练与应急处置</v>
      </c>
      <c r="D21" s="22" t="str">
        <f>E.1项目运营期费用!D21</f>
        <v>按次数 × 单次演练成本（元 / 次）</v>
      </c>
      <c r="E21" s="13">
        <f>E.1项目运营期费用!E21</f>
        <v>0</v>
      </c>
      <c r="F21" s="13">
        <f>E.1项目运营期费用!F21</f>
        <v>0</v>
      </c>
      <c r="G21" s="13">
        <f>E.1项目运营期费用!G21</f>
        <v>0</v>
      </c>
      <c r="H21" s="13">
        <f>E.1项目运营期费用!H21*(1-'G.2进项增值税率-运营成本'!$C20)</f>
        <v>0</v>
      </c>
      <c r="I21" s="13">
        <f>E.1项目运营期费用!I21/(1+'G.2进项增值税率-运营成本'!$C20)</f>
        <v>0</v>
      </c>
      <c r="J21" s="13">
        <f>E.1项目运营期费用!J21/(1+'G.2进项增值税率-运营成本'!$C20)</f>
        <v>0</v>
      </c>
      <c r="K21" s="13">
        <f>E.1项目运营期费用!K21/(1+'G.2进项增值税率-运营成本'!$C20)</f>
        <v>0</v>
      </c>
      <c r="L21" s="13">
        <f>E.1项目运营期费用!L21/(1+'G.2进项增值税率-运营成本'!$C20)</f>
        <v>0</v>
      </c>
      <c r="M21" s="13">
        <f>E.1项目运营期费用!M21/(1+'G.2进项增值税率-运营成本'!$C20)</f>
        <v>0</v>
      </c>
      <c r="N21" s="13">
        <f>E.1项目运营期费用!N21/(1+'G.2进项增值税率-运营成本'!$C20)</f>
        <v>0</v>
      </c>
      <c r="O21" s="13">
        <f>E.1项目运营期费用!O21/(1+'G.2进项增值税率-运营成本'!$C20)</f>
        <v>0</v>
      </c>
      <c r="P21" s="13">
        <f>E.1项目运营期费用!P21/(1+'G.2进项增值税率-运营成本'!$C20)</f>
        <v>0</v>
      </c>
      <c r="Q21" s="13">
        <f>E.1项目运营期费用!Q21/(1+'G.2进项增值税率-运营成本'!$C20)</f>
        <v>0</v>
      </c>
      <c r="R21" s="13">
        <f>E.1项目运营期费用!R21/(1+'G.2进项增值税率-运营成本'!$C20)</f>
        <v>0</v>
      </c>
      <c r="S21" s="13">
        <f>E.1项目运营期费用!S21/(1+'G.2进项增值税率-运营成本'!$C20)</f>
        <v>0</v>
      </c>
      <c r="T21" s="13">
        <f>E.1项目运营期费用!T21/(1+'G.2进项增值税率-运营成本'!$C20)</f>
        <v>0</v>
      </c>
      <c r="U21" s="13">
        <f>E.1项目运营期费用!U21/(1+'G.2进项增值税率-运营成本'!$C20)</f>
        <v>0</v>
      </c>
      <c r="V21" s="13">
        <f>E.1项目运营期费用!V21/(1+'G.2进项增值税率-运营成本'!$C20)</f>
        <v>0</v>
      </c>
      <c r="W21" s="13">
        <f>E.1项目运营期费用!W21/(1+'G.2进项增值税率-运营成本'!$C20)</f>
        <v>0</v>
      </c>
      <c r="X21" s="13">
        <f>E.1项目运营期费用!X21/(1+'G.2进项增值税率-运营成本'!$C20)</f>
        <v>0</v>
      </c>
      <c r="Y21" s="13">
        <f>E.1项目运营期费用!Y21/(1+'G.2进项增值税率-运营成本'!$C20)</f>
        <v>0</v>
      </c>
      <c r="Z21" s="13">
        <f>E.1项目运营期费用!Z21/(1+'G.2进项增值税率-运营成本'!$C20)</f>
        <v>0</v>
      </c>
      <c r="AA21" s="13">
        <f>E.1项目运营期费用!AA21/(1+'G.2进项增值税率-运营成本'!$C20)</f>
        <v>0</v>
      </c>
      <c r="AB21" s="13">
        <f>E.1项目运营期费用!AB21/(1+'G.2进项增值税率-运营成本'!$C20)</f>
        <v>0</v>
      </c>
      <c r="AC21" s="13">
        <f>E.1项目运营期费用!AC21/(1+'G.2进项增值税率-运营成本'!$C20)</f>
        <v>0</v>
      </c>
      <c r="AD21" s="13">
        <f>E.1项目运营期费用!AD21/(1+'G.2进项增值税率-运营成本'!$C20)</f>
        <v>0</v>
      </c>
      <c r="AE21" s="13">
        <f>E.1项目运营期费用!AE21/(1+'G.2进项增值税率-运营成本'!$C20)</f>
        <v>0</v>
      </c>
      <c r="AF21" s="13">
        <f t="shared" si="0"/>
        <v>0</v>
      </c>
    </row>
    <row r="22" ht="33" customHeight="1" spans="1:32">
      <c r="A22" s="12" t="s">
        <v>277</v>
      </c>
      <c r="B22" s="12">
        <f>E.1项目运营期费用!B22</f>
        <v>19</v>
      </c>
      <c r="C22" s="22" t="str">
        <f>E.1项目运营期费用!C22</f>
        <v>第三方安全评估</v>
      </c>
      <c r="D22" s="22" t="str">
        <f>E.1项目运营期费用!D22</f>
        <v>按项目投资额 × 评估费率 （0.1%-0.3%）</v>
      </c>
      <c r="E22" s="13">
        <f>E.1项目运营期费用!E22</f>
        <v>0</v>
      </c>
      <c r="F22" s="13">
        <f>E.1项目运营期费用!F22</f>
        <v>0</v>
      </c>
      <c r="G22" s="13">
        <f>E.1项目运营期费用!G22</f>
        <v>0</v>
      </c>
      <c r="H22" s="13">
        <f>E.1项目运营期费用!H22*(1-'G.2进项增值税率-运营成本'!$C21)</f>
        <v>0</v>
      </c>
      <c r="I22" s="13">
        <f>E.1项目运营期费用!I22/(1+'G.2进项增值税率-运营成本'!$C21)</f>
        <v>0</v>
      </c>
      <c r="J22" s="13">
        <f>E.1项目运营期费用!J22/(1+'G.2进项增值税率-运营成本'!$C21)</f>
        <v>0</v>
      </c>
      <c r="K22" s="13">
        <f>E.1项目运营期费用!K22/(1+'G.2进项增值税率-运营成本'!$C21)</f>
        <v>0</v>
      </c>
      <c r="L22" s="13">
        <f>E.1项目运营期费用!L22/(1+'G.2进项增值税率-运营成本'!$C21)</f>
        <v>0</v>
      </c>
      <c r="M22" s="13">
        <f>E.1项目运营期费用!M22/(1+'G.2进项增值税率-运营成本'!$C21)</f>
        <v>0</v>
      </c>
      <c r="N22" s="13">
        <f>E.1项目运营期费用!N22/(1+'G.2进项增值税率-运营成本'!$C21)</f>
        <v>0</v>
      </c>
      <c r="O22" s="13">
        <f>E.1项目运营期费用!O22/(1+'G.2进项增值税率-运营成本'!$C21)</f>
        <v>0</v>
      </c>
      <c r="P22" s="13">
        <f>E.1项目运营期费用!P22/(1+'G.2进项增值税率-运营成本'!$C21)</f>
        <v>0</v>
      </c>
      <c r="Q22" s="13">
        <f>E.1项目运营期费用!Q22/(1+'G.2进项增值税率-运营成本'!$C21)</f>
        <v>0</v>
      </c>
      <c r="R22" s="13">
        <f>E.1项目运营期费用!R22/(1+'G.2进项增值税率-运营成本'!$C21)</f>
        <v>0</v>
      </c>
      <c r="S22" s="13">
        <f>E.1项目运营期费用!S22/(1+'G.2进项增值税率-运营成本'!$C21)</f>
        <v>0</v>
      </c>
      <c r="T22" s="13">
        <f>E.1项目运营期费用!T22/(1+'G.2进项增值税率-运营成本'!$C21)</f>
        <v>0</v>
      </c>
      <c r="U22" s="13">
        <f>E.1项目运营期费用!U22/(1+'G.2进项增值税率-运营成本'!$C21)</f>
        <v>0</v>
      </c>
      <c r="V22" s="13">
        <f>E.1项目运营期费用!V22/(1+'G.2进项增值税率-运营成本'!$C21)</f>
        <v>0</v>
      </c>
      <c r="W22" s="13">
        <f>E.1项目运营期费用!W22/(1+'G.2进项增值税率-运营成本'!$C21)</f>
        <v>0</v>
      </c>
      <c r="X22" s="13">
        <f>E.1项目运营期费用!X22/(1+'G.2进项增值税率-运营成本'!$C21)</f>
        <v>0</v>
      </c>
      <c r="Y22" s="13">
        <f>E.1项目运营期费用!Y22/(1+'G.2进项增值税率-运营成本'!$C21)</f>
        <v>0</v>
      </c>
      <c r="Z22" s="13">
        <f>E.1项目运营期费用!Z22/(1+'G.2进项增值税率-运营成本'!$C21)</f>
        <v>0</v>
      </c>
      <c r="AA22" s="13">
        <f>E.1项目运营期费用!AA22/(1+'G.2进项增值税率-运营成本'!$C21)</f>
        <v>0</v>
      </c>
      <c r="AB22" s="13">
        <f>E.1项目运营期费用!AB22/(1+'G.2进项增值税率-运营成本'!$C21)</f>
        <v>0</v>
      </c>
      <c r="AC22" s="13">
        <f>E.1项目运营期费用!AC22/(1+'G.2进项增值税率-运营成本'!$C21)</f>
        <v>0</v>
      </c>
      <c r="AD22" s="13">
        <f>E.1项目运营期费用!AD22/(1+'G.2进项增值税率-运营成本'!$C21)</f>
        <v>0</v>
      </c>
      <c r="AE22" s="13">
        <f>E.1项目运营期费用!AE22/(1+'G.2进项增值税率-运营成本'!$C21)</f>
        <v>0</v>
      </c>
      <c r="AF22" s="13">
        <f t="shared" si="0"/>
        <v>0</v>
      </c>
    </row>
    <row r="23" ht="33" customHeight="1" spans="1:32">
      <c r="A23" s="15"/>
      <c r="B23" s="12">
        <f>E.1项目运营期费用!B23</f>
        <v>20</v>
      </c>
      <c r="C23" s="22" t="str">
        <f>E.1项目运营期费用!C23</f>
        <v>不可预见支出</v>
      </c>
      <c r="D23" s="22" t="str">
        <f>E.1项目运营期费用!D23</f>
        <v>按年度总成本 × 计提比例 （5%-10%）</v>
      </c>
      <c r="E23" s="13">
        <f>E.1项目运营期费用!E23</f>
        <v>0</v>
      </c>
      <c r="F23" s="13">
        <f>E.1项目运营期费用!F23</f>
        <v>0</v>
      </c>
      <c r="G23" s="13">
        <f>E.1项目运营期费用!G23</f>
        <v>0</v>
      </c>
      <c r="H23" s="13">
        <f>E.1项目运营期费用!H23*(1-'G.2进项增值税率-运营成本'!$C22)</f>
        <v>0</v>
      </c>
      <c r="I23" s="13">
        <f>E.1项目运营期费用!I23/(1+'G.2进项增值税率-运营成本'!$C22)</f>
        <v>0</v>
      </c>
      <c r="J23" s="13">
        <f>E.1项目运营期费用!J23/(1+'G.2进项增值税率-运营成本'!$C22)</f>
        <v>0</v>
      </c>
      <c r="K23" s="13">
        <f>E.1项目运营期费用!K23/(1+'G.2进项增值税率-运营成本'!$C22)</f>
        <v>0</v>
      </c>
      <c r="L23" s="13">
        <f>E.1项目运营期费用!L23/(1+'G.2进项增值税率-运营成本'!$C22)</f>
        <v>0</v>
      </c>
      <c r="M23" s="13">
        <f>E.1项目运营期费用!M23/(1+'G.2进项增值税率-运营成本'!$C22)</f>
        <v>0</v>
      </c>
      <c r="N23" s="13">
        <f>E.1项目运营期费用!N23/(1+'G.2进项增值税率-运营成本'!$C22)</f>
        <v>0</v>
      </c>
      <c r="O23" s="13">
        <f>E.1项目运营期费用!O23/(1+'G.2进项增值税率-运营成本'!$C22)</f>
        <v>0</v>
      </c>
      <c r="P23" s="13">
        <f>E.1项目运营期费用!P23/(1+'G.2进项增值税率-运营成本'!$C22)</f>
        <v>0</v>
      </c>
      <c r="Q23" s="13">
        <f>E.1项目运营期费用!Q23/(1+'G.2进项增值税率-运营成本'!$C22)</f>
        <v>0</v>
      </c>
      <c r="R23" s="13">
        <f>E.1项目运营期费用!R23/(1+'G.2进项增值税率-运营成本'!$C22)</f>
        <v>0</v>
      </c>
      <c r="S23" s="13">
        <f>E.1项目运营期费用!S23/(1+'G.2进项增值税率-运营成本'!$C22)</f>
        <v>0</v>
      </c>
      <c r="T23" s="13">
        <f>E.1项目运营期费用!T23/(1+'G.2进项增值税率-运营成本'!$C22)</f>
        <v>0</v>
      </c>
      <c r="U23" s="13">
        <f>E.1项目运营期费用!U23/(1+'G.2进项增值税率-运营成本'!$C22)</f>
        <v>0</v>
      </c>
      <c r="V23" s="13">
        <f>E.1项目运营期费用!V23/(1+'G.2进项增值税率-运营成本'!$C22)</f>
        <v>0</v>
      </c>
      <c r="W23" s="13">
        <f>E.1项目运营期费用!W23/(1+'G.2进项增值税率-运营成本'!$C22)</f>
        <v>0</v>
      </c>
      <c r="X23" s="13">
        <f>E.1项目运营期费用!X23/(1+'G.2进项增值税率-运营成本'!$C22)</f>
        <v>0</v>
      </c>
      <c r="Y23" s="13">
        <f>E.1项目运营期费用!Y23/(1+'G.2进项增值税率-运营成本'!$C22)</f>
        <v>0</v>
      </c>
      <c r="Z23" s="13">
        <f>E.1项目运营期费用!Z23/(1+'G.2进项增值税率-运营成本'!$C22)</f>
        <v>0</v>
      </c>
      <c r="AA23" s="13">
        <f>E.1项目运营期费用!AA23/(1+'G.2进项增值税率-运营成本'!$C22)</f>
        <v>0</v>
      </c>
      <c r="AB23" s="13">
        <f>E.1项目运营期费用!AB23/(1+'G.2进项增值税率-运营成本'!$C22)</f>
        <v>0</v>
      </c>
      <c r="AC23" s="13">
        <f>E.1项目运营期费用!AC23/(1+'G.2进项增值税率-运营成本'!$C22)</f>
        <v>0</v>
      </c>
      <c r="AD23" s="13">
        <f>E.1项目运营期费用!AD23/(1+'G.2进项增值税率-运营成本'!$C22)</f>
        <v>0</v>
      </c>
      <c r="AE23" s="13">
        <f>E.1项目运营期费用!AE23/(1+'G.2进项增值税率-运营成本'!$C22)</f>
        <v>0</v>
      </c>
      <c r="AF23" s="13">
        <f t="shared" si="0"/>
        <v>0</v>
      </c>
    </row>
    <row r="24" ht="14" customHeight="1" spans="32:32">
      <c r="AF24" s="155"/>
    </row>
  </sheetData>
  <mergeCells count="14">
    <mergeCell ref="A1:M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4" tint="-0.249977111117893"/>
  </sheetPr>
  <dimension ref="A1:AD15"/>
  <sheetViews>
    <sheetView workbookViewId="0">
      <pane xSplit="5" ySplit="3" topLeftCell="F4" activePane="bottomRight" state="frozen"/>
      <selection/>
      <selection pane="topRight"/>
      <selection pane="bottomLeft"/>
      <selection pane="bottomRight" activeCell="C4" sqref="C4"/>
    </sheetView>
  </sheetViews>
  <sheetFormatPr defaultColWidth="8.89090909090909" defaultRowHeight="14"/>
  <cols>
    <col min="1" max="1" width="8.78181818181818" style="1" customWidth="1"/>
    <col min="2" max="2" width="13.8909090909091" style="1" customWidth="1"/>
    <col min="3" max="3" width="23.7818181818182" style="1" customWidth="1"/>
    <col min="4" max="4" width="13.8909090909091" style="1" customWidth="1"/>
    <col min="5" max="5" width="15.5545454545455" style="1" customWidth="1"/>
    <col min="6" max="6" width="6.44545454545455" style="1" customWidth="1"/>
    <col min="7" max="7" width="12.5545454545455" style="1" customWidth="1"/>
    <col min="8" max="8" width="11.7818181818182" style="1" customWidth="1"/>
    <col min="9" max="9" width="13.1090909090909" style="1" customWidth="1"/>
    <col min="10" max="29" width="11.2181818181818" style="1" customWidth="1"/>
    <col min="30" max="30" width="17.9090909090909" style="1" customWidth="1"/>
  </cols>
  <sheetData>
    <row r="1" s="48" customFormat="1" ht="20" customHeight="1" spans="1:30">
      <c r="A1" s="119" t="s">
        <v>321</v>
      </c>
      <c r="B1" s="119"/>
      <c r="C1" s="119"/>
      <c r="D1" s="119"/>
      <c r="E1" s="119"/>
      <c r="F1" s="119"/>
      <c r="G1" s="119"/>
      <c r="H1" s="119"/>
      <c r="I1" s="119"/>
      <c r="J1" s="119"/>
      <c r="K1"/>
      <c r="L1"/>
      <c r="M1"/>
      <c r="N1"/>
      <c r="O1"/>
      <c r="P1"/>
      <c r="Q1"/>
      <c r="R1"/>
      <c r="S1"/>
      <c r="T1"/>
      <c r="U1"/>
      <c r="V1"/>
      <c r="W1"/>
      <c r="X1"/>
      <c r="Y1"/>
      <c r="Z1"/>
      <c r="AA1"/>
      <c r="AB1"/>
      <c r="AC1"/>
      <c r="AD1"/>
    </row>
    <row r="2" s="48" customFormat="1" ht="16.5" customHeight="1" spans="1:30">
      <c r="A2" s="147" t="s">
        <v>1</v>
      </c>
      <c r="B2" s="147" t="s">
        <v>184</v>
      </c>
      <c r="C2" s="147" t="s">
        <v>322</v>
      </c>
      <c r="D2" s="147" t="s">
        <v>323</v>
      </c>
      <c r="E2" s="147" t="s">
        <v>324</v>
      </c>
      <c r="F2" s="148" t="s">
        <v>325</v>
      </c>
      <c r="G2" s="149"/>
      <c r="H2" s="149"/>
      <c r="I2" s="149"/>
      <c r="J2" s="149"/>
      <c r="K2"/>
      <c r="L2"/>
      <c r="M2"/>
      <c r="N2"/>
      <c r="O2"/>
      <c r="P2"/>
      <c r="Q2"/>
      <c r="R2"/>
      <c r="S2"/>
      <c r="T2"/>
      <c r="U2"/>
      <c r="V2"/>
      <c r="W2"/>
      <c r="X2"/>
      <c r="Y2"/>
      <c r="Z2"/>
      <c r="AA2"/>
      <c r="AB2"/>
      <c r="AC2"/>
      <c r="AD2"/>
    </row>
    <row r="3" s="48" customFormat="1" ht="66" customHeight="1" spans="1:30">
      <c r="A3" s="8"/>
      <c r="B3" s="8"/>
      <c r="C3" s="73" t="s">
        <v>326</v>
      </c>
      <c r="D3" s="73" t="s">
        <v>327</v>
      </c>
      <c r="E3" s="73" t="s">
        <v>328</v>
      </c>
      <c r="F3" s="22">
        <v>2025</v>
      </c>
      <c r="G3" s="22">
        <v>2026</v>
      </c>
      <c r="H3" s="22">
        <v>2027</v>
      </c>
      <c r="I3" s="22">
        <v>2028</v>
      </c>
      <c r="J3" s="22">
        <v>2029</v>
      </c>
      <c r="K3" s="22">
        <v>2030</v>
      </c>
      <c r="L3" s="22">
        <v>2031</v>
      </c>
      <c r="M3" s="22">
        <v>2032</v>
      </c>
      <c r="N3" s="22">
        <v>2033</v>
      </c>
      <c r="O3" s="22">
        <v>2034</v>
      </c>
      <c r="P3" s="22">
        <v>2035</v>
      </c>
      <c r="Q3" s="22">
        <v>2036</v>
      </c>
      <c r="R3" s="22">
        <v>2037</v>
      </c>
      <c r="S3" s="22">
        <v>2038</v>
      </c>
      <c r="T3" s="22">
        <v>2039</v>
      </c>
      <c r="U3" s="22">
        <v>2040</v>
      </c>
      <c r="V3" s="22">
        <v>2041</v>
      </c>
      <c r="W3" s="22">
        <v>2042</v>
      </c>
      <c r="X3" s="22">
        <v>2043</v>
      </c>
      <c r="Y3" s="22">
        <v>2044</v>
      </c>
      <c r="Z3" s="22">
        <v>2045</v>
      </c>
      <c r="AA3" s="22">
        <v>2046</v>
      </c>
      <c r="AB3" s="22">
        <v>2047</v>
      </c>
      <c r="AC3" s="22">
        <v>2048</v>
      </c>
      <c r="AD3"/>
    </row>
    <row r="4" s="48" customFormat="1" ht="16.5" customHeight="1" spans="1:30">
      <c r="A4" s="12" t="s">
        <v>329</v>
      </c>
      <c r="B4" s="8" t="s">
        <v>330</v>
      </c>
      <c r="C4" s="150">
        <f>E.4建设投资税后金额表!I4+E.4建设投资税后金额表!I9+E.4建设投资税后金额表!I13+E.4建设投资税后金额表!I15+E.4建设投资税后金额表!J4+E.4建设投资税后金额表!J9+E.4建设投资税后金额表!J13+E.4建设投资税后金额表!J15+c借款还本付息计划表!D47+c借款还本付息计划表!D46+c借款还本付息计划表!E47+c借款还本付息计划表!E46</f>
        <v>9403.84926592759</v>
      </c>
      <c r="D4" s="151">
        <f>1/B项目信息!$D$8*100%</f>
        <v>0.0454545454545455</v>
      </c>
      <c r="E4" s="144">
        <f>C4*(1-A财务假设!$D$12)*D4</f>
        <v>406.07530921051</v>
      </c>
      <c r="F4" s="144">
        <f>IF(F3-$G$3&gt;0,$C$4-$E$4*(F3-$G$3),0)</f>
        <v>0</v>
      </c>
      <c r="G4" s="152">
        <f>IF(G3-$G$3&gt;0,$C$4-$E$4*(G3-$G$3),0)</f>
        <v>0</v>
      </c>
      <c r="H4" s="150">
        <f>IF(H3-$G$3&gt;0,$C$4-$E$4*(H3-$G$3),0)</f>
        <v>8997.77395671708</v>
      </c>
      <c r="I4" s="150">
        <f>IF(I3-$G$3&gt;0,$C$4-$E$4*(I3-$G$3),0)</f>
        <v>8591.69864750658</v>
      </c>
      <c r="J4" s="150">
        <f>IF(J3-$G$3&gt;0,$C$4-$E$4*(J3-$G$3),0)</f>
        <v>8185.62333829607</v>
      </c>
      <c r="K4" s="150">
        <f>IF(K3-$G$3&gt;0,$C$4-$E$4*(K3-$G$3),0)</f>
        <v>7779.54802908556</v>
      </c>
      <c r="L4" s="150">
        <f>IF(L3-$G$3&gt;0,$C$4-$E$4*(L3-$G$3),0)</f>
        <v>7373.47271987505</v>
      </c>
      <c r="M4" s="150">
        <f>IF(M3-$G$3&gt;0,$C$4-$E$4*(M3-$G$3),0)</f>
        <v>6967.39741066454</v>
      </c>
      <c r="N4" s="150">
        <f>IF(N3-$G$3&gt;0,$C$4-$E$4*(N3-$G$3),0)</f>
        <v>6561.32210145403</v>
      </c>
      <c r="O4" s="150">
        <f>IF(O3-$G$3&gt;0,$C$4-$E$4*(O3-$G$3),0)</f>
        <v>6155.24679224352</v>
      </c>
      <c r="P4" s="150">
        <f>IF(P3-$G$3&gt;0,$C$4-$E$4*(P3-$G$3),0)</f>
        <v>5749.17148303301</v>
      </c>
      <c r="Q4" s="150">
        <f>IF(Q3-$G$3&gt;0,$C$4-$E$4*(Q3-$G$3),0)</f>
        <v>5343.0961738225</v>
      </c>
      <c r="R4" s="150">
        <f>IF(R3-$G$3&gt;0,$C$4-$E$4*(R3-$G$3),0)</f>
        <v>4937.02086461199</v>
      </c>
      <c r="S4" s="150">
        <f>IF(S3-$G$3&gt;0,$C$4-$E$4*(S3-$G$3),0)</f>
        <v>4530.94555540148</v>
      </c>
      <c r="T4" s="150">
        <f>IF(T3-$G$3&gt;0,$C$4-$E$4*(T3-$G$3),0)</f>
        <v>4124.87024619097</v>
      </c>
      <c r="U4" s="150">
        <f>IF(U3-$G$3&gt;0,$C$4-$E$4*(U3-$G$3),0)</f>
        <v>3718.79493698046</v>
      </c>
      <c r="V4" s="150">
        <f>IF(V3-$G$3&gt;0,$C$4-$E$4*(V3-$G$3),0)</f>
        <v>3312.71962776995</v>
      </c>
      <c r="W4" s="150">
        <f>IF(W3-$G$3&gt;0,$C$4-$E$4*(W3-$G$3),0)</f>
        <v>2906.64431855944</v>
      </c>
      <c r="X4" s="150">
        <f>IF(X3-$G$3&gt;0,$C$4-$E$4*(X3-$G$3),0)</f>
        <v>2500.56900934893</v>
      </c>
      <c r="Y4" s="150">
        <f>IF(Y3-$G$3&gt;0,$C$4-$E$4*(Y3-$G$3),0)</f>
        <v>2094.49370013842</v>
      </c>
      <c r="Z4" s="150">
        <f>IF(Z3-$G$3&gt;0,$C$4-$E$4*(Z3-$G$3),0)</f>
        <v>1688.41839092791</v>
      </c>
      <c r="AA4" s="150">
        <f>IF(AA3-$G$3&gt;0,$C$4-$E$4*(AA3-$G$3),0)</f>
        <v>1282.3430817174</v>
      </c>
      <c r="AB4" s="150">
        <f>IF(AB3-$G$3&gt;0,$C$4-$E$4*(AB3-$G$3),0)</f>
        <v>876.26777250689</v>
      </c>
      <c r="AC4" s="150">
        <f>IF(AC3-$G$3&gt;0,$C$4-$E$4*(AC3-$G$3),0)</f>
        <v>470.19246329638</v>
      </c>
      <c r="AD4"/>
    </row>
    <row r="5" s="48" customFormat="1" ht="16.5" customHeight="1" spans="1:30">
      <c r="A5" s="12" t="s">
        <v>331</v>
      </c>
      <c r="B5" s="8" t="s">
        <v>330</v>
      </c>
      <c r="C5" s="150">
        <f>E.4建设投资税后金额表!K4+E.4建设投资税后金额表!K9+E.4建设投资税后金额表!K13+E.4建设投资税后金额表!K15+E.4建设投资税后金额表!L4+E.4建设投资税后金额表!L9+E.4建设投资税后金额表!L13+E.4建设投资税后金额表!L15+c借款还本付息计划表!F47+c借款还本付息计划表!F46+c借款还本付息计划表!G47+c借款还本付息计划表!G46</f>
        <v>12797.7562660129</v>
      </c>
      <c r="D5" s="151">
        <f>1/B项目信息!$D$14*100%</f>
        <v>0.05</v>
      </c>
      <c r="E5" s="144">
        <f>C5*(1-A财务假设!$D$12)*D5</f>
        <v>607.893422635611</v>
      </c>
      <c r="F5" s="144">
        <f>IF(F3-$I$3&gt;0,$C$5-$E$5*(F3-$I$3),0)</f>
        <v>0</v>
      </c>
      <c r="G5" s="152">
        <f>IF(G3-$I$3&gt;0,$C$5-$E$5*(G3-$I$3),0)</f>
        <v>0</v>
      </c>
      <c r="H5" s="150">
        <f>IF(H3-$I$3&gt;0,$C$5-$E$5*(H3-$I$3),0)</f>
        <v>0</v>
      </c>
      <c r="I5" s="150">
        <f>IF(I3-$I$3&gt;0,$C$5-$E$5*(I3-$I$3),0)</f>
        <v>0</v>
      </c>
      <c r="J5" s="150">
        <f>IF(J3-$I$3&gt;0,$C$5-$E$5*(J3-$I$3),0)</f>
        <v>12189.8628433772</v>
      </c>
      <c r="K5" s="150">
        <f>IF(K3-$I$3&gt;0,$C$5-$E$5*(K3-$I$3),0)</f>
        <v>11581.9694207416</v>
      </c>
      <c r="L5" s="150">
        <f>IF(L3-$I$3&gt;0,$C$5-$E$5*(L3-$I$3),0)</f>
        <v>10974.075998106</v>
      </c>
      <c r="M5" s="150">
        <f>IF(M3-$I$3&gt;0,$C$5-$E$5*(M3-$I$3),0)</f>
        <v>10366.1825754704</v>
      </c>
      <c r="N5" s="150">
        <f>IF(N3-$I$3&gt;0,$C$5-$E$5*(N3-$I$3),0)</f>
        <v>9758.2891528348</v>
      </c>
      <c r="O5" s="150">
        <f>IF(O3-$I$3&gt;0,$C$5-$E$5*(O3-$I$3),0)</f>
        <v>9150.39573019919</v>
      </c>
      <c r="P5" s="150">
        <f>IF(P3-$I$3&gt;0,$C$5-$E$5*(P3-$I$3),0)</f>
        <v>8542.50230756358</v>
      </c>
      <c r="Q5" s="150">
        <f>IF(Q3-$I$3&gt;0,$C$5-$E$5*(Q3-$I$3),0)</f>
        <v>7934.60888492797</v>
      </c>
      <c r="R5" s="150">
        <f>IF(R3-$I$3&gt;0,$C$5-$E$5*(R3-$I$3),0)</f>
        <v>7326.71546229236</v>
      </c>
      <c r="S5" s="150">
        <f>IF(S3-$I$3&gt;0,$C$5-$E$5*(S3-$I$3),0)</f>
        <v>6718.82203965675</v>
      </c>
      <c r="T5" s="150">
        <f>IF(T3-$I$3&gt;0,$C$5-$E$5*(T3-$I$3),0)</f>
        <v>6110.92861702114</v>
      </c>
      <c r="U5" s="150">
        <f>IF(U3-$I$3&gt;0,$C$5-$E$5*(U3-$I$3),0)</f>
        <v>5503.03519438553</v>
      </c>
      <c r="V5" s="150">
        <f>IF(V3-$I$3&gt;0,$C$5-$E$5*(V3-$I$3),0)</f>
        <v>4895.14177174992</v>
      </c>
      <c r="W5" s="150">
        <f>IF(W3-$I$3&gt;0,$C$5-$E$5*(W3-$I$3),0)</f>
        <v>4287.24834911431</v>
      </c>
      <c r="X5" s="150">
        <f>IF(X3-$I$3&gt;0,$C$5-$E$5*(X3-$I$3),0)</f>
        <v>3679.3549264787</v>
      </c>
      <c r="Y5" s="150">
        <f>IF(Y3-$I$3&gt;0,$C$5-$E$5*(Y3-$I$3),0)</f>
        <v>3071.46150384309</v>
      </c>
      <c r="Z5" s="150">
        <f>IF(Z3-$I$3&gt;0,$C$5-$E$5*(Z3-$I$3),0)</f>
        <v>2463.56808120748</v>
      </c>
      <c r="AA5" s="150">
        <f>IF(AA3-$I$3&gt;0,$C$5-$E$5*(AA3-$I$3),0)</f>
        <v>1855.67465857186</v>
      </c>
      <c r="AB5" s="150">
        <f>IF(AB3-$I$3&gt;0,$C$5-$E$5*(AB3-$I$3),0)</f>
        <v>1247.78123593625</v>
      </c>
      <c r="AC5" s="150">
        <f>IF(AC3-$I$3&gt;0,$C$5-$E$5*(AC3-$I$3),0)</f>
        <v>639.887813300644</v>
      </c>
      <c r="AD5"/>
    </row>
    <row r="6" s="48" customFormat="1" ht="16.5" customHeight="1" spans="1:30">
      <c r="A6" s="8" t="s">
        <v>332</v>
      </c>
      <c r="B6" s="8" t="s">
        <v>330</v>
      </c>
      <c r="C6" s="74">
        <f>SUM(C4:C5)</f>
        <v>22201.6055319405</v>
      </c>
      <c r="D6" s="25" t="s">
        <v>162</v>
      </c>
      <c r="E6" s="74">
        <f t="shared" ref="E6:AC6" si="0">SUM(E4:E5)</f>
        <v>1013.96873184612</v>
      </c>
      <c r="F6" s="74">
        <f t="shared" si="0"/>
        <v>0</v>
      </c>
      <c r="G6" s="74">
        <f t="shared" si="0"/>
        <v>0</v>
      </c>
      <c r="H6" s="74">
        <f t="shared" si="0"/>
        <v>8997.77395671708</v>
      </c>
      <c r="I6" s="74">
        <f t="shared" si="0"/>
        <v>8591.69864750658</v>
      </c>
      <c r="J6" s="74">
        <f t="shared" si="0"/>
        <v>20375.4861816733</v>
      </c>
      <c r="K6" s="74">
        <f t="shared" si="0"/>
        <v>19361.5174498272</v>
      </c>
      <c r="L6" s="74">
        <f t="shared" si="0"/>
        <v>18347.5487179811</v>
      </c>
      <c r="M6" s="74">
        <f t="shared" si="0"/>
        <v>17333.579986135</v>
      </c>
      <c r="N6" s="74">
        <f t="shared" si="0"/>
        <v>16319.6112542888</v>
      </c>
      <c r="O6" s="74">
        <f t="shared" si="0"/>
        <v>15305.6425224427</v>
      </c>
      <c r="P6" s="74">
        <f t="shared" si="0"/>
        <v>14291.6737905966</v>
      </c>
      <c r="Q6" s="74">
        <f t="shared" si="0"/>
        <v>13277.7050587505</v>
      </c>
      <c r="R6" s="74">
        <f t="shared" si="0"/>
        <v>12263.7363269043</v>
      </c>
      <c r="S6" s="74">
        <f t="shared" si="0"/>
        <v>11249.7675950582</v>
      </c>
      <c r="T6" s="74">
        <f t="shared" si="0"/>
        <v>10235.7988632121</v>
      </c>
      <c r="U6" s="74">
        <f t="shared" si="0"/>
        <v>9221.83013136599</v>
      </c>
      <c r="V6" s="74">
        <f t="shared" si="0"/>
        <v>8207.86139951986</v>
      </c>
      <c r="W6" s="74">
        <f t="shared" si="0"/>
        <v>7193.89266767374</v>
      </c>
      <c r="X6" s="74">
        <f t="shared" si="0"/>
        <v>6179.92393582762</v>
      </c>
      <c r="Y6" s="74">
        <f t="shared" si="0"/>
        <v>5165.9552039815</v>
      </c>
      <c r="Z6" s="74">
        <f t="shared" si="0"/>
        <v>4151.98647213538</v>
      </c>
      <c r="AA6" s="74">
        <f t="shared" si="0"/>
        <v>3138.01774028926</v>
      </c>
      <c r="AB6" s="74">
        <f t="shared" si="0"/>
        <v>2124.04900844314</v>
      </c>
      <c r="AC6" s="74">
        <f t="shared" si="0"/>
        <v>1110.08027659702</v>
      </c>
      <c r="AD6"/>
    </row>
    <row r="7" ht="16.5" customHeight="1" spans="1:29">
      <c r="A7"/>
      <c r="B7"/>
      <c r="C7"/>
      <c r="D7"/>
      <c r="E7"/>
      <c r="F7"/>
      <c r="G7"/>
      <c r="H7"/>
      <c r="I7"/>
      <c r="J7"/>
      <c r="K7"/>
      <c r="L7"/>
      <c r="M7"/>
      <c r="N7"/>
      <c r="O7"/>
      <c r="P7"/>
      <c r="Q7"/>
      <c r="R7"/>
      <c r="S7"/>
      <c r="T7"/>
      <c r="U7"/>
      <c r="V7"/>
      <c r="W7"/>
      <c r="X7"/>
      <c r="Y7"/>
      <c r="Z7"/>
      <c r="AA7"/>
      <c r="AB7"/>
      <c r="AC7"/>
    </row>
    <row r="8" ht="16.5" customHeight="1" spans="1:29">
      <c r="A8" s="12" t="s">
        <v>329</v>
      </c>
      <c r="B8" s="8" t="s">
        <v>330</v>
      </c>
      <c r="C8" s="64" t="s">
        <v>333</v>
      </c>
      <c r="D8" s="64" t="s">
        <v>333</v>
      </c>
      <c r="E8" s="64">
        <f>SUM(F8:AC8)</f>
        <v>8933.65680263121</v>
      </c>
      <c r="F8" s="64">
        <f>IF(F3-$G$3&gt;0,IF(F4&lt;&gt;"",$E$4,0),0)</f>
        <v>0</v>
      </c>
      <c r="G8" s="153">
        <f>IF(G3-$G$3&gt;0,IF(G4&lt;&gt;"",$E$4,0),0)</f>
        <v>0</v>
      </c>
      <c r="H8" s="153">
        <f>IF(H3-$G$3&gt;0,IF(H4&lt;&gt;"",$E$4,0),0)</f>
        <v>406.07530921051</v>
      </c>
      <c r="I8" s="153">
        <f>IF(I3-$G$3&gt;0,IF(I4&lt;&gt;"",$E$4,0),0)</f>
        <v>406.07530921051</v>
      </c>
      <c r="J8" s="153">
        <f>IF(J3-$G$3&gt;0,IF(J4&lt;&gt;"",$E$4,0),0)</f>
        <v>406.07530921051</v>
      </c>
      <c r="K8" s="153">
        <f>IF(K3-$G$3&gt;0,IF(J4&lt;&gt;"",$E$4,0),0)</f>
        <v>406.07530921051</v>
      </c>
      <c r="L8" s="153">
        <f>IF(L3-$G$3&gt;0,IF(J4&lt;&gt;"",$E$4,0),0)</f>
        <v>406.07530921051</v>
      </c>
      <c r="M8" s="153">
        <f>IF(M3-$G$3&gt;0,IF(J4&lt;&gt;"",$E$4,0),0)</f>
        <v>406.07530921051</v>
      </c>
      <c r="N8" s="153">
        <f>IF(N3-$G$3&gt;0,IF(J4&lt;&gt;"",$E$4,0),0)</f>
        <v>406.07530921051</v>
      </c>
      <c r="O8" s="153">
        <f>IF(O3-$G$3&gt;0,IF(J4&lt;&gt;"",$E$4,0),0)</f>
        <v>406.07530921051</v>
      </c>
      <c r="P8" s="153">
        <f>IF(P3-$G$3&gt;0,IF(J4&lt;&gt;"",$E$4,0),0)</f>
        <v>406.07530921051</v>
      </c>
      <c r="Q8" s="153">
        <f>IF(Q3-$G$3&gt;0,IF(J4&lt;&gt;"",$E$4,0),0)</f>
        <v>406.07530921051</v>
      </c>
      <c r="R8" s="153">
        <f>IF(R3-$G$3&gt;0,IF(J4&lt;&gt;"",$E$4,0),0)</f>
        <v>406.07530921051</v>
      </c>
      <c r="S8" s="153">
        <f>IF(S3-$G$3&gt;0,IF(J4&lt;&gt;"",$E$4,0),0)</f>
        <v>406.07530921051</v>
      </c>
      <c r="T8" s="153">
        <f>IF(T3-$G$3&gt;0,IF(J4&lt;&gt;"",$E$4,0),0)</f>
        <v>406.07530921051</v>
      </c>
      <c r="U8" s="153">
        <f>IF(U3-$G$3&gt;0,IF(J4&lt;&gt;"",$E$4,0),0)</f>
        <v>406.07530921051</v>
      </c>
      <c r="V8" s="153">
        <f>IF(V3-$G$3&gt;0,IF(J4&lt;&gt;"",$E$4,0),0)</f>
        <v>406.07530921051</v>
      </c>
      <c r="W8" s="153">
        <f>IF(W3-$G$3&gt;0,IF(J4&lt;&gt;"",$E$4,0),0)</f>
        <v>406.07530921051</v>
      </c>
      <c r="X8" s="153">
        <f>IF(X3-$G$3&gt;0,IF(J4&lt;&gt;"",$E$4,0),0)</f>
        <v>406.07530921051</v>
      </c>
      <c r="Y8" s="153">
        <f>IF(Y3-$G$3&gt;0,IF(J4&lt;&gt;"",$E$4,0),0)</f>
        <v>406.07530921051</v>
      </c>
      <c r="Z8" s="153">
        <f>IF(Z3-$G$3&gt;0,IF(J4&lt;&gt;"",$E$4,0),0)</f>
        <v>406.07530921051</v>
      </c>
      <c r="AA8" s="153">
        <f>IF(AA3-$G$3&gt;0,IF(J4&lt;&gt;"",$E$4,0),0)</f>
        <v>406.07530921051</v>
      </c>
      <c r="AB8" s="153">
        <f>IF(AB3-$G$3&gt;0,IF(J4&lt;&gt;"",$E$4,0),0)</f>
        <v>406.07530921051</v>
      </c>
      <c r="AC8" s="153">
        <f>IF(AC3-$G$3&gt;0,IF(J4&lt;&gt;"",$E$4,0),0)</f>
        <v>406.07530921051</v>
      </c>
    </row>
    <row r="9" ht="16.5" customHeight="1" spans="1:29">
      <c r="A9" s="8" t="s">
        <v>331</v>
      </c>
      <c r="B9" s="8" t="s">
        <v>330</v>
      </c>
      <c r="C9" s="64" t="s">
        <v>333</v>
      </c>
      <c r="D9" s="64" t="s">
        <v>333</v>
      </c>
      <c r="E9" s="64">
        <f>SUM(F9:AC9)</f>
        <v>12157.8684527122</v>
      </c>
      <c r="F9" s="64">
        <f>IF(F3-$I$3&gt;0,IF(F5&lt;&gt;"",$E$5,0),0)</f>
        <v>0</v>
      </c>
      <c r="G9" s="64">
        <f>IF(G3-$I$3&gt;0,IF(G5&lt;&gt;"",$E$5,0),0)</f>
        <v>0</v>
      </c>
      <c r="H9" s="64">
        <f>IF(H3-$I$3&gt;0,IF(H5&lt;&gt;"",$E$5,0),0)</f>
        <v>0</v>
      </c>
      <c r="I9" s="64">
        <f>IF(I3-$I$3&gt;0,IF(I5&lt;&gt;"",$E$5,0),0)</f>
        <v>0</v>
      </c>
      <c r="J9" s="64">
        <f>IF(J3-$I$3&gt;0,IF(J5&lt;&gt;"",$E$5,0),0)</f>
        <v>607.893422635611</v>
      </c>
      <c r="K9" s="64">
        <f>IF(K3-$I$3&gt;0,IF(J5&lt;&gt;"",$E$5,0),0)</f>
        <v>607.893422635611</v>
      </c>
      <c r="L9" s="64">
        <f>IF(L3-$I$3&gt;0,IF(J5&lt;&gt;"",$E$5,0),0)</f>
        <v>607.893422635611</v>
      </c>
      <c r="M9" s="64">
        <f>IF(M3-$I$3&gt;0,IF(J5&lt;&gt;"",$E$5,0),0)</f>
        <v>607.893422635611</v>
      </c>
      <c r="N9" s="64">
        <f>IF(N3-$I$3&gt;0,IF(J5&lt;&gt;"",$E$5,0),0)</f>
        <v>607.893422635611</v>
      </c>
      <c r="O9" s="64">
        <f>IF(O3-$I$3&gt;0,IF(J5&lt;&gt;"",$E$5,0),0)</f>
        <v>607.893422635611</v>
      </c>
      <c r="P9" s="64">
        <f>IF(P3-$I$3&gt;0,IF(J5&lt;&gt;"",$E$5,0),0)</f>
        <v>607.893422635611</v>
      </c>
      <c r="Q9" s="64">
        <f>IF(Q3-$I$3&gt;0,IF(J5&lt;&gt;"",$E$5,0),0)</f>
        <v>607.893422635611</v>
      </c>
      <c r="R9" s="64">
        <f>IF(R3-$I$3&gt;0,IF(J5&lt;&gt;"",$E$5,0),0)</f>
        <v>607.893422635611</v>
      </c>
      <c r="S9" s="64">
        <f>IF(S3-$I$3&gt;0,IF(J5&lt;&gt;"",$E$5,0),0)</f>
        <v>607.893422635611</v>
      </c>
      <c r="T9" s="64">
        <f>IF(T3-$I$3&gt;0,IF(J5&lt;&gt;"",$E$5,0),0)</f>
        <v>607.893422635611</v>
      </c>
      <c r="U9" s="64">
        <f>IF(U3-$I$3&gt;0,IF(J5&lt;&gt;"",$E$5,0),0)</f>
        <v>607.893422635611</v>
      </c>
      <c r="V9" s="64">
        <f>IF(V3-$I$3&gt;0,IF(J5&lt;&gt;"",$E$5,0),0)</f>
        <v>607.893422635611</v>
      </c>
      <c r="W9" s="64">
        <f>IF(W3-$I$3&gt;0,IF(J5&lt;&gt;"",$E$5,0),0)</f>
        <v>607.893422635611</v>
      </c>
      <c r="X9" s="64">
        <f>IF(X3-$I$3&gt;0,IF(J5&lt;&gt;"",$E$5,0),0)</f>
        <v>607.893422635611</v>
      </c>
      <c r="Y9" s="64">
        <f>IF(Y3-$I$3&gt;0,IF(J5&lt;&gt;"",$E$5,0),0)</f>
        <v>607.893422635611</v>
      </c>
      <c r="Z9" s="64">
        <f>IF(Z3-$I$3&gt;0,IF(J5&lt;&gt;"",$E$5,0),0)</f>
        <v>607.893422635611</v>
      </c>
      <c r="AA9" s="64">
        <f>IF(AA3-$I$3&gt;0,IF(J5&lt;&gt;"",$E$5,0),0)</f>
        <v>607.893422635611</v>
      </c>
      <c r="AB9" s="64">
        <f>IF(AB3-$I$3&gt;0,IF(J5&lt;&gt;"",$E$5,0),0)</f>
        <v>607.893422635611</v>
      </c>
      <c r="AC9" s="64">
        <f>IF(AC3-$I$3&gt;0,IF(J5&lt;&gt;"",$E$5,0),0)</f>
        <v>607.893422635611</v>
      </c>
    </row>
    <row r="10" ht="16.5" customHeight="1" spans="1:29">
      <c r="A10" s="8" t="s">
        <v>334</v>
      </c>
      <c r="B10" s="8" t="s">
        <v>330</v>
      </c>
      <c r="C10" s="8" t="s">
        <v>333</v>
      </c>
      <c r="D10" s="8" t="s">
        <v>333</v>
      </c>
      <c r="E10" s="8">
        <f t="shared" ref="E10:AC10" si="1">SUM(E8:E9)</f>
        <v>21091.5252553434</v>
      </c>
      <c r="F10" s="8">
        <f t="shared" si="1"/>
        <v>0</v>
      </c>
      <c r="G10" s="8">
        <f t="shared" si="1"/>
        <v>0</v>
      </c>
      <c r="H10" s="8">
        <f t="shared" si="1"/>
        <v>406.07530921051</v>
      </c>
      <c r="I10" s="8">
        <f t="shared" si="1"/>
        <v>406.07530921051</v>
      </c>
      <c r="J10" s="8">
        <f t="shared" si="1"/>
        <v>1013.96873184612</v>
      </c>
      <c r="K10" s="8">
        <f t="shared" si="1"/>
        <v>1013.96873184612</v>
      </c>
      <c r="L10" s="8">
        <f t="shared" si="1"/>
        <v>1013.96873184612</v>
      </c>
      <c r="M10" s="8">
        <f t="shared" si="1"/>
        <v>1013.96873184612</v>
      </c>
      <c r="N10" s="8">
        <f t="shared" si="1"/>
        <v>1013.96873184612</v>
      </c>
      <c r="O10" s="8">
        <f t="shared" si="1"/>
        <v>1013.96873184612</v>
      </c>
      <c r="P10" s="8">
        <f t="shared" si="1"/>
        <v>1013.96873184612</v>
      </c>
      <c r="Q10" s="8">
        <f t="shared" si="1"/>
        <v>1013.96873184612</v>
      </c>
      <c r="R10" s="8">
        <f t="shared" si="1"/>
        <v>1013.96873184612</v>
      </c>
      <c r="S10" s="8">
        <f t="shared" si="1"/>
        <v>1013.96873184612</v>
      </c>
      <c r="T10" s="8">
        <f t="shared" si="1"/>
        <v>1013.96873184612</v>
      </c>
      <c r="U10" s="8">
        <f t="shared" si="1"/>
        <v>1013.96873184612</v>
      </c>
      <c r="V10" s="8">
        <f t="shared" si="1"/>
        <v>1013.96873184612</v>
      </c>
      <c r="W10" s="8">
        <f t="shared" si="1"/>
        <v>1013.96873184612</v>
      </c>
      <c r="X10" s="8">
        <f t="shared" si="1"/>
        <v>1013.96873184612</v>
      </c>
      <c r="Y10" s="8">
        <f t="shared" si="1"/>
        <v>1013.96873184612</v>
      </c>
      <c r="Z10" s="8">
        <f t="shared" si="1"/>
        <v>1013.96873184612</v>
      </c>
      <c r="AA10" s="8">
        <f t="shared" si="1"/>
        <v>1013.96873184612</v>
      </c>
      <c r="AB10" s="8">
        <f t="shared" si="1"/>
        <v>1013.96873184612</v>
      </c>
      <c r="AC10" s="8">
        <f t="shared" si="1"/>
        <v>1013.96873184612</v>
      </c>
    </row>
    <row r="15" spans="3:3">
      <c r="C15"/>
    </row>
  </sheetData>
  <pageMargins left="0.75" right="0.75" top="1" bottom="1" header="0.5" footer="0.5"/>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4" tint="-0.249977111117893"/>
  </sheetPr>
  <dimension ref="A1:AD34"/>
  <sheetViews>
    <sheetView zoomScale="70" zoomScaleNormal="70" workbookViewId="0">
      <pane xSplit="5" ySplit="3" topLeftCell="F4" activePane="bottomRight" state="frozen"/>
      <selection/>
      <selection pane="topRight"/>
      <selection pane="bottomLeft"/>
      <selection pane="bottomRight" activeCell="N19" sqref="N19"/>
    </sheetView>
  </sheetViews>
  <sheetFormatPr defaultColWidth="8.89090909090909" defaultRowHeight="16.5"/>
  <cols>
    <col min="1" max="1" width="9.21818181818182" style="48" customWidth="1"/>
    <col min="2" max="2" width="21.6636363636364" style="48" customWidth="1"/>
    <col min="3" max="3" width="33" style="48" customWidth="1"/>
    <col min="4" max="4" width="14.7818181818182" style="48" customWidth="1"/>
    <col min="5" max="5" width="15.4454545454545" style="48" customWidth="1"/>
    <col min="6" max="7" width="6.55454545454545" style="48" customWidth="1"/>
    <col min="8" max="11" width="10" style="131" customWidth="1"/>
    <col min="12" max="15" width="12.2181818181818" style="131" customWidth="1"/>
    <col min="16" max="19" width="12.5545454545455" style="131" customWidth="1"/>
    <col min="20" max="23" width="14.8909090909091" style="131" customWidth="1"/>
    <col min="24" max="27" width="15.2181818181818" style="131" customWidth="1"/>
    <col min="28" max="29" width="17.5545454545455" style="131" customWidth="1"/>
    <col min="30" max="30" width="14.1454545454545" style="48" customWidth="1"/>
    <col min="31" max="16384" width="8.89090909090909" style="48" customWidth="1"/>
  </cols>
  <sheetData>
    <row r="1" ht="22.5" customHeight="1" spans="1:30">
      <c r="A1" s="139" t="s">
        <v>335</v>
      </c>
      <c r="B1" s="139"/>
      <c r="C1" s="139"/>
      <c r="D1" s="139"/>
      <c r="E1" s="139"/>
      <c r="F1" s="139"/>
      <c r="G1" s="139"/>
      <c r="H1" s="140"/>
      <c r="I1" s="140"/>
      <c r="J1" s="140"/>
      <c r="K1"/>
      <c r="L1"/>
      <c r="M1"/>
      <c r="N1"/>
      <c r="O1"/>
      <c r="P1"/>
      <c r="Q1"/>
      <c r="R1"/>
      <c r="S1"/>
      <c r="T1"/>
      <c r="U1"/>
      <c r="V1"/>
      <c r="W1"/>
      <c r="X1"/>
      <c r="Y1"/>
      <c r="Z1"/>
      <c r="AA1"/>
      <c r="AB1"/>
      <c r="AC1"/>
      <c r="AD1"/>
    </row>
    <row r="2" spans="1:30">
      <c r="A2" s="5" t="s">
        <v>1</v>
      </c>
      <c r="B2" s="5" t="s">
        <v>184</v>
      </c>
      <c r="C2" s="5" t="s">
        <v>322</v>
      </c>
      <c r="D2" s="5" t="s">
        <v>323</v>
      </c>
      <c r="E2" s="5" t="s">
        <v>324</v>
      </c>
      <c r="F2" s="29" t="s">
        <v>336</v>
      </c>
      <c r="G2" s="30"/>
      <c r="H2" s="141"/>
      <c r="I2" s="141"/>
      <c r="J2" s="141"/>
      <c r="K2"/>
      <c r="L2"/>
      <c r="M2"/>
      <c r="N2"/>
      <c r="O2"/>
      <c r="P2"/>
      <c r="Q2"/>
      <c r="R2"/>
      <c r="S2"/>
      <c r="T2"/>
      <c r="U2"/>
      <c r="V2"/>
      <c r="W2"/>
      <c r="X2"/>
      <c r="Y2"/>
      <c r="Z2"/>
      <c r="AA2"/>
      <c r="AB2"/>
      <c r="AC2"/>
      <c r="AD2"/>
    </row>
    <row r="3" ht="66" customHeight="1" spans="1:30">
      <c r="A3" s="8"/>
      <c r="B3" s="8"/>
      <c r="C3" s="35" t="s">
        <v>337</v>
      </c>
      <c r="D3" s="142" t="s">
        <v>327</v>
      </c>
      <c r="E3" s="35" t="s">
        <v>338</v>
      </c>
      <c r="F3" s="22">
        <v>2025</v>
      </c>
      <c r="G3" s="22">
        <v>2026</v>
      </c>
      <c r="H3" s="22">
        <v>2027</v>
      </c>
      <c r="I3" s="22">
        <v>2028</v>
      </c>
      <c r="J3" s="22">
        <v>2029</v>
      </c>
      <c r="K3" s="22">
        <v>2030</v>
      </c>
      <c r="L3" s="22">
        <v>2031</v>
      </c>
      <c r="M3" s="22">
        <v>2032</v>
      </c>
      <c r="N3" s="22">
        <v>2033</v>
      </c>
      <c r="O3" s="22">
        <v>2034</v>
      </c>
      <c r="P3" s="22">
        <v>2035</v>
      </c>
      <c r="Q3" s="22">
        <v>2036</v>
      </c>
      <c r="R3" s="22">
        <v>2037</v>
      </c>
      <c r="S3" s="22">
        <v>2038</v>
      </c>
      <c r="T3" s="22">
        <v>2039</v>
      </c>
      <c r="U3" s="22">
        <v>2040</v>
      </c>
      <c r="V3" s="22">
        <v>2041</v>
      </c>
      <c r="W3" s="22">
        <v>2042</v>
      </c>
      <c r="X3" s="22">
        <v>2043</v>
      </c>
      <c r="Y3" s="22">
        <v>2044</v>
      </c>
      <c r="Z3" s="22">
        <v>2045</v>
      </c>
      <c r="AA3" s="22">
        <v>2046</v>
      </c>
      <c r="AB3" s="22">
        <v>2047</v>
      </c>
      <c r="AC3" s="22">
        <v>2048</v>
      </c>
      <c r="AD3"/>
    </row>
    <row r="4" spans="1:30">
      <c r="A4" s="12" t="s">
        <v>329</v>
      </c>
      <c r="B4" s="143" t="s">
        <v>339</v>
      </c>
      <c r="C4" s="144">
        <f>C5+C9</f>
        <v>3141.50943396226</v>
      </c>
      <c r="D4" s="142" t="s">
        <v>162</v>
      </c>
      <c r="E4" s="74">
        <f t="shared" ref="E4:AC4" si="0">E5+E9</f>
        <v>142.795883361921</v>
      </c>
      <c r="F4" s="74">
        <f t="shared" si="0"/>
        <v>0</v>
      </c>
      <c r="G4" s="74">
        <f t="shared" si="0"/>
        <v>0</v>
      </c>
      <c r="H4" s="74">
        <f t="shared" si="0"/>
        <v>2998.71355060034</v>
      </c>
      <c r="I4" s="74">
        <f t="shared" si="0"/>
        <v>2855.91766723842</v>
      </c>
      <c r="J4" s="74">
        <f t="shared" si="0"/>
        <v>2713.1217838765</v>
      </c>
      <c r="K4" s="74">
        <f t="shared" si="0"/>
        <v>2570.32590051458</v>
      </c>
      <c r="L4" s="74">
        <f t="shared" si="0"/>
        <v>2427.53001715266</v>
      </c>
      <c r="M4" s="74">
        <f t="shared" si="0"/>
        <v>2284.73413379074</v>
      </c>
      <c r="N4" s="74">
        <f t="shared" si="0"/>
        <v>2141.93825042882</v>
      </c>
      <c r="O4" s="74">
        <f t="shared" si="0"/>
        <v>1999.1423670669</v>
      </c>
      <c r="P4" s="74">
        <f t="shared" si="0"/>
        <v>1856.34648370497</v>
      </c>
      <c r="Q4" s="74">
        <f t="shared" si="0"/>
        <v>1713.55060034305</v>
      </c>
      <c r="R4" s="74">
        <f t="shared" si="0"/>
        <v>1570.75471698113</v>
      </c>
      <c r="S4" s="74">
        <f t="shared" si="0"/>
        <v>1427.95883361921</v>
      </c>
      <c r="T4" s="74">
        <f t="shared" si="0"/>
        <v>1285.16295025729</v>
      </c>
      <c r="U4" s="74">
        <f t="shared" si="0"/>
        <v>1142.36706689537</v>
      </c>
      <c r="V4" s="74">
        <f t="shared" si="0"/>
        <v>999.571183533447</v>
      </c>
      <c r="W4" s="74">
        <f t="shared" si="0"/>
        <v>856.775300171526</v>
      </c>
      <c r="X4" s="74">
        <f t="shared" si="0"/>
        <v>713.979416809605</v>
      </c>
      <c r="Y4" s="74">
        <f t="shared" si="0"/>
        <v>571.183533447684</v>
      </c>
      <c r="Z4" s="74">
        <f t="shared" si="0"/>
        <v>428.387650085763</v>
      </c>
      <c r="AA4" s="74">
        <f t="shared" si="0"/>
        <v>285.591766723842</v>
      </c>
      <c r="AB4" s="74">
        <f t="shared" si="0"/>
        <v>142.795883361921</v>
      </c>
      <c r="AC4" s="74">
        <f t="shared" si="0"/>
        <v>0</v>
      </c>
      <c r="AD4"/>
    </row>
    <row r="5" spans="1:30">
      <c r="A5" s="8" t="s">
        <v>340</v>
      </c>
      <c r="B5" s="8" t="s">
        <v>341</v>
      </c>
      <c r="C5" s="13">
        <f>SUM(C6:C8)</f>
        <v>3141.50943396226</v>
      </c>
      <c r="D5" s="145" t="s">
        <v>162</v>
      </c>
      <c r="E5" s="13">
        <f t="shared" ref="E5:AC5" si="1">SUM(E6:E8)</f>
        <v>142.795883361921</v>
      </c>
      <c r="F5" s="13">
        <f t="shared" si="1"/>
        <v>0</v>
      </c>
      <c r="G5" s="13">
        <f t="shared" si="1"/>
        <v>0</v>
      </c>
      <c r="H5" s="13">
        <f t="shared" si="1"/>
        <v>2998.71355060034</v>
      </c>
      <c r="I5" s="13">
        <f t="shared" si="1"/>
        <v>2855.91766723842</v>
      </c>
      <c r="J5" s="13">
        <f t="shared" si="1"/>
        <v>2713.1217838765</v>
      </c>
      <c r="K5" s="13">
        <f t="shared" si="1"/>
        <v>2570.32590051458</v>
      </c>
      <c r="L5" s="13">
        <f t="shared" si="1"/>
        <v>2427.53001715266</v>
      </c>
      <c r="M5" s="13">
        <f t="shared" si="1"/>
        <v>2284.73413379074</v>
      </c>
      <c r="N5" s="13">
        <f t="shared" si="1"/>
        <v>2141.93825042882</v>
      </c>
      <c r="O5" s="13">
        <f t="shared" si="1"/>
        <v>1999.1423670669</v>
      </c>
      <c r="P5" s="13">
        <f t="shared" si="1"/>
        <v>1856.34648370497</v>
      </c>
      <c r="Q5" s="13">
        <f t="shared" si="1"/>
        <v>1713.55060034305</v>
      </c>
      <c r="R5" s="13">
        <f t="shared" si="1"/>
        <v>1570.75471698113</v>
      </c>
      <c r="S5" s="13">
        <f t="shared" si="1"/>
        <v>1427.95883361921</v>
      </c>
      <c r="T5" s="13">
        <f t="shared" si="1"/>
        <v>1285.16295025729</v>
      </c>
      <c r="U5" s="13">
        <f t="shared" si="1"/>
        <v>1142.36706689537</v>
      </c>
      <c r="V5" s="13">
        <f t="shared" si="1"/>
        <v>999.571183533447</v>
      </c>
      <c r="W5" s="13">
        <f t="shared" si="1"/>
        <v>856.775300171526</v>
      </c>
      <c r="X5" s="13">
        <f t="shared" si="1"/>
        <v>713.979416809605</v>
      </c>
      <c r="Y5" s="13">
        <f t="shared" si="1"/>
        <v>571.183533447684</v>
      </c>
      <c r="Z5" s="13">
        <f t="shared" si="1"/>
        <v>428.387650085763</v>
      </c>
      <c r="AA5" s="13">
        <f t="shared" si="1"/>
        <v>285.591766723842</v>
      </c>
      <c r="AB5" s="13">
        <f t="shared" si="1"/>
        <v>142.795883361921</v>
      </c>
      <c r="AC5" s="13">
        <f t="shared" si="1"/>
        <v>0</v>
      </c>
      <c r="AD5"/>
    </row>
    <row r="6" spans="1:30">
      <c r="A6" s="8" t="s">
        <v>342</v>
      </c>
      <c r="B6" s="8" t="s">
        <v>343</v>
      </c>
      <c r="C6" s="38">
        <v>0</v>
      </c>
      <c r="D6" s="109">
        <f>1/B项目信息!$D$8*100%</f>
        <v>0.0454545454545455</v>
      </c>
      <c r="E6" s="13">
        <f>C6*D6</f>
        <v>0</v>
      </c>
      <c r="F6" s="13">
        <f>IF(F3-$G$3&gt;0,$C$6-$E$6*(F3-$G$3),0)</f>
        <v>0</v>
      </c>
      <c r="G6" s="13">
        <f>IF(G3-$G$3&gt;0,$C$6-$E$6*(G3-$G$3),0)</f>
        <v>0</v>
      </c>
      <c r="H6" s="38">
        <f>IF(H3-$G$3&gt;0,$C$6-$E$6*(H3-$G$3),0)</f>
        <v>0</v>
      </c>
      <c r="I6" s="38">
        <f>IF(I3-$G$3&gt;0,$C$6-$E$6*(I3-$G$3),0)</f>
        <v>0</v>
      </c>
      <c r="J6" s="38">
        <f>IF(J3-$G$3&gt;0,$C$6-$E$6*(J3-$G$3),0)</f>
        <v>0</v>
      </c>
      <c r="K6" s="38">
        <f>IF(K3-$G$3&gt;0,$C$6-$E$6*(K3-$G$3),0)</f>
        <v>0</v>
      </c>
      <c r="L6" s="38">
        <f>IF(L3-$G$3&gt;0,$C$6-$E$6*(L3-$G$3),0)</f>
        <v>0</v>
      </c>
      <c r="M6" s="38">
        <f>IF(M3-$G$3&gt;0,$C$6-$E$6*(M3-$G$3),0)</f>
        <v>0</v>
      </c>
      <c r="N6" s="38">
        <f>IF(N3-$G$3&gt;0,$C$6-$E$6*(N3-$G$3),0)</f>
        <v>0</v>
      </c>
      <c r="O6" s="38">
        <f>IF(O3-$G$3&gt;0,$C$6-$E$6*(O3-$G$3),0)</f>
        <v>0</v>
      </c>
      <c r="P6" s="38">
        <f>IF(P3-$G$3&gt;0,$C$6-$E$6*(P3-$G$3),0)</f>
        <v>0</v>
      </c>
      <c r="Q6" s="38">
        <f>IF(Q3-$G$3&gt;0,$C$6-$E$6*(Q3-$G$3),0)</f>
        <v>0</v>
      </c>
      <c r="R6" s="38">
        <f>IF(R3-$G$3&gt;0,$C$6-$E$6*(R3-$G$3),0)</f>
        <v>0</v>
      </c>
      <c r="S6" s="38">
        <f>IF(S3-$G$3&gt;0,$C$6-$E$6*(S3-$G$3),0)</f>
        <v>0</v>
      </c>
      <c r="T6" s="38">
        <f>IF(T3-$G$3&gt;0,$C$6-$E$6*(T3-$G$3),0)</f>
        <v>0</v>
      </c>
      <c r="U6" s="38">
        <f>IF(U3-$G$3&gt;0,$C$6-$E$6*(U3-$G$3),0)</f>
        <v>0</v>
      </c>
      <c r="V6" s="38">
        <f>IF(V3-$G$3&gt;0,$C$6-$E$6*(V3-$G$3),0)</f>
        <v>0</v>
      </c>
      <c r="W6" s="38">
        <f>IF(W3-$G$3&gt;0,$C$6-$E$6*(W3-$G$3),0)</f>
        <v>0</v>
      </c>
      <c r="X6" s="38">
        <f>IF(X3-$G$3&gt;0,$C$6-$E$6*(X3-$G$3),0)</f>
        <v>0</v>
      </c>
      <c r="Y6" s="38">
        <f>IF(Y3-$G$3&gt;0,$C$6-$E$6*(Y3-$G$3),0)</f>
        <v>0</v>
      </c>
      <c r="Z6" s="38">
        <f>IF(Z3-$G$3&gt;0,$C$6-$E$6*(Z3-$G$3),0)</f>
        <v>0</v>
      </c>
      <c r="AA6" s="38">
        <f>IF(AA3-$G$3&gt;0,$C$6-$E$6*(AA3-$G$3),0)</f>
        <v>0</v>
      </c>
      <c r="AB6" s="38">
        <f>IF(AB3-$G$3&gt;0,$C$6-$E$6*(AB3-$G$3),0)</f>
        <v>0</v>
      </c>
      <c r="AC6" s="38">
        <f>IF(AC3-$G$3&gt;0,$C$6-$E$6*(AC3-$G$3),0)</f>
        <v>0</v>
      </c>
      <c r="AD6"/>
    </row>
    <row r="7" spans="1:30">
      <c r="A7" s="8" t="s">
        <v>344</v>
      </c>
      <c r="B7" s="8" t="s">
        <v>345</v>
      </c>
      <c r="C7" s="38">
        <v>0</v>
      </c>
      <c r="D7" s="109">
        <f>1/B项目信息!$D$8*100%</f>
        <v>0.0454545454545455</v>
      </c>
      <c r="E7" s="13">
        <f>C7*D7</f>
        <v>0</v>
      </c>
      <c r="F7" s="13">
        <f>IF(F3-$G$3&gt;0,$C$7-$E$7*(F3-$G$3),0)</f>
        <v>0</v>
      </c>
      <c r="G7" s="13">
        <f>IF(G3-$G$3&gt;0,$C$7-$E$7*(G3-$G$3),0)</f>
        <v>0</v>
      </c>
      <c r="H7" s="38">
        <f>IF(H3-$G$3&gt;0,$C$7-$E$7*(H3-$G$3),0)</f>
        <v>0</v>
      </c>
      <c r="I7" s="38">
        <f>IF(I3-$G$3&gt;0,$C$7-$E$7*(I3-$G$3),0)</f>
        <v>0</v>
      </c>
      <c r="J7" s="38">
        <f>IF(J3-$G$3&gt;0,$C$7-$E$7*(J3-$G$3),0)</f>
        <v>0</v>
      </c>
      <c r="K7" s="38">
        <f>IF(K3-$G$3&gt;0,$C$7-$E$7*(K3-$G$3),0)</f>
        <v>0</v>
      </c>
      <c r="L7" s="38">
        <f>IF(L3-$G$3&gt;0,$C$7-$E$7*(L3-$G$3),0)</f>
        <v>0</v>
      </c>
      <c r="M7" s="38">
        <f>IF(M3-$G$3&gt;0,$C$7-$E$7*(M3-$G$3),0)</f>
        <v>0</v>
      </c>
      <c r="N7" s="38">
        <f>IF(N3-$G$3&gt;0,$C$7-$E$7*(N3-$G$3),0)</f>
        <v>0</v>
      </c>
      <c r="O7" s="38">
        <f>IF(O3-$G$3&gt;0,$C$7-$E$7*(O3-$G$3),0)</f>
        <v>0</v>
      </c>
      <c r="P7" s="38">
        <f>IF(P3-$G$3&gt;0,$C$7-$E$7*(P3-$G$3),0)</f>
        <v>0</v>
      </c>
      <c r="Q7" s="38">
        <f>IF(Q3-$G$3&gt;0,$C$7-$E$7*(Q3-$G$3),0)</f>
        <v>0</v>
      </c>
      <c r="R7" s="38">
        <f>IF(R3-$G$3&gt;0,$C$7-$E$7*(R3-$G$3),0)</f>
        <v>0</v>
      </c>
      <c r="S7" s="38">
        <f>IF(S3-$G$3&gt;0,$C$7-$E$7*(S3-$G$3),0)</f>
        <v>0</v>
      </c>
      <c r="T7" s="38">
        <f>IF(T3-$G$3&gt;0,$C$7-$E$7*(T3-$G$3),0)</f>
        <v>0</v>
      </c>
      <c r="U7" s="38">
        <f>IF(U3-$G$3&gt;0,$C$7-$E$7*(U3-$G$3),0)</f>
        <v>0</v>
      </c>
      <c r="V7" s="38">
        <f>IF(V3-$G$3&gt;0,$C$7-$E$7*(V3-$G$3),0)</f>
        <v>0</v>
      </c>
      <c r="W7" s="38">
        <f>IF(W3-$G$3&gt;0,$C$7-$E$7*(W3-$G$3),0)</f>
        <v>0</v>
      </c>
      <c r="X7" s="38">
        <f>IF(X3-$G$3&gt;0,$C$7-$E$7*(X3-$G$3),0)</f>
        <v>0</v>
      </c>
      <c r="Y7" s="38">
        <f>IF(Y3-$G$3&gt;0,$C$7-$E$7*(Y3-$G$3),0)</f>
        <v>0</v>
      </c>
      <c r="Z7" s="38">
        <f>IF(Z3-$G$3&gt;0,$C$7-$E$7*(Z3-$G$3),0)</f>
        <v>0</v>
      </c>
      <c r="AA7" s="38">
        <f>IF(AA3-$G$3&gt;0,$C$7-$E$7*(AA3-$G$3),0)</f>
        <v>0</v>
      </c>
      <c r="AB7" s="38">
        <f>IF(AB3-$G$3&gt;0,$C$7-$E$7*(AB3-$G$3),0)</f>
        <v>0</v>
      </c>
      <c r="AC7" s="38">
        <f>IF(AC3-$G$3&gt;0,$C$7-$E$7*(AC3-$G$3),0)</f>
        <v>0</v>
      </c>
      <c r="AD7"/>
    </row>
    <row r="8" spans="1:30">
      <c r="A8" s="8" t="s">
        <v>346</v>
      </c>
      <c r="B8" s="35" t="s">
        <v>347</v>
      </c>
      <c r="C8" s="79">
        <f>E.4建设投资税后金额表!I10+E.4建设投资税后金额表!I11+E.4建设投资税后金额表!I12+E.4建设投资税后金额表!J10+E.4建设投资税后金额表!J11+E.4建设投资税后金额表!J12</f>
        <v>3141.50943396226</v>
      </c>
      <c r="D8" s="109">
        <f>1/B项目信息!$D$8*100%</f>
        <v>0.0454545454545455</v>
      </c>
      <c r="E8" s="13">
        <f>C8*D8</f>
        <v>142.795883361921</v>
      </c>
      <c r="F8" s="13">
        <f>IF(F3-$G$3&gt;0,$C$8-$E$8*(F3-$G$3),0)</f>
        <v>0</v>
      </c>
      <c r="G8" s="13">
        <f>IF(G3-$G$3&gt;0,$C$8-$E$8*(G3-$G$3),0)</f>
        <v>0</v>
      </c>
      <c r="H8" s="38">
        <f>IF(H3-$G$3&gt;0,$C$8-$E$8*(H3-$G$3),0)</f>
        <v>2998.71355060034</v>
      </c>
      <c r="I8" s="38">
        <f>IF(I3-$G$3&gt;0,$C$8-$E$8*(I3-$G$3),0)</f>
        <v>2855.91766723842</v>
      </c>
      <c r="J8" s="38">
        <f>IF(J3-$G$3&gt;0,$C$8-$E$8*(J3-$G$3),0)</f>
        <v>2713.1217838765</v>
      </c>
      <c r="K8" s="38">
        <f>IF(K3-$G$3&gt;0,$C$8-$E$8*(K3-$G$3),0)</f>
        <v>2570.32590051458</v>
      </c>
      <c r="L8" s="38">
        <f>IF(L3-$G$3&gt;0,$C$8-$E$8*(L3-$G$3),0)</f>
        <v>2427.53001715266</v>
      </c>
      <c r="M8" s="38">
        <f>IF(M3-$G$3&gt;0,$C$8-$E$8*(M3-$G$3),0)</f>
        <v>2284.73413379074</v>
      </c>
      <c r="N8" s="38">
        <f>IF(N3-$G$3&gt;0,$C$8-$E$8*(N3-$G$3),0)</f>
        <v>2141.93825042882</v>
      </c>
      <c r="O8" s="38">
        <f>IF(O3-$G$3&gt;0,$C$8-$E$8*(O3-$G$3),0)</f>
        <v>1999.1423670669</v>
      </c>
      <c r="P8" s="38">
        <f>IF(P3-$G$3&gt;0,$C$8-$E$8*(P3-$G$3),0)</f>
        <v>1856.34648370497</v>
      </c>
      <c r="Q8" s="38">
        <f>IF(Q3-$G$3&gt;0,$C$8-$E$8*(Q3-$G$3),0)</f>
        <v>1713.55060034305</v>
      </c>
      <c r="R8" s="38">
        <f>IF(R3-$G$3&gt;0,$C$8-$E$8*(R3-$G$3),0)</f>
        <v>1570.75471698113</v>
      </c>
      <c r="S8" s="38">
        <f>IF(S3-$G$3&gt;0,$C$8-$E$8*(S3-$G$3),0)</f>
        <v>1427.95883361921</v>
      </c>
      <c r="T8" s="38">
        <f>IF(T3-$G$3&gt;0,$C$8-$E$8*(T3-$G$3),0)</f>
        <v>1285.16295025729</v>
      </c>
      <c r="U8" s="38">
        <f>IF(U3-$G$3&gt;0,$C$8-$E$8*(U3-$G$3),0)</f>
        <v>1142.36706689537</v>
      </c>
      <c r="V8" s="38">
        <f>IF(V3-$G$3&gt;0,$C$8-$E$8*(V3-$G$3),0)</f>
        <v>999.571183533447</v>
      </c>
      <c r="W8" s="38">
        <f>IF(W3-$G$3&gt;0,$C$8-$E$8*(W3-$G$3),0)</f>
        <v>856.775300171526</v>
      </c>
      <c r="X8" s="38">
        <f>IF(X3-$G$3&gt;0,$C$8-$E$8*(X3-$G$3),0)</f>
        <v>713.979416809605</v>
      </c>
      <c r="Y8" s="38">
        <f>IF(Y3-$G$3&gt;0,$C$8-$E$8*(Y3-$G$3),0)</f>
        <v>571.183533447684</v>
      </c>
      <c r="Z8" s="38">
        <f>IF(Z3-$G$3&gt;0,$C$8-$E$8*(Z3-$G$3),0)</f>
        <v>428.387650085763</v>
      </c>
      <c r="AA8" s="38">
        <f>IF(AA3-$G$3&gt;0,$C$8-$E$8*(AA3-$G$3),0)</f>
        <v>285.591766723842</v>
      </c>
      <c r="AB8" s="38">
        <f>IF(AB3-$G$3&gt;0,$C$8-$E$8*(AB3-$G$3),0)</f>
        <v>142.795883361921</v>
      </c>
      <c r="AC8" s="38">
        <f>IF(AC3-$G$3&gt;0,$C$8-$E$8*(AC3-$G$3),0)</f>
        <v>0</v>
      </c>
      <c r="AD8"/>
    </row>
    <row r="9" spans="1:30">
      <c r="A9" s="8" t="s">
        <v>348</v>
      </c>
      <c r="B9" s="8" t="s">
        <v>349</v>
      </c>
      <c r="C9" s="13">
        <f>C10</f>
        <v>0</v>
      </c>
      <c r="D9" s="146" t="s">
        <v>162</v>
      </c>
      <c r="E9" s="13">
        <f t="shared" ref="E9:AC9" si="2">E10</f>
        <v>0</v>
      </c>
      <c r="F9" s="13">
        <f t="shared" si="2"/>
        <v>0</v>
      </c>
      <c r="G9" s="13">
        <f t="shared" si="2"/>
        <v>0</v>
      </c>
      <c r="H9" s="13">
        <f t="shared" si="2"/>
        <v>0</v>
      </c>
      <c r="I9" s="13">
        <f t="shared" si="2"/>
        <v>0</v>
      </c>
      <c r="J9" s="13">
        <f t="shared" si="2"/>
        <v>0</v>
      </c>
      <c r="K9" s="13">
        <f t="shared" si="2"/>
        <v>0</v>
      </c>
      <c r="L9" s="13">
        <f t="shared" si="2"/>
        <v>0</v>
      </c>
      <c r="M9" s="13">
        <f t="shared" si="2"/>
        <v>0</v>
      </c>
      <c r="N9" s="13">
        <f t="shared" si="2"/>
        <v>0</v>
      </c>
      <c r="O9" s="13">
        <f t="shared" si="2"/>
        <v>0</v>
      </c>
      <c r="P9" s="13">
        <f t="shared" si="2"/>
        <v>0</v>
      </c>
      <c r="Q9" s="13">
        <f t="shared" si="2"/>
        <v>0</v>
      </c>
      <c r="R9" s="13">
        <f t="shared" si="2"/>
        <v>0</v>
      </c>
      <c r="S9" s="13">
        <f t="shared" si="2"/>
        <v>0</v>
      </c>
      <c r="T9" s="13">
        <f t="shared" si="2"/>
        <v>0</v>
      </c>
      <c r="U9" s="13">
        <f t="shared" si="2"/>
        <v>0</v>
      </c>
      <c r="V9" s="13">
        <f t="shared" si="2"/>
        <v>0</v>
      </c>
      <c r="W9" s="13">
        <f t="shared" si="2"/>
        <v>0</v>
      </c>
      <c r="X9" s="13">
        <f t="shared" si="2"/>
        <v>0</v>
      </c>
      <c r="Y9" s="13">
        <f t="shared" si="2"/>
        <v>0</v>
      </c>
      <c r="Z9" s="13">
        <f t="shared" si="2"/>
        <v>0</v>
      </c>
      <c r="AA9" s="13">
        <f t="shared" si="2"/>
        <v>0</v>
      </c>
      <c r="AB9" s="13">
        <f t="shared" si="2"/>
        <v>0</v>
      </c>
      <c r="AC9" s="13">
        <f t="shared" si="2"/>
        <v>0</v>
      </c>
      <c r="AD9"/>
    </row>
    <row r="10" spans="1:30">
      <c r="A10" s="8" t="s">
        <v>193</v>
      </c>
      <c r="B10" s="8" t="s">
        <v>350</v>
      </c>
      <c r="C10" s="38">
        <v>0</v>
      </c>
      <c r="D10" s="109">
        <f>1/B项目信息!$D$8*100%</f>
        <v>0.0454545454545455</v>
      </c>
      <c r="E10" s="13">
        <f>C10*D10</f>
        <v>0</v>
      </c>
      <c r="F10" s="13">
        <f>IF(F3-$G$3&gt;0,$C$10-$E$10*(F3-$G$3),0)</f>
        <v>0</v>
      </c>
      <c r="G10" s="13">
        <f>IF(G3-$G$3&gt;0,$C$10-$E$10*(G3-$G$3),0)</f>
        <v>0</v>
      </c>
      <c r="H10" s="38">
        <f>IF(H3-$G$3&gt;0,$C$10-$E$10*(H3-$G$3),0)</f>
        <v>0</v>
      </c>
      <c r="I10" s="38">
        <f>IF(I3-$G$3&gt;0,$C$10-$E$10*(I3-$G$3),0)</f>
        <v>0</v>
      </c>
      <c r="J10" s="38">
        <f>IF(J3-$G$3&gt;0,$C$10-$E$10*(J3-$G$3),0)</f>
        <v>0</v>
      </c>
      <c r="K10" s="38">
        <f>IF(K3-$G$3&gt;0,$C$10-$E$10*(K3-$G$3),0)</f>
        <v>0</v>
      </c>
      <c r="L10" s="38">
        <f>IF(L3-$G$3&gt;0,$C$10-$E$10*(L3-$G$3),0)</f>
        <v>0</v>
      </c>
      <c r="M10" s="38">
        <f>IF(M3-$G$3&gt;0,$C$10-$E$10*(M3-$G$3),0)</f>
        <v>0</v>
      </c>
      <c r="N10" s="38">
        <f>IF(N3-$G$3&gt;0,$C$10-$E$10*(N3-$G$3),0)</f>
        <v>0</v>
      </c>
      <c r="O10" s="38">
        <f>IF(O3-$G$3&gt;0,$C$10-$E$10*(O3-$G$3),0)</f>
        <v>0</v>
      </c>
      <c r="P10" s="38">
        <f>IF(P3-$G$3&gt;0,$C$10-$E$10*(P3-$G$3),0)</f>
        <v>0</v>
      </c>
      <c r="Q10" s="38">
        <f>IF(Q3-$G$3&gt;0,$C$10-$E$10*(Q3-$G$3),0)</f>
        <v>0</v>
      </c>
      <c r="R10" s="38">
        <f>IF(R3-$G$3&gt;0,$C$10-$E$10*(R3-$G$3),0)</f>
        <v>0</v>
      </c>
      <c r="S10" s="38">
        <f>IF(S3-$G$3&gt;0,$C$10-$E$10*(S3-$G$3),0)</f>
        <v>0</v>
      </c>
      <c r="T10" s="38">
        <f>IF(T3-$G$3&gt;0,$C$10-$E$10*(T3-$G$3),0)</f>
        <v>0</v>
      </c>
      <c r="U10" s="38">
        <f>IF(U3-$G$3&gt;0,$C$10-$E$10*(U3-$G$3),0)</f>
        <v>0</v>
      </c>
      <c r="V10" s="38">
        <f>IF(V3-$G$3&gt;0,$C$10-$E$10*(V3-$G$3),0)</f>
        <v>0</v>
      </c>
      <c r="W10" s="38">
        <f>IF(W3-$G$3&gt;0,$C$10-$E$10*(W3-$G$3),0)</f>
        <v>0</v>
      </c>
      <c r="X10" s="38">
        <f>IF(X3-$G$3&gt;0,$C$10-$E$10*(X3-$G$3),0)</f>
        <v>0</v>
      </c>
      <c r="Y10" s="38">
        <f>IF(Y3-$G$3&gt;0,$C$10-$E$10*(Y3-$G$3),0)</f>
        <v>0</v>
      </c>
      <c r="Z10" s="38">
        <f>IF(Z3-$G$3&gt;0,$C$10-$E$10*(Z3-$G$3),0)</f>
        <v>0</v>
      </c>
      <c r="AA10" s="38">
        <f>IF(AA3-$G$3&gt;0,$C$10-$E$10*(AA3-$G$3),0)</f>
        <v>0</v>
      </c>
      <c r="AB10" s="38">
        <f>IF(AB3-$G$3&gt;0,$C$10-$E$10*(AB3-$G$3),0)</f>
        <v>0</v>
      </c>
      <c r="AC10" s="38">
        <f>IF(AC3-$G$3&gt;0,$C$10-$E$10*(AC3-$G$3),0)</f>
        <v>0</v>
      </c>
      <c r="AD10"/>
    </row>
    <row r="11" spans="1:30">
      <c r="A11" s="12" t="s">
        <v>331</v>
      </c>
      <c r="B11" s="143" t="s">
        <v>351</v>
      </c>
      <c r="C11" s="13">
        <f>C12+C16</f>
        <v>1518.8679245283</v>
      </c>
      <c r="D11" s="39" t="s">
        <v>162</v>
      </c>
      <c r="E11" s="13">
        <f t="shared" ref="E11:AC11" si="3">E12+E16</f>
        <v>75.9433962264151</v>
      </c>
      <c r="F11" s="13">
        <f t="shared" si="3"/>
        <v>0</v>
      </c>
      <c r="G11" s="13">
        <f t="shared" si="3"/>
        <v>0</v>
      </c>
      <c r="H11" s="13">
        <f t="shared" si="3"/>
        <v>0</v>
      </c>
      <c r="I11" s="13">
        <f t="shared" si="3"/>
        <v>0</v>
      </c>
      <c r="J11" s="13">
        <f t="shared" si="3"/>
        <v>1442.92452830189</v>
      </c>
      <c r="K11" s="13">
        <f t="shared" si="3"/>
        <v>1366.98113207547</v>
      </c>
      <c r="L11" s="13">
        <f t="shared" si="3"/>
        <v>1291.03773584906</v>
      </c>
      <c r="M11" s="13">
        <f t="shared" si="3"/>
        <v>1215.09433962264</v>
      </c>
      <c r="N11" s="13">
        <f t="shared" si="3"/>
        <v>1139.15094339623</v>
      </c>
      <c r="O11" s="13">
        <f t="shared" si="3"/>
        <v>1063.20754716981</v>
      </c>
      <c r="P11" s="13">
        <f t="shared" si="3"/>
        <v>987.264150943396</v>
      </c>
      <c r="Q11" s="13">
        <f t="shared" si="3"/>
        <v>911.320754716981</v>
      </c>
      <c r="R11" s="13">
        <f t="shared" si="3"/>
        <v>835.377358490566</v>
      </c>
      <c r="S11" s="13">
        <f t="shared" si="3"/>
        <v>759.433962264151</v>
      </c>
      <c r="T11" s="13">
        <f t="shared" si="3"/>
        <v>683.490566037736</v>
      </c>
      <c r="U11" s="13">
        <f t="shared" si="3"/>
        <v>607.547169811321</v>
      </c>
      <c r="V11" s="13">
        <f t="shared" si="3"/>
        <v>531.603773584906</v>
      </c>
      <c r="W11" s="13">
        <f t="shared" si="3"/>
        <v>455.66037735849</v>
      </c>
      <c r="X11" s="13">
        <f t="shared" si="3"/>
        <v>379.716981132075</v>
      </c>
      <c r="Y11" s="13">
        <f t="shared" si="3"/>
        <v>303.77358490566</v>
      </c>
      <c r="Z11" s="13">
        <f t="shared" si="3"/>
        <v>227.830188679245</v>
      </c>
      <c r="AA11" s="13">
        <f t="shared" si="3"/>
        <v>151.88679245283</v>
      </c>
      <c r="AB11" s="13">
        <f t="shared" si="3"/>
        <v>75.943396226415</v>
      </c>
      <c r="AC11" s="13">
        <f t="shared" si="3"/>
        <v>0</v>
      </c>
      <c r="AD11"/>
    </row>
    <row r="12" spans="1:30">
      <c r="A12" s="8" t="s">
        <v>352</v>
      </c>
      <c r="B12" s="8" t="s">
        <v>341</v>
      </c>
      <c r="C12" s="13">
        <f>SUM(C13:C15)</f>
        <v>1518.8679245283</v>
      </c>
      <c r="D12" s="39" t="s">
        <v>162</v>
      </c>
      <c r="E12" s="13">
        <f t="shared" ref="E12:AC12" si="4">SUM(E13:E15)</f>
        <v>75.9433962264151</v>
      </c>
      <c r="F12" s="13">
        <f t="shared" si="4"/>
        <v>0</v>
      </c>
      <c r="G12" s="13">
        <f t="shared" si="4"/>
        <v>0</v>
      </c>
      <c r="H12" s="13">
        <f t="shared" si="4"/>
        <v>0</v>
      </c>
      <c r="I12" s="38">
        <f t="shared" si="4"/>
        <v>0</v>
      </c>
      <c r="J12" s="38">
        <f t="shared" si="4"/>
        <v>1442.92452830189</v>
      </c>
      <c r="K12" s="38">
        <f t="shared" si="4"/>
        <v>1366.98113207547</v>
      </c>
      <c r="L12" s="38">
        <f t="shared" si="4"/>
        <v>1291.03773584906</v>
      </c>
      <c r="M12" s="38">
        <f t="shared" si="4"/>
        <v>1215.09433962264</v>
      </c>
      <c r="N12" s="38">
        <f t="shared" si="4"/>
        <v>1139.15094339623</v>
      </c>
      <c r="O12" s="38">
        <f t="shared" si="4"/>
        <v>1063.20754716981</v>
      </c>
      <c r="P12" s="38">
        <f t="shared" si="4"/>
        <v>987.264150943396</v>
      </c>
      <c r="Q12" s="38">
        <f t="shared" si="4"/>
        <v>911.320754716981</v>
      </c>
      <c r="R12" s="38">
        <f t="shared" si="4"/>
        <v>835.377358490566</v>
      </c>
      <c r="S12" s="38">
        <f t="shared" si="4"/>
        <v>759.433962264151</v>
      </c>
      <c r="T12" s="38">
        <f t="shared" si="4"/>
        <v>683.490566037736</v>
      </c>
      <c r="U12" s="38">
        <f t="shared" si="4"/>
        <v>607.547169811321</v>
      </c>
      <c r="V12" s="38">
        <f t="shared" si="4"/>
        <v>531.603773584906</v>
      </c>
      <c r="W12" s="38">
        <f t="shared" si="4"/>
        <v>455.66037735849</v>
      </c>
      <c r="X12" s="38">
        <f t="shared" si="4"/>
        <v>379.716981132075</v>
      </c>
      <c r="Y12" s="38">
        <f t="shared" si="4"/>
        <v>303.77358490566</v>
      </c>
      <c r="Z12" s="38">
        <f t="shared" si="4"/>
        <v>227.830188679245</v>
      </c>
      <c r="AA12" s="38">
        <f t="shared" si="4"/>
        <v>151.88679245283</v>
      </c>
      <c r="AB12" s="38">
        <f t="shared" si="4"/>
        <v>75.943396226415</v>
      </c>
      <c r="AC12" s="38">
        <f t="shared" si="4"/>
        <v>0</v>
      </c>
      <c r="AD12"/>
    </row>
    <row r="13" spans="1:30">
      <c r="A13" s="8" t="s">
        <v>150</v>
      </c>
      <c r="B13" s="8" t="s">
        <v>343</v>
      </c>
      <c r="C13" s="38">
        <v>0</v>
      </c>
      <c r="D13" s="109">
        <f>1/B项目信息!$D$14*100%</f>
        <v>0.05</v>
      </c>
      <c r="E13" s="13">
        <f>C13*D13</f>
        <v>0</v>
      </c>
      <c r="F13" s="13">
        <f>IF(F3-$I$3&gt;0,$C$13-$E$13*(F3-$I$3),0)</f>
        <v>0</v>
      </c>
      <c r="G13" s="13">
        <f>IF(G3-$I$3&gt;0,$C$13-$E$13*(G3-$I$3),0)</f>
        <v>0</v>
      </c>
      <c r="H13" s="13">
        <f>IF(H3-$I$3&gt;0,$C$13-$E$13*(H3-$I$3),0)</f>
        <v>0</v>
      </c>
      <c r="I13" s="38">
        <f>IF(I3-$I$3&gt;0,$C$13-$E$13*(I3-$I$3),0)</f>
        <v>0</v>
      </c>
      <c r="J13" s="38">
        <f>IF(J3-$I$3&gt;0,$C$13-$E$13*(J3-$I$3),0)</f>
        <v>0</v>
      </c>
      <c r="K13" s="38">
        <f>IF(K3-$I$3&gt;0,$C$13-$E$13*(K3-$I$3),0)</f>
        <v>0</v>
      </c>
      <c r="L13" s="38">
        <f>IF(L3-$I$3&gt;0,$C$13-$E$13*(L3-$I$3),0)</f>
        <v>0</v>
      </c>
      <c r="M13" s="38">
        <f>IF(M3-$I$3&gt;0,$C$13-$E$13*(M3-$I$3),0)</f>
        <v>0</v>
      </c>
      <c r="N13" s="38">
        <f>IF(N3-$I$3&gt;0,$C$13-$E$13*(N3-$I$3),0)</f>
        <v>0</v>
      </c>
      <c r="O13" s="38">
        <f>IF(O3-$I$3&gt;0,$C$13-$E$13*(O3-$I$3),0)</f>
        <v>0</v>
      </c>
      <c r="P13" s="38">
        <f>IF(P3-$I$3&gt;0,$C$13-$E$13*(P3-$I$3),0)</f>
        <v>0</v>
      </c>
      <c r="Q13" s="38">
        <f>IF(Q3-$I$3&gt;0,$C$13-$E$13*(Q3-$I$3),0)</f>
        <v>0</v>
      </c>
      <c r="R13" s="38">
        <f>IF(R3-$I$3&gt;0,$C$13-$E$13*(R3-$I$3),0)</f>
        <v>0</v>
      </c>
      <c r="S13" s="38">
        <f>IF(S3-$I$3&gt;0,$C$13-$E$13*(S3-$I$3),0)</f>
        <v>0</v>
      </c>
      <c r="T13" s="38">
        <f>IF(T3-$I$3&gt;0,$C$13-$E$13*(T3-$I$3),0)</f>
        <v>0</v>
      </c>
      <c r="U13" s="38">
        <f>IF(U3-$I$3&gt;0,$C$13-$E$13*(U3-$I$3),0)</f>
        <v>0</v>
      </c>
      <c r="V13" s="38">
        <f>IF(V3-$I$3&gt;0,$C$13-$E$13*(V3-$I$3),0)</f>
        <v>0</v>
      </c>
      <c r="W13" s="38">
        <f>IF(W3-$I$3&gt;0,$C$13-$E$13*(W3-$I$3),0)</f>
        <v>0</v>
      </c>
      <c r="X13" s="38">
        <f>IF(X3-$I$3&gt;0,$C$13-$E$13*(X3-$I$3),0)</f>
        <v>0</v>
      </c>
      <c r="Y13" s="38">
        <f>IF(Y3-$I$3&gt;0,$C$13-$E$13*(Y3-$I$3),0)</f>
        <v>0</v>
      </c>
      <c r="Z13" s="38">
        <f>IF(Z3-$I$3&gt;0,$C$13-$E$13*(Z3-$I$3),0)</f>
        <v>0</v>
      </c>
      <c r="AA13" s="38">
        <f>IF(AA3-$I$3&gt;0,$C$13-$E$13*(AA3-$I$3),0)</f>
        <v>0</v>
      </c>
      <c r="AB13" s="38">
        <f>IF(AB3-$I$3&gt;0,$C$13-$E$13*(AB3-$I$3),0)</f>
        <v>0</v>
      </c>
      <c r="AC13" s="38">
        <f>IF(AC3-$I$3&gt;0,$C$13-$E$13*(AC3-$I$3),0)</f>
        <v>0</v>
      </c>
      <c r="AD13"/>
    </row>
    <row r="14" spans="1:30">
      <c r="A14" s="8" t="s">
        <v>152</v>
      </c>
      <c r="B14" s="8" t="s">
        <v>345</v>
      </c>
      <c r="C14" s="38">
        <v>0</v>
      </c>
      <c r="D14" s="109">
        <f>1/B项目信息!$D$14*100%</f>
        <v>0.05</v>
      </c>
      <c r="E14" s="13">
        <f>C14*D14</f>
        <v>0</v>
      </c>
      <c r="F14" s="13">
        <f>IF(F3-$I$3&gt;0,$C$14-$E$14*(F3-$I$3),0)</f>
        <v>0</v>
      </c>
      <c r="G14" s="13">
        <f>IF(G3-$I$3&gt;0,$C$14-$E$14*(G3-$I$3),0)</f>
        <v>0</v>
      </c>
      <c r="H14" s="13">
        <f>IF(H3-$I$3&gt;0,$C$14-$E$14*(H3-$I$3),0)</f>
        <v>0</v>
      </c>
      <c r="I14" s="38">
        <f>IF(I3-$I$3&gt;0,$C$14-$E$14*(I3-$I$3),0)</f>
        <v>0</v>
      </c>
      <c r="J14" s="38">
        <f>IF(J3-$I$3&gt;0,$C$14-$E$14*(J3-$I$3),0)</f>
        <v>0</v>
      </c>
      <c r="K14" s="38">
        <f>IF(K3-$I$3&gt;0,$C$14-$E$14*(K3-$I$3),0)</f>
        <v>0</v>
      </c>
      <c r="L14" s="38">
        <f>IF(L3-$I$3&gt;0,$C$14-$E$14*(L3-$I$3),0)</f>
        <v>0</v>
      </c>
      <c r="M14" s="38">
        <f>IF(M3-$I$3&gt;0,$C$14-$E$14*(M3-$I$3),0)</f>
        <v>0</v>
      </c>
      <c r="N14" s="38">
        <f>IF(N3-$I$3&gt;0,$C$14-$E$14*(N3-$I$3),0)</f>
        <v>0</v>
      </c>
      <c r="O14" s="38">
        <f>IF(O3-$I$3&gt;0,$C$14-$E$14*(O3-$I$3),0)</f>
        <v>0</v>
      </c>
      <c r="P14" s="38">
        <f>IF(P3-$I$3&gt;0,$C$14-$E$14*(P3-$I$3),0)</f>
        <v>0</v>
      </c>
      <c r="Q14" s="38">
        <f>IF(Q3-$I$3&gt;0,$C$14-$E$14*(Q3-$I$3),0)</f>
        <v>0</v>
      </c>
      <c r="R14" s="38">
        <f>IF(R3-$I$3&gt;0,$C$14-$E$14*(R3-$I$3),0)</f>
        <v>0</v>
      </c>
      <c r="S14" s="38">
        <f>IF(S3-$I$3&gt;0,$C$14-$E$14*(S3-$I$3),0)</f>
        <v>0</v>
      </c>
      <c r="T14" s="38">
        <f>IF(T3-$I$3&gt;0,$C$14-$E$14*(T3-$I$3),0)</f>
        <v>0</v>
      </c>
      <c r="U14" s="38">
        <f>IF(U3-$I$3&gt;0,$C$14-$E$14*(U3-$I$3),0)</f>
        <v>0</v>
      </c>
      <c r="V14" s="38">
        <f>IF(V3-$I$3&gt;0,$C$14-$E$14*(V3-$I$3),0)</f>
        <v>0</v>
      </c>
      <c r="W14" s="38">
        <f>IF(W3-$I$3&gt;0,$C$14-$E$14*(W3-$I$3),0)</f>
        <v>0</v>
      </c>
      <c r="X14" s="38">
        <f>IF(X3-$I$3&gt;0,$C$14-$E$14*(X3-$I$3),0)</f>
        <v>0</v>
      </c>
      <c r="Y14" s="38">
        <f>IF(Y3-$I$3&gt;0,$C$14-$E$14*(Y3-$I$3),0)</f>
        <v>0</v>
      </c>
      <c r="Z14" s="38">
        <f>IF(Z3-$I$3&gt;0,$C$14-$E$14*(Z3-$I$3),0)</f>
        <v>0</v>
      </c>
      <c r="AA14" s="38">
        <f>IF(AA3-$I$3&gt;0,$C$14-$E$14*(AA3-$I$3),0)</f>
        <v>0</v>
      </c>
      <c r="AB14" s="38">
        <f>IF(AB3-$I$3&gt;0,$C$14-$E$14*(AB3-$I$3),0)</f>
        <v>0</v>
      </c>
      <c r="AC14" s="38">
        <f>IF(AC3-$I$3&gt;0,$C$14-$E$14*(AC3-$I$3),0)</f>
        <v>0</v>
      </c>
      <c r="AD14"/>
    </row>
    <row r="15" spans="1:30">
      <c r="A15" s="8" t="s">
        <v>154</v>
      </c>
      <c r="B15" s="35" t="s">
        <v>347</v>
      </c>
      <c r="C15" s="38">
        <f>E.4建设投资税后金额表!K10+E.4建设投资税后金额表!K11+E.4建设投资税后金额表!K12+E.4建设投资税后金额表!L10+E.4建设投资税后金额表!L11+E.4建设投资税后金额表!L12</f>
        <v>1518.8679245283</v>
      </c>
      <c r="D15" s="109">
        <f>1/B项目信息!$D$14*100%</f>
        <v>0.05</v>
      </c>
      <c r="E15" s="13">
        <f>C15*D15</f>
        <v>75.9433962264151</v>
      </c>
      <c r="F15" s="13">
        <f>IF(F3-$I$3&gt;0,$C$15-$E$15*(F3-$I$3),0)</f>
        <v>0</v>
      </c>
      <c r="G15" s="13">
        <f>IF(G3-$I$3&gt;0,$C$15-$E$15*(G3-$I$3),0)</f>
        <v>0</v>
      </c>
      <c r="H15" s="13">
        <f>IF(H3-$I$3&gt;0,$C$15-$E$15*(H3-$I$3),0)</f>
        <v>0</v>
      </c>
      <c r="I15" s="38">
        <f>IF(I3-$I$3&gt;0,$C$15-$E$15*(I3-$I$3),0)</f>
        <v>0</v>
      </c>
      <c r="J15" s="38">
        <f>IF(J3-$I$3&gt;0,$C$15-$E$15*(J3-$I$3),0)</f>
        <v>1442.92452830189</v>
      </c>
      <c r="K15" s="38">
        <f>IF(K3-$I$3&gt;0,$C$15-$E$15*(K3-$I$3),0)</f>
        <v>1366.98113207547</v>
      </c>
      <c r="L15" s="38">
        <f>IF(L3-$I$3&gt;0,$C$15-$E$15*(L3-$I$3),0)</f>
        <v>1291.03773584906</v>
      </c>
      <c r="M15" s="38">
        <f>IF(M3-$I$3&gt;0,$C$15-$E$15*(M3-$I$3),0)</f>
        <v>1215.09433962264</v>
      </c>
      <c r="N15" s="38">
        <f>IF(N3-$I$3&gt;0,$C$15-$E$15*(N3-$I$3),0)</f>
        <v>1139.15094339623</v>
      </c>
      <c r="O15" s="38">
        <f>IF(O3-$I$3&gt;0,$C$15-$E$15*(O3-$I$3),0)</f>
        <v>1063.20754716981</v>
      </c>
      <c r="P15" s="38">
        <f>IF(P3-$I$3&gt;0,$C$15-$E$15*(P3-$I$3),0)</f>
        <v>987.264150943396</v>
      </c>
      <c r="Q15" s="38">
        <f>IF(Q3-$I$3&gt;0,$C$15-$E$15*(Q3-$I$3),0)</f>
        <v>911.320754716981</v>
      </c>
      <c r="R15" s="38">
        <f>IF(R3-$I$3&gt;0,$C$15-$E$15*(R3-$I$3),0)</f>
        <v>835.377358490566</v>
      </c>
      <c r="S15" s="38">
        <f>IF(S3-$I$3&gt;0,$C$15-$E$15*(S3-$I$3),0)</f>
        <v>759.433962264151</v>
      </c>
      <c r="T15" s="38">
        <f>IF(T3-$I$3&gt;0,$C$15-$E$15*(T3-$I$3),0)</f>
        <v>683.490566037736</v>
      </c>
      <c r="U15" s="38">
        <f>IF(U3-$I$3&gt;0,$C$15-$E$15*(U3-$I$3),0)</f>
        <v>607.547169811321</v>
      </c>
      <c r="V15" s="38">
        <f>IF(V3-$I$3&gt;0,$C$15-$E$15*(V3-$I$3),0)</f>
        <v>531.603773584906</v>
      </c>
      <c r="W15" s="38">
        <f>IF(W3-$I$3&gt;0,$C$15-$E$15*(W3-$I$3),0)</f>
        <v>455.66037735849</v>
      </c>
      <c r="X15" s="38">
        <f>IF(X3-$I$3&gt;0,$C$15-$E$15*(X3-$I$3),0)</f>
        <v>379.716981132075</v>
      </c>
      <c r="Y15" s="38">
        <f>IF(Y3-$I$3&gt;0,$C$15-$E$15*(Y3-$I$3),0)</f>
        <v>303.77358490566</v>
      </c>
      <c r="Z15" s="38">
        <f>IF(Z3-$I$3&gt;0,$C$15-$E$15*(Z3-$I$3),0)</f>
        <v>227.830188679245</v>
      </c>
      <c r="AA15" s="38">
        <f>IF(AA3-$I$3&gt;0,$C$15-$E$15*(AA3-$I$3),0)</f>
        <v>151.88679245283</v>
      </c>
      <c r="AB15" s="38">
        <f>IF(AB3-$I$3&gt;0,$C$15-$E$15*(AB3-$I$3),0)</f>
        <v>75.943396226415</v>
      </c>
      <c r="AC15" s="38">
        <f>IF(AC3-$I$3&gt;0,$C$15-$E$15*(AC3-$I$3),0)</f>
        <v>0</v>
      </c>
      <c r="AD15"/>
    </row>
    <row r="16" spans="1:30">
      <c r="A16" s="8" t="s">
        <v>353</v>
      </c>
      <c r="B16" s="8" t="s">
        <v>349</v>
      </c>
      <c r="C16" s="13">
        <f>C17</f>
        <v>0</v>
      </c>
      <c r="D16" s="109" t="s">
        <v>162</v>
      </c>
      <c r="E16" s="13">
        <f t="shared" ref="E16:AC16" si="5">E17</f>
        <v>0</v>
      </c>
      <c r="F16" s="13">
        <f t="shared" si="5"/>
        <v>0</v>
      </c>
      <c r="G16" s="13">
        <f t="shared" si="5"/>
        <v>0</v>
      </c>
      <c r="H16" s="13">
        <f t="shared" si="5"/>
        <v>0</v>
      </c>
      <c r="I16" s="13">
        <f t="shared" si="5"/>
        <v>0</v>
      </c>
      <c r="J16" s="13">
        <f t="shared" si="5"/>
        <v>0</v>
      </c>
      <c r="K16" s="13">
        <f t="shared" si="5"/>
        <v>0</v>
      </c>
      <c r="L16" s="13">
        <f t="shared" si="5"/>
        <v>0</v>
      </c>
      <c r="M16" s="13">
        <f t="shared" si="5"/>
        <v>0</v>
      </c>
      <c r="N16" s="13">
        <f t="shared" si="5"/>
        <v>0</v>
      </c>
      <c r="O16" s="13">
        <f t="shared" si="5"/>
        <v>0</v>
      </c>
      <c r="P16" s="13">
        <f t="shared" si="5"/>
        <v>0</v>
      </c>
      <c r="Q16" s="13">
        <f t="shared" si="5"/>
        <v>0</v>
      </c>
      <c r="R16" s="13">
        <f t="shared" si="5"/>
        <v>0</v>
      </c>
      <c r="S16" s="13">
        <f t="shared" si="5"/>
        <v>0</v>
      </c>
      <c r="T16" s="13">
        <f t="shared" si="5"/>
        <v>0</v>
      </c>
      <c r="U16" s="13">
        <f t="shared" si="5"/>
        <v>0</v>
      </c>
      <c r="V16" s="13">
        <f t="shared" si="5"/>
        <v>0</v>
      </c>
      <c r="W16" s="13">
        <f t="shared" si="5"/>
        <v>0</v>
      </c>
      <c r="X16" s="13">
        <f t="shared" si="5"/>
        <v>0</v>
      </c>
      <c r="Y16" s="13">
        <f t="shared" si="5"/>
        <v>0</v>
      </c>
      <c r="Z16" s="13">
        <f t="shared" si="5"/>
        <v>0</v>
      </c>
      <c r="AA16" s="13">
        <f t="shared" si="5"/>
        <v>0</v>
      </c>
      <c r="AB16" s="13">
        <f t="shared" si="5"/>
        <v>0</v>
      </c>
      <c r="AC16" s="13">
        <f t="shared" si="5"/>
        <v>0</v>
      </c>
      <c r="AD16"/>
    </row>
    <row r="17" spans="1:30">
      <c r="A17" s="8" t="s">
        <v>157</v>
      </c>
      <c r="B17" s="8" t="s">
        <v>350</v>
      </c>
      <c r="C17" s="38">
        <v>0</v>
      </c>
      <c r="D17" s="109">
        <f>1/B项目信息!$D$14*100%</f>
        <v>0.05</v>
      </c>
      <c r="E17" s="13">
        <f>C17*D17</f>
        <v>0</v>
      </c>
      <c r="F17" s="13">
        <f>IF(F3-$I$3&gt;0,$C$17-$E$17*(F3-$I$3),0)</f>
        <v>0</v>
      </c>
      <c r="G17" s="13">
        <f>IF(G3-$I$3&gt;0,$C$17-$E$17*(G3-$I$3),0)</f>
        <v>0</v>
      </c>
      <c r="H17" s="13">
        <f>IF(H3-$I$3&gt;0,$C$17-$E$17*(H3-$I$3),0)</f>
        <v>0</v>
      </c>
      <c r="I17" s="38">
        <f>IF(I3-$I$3&gt;0,$C$17-$E$17*(I3-$I$3),0)</f>
        <v>0</v>
      </c>
      <c r="J17" s="38">
        <f>IF(J3-$I$3&gt;0,$C$17-$E$17*(J3-$I$3),0)</f>
        <v>0</v>
      </c>
      <c r="K17" s="38">
        <f>IF(K3-$I$3&gt;0,$C$17-$E$17*(K3-$I$3),0)</f>
        <v>0</v>
      </c>
      <c r="L17" s="38">
        <f>IF(L3-$I$3&gt;0,$C$17-$E$17*(L3-$I$3),0)</f>
        <v>0</v>
      </c>
      <c r="M17" s="38">
        <f>IF(M3-$I$3&gt;0,$C$17-$E$17*(M3-$I$3),0)</f>
        <v>0</v>
      </c>
      <c r="N17" s="38">
        <f>IF(N3-$I$3&gt;0,$C$17-$E$17*(N3-$I$3),0)</f>
        <v>0</v>
      </c>
      <c r="O17" s="38">
        <f>IF(O3-$I$3&gt;0,$C$17-$E$17*(O3-$I$3),0)</f>
        <v>0</v>
      </c>
      <c r="P17" s="38">
        <f>IF(P3-$I$3&gt;0,$C$17-$E$17*(P3-$I$3),0)</f>
        <v>0</v>
      </c>
      <c r="Q17" s="38">
        <f>IF(Q3-$I$3&gt;0,$C$17-$E$17*(Q3-$I$3),0)</f>
        <v>0</v>
      </c>
      <c r="R17" s="38">
        <f>IF(R3-$I$3&gt;0,$C$17-$E$17*(R3-$I$3),0)</f>
        <v>0</v>
      </c>
      <c r="S17" s="38">
        <f>IF(S3-$I$3&gt;0,$C$17-$E$17*(S3-$I$3),0)</f>
        <v>0</v>
      </c>
      <c r="T17" s="38">
        <f>IF(T3-$I$3&gt;0,$C$17-$E$17*(T3-$I$3),0)</f>
        <v>0</v>
      </c>
      <c r="U17" s="38">
        <f>IF(U3-$I$3&gt;0,$C$17-$E$17*(U3-$I$3),0)</f>
        <v>0</v>
      </c>
      <c r="V17" s="38">
        <f>IF(V3-$I$3&gt;0,$C$17-$E$17*(V3-$I$3),0)</f>
        <v>0</v>
      </c>
      <c r="W17" s="38">
        <f>IF(W3-$I$3&gt;0,$C$17-$E$17*(W3-$I$3),0)</f>
        <v>0</v>
      </c>
      <c r="X17" s="38">
        <f>IF(X3-$I$3&gt;0,$C$17-$E$17*(X3-$I$3),0)</f>
        <v>0</v>
      </c>
      <c r="Y17" s="38">
        <f>IF(Y3-$I$3&gt;0,$C$17-$E$17*(Y3-$I$3),0)</f>
        <v>0</v>
      </c>
      <c r="Z17" s="38">
        <f>IF(Z3-$I$3&gt;0,$C$17-$E$17*(Z3-$I$3),0)</f>
        <v>0</v>
      </c>
      <c r="AA17" s="38">
        <f>IF(AA3-$I$3&gt;0,$C$17-$E$17*(AA3-$I$3),0)</f>
        <v>0</v>
      </c>
      <c r="AB17" s="38">
        <f>IF(AB3-$I$3&gt;0,$C$17-$E$17*(AB3-$I$3),0)</f>
        <v>0</v>
      </c>
      <c r="AC17" s="38">
        <f>IF(AC3-$I$3&gt;0,$C$17-$E$17*(AC3-$I$3),0)</f>
        <v>0</v>
      </c>
      <c r="AD17"/>
    </row>
    <row r="18" spans="1:30">
      <c r="A18" s="64"/>
      <c r="B18" s="64" t="s">
        <v>332</v>
      </c>
      <c r="C18" s="13">
        <f>C4+C11</f>
        <v>4660.37735849057</v>
      </c>
      <c r="D18" s="39" t="s">
        <v>162</v>
      </c>
      <c r="E18" s="13">
        <f t="shared" ref="E18:AC18" si="6">E4+E11</f>
        <v>218.739279588336</v>
      </c>
      <c r="F18" s="13">
        <f t="shared" si="6"/>
        <v>0</v>
      </c>
      <c r="G18" s="13">
        <f t="shared" si="6"/>
        <v>0</v>
      </c>
      <c r="H18" s="13">
        <f t="shared" si="6"/>
        <v>2998.71355060034</v>
      </c>
      <c r="I18" s="13">
        <f t="shared" si="6"/>
        <v>2855.91766723842</v>
      </c>
      <c r="J18" s="13">
        <f t="shared" si="6"/>
        <v>4156.04631217839</v>
      </c>
      <c r="K18" s="13">
        <f t="shared" si="6"/>
        <v>3937.30703259005</v>
      </c>
      <c r="L18" s="13">
        <f t="shared" si="6"/>
        <v>3718.56775300172</v>
      </c>
      <c r="M18" s="13">
        <f t="shared" si="6"/>
        <v>3499.82847341338</v>
      </c>
      <c r="N18" s="13">
        <f t="shared" si="6"/>
        <v>3281.08919382504</v>
      </c>
      <c r="O18" s="13">
        <f t="shared" si="6"/>
        <v>3062.34991423671</v>
      </c>
      <c r="P18" s="13">
        <f t="shared" si="6"/>
        <v>2843.61063464837</v>
      </c>
      <c r="Q18" s="13">
        <f t="shared" si="6"/>
        <v>2624.87135506003</v>
      </c>
      <c r="R18" s="13">
        <f t="shared" si="6"/>
        <v>2406.1320754717</v>
      </c>
      <c r="S18" s="13">
        <f t="shared" si="6"/>
        <v>2187.39279588336</v>
      </c>
      <c r="T18" s="13">
        <f t="shared" si="6"/>
        <v>1968.65351629503</v>
      </c>
      <c r="U18" s="13">
        <f t="shared" si="6"/>
        <v>1749.91423670669</v>
      </c>
      <c r="V18" s="13">
        <f t="shared" si="6"/>
        <v>1531.17495711835</v>
      </c>
      <c r="W18" s="13">
        <f t="shared" si="6"/>
        <v>1312.43567753002</v>
      </c>
      <c r="X18" s="13">
        <f t="shared" si="6"/>
        <v>1093.69639794168</v>
      </c>
      <c r="Y18" s="13">
        <f t="shared" si="6"/>
        <v>874.957118353344</v>
      </c>
      <c r="Z18" s="13">
        <f t="shared" si="6"/>
        <v>656.217838765008</v>
      </c>
      <c r="AA18" s="13">
        <f t="shared" si="6"/>
        <v>437.478559176672</v>
      </c>
      <c r="AB18" s="13">
        <f t="shared" si="6"/>
        <v>218.739279588336</v>
      </c>
      <c r="AC18" s="13">
        <f t="shared" si="6"/>
        <v>0</v>
      </c>
      <c r="AD18"/>
    </row>
    <row r="19" spans="1:30">
      <c r="A19" s="12"/>
      <c r="B19" s="143"/>
      <c r="C19" s="144"/>
      <c r="D19" s="142"/>
      <c r="E19" s="74"/>
      <c r="F19" s="74"/>
      <c r="G19" s="74"/>
      <c r="H19" s="74"/>
      <c r="I19" s="74"/>
      <c r="J19" s="74"/>
      <c r="K19" s="74"/>
      <c r="L19" s="74"/>
      <c r="M19" s="74"/>
      <c r="N19" s="74"/>
      <c r="O19" s="74"/>
      <c r="P19" s="74"/>
      <c r="Q19" s="74"/>
      <c r="R19" s="74"/>
      <c r="S19" s="74"/>
      <c r="T19" s="74"/>
      <c r="U19" s="74"/>
      <c r="V19" s="74"/>
      <c r="W19" s="74"/>
      <c r="X19" s="74"/>
      <c r="Y19" s="74"/>
      <c r="Z19" s="74"/>
      <c r="AA19" s="74"/>
      <c r="AB19" s="74"/>
      <c r="AC19" s="74"/>
      <c r="AD19"/>
    </row>
    <row r="20" spans="1:30">
      <c r="A20" s="8" t="s">
        <v>329</v>
      </c>
      <c r="B20" s="8" t="s">
        <v>339</v>
      </c>
      <c r="C20" s="79" t="s">
        <v>333</v>
      </c>
      <c r="D20" s="145" t="s">
        <v>333</v>
      </c>
      <c r="E20" s="13" t="s">
        <v>333</v>
      </c>
      <c r="F20" s="13">
        <f t="shared" ref="F20:AC20" si="7">F21+F25</f>
        <v>0</v>
      </c>
      <c r="G20" s="13">
        <f t="shared" si="7"/>
        <v>0</v>
      </c>
      <c r="H20" s="13">
        <f t="shared" si="7"/>
        <v>142.795883361921</v>
      </c>
      <c r="I20" s="13">
        <f t="shared" si="7"/>
        <v>142.795883361921</v>
      </c>
      <c r="J20" s="13">
        <f t="shared" si="7"/>
        <v>142.795883361921</v>
      </c>
      <c r="K20" s="13">
        <f t="shared" si="7"/>
        <v>142.795883361921</v>
      </c>
      <c r="L20" s="13">
        <f t="shared" si="7"/>
        <v>142.795883361921</v>
      </c>
      <c r="M20" s="13">
        <f t="shared" si="7"/>
        <v>142.795883361921</v>
      </c>
      <c r="N20" s="13">
        <f t="shared" si="7"/>
        <v>142.795883361921</v>
      </c>
      <c r="O20" s="13">
        <f t="shared" si="7"/>
        <v>142.795883361921</v>
      </c>
      <c r="P20" s="13">
        <f t="shared" si="7"/>
        <v>142.795883361921</v>
      </c>
      <c r="Q20" s="13">
        <f t="shared" si="7"/>
        <v>142.795883361921</v>
      </c>
      <c r="R20" s="13">
        <f t="shared" si="7"/>
        <v>142.795883361921</v>
      </c>
      <c r="S20" s="13">
        <f t="shared" si="7"/>
        <v>142.795883361921</v>
      </c>
      <c r="T20" s="13">
        <f t="shared" si="7"/>
        <v>142.795883361921</v>
      </c>
      <c r="U20" s="13">
        <f t="shared" si="7"/>
        <v>142.795883361921</v>
      </c>
      <c r="V20" s="13">
        <f t="shared" si="7"/>
        <v>142.795883361921</v>
      </c>
      <c r="W20" s="13">
        <f t="shared" si="7"/>
        <v>142.795883361921</v>
      </c>
      <c r="X20" s="13">
        <f t="shared" si="7"/>
        <v>142.795883361921</v>
      </c>
      <c r="Y20" s="13">
        <f t="shared" si="7"/>
        <v>142.795883361921</v>
      </c>
      <c r="Z20" s="13">
        <f t="shared" si="7"/>
        <v>142.795883361921</v>
      </c>
      <c r="AA20" s="13">
        <f t="shared" si="7"/>
        <v>142.795883361921</v>
      </c>
      <c r="AB20" s="13">
        <f t="shared" si="7"/>
        <v>142.795883361921</v>
      </c>
      <c r="AC20" s="13">
        <f t="shared" si="7"/>
        <v>142.795883361921</v>
      </c>
      <c r="AD20"/>
    </row>
    <row r="21" spans="1:30">
      <c r="A21" s="8" t="s">
        <v>340</v>
      </c>
      <c r="B21" s="8" t="s">
        <v>341</v>
      </c>
      <c r="C21" s="79" t="s">
        <v>333</v>
      </c>
      <c r="D21" s="145" t="s">
        <v>333</v>
      </c>
      <c r="E21" s="13" t="s">
        <v>333</v>
      </c>
      <c r="F21" s="13">
        <f t="shared" ref="F21:AC21" si="8">SUM(F22:F24)</f>
        <v>0</v>
      </c>
      <c r="G21" s="13">
        <f t="shared" si="8"/>
        <v>0</v>
      </c>
      <c r="H21" s="38">
        <f t="shared" si="8"/>
        <v>142.795883361921</v>
      </c>
      <c r="I21" s="38">
        <f t="shared" si="8"/>
        <v>142.795883361921</v>
      </c>
      <c r="J21" s="38">
        <f t="shared" si="8"/>
        <v>142.795883361921</v>
      </c>
      <c r="K21" s="38">
        <f t="shared" si="8"/>
        <v>142.795883361921</v>
      </c>
      <c r="L21" s="38">
        <f t="shared" si="8"/>
        <v>142.795883361921</v>
      </c>
      <c r="M21" s="38">
        <f t="shared" si="8"/>
        <v>142.795883361921</v>
      </c>
      <c r="N21" s="38">
        <f t="shared" si="8"/>
        <v>142.795883361921</v>
      </c>
      <c r="O21" s="38">
        <f t="shared" si="8"/>
        <v>142.795883361921</v>
      </c>
      <c r="P21" s="38">
        <f t="shared" si="8"/>
        <v>142.795883361921</v>
      </c>
      <c r="Q21" s="38">
        <f t="shared" si="8"/>
        <v>142.795883361921</v>
      </c>
      <c r="R21" s="38">
        <f t="shared" si="8"/>
        <v>142.795883361921</v>
      </c>
      <c r="S21" s="38">
        <f t="shared" si="8"/>
        <v>142.795883361921</v>
      </c>
      <c r="T21" s="38">
        <f t="shared" si="8"/>
        <v>142.795883361921</v>
      </c>
      <c r="U21" s="38">
        <f t="shared" si="8"/>
        <v>142.795883361921</v>
      </c>
      <c r="V21" s="38">
        <f t="shared" si="8"/>
        <v>142.795883361921</v>
      </c>
      <c r="W21" s="38">
        <f t="shared" si="8"/>
        <v>142.795883361921</v>
      </c>
      <c r="X21" s="38">
        <f t="shared" si="8"/>
        <v>142.795883361921</v>
      </c>
      <c r="Y21" s="38">
        <f t="shared" si="8"/>
        <v>142.795883361921</v>
      </c>
      <c r="Z21" s="38">
        <f t="shared" si="8"/>
        <v>142.795883361921</v>
      </c>
      <c r="AA21" s="38">
        <f t="shared" si="8"/>
        <v>142.795883361921</v>
      </c>
      <c r="AB21" s="38">
        <f t="shared" si="8"/>
        <v>142.795883361921</v>
      </c>
      <c r="AC21" s="38">
        <f t="shared" si="8"/>
        <v>142.795883361921</v>
      </c>
      <c r="AD21"/>
    </row>
    <row r="22" spans="1:30">
      <c r="A22" s="8" t="s">
        <v>342</v>
      </c>
      <c r="B22" s="8" t="s">
        <v>343</v>
      </c>
      <c r="C22" s="79" t="s">
        <v>333</v>
      </c>
      <c r="D22" s="145" t="s">
        <v>333</v>
      </c>
      <c r="E22" s="13" t="s">
        <v>333</v>
      </c>
      <c r="F22" s="13">
        <f>IF(F3-$G$3&gt;0,IF(F6&lt;&gt;"",$E$6,0),0)</f>
        <v>0</v>
      </c>
      <c r="G22" s="13">
        <f>IF(G3-$G$3&gt;0,IF(G6&lt;&gt;"",$E$6,0),0)</f>
        <v>0</v>
      </c>
      <c r="H22" s="38">
        <f>IF(H3-$G$3&gt;0,IF(H6&lt;&gt;"",$E$6,0),0)</f>
        <v>0</v>
      </c>
      <c r="I22" s="38">
        <f>IF(I3-$G$3&gt;0,IF(I6&lt;&gt;"",$E$6,0),0)</f>
        <v>0</v>
      </c>
      <c r="J22" s="38">
        <f>IF(J3-$G$3&gt;0,IF(J6&lt;&gt;"",$E$6,0),0)</f>
        <v>0</v>
      </c>
      <c r="K22" s="38">
        <f>IF(K3-$G$3&gt;0,IF(J6&lt;&gt;"",$E$6,0),0)</f>
        <v>0</v>
      </c>
      <c r="L22" s="38">
        <f>IF(L3-$G$3&gt;0,IF(J6&lt;&gt;"",$E$6,0),0)</f>
        <v>0</v>
      </c>
      <c r="M22" s="38">
        <f>IF(M3-$G$3&gt;0,IF(J6&lt;&gt;"",$E$6,0),0)</f>
        <v>0</v>
      </c>
      <c r="N22" s="38">
        <f>IF(N3-$G$3&gt;0,IF(J6&lt;&gt;"",$E$6,0),0)</f>
        <v>0</v>
      </c>
      <c r="O22" s="38">
        <f>IF(O3-$G$3&gt;0,IF(J6&lt;&gt;"",$E$6,0),0)</f>
        <v>0</v>
      </c>
      <c r="P22" s="38">
        <f>IF(P3-$G$3&gt;0,IF(J6&lt;&gt;"",$E$6,0),0)</f>
        <v>0</v>
      </c>
      <c r="Q22" s="38">
        <f>IF(Q3-$G$3&gt;0,IF(J6&lt;&gt;"",$E$6,0),0)</f>
        <v>0</v>
      </c>
      <c r="R22" s="38">
        <f>IF(R3-$G$3&gt;0,IF(J6&lt;&gt;"",$E$6,0),0)</f>
        <v>0</v>
      </c>
      <c r="S22" s="38">
        <f>IF(S3-$G$3&gt;0,IF(J6&lt;&gt;"",$E$6,0),0)</f>
        <v>0</v>
      </c>
      <c r="T22" s="38">
        <f>IF(T3-$G$3&gt;0,IF(J6&lt;&gt;"",$E$6,0),0)</f>
        <v>0</v>
      </c>
      <c r="U22" s="38">
        <f>IF(U3-$G$3&gt;0,IF(J6&lt;&gt;"",$E$6,0),0)</f>
        <v>0</v>
      </c>
      <c r="V22" s="38">
        <f>IF(V3-$G$3&gt;0,IF(J6&lt;&gt;"",$E$6,0),0)</f>
        <v>0</v>
      </c>
      <c r="W22" s="38">
        <f>IF(W3-$G$3&gt;0,IF(J6&lt;&gt;"",$E$6,0),0)</f>
        <v>0</v>
      </c>
      <c r="X22" s="38">
        <f>IF(X3-$G$3&gt;0,IF(J6&lt;&gt;"",$E$6,0),0)</f>
        <v>0</v>
      </c>
      <c r="Y22" s="38">
        <f>IF(Y3-$G$3&gt;0,IF(J6&lt;&gt;"",$E$6,0),0)</f>
        <v>0</v>
      </c>
      <c r="Z22" s="38">
        <f>IF(Z3-$G$3&gt;0,IF(J6&lt;&gt;"",$E$6,0),0)</f>
        <v>0</v>
      </c>
      <c r="AA22" s="38">
        <f>IF(AA3-$G$3&gt;0,IF(J6&lt;&gt;"",$E$6,0),0)</f>
        <v>0</v>
      </c>
      <c r="AB22" s="38">
        <f>IF(AB3-$G$3&gt;0,IF(J6&lt;&gt;"",$E$6,0),0)</f>
        <v>0</v>
      </c>
      <c r="AC22" s="38">
        <f>IF(AC3-$G$3&gt;0,IF(J6&lt;&gt;"",$E$6,0),0)</f>
        <v>0</v>
      </c>
      <c r="AD22"/>
    </row>
    <row r="23" spans="1:30">
      <c r="A23" s="8" t="s">
        <v>344</v>
      </c>
      <c r="B23" s="35" t="s">
        <v>345</v>
      </c>
      <c r="C23" s="79" t="s">
        <v>333</v>
      </c>
      <c r="D23" s="145" t="s">
        <v>333</v>
      </c>
      <c r="E23" s="13" t="s">
        <v>333</v>
      </c>
      <c r="F23" s="13">
        <f>IF(F3-$G$3&gt;0,IF(F7&lt;&gt;"",$E$7,0),0)</f>
        <v>0</v>
      </c>
      <c r="G23" s="13">
        <f>IF(G3-$G$3&gt;0,IF(G7&lt;&gt;"",$E$7,0),0)</f>
        <v>0</v>
      </c>
      <c r="H23" s="38">
        <f>IF(H3-$G$3&gt;0,IF(H7&lt;&gt;"",$E$7,0),0)</f>
        <v>0</v>
      </c>
      <c r="I23" s="38">
        <f>IF(I3-$G$3&gt;0,IF(I7&lt;&gt;"",$E$7,0),0)</f>
        <v>0</v>
      </c>
      <c r="J23" s="38">
        <f>IF(J3-$G$3&gt;0,IF(J7&lt;&gt;"",$E$7,0),0)</f>
        <v>0</v>
      </c>
      <c r="K23" s="38">
        <f>IF(K3-$G$3&gt;0,IF(J7&lt;&gt;"",$E$7,0),0)</f>
        <v>0</v>
      </c>
      <c r="L23" s="38">
        <f>IF(L3-$G$3&gt;0,IF(J7&lt;&gt;"",$E$7,0),0)</f>
        <v>0</v>
      </c>
      <c r="M23" s="38">
        <f>IF(M3-$G$3&gt;0,IF(J7&lt;&gt;"",$E$7,0),0)</f>
        <v>0</v>
      </c>
      <c r="N23" s="38">
        <f>IF(N3-$G$3&gt;0,IF(J7&lt;&gt;"",$E$7,0),0)</f>
        <v>0</v>
      </c>
      <c r="O23" s="38">
        <f>IF(O3-$G$3&gt;0,IF(J7&lt;&gt;"",$E$7,0),0)</f>
        <v>0</v>
      </c>
      <c r="P23" s="38">
        <f>IF(P3-$G$3&gt;0,IF(J7&lt;&gt;"",$E$7,0),0)</f>
        <v>0</v>
      </c>
      <c r="Q23" s="38">
        <f>IF(Q3-$G$3&gt;0,IF(J7&lt;&gt;"",$E$7,0),0)</f>
        <v>0</v>
      </c>
      <c r="R23" s="38">
        <f>IF(R3-$G$3&gt;0,IF(J7&lt;&gt;"",$E$7,0),0)</f>
        <v>0</v>
      </c>
      <c r="S23" s="38">
        <f>IF(S3-$G$3&gt;0,IF(J7&lt;&gt;"",$E$7,0),0)</f>
        <v>0</v>
      </c>
      <c r="T23" s="38">
        <f>IF(T3-$G$3&gt;0,IF(J7&lt;&gt;"",$E$7,0),0)</f>
        <v>0</v>
      </c>
      <c r="U23" s="38">
        <f>IF(U3-$G$3&gt;0,IF(J7&lt;&gt;"",$E$7,0),0)</f>
        <v>0</v>
      </c>
      <c r="V23" s="38">
        <f>IF(V3-$G$3&gt;0,IF(J7&lt;&gt;"",$E$7,0),0)</f>
        <v>0</v>
      </c>
      <c r="W23" s="38">
        <f>IF(W3-$G$3&gt;0,IF(J7&lt;&gt;"",$E$7,0),0)</f>
        <v>0</v>
      </c>
      <c r="X23" s="38">
        <f>IF(X3-$G$3&gt;0,IF(J7&lt;&gt;"",$E$7,0),0)</f>
        <v>0</v>
      </c>
      <c r="Y23" s="38">
        <f>IF(Y3-$G$3&gt;0,IF(J7&lt;&gt;"",$E$7,0),0)</f>
        <v>0</v>
      </c>
      <c r="Z23" s="38">
        <f>IF(Z3-$G$3&gt;0,IF(J7&lt;&gt;"",$E$7,0),0)</f>
        <v>0</v>
      </c>
      <c r="AA23" s="38">
        <f>IF(AA3-$G$3&gt;0,IF(J7&lt;&gt;"",$E$7,0),0)</f>
        <v>0</v>
      </c>
      <c r="AB23" s="38">
        <f>IF(AB3-$G$3&gt;0,IF(J7&lt;&gt;"",$E$7,0),0)</f>
        <v>0</v>
      </c>
      <c r="AC23" s="38">
        <f>IF(AC3-$G$3&gt;0,IF(J7&lt;&gt;"",$E$7,0),0)</f>
        <v>0</v>
      </c>
      <c r="AD23"/>
    </row>
    <row r="24" spans="1:30">
      <c r="A24" s="8" t="s">
        <v>346</v>
      </c>
      <c r="B24" s="8" t="s">
        <v>347</v>
      </c>
      <c r="C24" s="79" t="s">
        <v>333</v>
      </c>
      <c r="D24" s="145" t="s">
        <v>333</v>
      </c>
      <c r="E24" s="13" t="s">
        <v>333</v>
      </c>
      <c r="F24" s="13">
        <f>IF(F3-$G$3&gt;0,IF(F8&lt;&gt;"",$E$8,0),0)</f>
        <v>0</v>
      </c>
      <c r="G24" s="13">
        <f>IF(G3-$G$3&gt;0,IF(G8&lt;&gt;"",$E$8,0),0)</f>
        <v>0</v>
      </c>
      <c r="H24" s="13">
        <f>IF(H3-$G$3&gt;0,IF(H8&lt;&gt;"",$E$8,0),0)</f>
        <v>142.795883361921</v>
      </c>
      <c r="I24" s="13">
        <f>IF(I3-$G$3&gt;0,IF(I8&lt;&gt;"",$E$8,0),0)</f>
        <v>142.795883361921</v>
      </c>
      <c r="J24" s="13">
        <f>IF(J3-$G$3&gt;0,IF(J8&lt;&gt;"",$E$8,0),0)</f>
        <v>142.795883361921</v>
      </c>
      <c r="K24" s="13">
        <f>IF(K3-$G$3&gt;0,IF(J8&lt;&gt;"",$E$8,0),0)</f>
        <v>142.795883361921</v>
      </c>
      <c r="L24" s="13">
        <f>IF(L3-$G$3&gt;0,IF(J8&lt;&gt;"",$E$8,0),0)</f>
        <v>142.795883361921</v>
      </c>
      <c r="M24" s="13">
        <f>IF(M3-$G$3&gt;0,IF(J8&lt;&gt;"",$E$8,0),0)</f>
        <v>142.795883361921</v>
      </c>
      <c r="N24" s="13">
        <f>IF(N3-$G$3&gt;0,IF(J8&lt;&gt;"",$E$8,0),0)</f>
        <v>142.795883361921</v>
      </c>
      <c r="O24" s="13">
        <f>IF(O3-$G$3&gt;0,IF(J8&lt;&gt;"",$E$8,0),0)</f>
        <v>142.795883361921</v>
      </c>
      <c r="P24" s="13">
        <f>IF(P3-$G$3&gt;0,IF(J8&lt;&gt;"",$E$8,0),0)</f>
        <v>142.795883361921</v>
      </c>
      <c r="Q24" s="13">
        <f>IF(Q3-$G$3&gt;0,IF(J8&lt;&gt;"",$E$8,0),0)</f>
        <v>142.795883361921</v>
      </c>
      <c r="R24" s="13">
        <f>IF(R3-$G$3&gt;0,IF(J8&lt;&gt;"",$E$8,0),0)</f>
        <v>142.795883361921</v>
      </c>
      <c r="S24" s="13">
        <f>IF(S3-$G$3&gt;0,IF(J8&lt;&gt;"",$E$8,0),0)</f>
        <v>142.795883361921</v>
      </c>
      <c r="T24" s="13">
        <f>IF(T3-$G$3&gt;0,IF(J8&lt;&gt;"",$E$8,0),0)</f>
        <v>142.795883361921</v>
      </c>
      <c r="U24" s="13">
        <f>IF(U3-$G$3&gt;0,IF(J8&lt;&gt;"",$E$8,0),0)</f>
        <v>142.795883361921</v>
      </c>
      <c r="V24" s="13">
        <f>IF(V3-$G$3&gt;0,IF(J8&lt;&gt;"",$E$8,0),0)</f>
        <v>142.795883361921</v>
      </c>
      <c r="W24" s="13">
        <f>IF(W3-$G$3&gt;0,IF(J8&lt;&gt;"",$E$8,0),0)</f>
        <v>142.795883361921</v>
      </c>
      <c r="X24" s="13">
        <f>IF(X3-$G$3&gt;0,IF(J8&lt;&gt;"",$E$8,0),0)</f>
        <v>142.795883361921</v>
      </c>
      <c r="Y24" s="13">
        <f>IF(Y3-$G$3&gt;0,IF(J8&lt;&gt;"",$E$8,0),0)</f>
        <v>142.795883361921</v>
      </c>
      <c r="Z24" s="13">
        <f>IF(Z3-$G$3&gt;0,IF(J8&lt;&gt;"",$E$8,0),0)</f>
        <v>142.795883361921</v>
      </c>
      <c r="AA24" s="13">
        <f>IF(AA3-$G$3&gt;0,IF(J8&lt;&gt;"",$E$8,0),0)</f>
        <v>142.795883361921</v>
      </c>
      <c r="AB24" s="13">
        <f>IF(AB3-$G$3&gt;0,IF(J8&lt;&gt;"",$E$8,0),0)</f>
        <v>142.795883361921</v>
      </c>
      <c r="AC24" s="13">
        <f>IF(AC3-$G$3&gt;0,IF(J8&lt;&gt;"",$E$8,0),0)</f>
        <v>142.795883361921</v>
      </c>
      <c r="AD24"/>
    </row>
    <row r="25" spans="1:30">
      <c r="A25" s="8" t="s">
        <v>348</v>
      </c>
      <c r="B25" s="8" t="s">
        <v>349</v>
      </c>
      <c r="C25" s="79" t="s">
        <v>333</v>
      </c>
      <c r="D25" s="145" t="s">
        <v>333</v>
      </c>
      <c r="E25" s="13" t="s">
        <v>333</v>
      </c>
      <c r="F25" s="13">
        <f t="shared" ref="F25:AC25" si="9">F26</f>
        <v>0</v>
      </c>
      <c r="G25" s="13">
        <f t="shared" si="9"/>
        <v>0</v>
      </c>
      <c r="H25" s="38">
        <f t="shared" si="9"/>
        <v>0</v>
      </c>
      <c r="I25" s="38">
        <f t="shared" si="9"/>
        <v>0</v>
      </c>
      <c r="J25" s="38">
        <f t="shared" si="9"/>
        <v>0</v>
      </c>
      <c r="K25" s="38">
        <f t="shared" si="9"/>
        <v>0</v>
      </c>
      <c r="L25" s="38">
        <f t="shared" si="9"/>
        <v>0</v>
      </c>
      <c r="M25" s="38">
        <f t="shared" si="9"/>
        <v>0</v>
      </c>
      <c r="N25" s="38">
        <f t="shared" si="9"/>
        <v>0</v>
      </c>
      <c r="O25" s="38">
        <f t="shared" si="9"/>
        <v>0</v>
      </c>
      <c r="P25" s="38">
        <f t="shared" si="9"/>
        <v>0</v>
      </c>
      <c r="Q25" s="38">
        <f t="shared" si="9"/>
        <v>0</v>
      </c>
      <c r="R25" s="38">
        <f t="shared" si="9"/>
        <v>0</v>
      </c>
      <c r="S25" s="38">
        <f t="shared" si="9"/>
        <v>0</v>
      </c>
      <c r="T25" s="38">
        <f t="shared" si="9"/>
        <v>0</v>
      </c>
      <c r="U25" s="38">
        <f t="shared" si="9"/>
        <v>0</v>
      </c>
      <c r="V25" s="38">
        <f t="shared" si="9"/>
        <v>0</v>
      </c>
      <c r="W25" s="38">
        <f t="shared" si="9"/>
        <v>0</v>
      </c>
      <c r="X25" s="38">
        <f t="shared" si="9"/>
        <v>0</v>
      </c>
      <c r="Y25" s="38">
        <f t="shared" si="9"/>
        <v>0</v>
      </c>
      <c r="Z25" s="38">
        <f t="shared" si="9"/>
        <v>0</v>
      </c>
      <c r="AA25" s="38">
        <f t="shared" si="9"/>
        <v>0</v>
      </c>
      <c r="AB25" s="38">
        <f t="shared" si="9"/>
        <v>0</v>
      </c>
      <c r="AC25" s="38">
        <f t="shared" si="9"/>
        <v>0</v>
      </c>
      <c r="AD25"/>
    </row>
    <row r="26" spans="1:30">
      <c r="A26" s="12" t="s">
        <v>193</v>
      </c>
      <c r="B26" s="143" t="s">
        <v>350</v>
      </c>
      <c r="C26" s="79" t="s">
        <v>333</v>
      </c>
      <c r="D26" s="145" t="s">
        <v>333</v>
      </c>
      <c r="E26" s="13" t="s">
        <v>333</v>
      </c>
      <c r="F26" s="13">
        <f>IF(F3-$G$3&gt;0,IF(F10&lt;&gt;"",$E$10,0),0)</f>
        <v>0</v>
      </c>
      <c r="G26" s="13">
        <f>IF(G3-$G$3&gt;0,IF(G10&lt;&gt;"",$E$10,0),0)</f>
        <v>0</v>
      </c>
      <c r="H26" s="13">
        <f>IF(H3-$G$3&gt;0,IF(H10&lt;&gt;"",$E$10,0),0)</f>
        <v>0</v>
      </c>
      <c r="I26" s="13">
        <f>IF(I3-$G$3&gt;0,IF(I10&lt;&gt;"",$E$10,0),0)</f>
        <v>0</v>
      </c>
      <c r="J26" s="13">
        <f>IF(J3-$G$3&gt;0,IF(J10&lt;&gt;"",$E$10,0),0)</f>
        <v>0</v>
      </c>
      <c r="K26" s="13">
        <f>IF(K3-$G$3&gt;0,IF(J10&lt;&gt;"",$E$10,0),0)</f>
        <v>0</v>
      </c>
      <c r="L26" s="13">
        <f>IF(L3-$G$3&gt;0,IF(J10&lt;&gt;"",$E$10,0),0)</f>
        <v>0</v>
      </c>
      <c r="M26" s="13">
        <f>IF(M3-$G$3&gt;0,IF(J10&lt;&gt;"",$E$10,0),0)</f>
        <v>0</v>
      </c>
      <c r="N26" s="13">
        <f>IF(N3-$G$3&gt;0,IF(J10&lt;&gt;"",$E$10,0),0)</f>
        <v>0</v>
      </c>
      <c r="O26" s="13">
        <f>IF(O3-$G$3&gt;0,IF(J10&lt;&gt;"",$E$10,0),0)</f>
        <v>0</v>
      </c>
      <c r="P26" s="13">
        <f>IF(P3-$G$3&gt;0,IF(J10&lt;&gt;"",$E$10,0),0)</f>
        <v>0</v>
      </c>
      <c r="Q26" s="13">
        <f>IF(Q3-$G$3&gt;0,IF(J10&lt;&gt;"",$E$10,0),0)</f>
        <v>0</v>
      </c>
      <c r="R26" s="13">
        <f>IF(R3-$G$3&gt;0,IF(J10&lt;&gt;"",$E$10,0),0)</f>
        <v>0</v>
      </c>
      <c r="S26" s="13">
        <f>IF(S3-$G$3&gt;0,IF(J10&lt;&gt;"",$E$10,0),0)</f>
        <v>0</v>
      </c>
      <c r="T26" s="13">
        <f>IF(T3-$G$3&gt;0,IF(J10&lt;&gt;"",$E$10,0),0)</f>
        <v>0</v>
      </c>
      <c r="U26" s="13">
        <f>IF(U3-$G$3&gt;0,IF(J10&lt;&gt;"",$E$10,0),0)</f>
        <v>0</v>
      </c>
      <c r="V26" s="13">
        <f>IF(V3-$G$3&gt;0,IF(J10&lt;&gt;"",$E$10,0),0)</f>
        <v>0</v>
      </c>
      <c r="W26" s="13">
        <f>IF(W3-$G$3&gt;0,IF(J10&lt;&gt;"",$E$10,0),0)</f>
        <v>0</v>
      </c>
      <c r="X26" s="13">
        <f>IF(X3-$G$3&gt;0,IF(J10&lt;&gt;"",$E$10,0),0)</f>
        <v>0</v>
      </c>
      <c r="Y26" s="13">
        <f>IF(Y3-$G$3&gt;0,IF(J10&lt;&gt;"",$E$10,0),0)</f>
        <v>0</v>
      </c>
      <c r="Z26" s="13">
        <f>IF(Z3-$G$3&gt;0,IF(J10&lt;&gt;"",$E$10,0),0)</f>
        <v>0</v>
      </c>
      <c r="AA26" s="13">
        <f>IF(AA3-$G$3&gt;0,IF(J10&lt;&gt;"",$E$10,0),0)</f>
        <v>0</v>
      </c>
      <c r="AB26" s="13">
        <f>IF(AB3-$G$3&gt;0,IF(J10&lt;&gt;"",$E$10,0),0)</f>
        <v>0</v>
      </c>
      <c r="AC26" s="13">
        <f>IF(AC3-$G$3&gt;0,IF(J10&lt;&gt;"",$E$10,0),0)</f>
        <v>0</v>
      </c>
      <c r="AD26"/>
    </row>
    <row r="27" spans="1:30">
      <c r="A27" s="8" t="s">
        <v>331</v>
      </c>
      <c r="B27" s="8" t="s">
        <v>351</v>
      </c>
      <c r="C27" s="79" t="s">
        <v>333</v>
      </c>
      <c r="D27" s="145" t="s">
        <v>333</v>
      </c>
      <c r="E27" s="13" t="s">
        <v>333</v>
      </c>
      <c r="F27" s="13">
        <f t="shared" ref="F27:AC27" si="10">F28+F32</f>
        <v>0</v>
      </c>
      <c r="G27" s="13">
        <f t="shared" si="10"/>
        <v>0</v>
      </c>
      <c r="H27" s="13">
        <f t="shared" si="10"/>
        <v>0</v>
      </c>
      <c r="I27" s="38">
        <f t="shared" si="10"/>
        <v>0</v>
      </c>
      <c r="J27" s="38">
        <f t="shared" si="10"/>
        <v>75.9433962264151</v>
      </c>
      <c r="K27" s="38">
        <f t="shared" si="10"/>
        <v>75.9433962264151</v>
      </c>
      <c r="L27" s="38">
        <f t="shared" si="10"/>
        <v>75.9433962264151</v>
      </c>
      <c r="M27" s="38">
        <f t="shared" si="10"/>
        <v>75.9433962264151</v>
      </c>
      <c r="N27" s="38">
        <f t="shared" si="10"/>
        <v>75.9433962264151</v>
      </c>
      <c r="O27" s="38">
        <f t="shared" si="10"/>
        <v>75.9433962264151</v>
      </c>
      <c r="P27" s="38">
        <f t="shared" si="10"/>
        <v>75.9433962264151</v>
      </c>
      <c r="Q27" s="38">
        <f t="shared" si="10"/>
        <v>75.9433962264151</v>
      </c>
      <c r="R27" s="38">
        <f t="shared" si="10"/>
        <v>75.9433962264151</v>
      </c>
      <c r="S27" s="38">
        <f t="shared" si="10"/>
        <v>75.9433962264151</v>
      </c>
      <c r="T27" s="38">
        <f t="shared" si="10"/>
        <v>75.9433962264151</v>
      </c>
      <c r="U27" s="38">
        <f t="shared" si="10"/>
        <v>75.9433962264151</v>
      </c>
      <c r="V27" s="38">
        <f t="shared" si="10"/>
        <v>75.9433962264151</v>
      </c>
      <c r="W27" s="38">
        <f t="shared" si="10"/>
        <v>75.9433962264151</v>
      </c>
      <c r="X27" s="38">
        <f t="shared" si="10"/>
        <v>75.9433962264151</v>
      </c>
      <c r="Y27" s="38">
        <f t="shared" si="10"/>
        <v>75.9433962264151</v>
      </c>
      <c r="Z27" s="38">
        <f t="shared" si="10"/>
        <v>75.9433962264151</v>
      </c>
      <c r="AA27" s="38">
        <f t="shared" si="10"/>
        <v>75.9433962264151</v>
      </c>
      <c r="AB27" s="38">
        <f t="shared" si="10"/>
        <v>75.9433962264151</v>
      </c>
      <c r="AC27" s="38">
        <f t="shared" si="10"/>
        <v>75.9433962264151</v>
      </c>
      <c r="AD27"/>
    </row>
    <row r="28" spans="1:30">
      <c r="A28" s="8" t="s">
        <v>352</v>
      </c>
      <c r="B28" s="8" t="s">
        <v>341</v>
      </c>
      <c r="C28" s="79" t="s">
        <v>333</v>
      </c>
      <c r="D28" s="145" t="s">
        <v>333</v>
      </c>
      <c r="E28" s="13" t="s">
        <v>333</v>
      </c>
      <c r="F28" s="13">
        <f t="shared" ref="F28:AC28" si="11">SUM(F29:F31)</f>
        <v>0</v>
      </c>
      <c r="G28" s="13">
        <f t="shared" si="11"/>
        <v>0</v>
      </c>
      <c r="H28" s="13">
        <f t="shared" si="11"/>
        <v>0</v>
      </c>
      <c r="I28" s="38">
        <f t="shared" si="11"/>
        <v>0</v>
      </c>
      <c r="J28" s="38">
        <f t="shared" si="11"/>
        <v>75.9433962264151</v>
      </c>
      <c r="K28" s="38">
        <f t="shared" si="11"/>
        <v>75.9433962264151</v>
      </c>
      <c r="L28" s="38">
        <f t="shared" si="11"/>
        <v>75.9433962264151</v>
      </c>
      <c r="M28" s="38">
        <f t="shared" si="11"/>
        <v>75.9433962264151</v>
      </c>
      <c r="N28" s="38">
        <f t="shared" si="11"/>
        <v>75.9433962264151</v>
      </c>
      <c r="O28" s="38">
        <f t="shared" si="11"/>
        <v>75.9433962264151</v>
      </c>
      <c r="P28" s="38">
        <f t="shared" si="11"/>
        <v>75.9433962264151</v>
      </c>
      <c r="Q28" s="38">
        <f t="shared" si="11"/>
        <v>75.9433962264151</v>
      </c>
      <c r="R28" s="38">
        <f t="shared" si="11"/>
        <v>75.9433962264151</v>
      </c>
      <c r="S28" s="38">
        <f t="shared" si="11"/>
        <v>75.9433962264151</v>
      </c>
      <c r="T28" s="38">
        <f t="shared" si="11"/>
        <v>75.9433962264151</v>
      </c>
      <c r="U28" s="38">
        <f t="shared" si="11"/>
        <v>75.9433962264151</v>
      </c>
      <c r="V28" s="38">
        <f t="shared" si="11"/>
        <v>75.9433962264151</v>
      </c>
      <c r="W28" s="38">
        <f t="shared" si="11"/>
        <v>75.9433962264151</v>
      </c>
      <c r="X28" s="38">
        <f t="shared" si="11"/>
        <v>75.9433962264151</v>
      </c>
      <c r="Y28" s="38">
        <f t="shared" si="11"/>
        <v>75.9433962264151</v>
      </c>
      <c r="Z28" s="38">
        <f t="shared" si="11"/>
        <v>75.9433962264151</v>
      </c>
      <c r="AA28" s="38">
        <f t="shared" si="11"/>
        <v>75.9433962264151</v>
      </c>
      <c r="AB28" s="38">
        <f t="shared" si="11"/>
        <v>75.9433962264151</v>
      </c>
      <c r="AC28" s="38">
        <f t="shared" si="11"/>
        <v>75.9433962264151</v>
      </c>
      <c r="AD28"/>
    </row>
    <row r="29" spans="1:30">
      <c r="A29" s="8" t="s">
        <v>150</v>
      </c>
      <c r="B29" s="8" t="s">
        <v>343</v>
      </c>
      <c r="C29" s="79" t="s">
        <v>333</v>
      </c>
      <c r="D29" s="145" t="s">
        <v>333</v>
      </c>
      <c r="E29" s="13" t="s">
        <v>333</v>
      </c>
      <c r="F29" s="13">
        <f>IF(F3-$I$3&gt;0,IF(F13&lt;&gt;"",$E$13,0),0)</f>
        <v>0</v>
      </c>
      <c r="G29" s="13">
        <f>IF(G3-$I$3&gt;0,IF(G13&lt;&gt;"",$E$13,0),0)</f>
        <v>0</v>
      </c>
      <c r="H29" s="13">
        <f>IF(H3-$I$3&gt;0,IF(H13&lt;&gt;"",$E$13,0),0)</f>
        <v>0</v>
      </c>
      <c r="I29" s="38">
        <f>IF(I3-$I$3&gt;0,IF(I13&lt;&gt;"",$E$13,0),0)</f>
        <v>0</v>
      </c>
      <c r="J29" s="38">
        <f>IF(J3-$I$3&gt;0,IF(J13&lt;&gt;"",$E$13,0),0)</f>
        <v>0</v>
      </c>
      <c r="K29" s="38">
        <f>IF(K3-$I$3&gt;0,IF(J13&lt;&gt;"",$E$13,0),0)</f>
        <v>0</v>
      </c>
      <c r="L29" s="38">
        <f>IF(L3-$I$3&gt;0,IF(J13&lt;&gt;"",$E$13,0),0)</f>
        <v>0</v>
      </c>
      <c r="M29" s="38">
        <f>IF(M3-$I$3&gt;0,IF(J13&lt;&gt;"",$E$13,0),0)</f>
        <v>0</v>
      </c>
      <c r="N29" s="38">
        <f>IF(N3-$I$3&gt;0,IF(J13&lt;&gt;"",$E$13,0),0)</f>
        <v>0</v>
      </c>
      <c r="O29" s="38">
        <f>IF(O3-$I$3&gt;0,IF(J13&lt;&gt;"",$E$13,0),0)</f>
        <v>0</v>
      </c>
      <c r="P29" s="38">
        <f>IF(P3-$I$3&gt;0,IF(J13&lt;&gt;"",$E$13,0),0)</f>
        <v>0</v>
      </c>
      <c r="Q29" s="38">
        <f>IF(Q3-$I$3&gt;0,IF(J13&lt;&gt;"",$E$13,0),0)</f>
        <v>0</v>
      </c>
      <c r="R29" s="38">
        <f>IF(R3-$I$3&gt;0,IF(J13&lt;&gt;"",$E$13,0),0)</f>
        <v>0</v>
      </c>
      <c r="S29" s="38">
        <f>IF(S3-$I$3&gt;0,IF(J13&lt;&gt;"",$E$13,0),0)</f>
        <v>0</v>
      </c>
      <c r="T29" s="38">
        <f>IF(T3-$I$3&gt;0,IF(J13&lt;&gt;"",$E$13,0),0)</f>
        <v>0</v>
      </c>
      <c r="U29" s="38">
        <f>IF(U3-$I$3&gt;0,IF(J13&lt;&gt;"",$E$13,0),0)</f>
        <v>0</v>
      </c>
      <c r="V29" s="38">
        <f>IF(V3-$I$3&gt;0,IF(J13&lt;&gt;"",$E$13,0),0)</f>
        <v>0</v>
      </c>
      <c r="W29" s="38">
        <f>IF(W3-$I$3&gt;0,IF(J13&lt;&gt;"",$E$13,0),0)</f>
        <v>0</v>
      </c>
      <c r="X29" s="38">
        <f>IF(X3-$I$3&gt;0,IF(J13&lt;&gt;"",$E$13,0),0)</f>
        <v>0</v>
      </c>
      <c r="Y29" s="38">
        <f>IF(Y3-$I$3&gt;0,IF(J13&lt;&gt;"",$E$13,0),0)</f>
        <v>0</v>
      </c>
      <c r="Z29" s="38">
        <f>IF(Z3-$I$3&gt;0,IF(J13&lt;&gt;"",$E$13,0),0)</f>
        <v>0</v>
      </c>
      <c r="AA29" s="38">
        <f>IF(AA3-$I$3&gt;0,IF(J13&lt;&gt;"",$E$13,0),0)</f>
        <v>0</v>
      </c>
      <c r="AB29" s="38">
        <f>IF(AB3-$I$3&gt;0,IF(J13&lt;&gt;"",$E$13,0),0)</f>
        <v>0</v>
      </c>
      <c r="AC29" s="38">
        <f>IF(AC3-$I$3&gt;0,IF(J13&lt;&gt;"",$E$13,0),0)</f>
        <v>0</v>
      </c>
      <c r="AD29"/>
    </row>
    <row r="30" spans="1:30">
      <c r="A30" s="8" t="s">
        <v>152</v>
      </c>
      <c r="B30" s="35" t="s">
        <v>345</v>
      </c>
      <c r="C30" s="79" t="s">
        <v>333</v>
      </c>
      <c r="D30" s="145" t="s">
        <v>333</v>
      </c>
      <c r="E30" s="13" t="s">
        <v>333</v>
      </c>
      <c r="F30" s="13">
        <f>IF(F3-$I$3&gt;0,IF(F14&lt;&gt;"",$E$14,0),0)</f>
        <v>0</v>
      </c>
      <c r="G30" s="13">
        <f>IF(G3-$I$3&gt;0,IF(G14&lt;&gt;"",$E$14,0),0)</f>
        <v>0</v>
      </c>
      <c r="H30" s="38">
        <f>IF(H3-$I$3&gt;0,IF(H14&lt;&gt;"",$E$14,0),0)</f>
        <v>0</v>
      </c>
      <c r="I30" s="38">
        <f>IF(I3-$I$3&gt;0,IF(I14&lt;&gt;"",$E$14,0),0)</f>
        <v>0</v>
      </c>
      <c r="J30" s="38">
        <f>IF(J3-$I$3&gt;0,IF(J14&lt;&gt;"",$E$14,0),0)</f>
        <v>0</v>
      </c>
      <c r="K30" s="38">
        <f>IF(K3-$I$3&gt;0,IF(J14&lt;&gt;"",$E$14,0),0)</f>
        <v>0</v>
      </c>
      <c r="L30" s="38">
        <f>IF(L3-$I$3&gt;0,IF(J14&lt;&gt;"",$E$14,0),0)</f>
        <v>0</v>
      </c>
      <c r="M30" s="38">
        <f>IF(M3-$I$3&gt;0,IF(J14&lt;&gt;"",$E$14,0),0)</f>
        <v>0</v>
      </c>
      <c r="N30" s="38">
        <f>IF(N3-$I$3&gt;0,IF(J14&lt;&gt;"",$E$14,0),0)</f>
        <v>0</v>
      </c>
      <c r="O30" s="38">
        <f>IF(O3-$I$3&gt;0,IF(J14&lt;&gt;"",$E$14,0),0)</f>
        <v>0</v>
      </c>
      <c r="P30" s="38">
        <f>IF(P3-$I$3&gt;0,IF(J14&lt;&gt;"",$E$14,0),0)</f>
        <v>0</v>
      </c>
      <c r="Q30" s="38">
        <f>IF(Q3-$I$3&gt;0,IF(J14&lt;&gt;"",$E$14,0),0)</f>
        <v>0</v>
      </c>
      <c r="R30" s="38">
        <f>IF(R3-$I$3&gt;0,IF(J14&lt;&gt;"",$E$14,0),0)</f>
        <v>0</v>
      </c>
      <c r="S30" s="38">
        <f>IF(S3-$I$3&gt;0,IF(J14&lt;&gt;"",$E$14,0),0)</f>
        <v>0</v>
      </c>
      <c r="T30" s="38">
        <f>IF(T3-$I$3&gt;0,IF(J14&lt;&gt;"",$E$14,0),0)</f>
        <v>0</v>
      </c>
      <c r="U30" s="38">
        <f>IF(U3-$I$3&gt;0,IF(J14&lt;&gt;"",$E$14,0),0)</f>
        <v>0</v>
      </c>
      <c r="V30" s="38">
        <f>IF(V3-$I$3&gt;0,IF(J14&lt;&gt;"",$E$14,0),0)</f>
        <v>0</v>
      </c>
      <c r="W30" s="38">
        <f>IF(W3-$I$3&gt;0,IF(J14&lt;&gt;"",$E$14,0),0)</f>
        <v>0</v>
      </c>
      <c r="X30" s="38">
        <f>IF(X3-$I$3&gt;0,IF(J14&lt;&gt;"",$E$14,0),0)</f>
        <v>0</v>
      </c>
      <c r="Y30" s="38">
        <f>IF(Y3-$I$3&gt;0,IF(J14&lt;&gt;"",$E$14,0),0)</f>
        <v>0</v>
      </c>
      <c r="Z30" s="38">
        <f>IF(Z3-$I$3&gt;0,IF(J14&lt;&gt;"",$E$14,0),0)</f>
        <v>0</v>
      </c>
      <c r="AA30" s="38">
        <f>IF(AA3-$I$3&gt;0,IF(J14&lt;&gt;"",$E$14,0),0)</f>
        <v>0</v>
      </c>
      <c r="AB30" s="38">
        <f>IF(AB3-$I$3&gt;0,IF(J14&lt;&gt;"",$E$14,0),0)</f>
        <v>0</v>
      </c>
      <c r="AC30" s="38">
        <f>IF(AC3-$I$3&gt;0,IF(J14&lt;&gt;"",$E$14,0),0)</f>
        <v>0</v>
      </c>
      <c r="AD30"/>
    </row>
    <row r="31" spans="1:30">
      <c r="A31" s="8" t="s">
        <v>154</v>
      </c>
      <c r="B31" s="8" t="s">
        <v>347</v>
      </c>
      <c r="C31" s="79" t="s">
        <v>333</v>
      </c>
      <c r="D31" s="145" t="s">
        <v>333</v>
      </c>
      <c r="E31" s="13" t="s">
        <v>333</v>
      </c>
      <c r="F31" s="13">
        <f>IF(F3-$I$3&gt;0,IF(F15&lt;&gt;"",$E$15,0),0)</f>
        <v>0</v>
      </c>
      <c r="G31" s="13">
        <f>IF(G3-$I$3&gt;0,IF(G15&lt;&gt;"",$E$15,0),0)</f>
        <v>0</v>
      </c>
      <c r="H31" s="13">
        <f>IF(H3-$I$3&gt;0,IF(H15&lt;&gt;"",$E$15,0),0)</f>
        <v>0</v>
      </c>
      <c r="I31" s="13">
        <f>IF(I3-$I$3&gt;0,IF(I15&lt;&gt;"",$E$15,0),0)</f>
        <v>0</v>
      </c>
      <c r="J31" s="13">
        <f>IF(J3-$I$3&gt;0,IF(J15&lt;&gt;"",$E$15,0),0)</f>
        <v>75.9433962264151</v>
      </c>
      <c r="K31" s="13">
        <f>IF(K3-$I$3&gt;0,IF(J15&lt;&gt;"",$E$15,0),0)</f>
        <v>75.9433962264151</v>
      </c>
      <c r="L31" s="13">
        <f>IF(L3-$I$3&gt;0,IF(J15&lt;&gt;"",$E$15,0),0)</f>
        <v>75.9433962264151</v>
      </c>
      <c r="M31" s="13">
        <f>IF(M3-$I$3&gt;0,IF(J15&lt;&gt;"",$E$15,0),0)</f>
        <v>75.9433962264151</v>
      </c>
      <c r="N31" s="13">
        <f>IF(N3-$I$3&gt;0,IF(J15&lt;&gt;"",$E$15,0),0)</f>
        <v>75.9433962264151</v>
      </c>
      <c r="O31" s="13">
        <f>IF(O3-$I$3&gt;0,IF(J15&lt;&gt;"",$E$15,0),0)</f>
        <v>75.9433962264151</v>
      </c>
      <c r="P31" s="13">
        <f>IF(P3-$I$3&gt;0,IF(J15&lt;&gt;"",$E$15,0),0)</f>
        <v>75.9433962264151</v>
      </c>
      <c r="Q31" s="13">
        <f>IF(Q3-$I$3&gt;0,IF(J15&lt;&gt;"",$E$15,0),0)</f>
        <v>75.9433962264151</v>
      </c>
      <c r="R31" s="13">
        <f>IF(R3-$I$3&gt;0,IF(J15&lt;&gt;"",$E$15,0),0)</f>
        <v>75.9433962264151</v>
      </c>
      <c r="S31" s="13">
        <f>IF(S3-$I$3&gt;0,IF(J15&lt;&gt;"",$E$15,0),0)</f>
        <v>75.9433962264151</v>
      </c>
      <c r="T31" s="13">
        <f>IF(T3-$I$3&gt;0,IF(J15&lt;&gt;"",$E$15,0),0)</f>
        <v>75.9433962264151</v>
      </c>
      <c r="U31" s="13">
        <f>IF(U3-$I$3&gt;0,IF(J15&lt;&gt;"",$E$15,0),0)</f>
        <v>75.9433962264151</v>
      </c>
      <c r="V31" s="13">
        <f>IF(V3-$I$3&gt;0,IF(J15&lt;&gt;"",$E$15,0),0)</f>
        <v>75.9433962264151</v>
      </c>
      <c r="W31" s="13">
        <f>IF(W3-$I$3&gt;0,IF(J15&lt;&gt;"",$E$15,0),0)</f>
        <v>75.9433962264151</v>
      </c>
      <c r="X31" s="13">
        <f>IF(X3-$I$3&gt;0,IF(J15&lt;&gt;"",$E$15,0),0)</f>
        <v>75.9433962264151</v>
      </c>
      <c r="Y31" s="13">
        <f>IF(Y3-$I$3&gt;0,IF(J15&lt;&gt;"",$E$15,0),0)</f>
        <v>75.9433962264151</v>
      </c>
      <c r="Z31" s="13">
        <f>IF(Z3-$I$3&gt;0,IF(J15&lt;&gt;"",$E$15,0),0)</f>
        <v>75.9433962264151</v>
      </c>
      <c r="AA31" s="13">
        <f>IF(AA3-$I$3&gt;0,IF(J15&lt;&gt;"",$E$15,0),0)</f>
        <v>75.9433962264151</v>
      </c>
      <c r="AB31" s="13">
        <f>IF(AB3-$I$3&gt;0,IF(J15&lt;&gt;"",$E$15,0),0)</f>
        <v>75.9433962264151</v>
      </c>
      <c r="AC31" s="13">
        <f>IF(AC3-$I$3&gt;0,IF(J15&lt;&gt;"",$E$15,0),0)</f>
        <v>75.9433962264151</v>
      </c>
      <c r="AD31"/>
    </row>
    <row r="32" spans="1:30">
      <c r="A32" s="8" t="s">
        <v>353</v>
      </c>
      <c r="B32" s="8" t="s">
        <v>349</v>
      </c>
      <c r="C32" s="79" t="s">
        <v>333</v>
      </c>
      <c r="D32" s="145" t="s">
        <v>333</v>
      </c>
      <c r="E32" s="13" t="s">
        <v>333</v>
      </c>
      <c r="F32" s="13">
        <f t="shared" ref="F32:AC32" si="12">F33</f>
        <v>0</v>
      </c>
      <c r="G32" s="13">
        <f t="shared" si="12"/>
        <v>0</v>
      </c>
      <c r="H32" s="38">
        <f t="shared" si="12"/>
        <v>0</v>
      </c>
      <c r="I32" s="38">
        <f t="shared" si="12"/>
        <v>0</v>
      </c>
      <c r="J32" s="38">
        <f t="shared" si="12"/>
        <v>0</v>
      </c>
      <c r="K32" s="38">
        <f t="shared" si="12"/>
        <v>0</v>
      </c>
      <c r="L32" s="38">
        <f t="shared" si="12"/>
        <v>0</v>
      </c>
      <c r="M32" s="38">
        <f t="shared" si="12"/>
        <v>0</v>
      </c>
      <c r="N32" s="38">
        <f t="shared" si="12"/>
        <v>0</v>
      </c>
      <c r="O32" s="38">
        <f t="shared" si="12"/>
        <v>0</v>
      </c>
      <c r="P32" s="38">
        <f t="shared" si="12"/>
        <v>0</v>
      </c>
      <c r="Q32" s="38">
        <f t="shared" si="12"/>
        <v>0</v>
      </c>
      <c r="R32" s="38">
        <f t="shared" si="12"/>
        <v>0</v>
      </c>
      <c r="S32" s="38">
        <f t="shared" si="12"/>
        <v>0</v>
      </c>
      <c r="T32" s="38">
        <f t="shared" si="12"/>
        <v>0</v>
      </c>
      <c r="U32" s="38">
        <f t="shared" si="12"/>
        <v>0</v>
      </c>
      <c r="V32" s="38">
        <f t="shared" si="12"/>
        <v>0</v>
      </c>
      <c r="W32" s="38">
        <f t="shared" si="12"/>
        <v>0</v>
      </c>
      <c r="X32" s="38">
        <f t="shared" si="12"/>
        <v>0</v>
      </c>
      <c r="Y32" s="38">
        <f t="shared" si="12"/>
        <v>0</v>
      </c>
      <c r="Z32" s="38">
        <f t="shared" si="12"/>
        <v>0</v>
      </c>
      <c r="AA32" s="38">
        <f t="shared" si="12"/>
        <v>0</v>
      </c>
      <c r="AB32" s="38">
        <f t="shared" si="12"/>
        <v>0</v>
      </c>
      <c r="AC32" s="38">
        <f t="shared" si="12"/>
        <v>0</v>
      </c>
      <c r="AD32"/>
    </row>
    <row r="33" spans="1:30">
      <c r="A33" s="8" t="s">
        <v>157</v>
      </c>
      <c r="B33" s="8" t="s">
        <v>350</v>
      </c>
      <c r="C33" s="13" t="s">
        <v>333</v>
      </c>
      <c r="D33" s="39" t="s">
        <v>333</v>
      </c>
      <c r="E33" s="13" t="s">
        <v>333</v>
      </c>
      <c r="F33" s="13">
        <f>IF(F3-$I$3&gt;0,IF(F17&lt;&gt;"",$E$17,0),0)</f>
        <v>0</v>
      </c>
      <c r="G33" s="13">
        <f>IF(G3-$I$3&gt;0,IF(G17&lt;&gt;"",$E$17,0),0)</f>
        <v>0</v>
      </c>
      <c r="H33" s="13">
        <f>IF(H3-$I$3&gt;0,IF(H17&lt;&gt;"",$E$17,0),0)</f>
        <v>0</v>
      </c>
      <c r="I33" s="13">
        <f>IF(I3-$I$3&gt;0,IF(I17&lt;&gt;"",$E$17,0),0)</f>
        <v>0</v>
      </c>
      <c r="J33" s="13">
        <f>IF(J3-$I$3&gt;0,IF(J17&lt;&gt;"",$E$17,0),0)</f>
        <v>0</v>
      </c>
      <c r="K33" s="13">
        <f>IF(K3-$I$3&gt;0,IF(J17&lt;&gt;"",$E$17,0),0)</f>
        <v>0</v>
      </c>
      <c r="L33" s="13">
        <f>IF(L3-$I$3&gt;0,IF(J17&lt;&gt;"",$E$17,0),0)</f>
        <v>0</v>
      </c>
      <c r="M33" s="13">
        <f>IF(M3-$I$3&gt;0,IF(J17&lt;&gt;"",$E$17,0),0)</f>
        <v>0</v>
      </c>
      <c r="N33" s="13">
        <f>IF(N3-$I$3&gt;0,IF(J17&lt;&gt;"",$E$17,0),0)</f>
        <v>0</v>
      </c>
      <c r="O33" s="13">
        <f>IF(O3-$I$3&gt;0,IF(J17&lt;&gt;"",$E$17,0),0)</f>
        <v>0</v>
      </c>
      <c r="P33" s="13">
        <f>IF(P3-$I$3&gt;0,IF(J17&lt;&gt;"",$E$17,0),0)</f>
        <v>0</v>
      </c>
      <c r="Q33" s="13">
        <f>IF(Q3-$I$3&gt;0,IF(J17&lt;&gt;"",$E$17,0),0)</f>
        <v>0</v>
      </c>
      <c r="R33" s="13">
        <f>IF(R3-$I$3&gt;0,IF(J17&lt;&gt;"",$E$17,0),0)</f>
        <v>0</v>
      </c>
      <c r="S33" s="13">
        <f>IF(S3-$I$3&gt;0,IF(J17&lt;&gt;"",$E$17,0),0)</f>
        <v>0</v>
      </c>
      <c r="T33" s="13">
        <f>IF(T3-$I$3&gt;0,IF(J17&lt;&gt;"",$E$17,0),0)</f>
        <v>0</v>
      </c>
      <c r="U33" s="13">
        <f>IF(U3-$I$3&gt;0,IF(J17&lt;&gt;"",$E$17,0),0)</f>
        <v>0</v>
      </c>
      <c r="V33" s="13">
        <f>IF(V3-$I$3&gt;0,IF(J17&lt;&gt;"",$E$17,0),0)</f>
        <v>0</v>
      </c>
      <c r="W33" s="13">
        <f>IF(W3-$I$3&gt;0,IF(J17&lt;&gt;"",$E$17,0),0)</f>
        <v>0</v>
      </c>
      <c r="X33" s="13">
        <f>IF(X3-$I$3&gt;0,IF(J17&lt;&gt;"",$E$17,0),0)</f>
        <v>0</v>
      </c>
      <c r="Y33" s="13">
        <f>IF(Y3-$I$3&gt;0,IF(J17&lt;&gt;"",$E$17,0),0)</f>
        <v>0</v>
      </c>
      <c r="Z33" s="13">
        <f>IF(Z3-$I$3&gt;0,IF(J17&lt;&gt;"",$E$17,0),0)</f>
        <v>0</v>
      </c>
      <c r="AA33" s="13">
        <f>IF(AA3-$I$3&gt;0,IF(J17&lt;&gt;"",$E$17,0),0)</f>
        <v>0</v>
      </c>
      <c r="AB33" s="13">
        <f>IF(AB3-$I$3&gt;0,IF(J17&lt;&gt;"",$E$17,0),0)</f>
        <v>0</v>
      </c>
      <c r="AC33" s="13">
        <f>IF(AC3-$I$3&gt;0,IF(J17&lt;&gt;"",$E$17,0),0)</f>
        <v>0</v>
      </c>
      <c r="AD33"/>
    </row>
    <row r="34" spans="1:30">
      <c r="A34" s="13"/>
      <c r="B34" s="13" t="s">
        <v>334</v>
      </c>
      <c r="C34" s="13" t="s">
        <v>333</v>
      </c>
      <c r="D34" s="13" t="s">
        <v>333</v>
      </c>
      <c r="E34" s="13" t="s">
        <v>333</v>
      </c>
      <c r="F34" s="13">
        <f t="shared" ref="F34:AC34" si="13">F20+F27</f>
        <v>0</v>
      </c>
      <c r="G34" s="13">
        <f t="shared" si="13"/>
        <v>0</v>
      </c>
      <c r="H34" s="13">
        <f t="shared" si="13"/>
        <v>142.795883361921</v>
      </c>
      <c r="I34" s="13">
        <f t="shared" si="13"/>
        <v>142.795883361921</v>
      </c>
      <c r="J34" s="13">
        <f t="shared" si="13"/>
        <v>218.739279588336</v>
      </c>
      <c r="K34" s="13">
        <f t="shared" si="13"/>
        <v>218.739279588336</v>
      </c>
      <c r="L34" s="13">
        <f t="shared" si="13"/>
        <v>218.739279588336</v>
      </c>
      <c r="M34" s="13">
        <f t="shared" si="13"/>
        <v>218.739279588336</v>
      </c>
      <c r="N34" s="13">
        <f t="shared" si="13"/>
        <v>218.739279588336</v>
      </c>
      <c r="O34" s="13">
        <f t="shared" si="13"/>
        <v>218.739279588336</v>
      </c>
      <c r="P34" s="13">
        <f t="shared" si="13"/>
        <v>218.739279588336</v>
      </c>
      <c r="Q34" s="13">
        <f t="shared" si="13"/>
        <v>218.739279588336</v>
      </c>
      <c r="R34" s="13">
        <f t="shared" si="13"/>
        <v>218.739279588336</v>
      </c>
      <c r="S34" s="13">
        <f t="shared" si="13"/>
        <v>218.739279588336</v>
      </c>
      <c r="T34" s="13">
        <f t="shared" si="13"/>
        <v>218.739279588336</v>
      </c>
      <c r="U34" s="13">
        <f t="shared" si="13"/>
        <v>218.739279588336</v>
      </c>
      <c r="V34" s="13">
        <f t="shared" si="13"/>
        <v>218.739279588336</v>
      </c>
      <c r="W34" s="13">
        <f t="shared" si="13"/>
        <v>218.739279588336</v>
      </c>
      <c r="X34" s="13">
        <f t="shared" si="13"/>
        <v>218.739279588336</v>
      </c>
      <c r="Y34" s="13">
        <f t="shared" si="13"/>
        <v>218.739279588336</v>
      </c>
      <c r="Z34" s="13">
        <f t="shared" si="13"/>
        <v>218.739279588336</v>
      </c>
      <c r="AA34" s="13">
        <f t="shared" si="13"/>
        <v>218.739279588336</v>
      </c>
      <c r="AB34" s="13">
        <f t="shared" si="13"/>
        <v>218.739279588336</v>
      </c>
      <c r="AC34" s="13">
        <f t="shared" si="13"/>
        <v>218.739279588336</v>
      </c>
      <c r="AD34"/>
    </row>
  </sheetData>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70C0"/>
  </sheetPr>
  <dimension ref="A1:M20"/>
  <sheetViews>
    <sheetView workbookViewId="0">
      <selection activeCell="B13" sqref="B13"/>
    </sheetView>
  </sheetViews>
  <sheetFormatPr defaultColWidth="8.89090909090909" defaultRowHeight="28.05" customHeight="1"/>
  <cols>
    <col min="2" max="2" width="18.3363636363636" style="1" customWidth="1"/>
    <col min="3" max="3" width="14.1090909090909" style="1" customWidth="1"/>
    <col min="4" max="4" width="9.55454545454545" style="1" customWidth="1"/>
    <col min="5" max="5" width="15.5545454545455" style="1" customWidth="1"/>
    <col min="6" max="6" width="11.8909090909091" style="1" customWidth="1"/>
    <col min="8" max="8" width="9.89090909090909" style="1" customWidth="1"/>
    <col min="9" max="9" width="10.3363636363636" style="1" customWidth="1"/>
    <col min="10" max="10" width="11.7818181818182" style="1" customWidth="1"/>
    <col min="11" max="12" width="10.4454545454545" style="1" customWidth="1"/>
  </cols>
  <sheetData>
    <row r="1" s="48" customFormat="1" ht="20" customHeight="1" spans="1:13">
      <c r="A1" s="132" t="s">
        <v>354</v>
      </c>
      <c r="M1" s="72" t="s">
        <v>355</v>
      </c>
    </row>
    <row r="2" s="48" customFormat="1" ht="52.05" customHeight="1" spans="1:12">
      <c r="A2" s="18" t="s">
        <v>1</v>
      </c>
      <c r="B2" s="18" t="s">
        <v>166</v>
      </c>
      <c r="C2" s="18" t="s">
        <v>356</v>
      </c>
      <c r="D2" s="24">
        <v>2025</v>
      </c>
      <c r="E2" s="24">
        <v>2026</v>
      </c>
      <c r="F2" s="24">
        <v>2027</v>
      </c>
      <c r="G2" s="24">
        <v>2028</v>
      </c>
      <c r="H2" s="18" t="s">
        <v>357</v>
      </c>
      <c r="I2" s="136" t="s">
        <v>358</v>
      </c>
      <c r="J2" s="136" t="s">
        <v>359</v>
      </c>
      <c r="K2" s="136" t="s">
        <v>360</v>
      </c>
      <c r="L2" s="136" t="s">
        <v>361</v>
      </c>
    </row>
    <row r="3" s="48" customFormat="1" ht="16.5" customHeight="1" spans="1:12">
      <c r="A3" s="8" t="s">
        <v>90</v>
      </c>
      <c r="B3" s="8" t="s">
        <v>168</v>
      </c>
      <c r="C3" s="13">
        <f>C4+C8</f>
        <v>24474.93</v>
      </c>
      <c r="D3" s="13">
        <f>D4+D8</f>
        <v>1767.4395</v>
      </c>
      <c r="E3" s="13">
        <f>E4+E8</f>
        <v>10015.4905</v>
      </c>
      <c r="F3" s="13">
        <f>F4+F8</f>
        <v>12212</v>
      </c>
      <c r="G3" s="13">
        <f>G4+G8</f>
        <v>480</v>
      </c>
      <c r="H3" s="8" t="str">
        <f>'G.1进项增值税率-建设投资'!E3</f>
        <v>/</v>
      </c>
      <c r="I3" s="9">
        <f>I4+I8</f>
        <v>1601.75337376934</v>
      </c>
      <c r="J3" s="9">
        <f>J4+J8</f>
        <v>9076.6024513596</v>
      </c>
      <c r="K3" s="9">
        <f>K4+K8</f>
        <v>11154.3473432179</v>
      </c>
      <c r="L3" s="9">
        <f>L4+L8</f>
        <v>432.572866769506</v>
      </c>
    </row>
    <row r="4" s="48" customFormat="1" ht="16.5" customHeight="1" spans="1:12">
      <c r="A4" s="133">
        <v>1</v>
      </c>
      <c r="B4" s="133" t="s">
        <v>169</v>
      </c>
      <c r="C4" s="134">
        <f>SUM(C5:C7)</f>
        <v>19534.93</v>
      </c>
      <c r="D4" s="134">
        <f>SUM(D5:D7)</f>
        <v>1267.9395</v>
      </c>
      <c r="E4" s="134">
        <f>SUM(E5:E7)</f>
        <v>7184.9905</v>
      </c>
      <c r="F4" s="134">
        <f>SUM(F5:F7)</f>
        <v>10602</v>
      </c>
      <c r="G4" s="134">
        <f>SUM(G5:G7)</f>
        <v>480</v>
      </c>
      <c r="H4" s="133" t="str">
        <f>'G.1进项增值税率-建设投资'!E4</f>
        <v>/</v>
      </c>
      <c r="I4" s="137">
        <f>SUM(I5:I7)</f>
        <v>1130.526958675</v>
      </c>
      <c r="J4" s="137">
        <f>SUM(J5:J7)</f>
        <v>6406.31943249168</v>
      </c>
      <c r="K4" s="137">
        <f>SUM(K5:K7)</f>
        <v>9635.47941868962</v>
      </c>
      <c r="L4" s="137">
        <f>SUM(L5:L7)</f>
        <v>432.572866769506</v>
      </c>
    </row>
    <row r="5" s="48" customFormat="1" ht="16.5" customHeight="1" spans="1:13">
      <c r="A5" s="8">
        <v>1.1</v>
      </c>
      <c r="B5" s="12" t="s">
        <v>170</v>
      </c>
      <c r="C5" s="13">
        <f>'G.1进项增值税率-建设投资'!D5</f>
        <v>9772</v>
      </c>
      <c r="D5" s="34">
        <f>D.3建设投资分年计划表!E5</f>
        <v>260.4</v>
      </c>
      <c r="E5" s="34">
        <f>D.3建设投资分年计划表!F5</f>
        <v>1475.6</v>
      </c>
      <c r="F5" s="34">
        <f>D.3建设投资分年计划表!G5</f>
        <v>7796</v>
      </c>
      <c r="G5" s="34">
        <f>D.3建设投资分年计划表!H5</f>
        <v>240</v>
      </c>
      <c r="H5" s="135">
        <f>'G.1进项增值税率-建设投资'!$E$5</f>
        <v>0.09</v>
      </c>
      <c r="I5" s="34">
        <f>D5/(1+'G.1进项增值税率-建设投资'!$E5)</f>
        <v>238.899082568807</v>
      </c>
      <c r="J5" s="34">
        <f>E5/(1+'G.1进项增值税率-建设投资'!$E5)</f>
        <v>1353.76146788991</v>
      </c>
      <c r="K5" s="34">
        <f>F5/(1+'G.1进项增值税率-建设投资'!$E5)</f>
        <v>7152.29357798165</v>
      </c>
      <c r="L5" s="34">
        <f>G5/(1+'G.1进项增值税率-建设投资'!$E5)</f>
        <v>220.183486238532</v>
      </c>
      <c r="M5" s="72" t="s">
        <v>362</v>
      </c>
    </row>
    <row r="6" s="48" customFormat="1" ht="16.5" customHeight="1" spans="1:12">
      <c r="A6" s="8">
        <v>1.2</v>
      </c>
      <c r="B6" s="12" t="s">
        <v>172</v>
      </c>
      <c r="C6" s="13">
        <f>'G.1进项增值税率-建设投资'!D6</f>
        <v>9762.93</v>
      </c>
      <c r="D6" s="34">
        <f>D.3建设投资分年计划表!E6</f>
        <v>1007.5395</v>
      </c>
      <c r="E6" s="34">
        <f>D.3建设投资分年计划表!F6</f>
        <v>5709.3905</v>
      </c>
      <c r="F6" s="34">
        <f>D.3建设投资分年计划表!G6</f>
        <v>2806</v>
      </c>
      <c r="G6" s="34">
        <f>D.3建设投资分年计划表!H6</f>
        <v>240</v>
      </c>
      <c r="H6" s="135">
        <f>'G.1进项增值税率-建设投资'!$E$6</f>
        <v>0.13</v>
      </c>
      <c r="I6" s="34">
        <f>D6/(1+'G.1进项增值税率-建设投资'!$E6)</f>
        <v>891.627876106195</v>
      </c>
      <c r="J6" s="34">
        <f>E6/(1+'G.1进项增值税率-建设投资'!$E6)</f>
        <v>5052.55796460177</v>
      </c>
      <c r="K6" s="34">
        <f>F6/(1+'G.1进项增值税率-建设投资'!$E6)</f>
        <v>2483.18584070796</v>
      </c>
      <c r="L6" s="34">
        <f>G6/(1+'G.1进项增值税率-建设投资'!$E6)</f>
        <v>212.389380530973</v>
      </c>
    </row>
    <row r="7" s="48" customFormat="1" ht="16.5" customHeight="1" spans="1:12">
      <c r="A7" s="8">
        <v>1.3</v>
      </c>
      <c r="B7" s="12" t="s">
        <v>173</v>
      </c>
      <c r="C7" s="13">
        <f>'G.1进项增值税率-建设投资'!D7</f>
        <v>0</v>
      </c>
      <c r="D7" s="34">
        <f>D.3建设投资分年计划表!E7</f>
        <v>0</v>
      </c>
      <c r="E7" s="34">
        <f>D.3建设投资分年计划表!F7</f>
        <v>0</v>
      </c>
      <c r="F7" s="34">
        <f>D.3建设投资分年计划表!G7</f>
        <v>0</v>
      </c>
      <c r="G7" s="34">
        <f>D.3建设投资分年计划表!H7</f>
        <v>0</v>
      </c>
      <c r="H7" s="135">
        <f>'G.1进项增值税率-建设投资'!$E$7</f>
        <v>0.09</v>
      </c>
      <c r="I7" s="34">
        <f>D7/(1+'G.1进项增值税率-建设投资'!$E7)</f>
        <v>0</v>
      </c>
      <c r="J7" s="34">
        <f>E7/(1+'G.1进项增值税率-建设投资'!$E7)</f>
        <v>0</v>
      </c>
      <c r="K7" s="34">
        <f>F7/(1+'G.1进项增值税率-建设投资'!$E7)</f>
        <v>0</v>
      </c>
      <c r="L7" s="34">
        <f>G7/(1+'G.1进项增值税率-建设投资'!$E7)</f>
        <v>0</v>
      </c>
    </row>
    <row r="8" s="48" customFormat="1" ht="16.5" customHeight="1" spans="1:12">
      <c r="A8" s="133">
        <v>2</v>
      </c>
      <c r="B8" s="133" t="s">
        <v>175</v>
      </c>
      <c r="C8" s="134">
        <f>SUM(C9:C12)</f>
        <v>4940</v>
      </c>
      <c r="D8" s="134">
        <f>SUM(D9:D12)</f>
        <v>499.5</v>
      </c>
      <c r="E8" s="134">
        <f>SUM(E9:E12)</f>
        <v>2830.5</v>
      </c>
      <c r="F8" s="134">
        <f>SUM(F9:F12)</f>
        <v>1610</v>
      </c>
      <c r="G8" s="134">
        <f>SUM(G9:G12)</f>
        <v>0</v>
      </c>
      <c r="H8" s="133" t="str">
        <f>'G.1进项增值税率-建设投资'!E8</f>
        <v>/</v>
      </c>
      <c r="I8" s="137">
        <f>SUM(I9:I12)</f>
        <v>471.22641509434</v>
      </c>
      <c r="J8" s="137">
        <f>SUM(J9:J12)</f>
        <v>2670.28301886792</v>
      </c>
      <c r="K8" s="137">
        <f>SUM(K9:K12)</f>
        <v>1518.8679245283</v>
      </c>
      <c r="L8" s="137">
        <f>SUM(L9:L12)</f>
        <v>0</v>
      </c>
    </row>
    <row r="9" s="48" customFormat="1" ht="16.5" customHeight="1" spans="1:12">
      <c r="A9" s="8">
        <v>2.1</v>
      </c>
      <c r="B9" s="12" t="s">
        <v>176</v>
      </c>
      <c r="C9" s="13">
        <f>'G.1进项增值税率-建设投资'!D9</f>
        <v>0</v>
      </c>
      <c r="D9" s="34">
        <f>D.3建设投资分年计划表!E9</f>
        <v>0</v>
      </c>
      <c r="E9" s="34">
        <f>D.3建设投资分年计划表!F9</f>
        <v>0</v>
      </c>
      <c r="F9" s="34">
        <f>D.3建设投资分年计划表!G9</f>
        <v>0</v>
      </c>
      <c r="G9" s="34">
        <f>D.3建设投资分年计划表!H9</f>
        <v>0</v>
      </c>
      <c r="H9" s="135">
        <f>'G.1进项增值税率-建设投资'!$E$9</f>
        <v>0.13</v>
      </c>
      <c r="I9" s="34">
        <f>D9/(1+'G.1进项增值税率-建设投资'!$E9)</f>
        <v>0</v>
      </c>
      <c r="J9" s="34">
        <f>E9/(1+'G.1进项增值税率-建设投资'!$E9)</f>
        <v>0</v>
      </c>
      <c r="K9" s="34">
        <f>F9/(1+'G.1进项增值税率-建设投资'!$E9)</f>
        <v>0</v>
      </c>
      <c r="L9" s="34">
        <f>G9/(1+'G.1进项增值税率-建设投资'!$E9)</f>
        <v>0</v>
      </c>
    </row>
    <row r="10" s="48" customFormat="1" ht="16.5" customHeight="1" spans="1:12">
      <c r="A10" s="8">
        <v>2.2</v>
      </c>
      <c r="B10" s="12" t="s">
        <v>178</v>
      </c>
      <c r="C10" s="13">
        <f>'G.1进项增值税率-建设投资'!D10</f>
        <v>4940</v>
      </c>
      <c r="D10" s="34">
        <f>D.3建设投资分年计划表!E10</f>
        <v>499.5</v>
      </c>
      <c r="E10" s="34">
        <f>D.3建设投资分年计划表!F10</f>
        <v>2830.5</v>
      </c>
      <c r="F10" s="34">
        <f>D.3建设投资分年计划表!G10</f>
        <v>1610</v>
      </c>
      <c r="G10" s="34">
        <f>D.3建设投资分年计划表!H10</f>
        <v>0</v>
      </c>
      <c r="H10" s="135">
        <f>'G.1进项增值税率-建设投资'!$E$10</f>
        <v>0.06</v>
      </c>
      <c r="I10" s="34">
        <f>D10/(1+'G.1进项增值税率-建设投资'!$E10)</f>
        <v>471.22641509434</v>
      </c>
      <c r="J10" s="34">
        <f>E10/(1+'G.1进项增值税率-建设投资'!$E10)</f>
        <v>2670.28301886792</v>
      </c>
      <c r="K10" s="34">
        <f>F10/(1+'G.1进项增值税率-建设投资'!$E10)</f>
        <v>1518.8679245283</v>
      </c>
      <c r="L10" s="34">
        <f>G10/(1+'G.1进项增值税率-建设投资'!$E10)</f>
        <v>0</v>
      </c>
    </row>
    <row r="11" s="48" customFormat="1" ht="16.5" customHeight="1" spans="1:12">
      <c r="A11" s="8">
        <v>2.3</v>
      </c>
      <c r="B11" s="12" t="s">
        <v>179</v>
      </c>
      <c r="C11" s="13">
        <f>'G.1进项增值税率-建设投资'!D11</f>
        <v>0</v>
      </c>
      <c r="D11" s="34">
        <f>D.3建设投资分年计划表!E11</f>
        <v>0</v>
      </c>
      <c r="E11" s="34">
        <f>D.3建设投资分年计划表!F11</f>
        <v>0</v>
      </c>
      <c r="F11" s="34">
        <f>D.3建设投资分年计划表!G11</f>
        <v>0</v>
      </c>
      <c r="G11" s="34">
        <f>D.3建设投资分年计划表!H11</f>
        <v>0</v>
      </c>
      <c r="H11" s="135">
        <f>'G.1进项增值税率-建设投资'!$E$11</f>
        <v>0.13</v>
      </c>
      <c r="I11" s="34">
        <f>D11/(1+'G.1进项增值税率-建设投资'!$E11)</f>
        <v>0</v>
      </c>
      <c r="J11" s="34">
        <f>E11/(1+'G.1进项增值税率-建设投资'!$E11)</f>
        <v>0</v>
      </c>
      <c r="K11" s="34">
        <f>F11/(1+'G.1进项增值税率-建设投资'!$E11)</f>
        <v>0</v>
      </c>
      <c r="L11" s="34">
        <f>G11/(1+'G.1进项增值税率-建设投资'!$E11)</f>
        <v>0</v>
      </c>
    </row>
    <row r="12" s="48" customFormat="1" ht="16.5" customHeight="1" spans="1:12">
      <c r="A12" s="8">
        <v>2.4</v>
      </c>
      <c r="B12" s="12" t="s">
        <v>180</v>
      </c>
      <c r="C12" s="13">
        <f>'G.1进项增值税率-建设投资'!D12</f>
        <v>0</v>
      </c>
      <c r="D12" s="34">
        <f>D.3建设投资分年计划表!E12</f>
        <v>0</v>
      </c>
      <c r="E12" s="34">
        <f>D.3建设投资分年计划表!F12</f>
        <v>0</v>
      </c>
      <c r="F12" s="34">
        <f>D.3建设投资分年计划表!G12</f>
        <v>0</v>
      </c>
      <c r="G12" s="34">
        <f>D.3建设投资分年计划表!H12</f>
        <v>0</v>
      </c>
      <c r="H12" s="135">
        <f>'G.1进项增值税率-建设投资'!$E$12</f>
        <v>0.06</v>
      </c>
      <c r="I12" s="34">
        <f>D12/(1+'G.1进项增值税率-建设投资'!$E12)</f>
        <v>0</v>
      </c>
      <c r="J12" s="34">
        <f>E12/(1+'G.1进项增值税率-建设投资'!$E12)</f>
        <v>0</v>
      </c>
      <c r="K12" s="34">
        <f>F12/(1+'G.1进项增值税率-建设投资'!$E12)</f>
        <v>0</v>
      </c>
      <c r="L12" s="34">
        <f>G12/(1+'G.1进项增值税率-建设投资'!$E12)</f>
        <v>0</v>
      </c>
    </row>
    <row r="13" s="48" customFormat="1" ht="16.5" customHeight="1" spans="1:12">
      <c r="A13" s="133" t="s">
        <v>113</v>
      </c>
      <c r="B13" s="133" t="s">
        <v>114</v>
      </c>
      <c r="C13" s="134">
        <f>SUM(C14:C14)</f>
        <v>2408.1821113962</v>
      </c>
      <c r="D13" s="134">
        <f>SUM(D14:D14)</f>
        <v>173.905142399796</v>
      </c>
      <c r="E13" s="134">
        <f>SUM(E14:E14)</f>
        <v>985.462473598845</v>
      </c>
      <c r="F13" s="134">
        <f>SUM(F14:F14)</f>
        <v>1201.58545680704</v>
      </c>
      <c r="G13" s="134">
        <f>SUM(G14:G14)</f>
        <v>47.2290385905159</v>
      </c>
      <c r="H13" s="133" t="str">
        <f>'G.1进项增值税率-建设投资'!E13</f>
        <v>/</v>
      </c>
      <c r="I13" s="137">
        <f>SUM(I14:I14)</f>
        <v>164.061455094147</v>
      </c>
      <c r="J13" s="137">
        <f>SUM(J14:J14)</f>
        <v>929.681578866835</v>
      </c>
      <c r="K13" s="137">
        <f>SUM(K14:K14)</f>
        <v>1133.57118566702</v>
      </c>
      <c r="L13" s="137">
        <f>SUM(L14:L14)</f>
        <v>44.5556967835056</v>
      </c>
    </row>
    <row r="14" s="48" customFormat="1" ht="16.5" customHeight="1" spans="1:12">
      <c r="A14" s="8">
        <v>1</v>
      </c>
      <c r="B14" s="8" t="s">
        <v>181</v>
      </c>
      <c r="C14" s="13">
        <f>'G.1进项增值税率-建设投资'!D14</f>
        <v>2408.1821113962</v>
      </c>
      <c r="D14" s="34">
        <f>D.3建设投资分年计划表!E14</f>
        <v>173.905142399796</v>
      </c>
      <c r="E14" s="34">
        <f>D.3建设投资分年计划表!F14</f>
        <v>985.462473598845</v>
      </c>
      <c r="F14" s="34">
        <f>D.3建设投资分年计划表!G14</f>
        <v>1201.58545680704</v>
      </c>
      <c r="G14" s="34">
        <f>D.3建设投资分年计划表!H14</f>
        <v>47.2290385905159</v>
      </c>
      <c r="H14" s="135">
        <f>'G.1进项增值税率-建设投资'!$E$14</f>
        <v>0.06</v>
      </c>
      <c r="I14" s="34">
        <f>D14/(1+'G.1进项增值税率-建设投资'!$E14)</f>
        <v>164.061455094147</v>
      </c>
      <c r="J14" s="34">
        <f>E14/(1+'G.1进项增值税率-建设投资'!$E14)</f>
        <v>929.681578866835</v>
      </c>
      <c r="K14" s="34">
        <f>F14/(1+'G.1进项增值税率-建设投资'!$E14)</f>
        <v>1133.57118566702</v>
      </c>
      <c r="L14" s="34">
        <f>G14/(1+'G.1进项增值税率-建设投资'!$E14)</f>
        <v>44.5556967835056</v>
      </c>
    </row>
    <row r="15" s="48" customFormat="1" ht="16.5" customHeight="1" spans="1:12">
      <c r="A15" s="133" t="s">
        <v>137</v>
      </c>
      <c r="B15" s="133" t="s">
        <v>138</v>
      </c>
      <c r="C15" s="134">
        <f>C16</f>
        <v>1344.15560556981</v>
      </c>
      <c r="D15" s="134">
        <f>D16</f>
        <v>97.0672321199898</v>
      </c>
      <c r="E15" s="134">
        <f>E16</f>
        <v>550.047648679942</v>
      </c>
      <c r="F15" s="134">
        <f>F16</f>
        <v>670.679272840352</v>
      </c>
      <c r="G15" s="134">
        <f>G16</f>
        <v>26.3614519295258</v>
      </c>
      <c r="H15" s="133" t="str">
        <f>'G.1进项增值税率-建设投资'!E15</f>
        <v>/</v>
      </c>
      <c r="I15" s="137">
        <f>I16</f>
        <v>97.0672321199898</v>
      </c>
      <c r="J15" s="137">
        <f>J16</f>
        <v>550.047648679942</v>
      </c>
      <c r="K15" s="137">
        <f>K16</f>
        <v>670.679272840352</v>
      </c>
      <c r="L15" s="137">
        <f>L16</f>
        <v>26.3614519295258</v>
      </c>
    </row>
    <row r="16" s="48" customFormat="1" ht="16.5" customHeight="1" spans="1:12">
      <c r="A16" s="8">
        <v>1</v>
      </c>
      <c r="B16" s="12" t="s">
        <v>139</v>
      </c>
      <c r="C16" s="13">
        <f>'G.1进项增值税率-建设投资'!D16</f>
        <v>1344.15560556981</v>
      </c>
      <c r="D16" s="34">
        <f>D.3建设投资分年计划表!E16</f>
        <v>97.0672321199898</v>
      </c>
      <c r="E16" s="34">
        <f>D.3建设投资分年计划表!F16</f>
        <v>550.047648679942</v>
      </c>
      <c r="F16" s="34">
        <f>D.3建设投资分年计划表!G16</f>
        <v>670.679272840352</v>
      </c>
      <c r="G16" s="34">
        <f>D.3建设投资分年计划表!H16</f>
        <v>26.3614519295258</v>
      </c>
      <c r="H16" s="135">
        <f>'G.1进项增值税率-建设投资'!$E$16</f>
        <v>0</v>
      </c>
      <c r="I16" s="34">
        <f>D16/(1+'G.1进项增值税率-建设投资'!$E16)</f>
        <v>97.0672321199898</v>
      </c>
      <c r="J16" s="34">
        <f>E16/(1+'G.1进项增值税率-建设投资'!$E16)</f>
        <v>550.047648679942</v>
      </c>
      <c r="K16" s="34">
        <f>F16/(1+'G.1进项增值税率-建设投资'!$E16)</f>
        <v>670.679272840352</v>
      </c>
      <c r="L16" s="34">
        <f>G16/(1+'G.1进项增值税率-建设投资'!$E16)</f>
        <v>26.3614519295258</v>
      </c>
    </row>
    <row r="17" s="48" customFormat="1" ht="16.5" customHeight="1" spans="1:12">
      <c r="A17" s="8"/>
      <c r="B17" s="8" t="s">
        <v>81</v>
      </c>
      <c r="C17" s="13">
        <f>C3+C13+C15</f>
        <v>28227.267716966</v>
      </c>
      <c r="D17" s="13">
        <f>D3+D13+D15</f>
        <v>2038.41187451979</v>
      </c>
      <c r="E17" s="13">
        <f>E3+E13+E15</f>
        <v>11551.0006222788</v>
      </c>
      <c r="F17" s="13">
        <f>F3+F13+F15</f>
        <v>14084.2647296474</v>
      </c>
      <c r="G17" s="13">
        <f>G3+G13+G15</f>
        <v>553.590490520042</v>
      </c>
      <c r="H17" s="13" t="s">
        <v>162</v>
      </c>
      <c r="I17" s="13">
        <f>I3+I13+I15</f>
        <v>1862.88206098348</v>
      </c>
      <c r="J17" s="13">
        <f>J3+J13+J15</f>
        <v>10556.3316789064</v>
      </c>
      <c r="K17" s="13">
        <f>K3+K13+K15</f>
        <v>12958.5978017253</v>
      </c>
      <c r="L17" s="13">
        <f>L3+L13+L15</f>
        <v>503.490015482537</v>
      </c>
    </row>
    <row r="19" ht="14" customHeight="1" spans="9:10">
      <c r="I19"/>
      <c r="J19" s="138"/>
    </row>
    <row r="20" ht="14" customHeight="1" spans="9:10">
      <c r="I20"/>
      <c r="J20" s="138"/>
    </row>
  </sheetData>
  <mergeCells count="1">
    <mergeCell ref="A1:L1"/>
  </mergeCells>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FFFF00"/>
  </sheetPr>
  <dimension ref="A1:AA27"/>
  <sheetViews>
    <sheetView workbookViewId="0">
      <pane xSplit="3" ySplit="2" topLeftCell="D13" activePane="bottomRight" state="frozen"/>
      <selection/>
      <selection pane="topRight"/>
      <selection pane="bottomLeft"/>
      <selection pane="bottomRight" activeCell="J19" sqref="J19"/>
    </sheetView>
  </sheetViews>
  <sheetFormatPr defaultColWidth="8.89090909090909" defaultRowHeight="28.05" customHeight="1"/>
  <cols>
    <col min="1" max="1" width="8.89090909090909" style="48" customWidth="1"/>
    <col min="2" max="2" width="13" style="48" customWidth="1"/>
    <col min="3" max="3" width="12.8909090909091" style="48" customWidth="1"/>
    <col min="4" max="4" width="6.44545454545455" style="48" customWidth="1"/>
    <col min="5" max="8" width="9.89090909090909" style="48" customWidth="1"/>
    <col min="9" max="16384" width="8.89090909090909" style="48" customWidth="1"/>
  </cols>
  <sheetData>
    <row r="1" customHeight="1" spans="1:8">
      <c r="A1" s="119" t="s">
        <v>363</v>
      </c>
      <c r="B1" s="119"/>
      <c r="C1" s="119"/>
      <c r="D1" s="119"/>
      <c r="E1" s="119"/>
      <c r="F1" s="119"/>
      <c r="G1" s="119"/>
      <c r="H1" s="119"/>
    </row>
    <row r="2" customHeight="1" spans="1:27">
      <c r="A2" s="60" t="s">
        <v>1</v>
      </c>
      <c r="B2" s="60" t="s">
        <v>364</v>
      </c>
      <c r="C2" s="5" t="s">
        <v>365</v>
      </c>
      <c r="D2" s="60">
        <v>2025</v>
      </c>
      <c r="E2" s="60">
        <v>2026</v>
      </c>
      <c r="F2" s="60">
        <v>2027</v>
      </c>
      <c r="G2" s="60">
        <v>2028</v>
      </c>
      <c r="H2" s="60">
        <v>2029</v>
      </c>
      <c r="I2" s="60">
        <v>2030</v>
      </c>
      <c r="J2" s="60">
        <v>2031</v>
      </c>
      <c r="K2" s="60">
        <v>2032</v>
      </c>
      <c r="L2" s="60">
        <v>2033</v>
      </c>
      <c r="M2" s="60">
        <v>2034</v>
      </c>
      <c r="N2" s="60">
        <v>2035</v>
      </c>
      <c r="O2" s="60">
        <v>2036</v>
      </c>
      <c r="P2" s="60">
        <v>2037</v>
      </c>
      <c r="Q2" s="60">
        <v>2038</v>
      </c>
      <c r="R2" s="60">
        <v>2039</v>
      </c>
      <c r="S2" s="60">
        <v>2040</v>
      </c>
      <c r="T2" s="60">
        <v>2041</v>
      </c>
      <c r="U2" s="60">
        <v>2042</v>
      </c>
      <c r="V2" s="60">
        <v>2043</v>
      </c>
      <c r="W2" s="60">
        <v>2044</v>
      </c>
      <c r="X2" s="60">
        <v>2045</v>
      </c>
      <c r="Y2" s="60">
        <v>2046</v>
      </c>
      <c r="Z2" s="60">
        <v>2047</v>
      </c>
      <c r="AA2" s="60">
        <v>2048</v>
      </c>
    </row>
    <row r="3" customHeight="1" spans="1:27">
      <c r="A3" s="120">
        <v>1</v>
      </c>
      <c r="B3" s="120" t="str">
        <f>F.1项目单项收入信息!B3</f>
        <v>气象收入</v>
      </c>
      <c r="C3" s="8" t="s">
        <v>366</v>
      </c>
      <c r="D3" s="62">
        <f>F.1项目单项收入信息!H3</f>
        <v>0</v>
      </c>
      <c r="E3" s="62">
        <f>F.1项目单项收入信息!I3</f>
        <v>0</v>
      </c>
      <c r="F3" s="62">
        <f>F.1项目单项收入信息!J3</f>
        <v>64.8</v>
      </c>
      <c r="G3" s="62">
        <f>F.1项目单项收入信息!K3</f>
        <v>108</v>
      </c>
      <c r="H3" s="62">
        <f>F.1项目单项收入信息!L3</f>
        <v>108</v>
      </c>
      <c r="I3" s="62">
        <f>F.1项目单项收入信息!M3</f>
        <v>109.08</v>
      </c>
      <c r="J3" s="62">
        <f>F.1项目单项收入信息!N3</f>
        <v>110.1708</v>
      </c>
      <c r="K3" s="62">
        <f>F.1项目单项收入信息!O3</f>
        <v>111.272508</v>
      </c>
      <c r="L3" s="62">
        <f>F.1项目单项收入信息!P3</f>
        <v>112.38523308</v>
      </c>
      <c r="M3" s="62">
        <f>F.1项目单项收入信息!Q3</f>
        <v>113.5090854108</v>
      </c>
      <c r="N3" s="62">
        <f>F.1项目单项收入信息!R3</f>
        <v>114.644176264908</v>
      </c>
      <c r="O3" s="62">
        <f>F.1项目单项收入信息!S3</f>
        <v>115.790618027557</v>
      </c>
      <c r="P3" s="62">
        <f>F.1项目单项收入信息!T3</f>
        <v>116.948524207833</v>
      </c>
      <c r="Q3" s="62">
        <f>F.1项目单项收入信息!U3</f>
        <v>118.118009449911</v>
      </c>
      <c r="R3" s="62">
        <f>F.1项目单项收入信息!V3</f>
        <v>119.29918954441</v>
      </c>
      <c r="S3" s="62">
        <f>F.1项目单项收入信息!W3</f>
        <v>120.492181439854</v>
      </c>
      <c r="T3" s="62">
        <f>F.1项目单项收入信息!X3</f>
        <v>121.697103254253</v>
      </c>
      <c r="U3" s="62">
        <f>F.1项目单项收入信息!Y3</f>
        <v>122.914074286795</v>
      </c>
      <c r="V3" s="62">
        <f>F.1项目单项收入信息!Z3</f>
        <v>124.143215029663</v>
      </c>
      <c r="W3" s="62">
        <f>F.1项目单项收入信息!AA3</f>
        <v>125.38464717996</v>
      </c>
      <c r="X3" s="62">
        <f>F.1项目单项收入信息!AB3</f>
        <v>126.638493651759</v>
      </c>
      <c r="Y3" s="62">
        <f>F.1项目单项收入信息!AC3</f>
        <v>127.904878588277</v>
      </c>
      <c r="Z3" s="62">
        <f>F.1项目单项收入信息!AD3</f>
        <v>129.18392737416</v>
      </c>
      <c r="AA3" s="62">
        <f>F.1项目单项收入信息!AE3</f>
        <v>130.475766647901</v>
      </c>
    </row>
    <row r="4" customHeight="1" spans="1:27">
      <c r="A4" s="121"/>
      <c r="B4" s="121"/>
      <c r="C4" s="8" t="s">
        <v>367</v>
      </c>
      <c r="D4" s="122">
        <f>D3/(1+G.3销项增值税率!$C$3)</f>
        <v>0</v>
      </c>
      <c r="E4" s="122">
        <f>E3/(1+G.3销项增值税率!$C$3)</f>
        <v>0</v>
      </c>
      <c r="F4" s="122">
        <f>F3/(1+G.3销项增值税率!$C$3)</f>
        <v>61.1320754716981</v>
      </c>
      <c r="G4" s="122">
        <f>G3/(1+G.3销项增值税率!$C$3)</f>
        <v>101.88679245283</v>
      </c>
      <c r="H4" s="122">
        <f>H3/(1+G.3销项增值税率!$C$3)</f>
        <v>101.88679245283</v>
      </c>
      <c r="I4" s="122">
        <f>I3/(1+G.3销项增值税率!$C$3)</f>
        <v>102.905660377358</v>
      </c>
      <c r="J4" s="122">
        <f>J3/(1+G.3销项增值税率!$C$3)</f>
        <v>103.934716981132</v>
      </c>
      <c r="K4" s="122">
        <f>K3/(1+G.3销项增值税率!$C$3)</f>
        <v>104.974064150943</v>
      </c>
      <c r="L4" s="122">
        <f>L3/(1+G.3销项增值税率!$C$3)</f>
        <v>106.023804792453</v>
      </c>
      <c r="M4" s="122">
        <f>M3/(1+G.3销项增值税率!$C$3)</f>
        <v>107.084042840377</v>
      </c>
      <c r="N4" s="122">
        <f>N3/(1+G.3销项增值税率!$C$3)</f>
        <v>108.154883268781</v>
      </c>
      <c r="O4" s="122">
        <f>O3/(1+G.3销项增值税率!$C$3)</f>
        <v>109.236432101469</v>
      </c>
      <c r="P4" s="122">
        <f>P3/(1+G.3销项增值税率!$C$3)</f>
        <v>110.328796422484</v>
      </c>
      <c r="Q4" s="122">
        <f>Q3/(1+G.3销项增值税率!$C$3)</f>
        <v>111.432084386708</v>
      </c>
      <c r="R4" s="122">
        <f>R3/(1+G.3销项增值税率!$C$3)</f>
        <v>112.546405230576</v>
      </c>
      <c r="S4" s="122">
        <f>S3/(1+G.3销项增值税率!$C$3)</f>
        <v>113.671869282881</v>
      </c>
      <c r="T4" s="122">
        <f>T3/(1+G.3销项增值税率!$C$3)</f>
        <v>114.80858797571</v>
      </c>
      <c r="U4" s="122">
        <f>U3/(1+G.3销项增值税率!$C$3)</f>
        <v>115.956673855467</v>
      </c>
      <c r="V4" s="122">
        <f>V3/(1+G.3销项增值税率!$C$3)</f>
        <v>117.116240594022</v>
      </c>
      <c r="W4" s="122">
        <f>W3/(1+G.3销项增值税率!$C$3)</f>
        <v>118.287402999962</v>
      </c>
      <c r="X4" s="122">
        <f>X3/(1+G.3销项增值税率!$C$3)</f>
        <v>119.470277029962</v>
      </c>
      <c r="Y4" s="122">
        <f>Y3/(1+G.3销项增值税率!$C$3)</f>
        <v>120.664979800261</v>
      </c>
      <c r="Z4" s="122">
        <f>Z3/(1+G.3销项增值税率!$C$3)</f>
        <v>121.871629598264</v>
      </c>
      <c r="AA4" s="122">
        <f>AA3/(1+G.3销项增值税率!$C$3)</f>
        <v>123.090345894247</v>
      </c>
    </row>
    <row r="5" customHeight="1" spans="1:27">
      <c r="A5" s="120">
        <v>2</v>
      </c>
      <c r="B5" s="120" t="str">
        <f>F.1项目单项收入信息!B7</f>
        <v>低空物流收入</v>
      </c>
      <c r="C5" s="8" t="s">
        <v>366</v>
      </c>
      <c r="D5" s="62">
        <f>F.1项目单项收入信息!H5</f>
        <v>0</v>
      </c>
      <c r="E5" s="62">
        <f>F.1项目单项收入信息!I5</f>
        <v>0</v>
      </c>
      <c r="F5" s="62">
        <f>F.1项目单项收入信息!J5</f>
        <v>389.124</v>
      </c>
      <c r="G5" s="62">
        <f>F.1项目单项收入信息!K5</f>
        <v>678.762</v>
      </c>
      <c r="H5" s="62">
        <f>F.1项目单项收入信息!L5</f>
        <v>698.91</v>
      </c>
      <c r="I5" s="62">
        <f>F.1项目单项收入信息!M5</f>
        <v>705.8991</v>
      </c>
      <c r="J5" s="62">
        <f>F.1项目单项收入信息!N5</f>
        <v>712.958091</v>
      </c>
      <c r="K5" s="62">
        <f>F.1项目单项收入信息!O5</f>
        <v>720.08767191</v>
      </c>
      <c r="L5" s="62">
        <f>F.1项目单项收入信息!P5</f>
        <v>727.2885486291</v>
      </c>
      <c r="M5" s="62">
        <f>F.1项目单项收入信息!Q5</f>
        <v>734.561434115391</v>
      </c>
      <c r="N5" s="62">
        <f>F.1项目单项收入信息!R5</f>
        <v>741.907048456545</v>
      </c>
      <c r="O5" s="62">
        <f>F.1项目单项收入信息!S5</f>
        <v>749.32611894111</v>
      </c>
      <c r="P5" s="62">
        <f>F.1项目单项收入信息!T5</f>
        <v>756.819380130522</v>
      </c>
      <c r="Q5" s="62">
        <f>F.1项目单项收入信息!U5</f>
        <v>764.387573931827</v>
      </c>
      <c r="R5" s="62">
        <f>F.1项目单项收入信息!V5</f>
        <v>772.031449671144</v>
      </c>
      <c r="S5" s="62">
        <f>F.1项目单项收入信息!W5</f>
        <v>779.751764167857</v>
      </c>
      <c r="T5" s="62">
        <f>F.1项目单项收入信息!X5</f>
        <v>787.549281809536</v>
      </c>
      <c r="U5" s="62">
        <f>F.1项目单项收入信息!Y5</f>
        <v>795.42477462763</v>
      </c>
      <c r="V5" s="62">
        <f>F.1项目单项收入信息!Z5</f>
        <v>803.379022373906</v>
      </c>
      <c r="W5" s="62">
        <f>F.1项目单项收入信息!AA5</f>
        <v>811.412812597646</v>
      </c>
      <c r="X5" s="62">
        <f>F.1项目单项收入信息!AB5</f>
        <v>819.526940723622</v>
      </c>
      <c r="Y5" s="62">
        <f>F.1项目单项收入信息!AC5</f>
        <v>827.722210130859</v>
      </c>
      <c r="Z5" s="62">
        <f>F.1项目单项收入信息!AD5</f>
        <v>835.999432232167</v>
      </c>
      <c r="AA5" s="62">
        <f>F.1项目单项收入信息!AE5</f>
        <v>844.359426554488</v>
      </c>
    </row>
    <row r="6" customHeight="1" spans="1:27">
      <c r="A6" s="121"/>
      <c r="B6" s="121"/>
      <c r="C6" s="8" t="s">
        <v>367</v>
      </c>
      <c r="D6" s="123">
        <f>D5/(1+G.3销项增值税率!$C$4)</f>
        <v>0</v>
      </c>
      <c r="E6" s="123">
        <f>E5/(1+G.3销项增值税率!$C$4)</f>
        <v>0</v>
      </c>
      <c r="F6" s="123">
        <f>F5/(1+G.3销项增值税率!$C$4)</f>
        <v>367.098113207547</v>
      </c>
      <c r="G6" s="123">
        <f>G5/(1+G.3销项增值税率!$C$4)</f>
        <v>640.341509433962</v>
      </c>
      <c r="H6" s="123">
        <f>H5/(1+G.3销项增值税率!$C$4)</f>
        <v>659.349056603774</v>
      </c>
      <c r="I6" s="123">
        <f>I5/(1+G.3销项增值税率!$C$4)</f>
        <v>665.942547169811</v>
      </c>
      <c r="J6" s="123">
        <f>J5/(1+G.3销项增值税率!$C$4)</f>
        <v>672.601972641509</v>
      </c>
      <c r="K6" s="123">
        <f>K5/(1+G.3销项增值税率!$C$4)</f>
        <v>679.327992367924</v>
      </c>
      <c r="L6" s="123">
        <f>L5/(1+G.3销项增值税率!$C$4)</f>
        <v>686.121272291604</v>
      </c>
      <c r="M6" s="123">
        <f>M5/(1+G.3销项增值税率!$C$4)</f>
        <v>692.98248501452</v>
      </c>
      <c r="N6" s="123">
        <f>N5/(1+G.3销项增值税率!$C$4)</f>
        <v>699.912309864665</v>
      </c>
      <c r="O6" s="123">
        <f>O5/(1+G.3销项增值税率!$C$4)</f>
        <v>706.911432963312</v>
      </c>
      <c r="P6" s="123">
        <f>P5/(1+G.3销项增值税率!$C$4)</f>
        <v>713.980547292945</v>
      </c>
      <c r="Q6" s="123">
        <f>Q5/(1+G.3销项增值税率!$C$4)</f>
        <v>721.120352765874</v>
      </c>
      <c r="R6" s="123">
        <f>R5/(1+G.3销项增值税率!$C$4)</f>
        <v>728.331556293532</v>
      </c>
      <c r="S6" s="123">
        <f>S5/(1+G.3销项增值税率!$C$4)</f>
        <v>735.614871856469</v>
      </c>
      <c r="T6" s="123">
        <f>T5/(1+G.3销项增值税率!$C$4)</f>
        <v>742.971020575034</v>
      </c>
      <c r="U6" s="123">
        <f>U5/(1+G.3销项增值税率!$C$4)</f>
        <v>750.400730780783</v>
      </c>
      <c r="V6" s="123">
        <f>V5/(1+G.3销项增值税率!$C$4)</f>
        <v>757.904738088591</v>
      </c>
      <c r="W6" s="123">
        <f>W5/(1+G.3销项增值税率!$C$4)</f>
        <v>765.483785469477</v>
      </c>
      <c r="X6" s="123">
        <f>X5/(1+G.3销项增值税率!$C$4)</f>
        <v>773.138623324172</v>
      </c>
      <c r="Y6" s="123">
        <f>Y5/(1+G.3销项增值税率!$C$4)</f>
        <v>780.870009557414</v>
      </c>
      <c r="Z6" s="123">
        <f>Z5/(1+G.3销项增值税率!$C$4)</f>
        <v>788.678709652988</v>
      </c>
      <c r="AA6" s="123">
        <f>AA5/(1+G.3销项增值税率!$C$4)</f>
        <v>796.565496749517</v>
      </c>
    </row>
    <row r="7" customHeight="1" spans="1:27">
      <c r="A7" s="120">
        <v>3</v>
      </c>
      <c r="B7" s="120" t="str">
        <f>F.1项目单项收入信息!B7</f>
        <v>低空物流收入</v>
      </c>
      <c r="C7" s="8" t="s">
        <v>366</v>
      </c>
      <c r="D7" s="62">
        <f>F.1项目单项收入信息!H7</f>
        <v>0</v>
      </c>
      <c r="E7" s="62">
        <f>F.1项目单项收入信息!I7</f>
        <v>0</v>
      </c>
      <c r="F7" s="62">
        <f>F.1项目单项收入信息!J7</f>
        <v>78.84</v>
      </c>
      <c r="G7" s="62">
        <f>F.1项目单项收入信息!K7</f>
        <v>430.992</v>
      </c>
      <c r="H7" s="62">
        <f>F.1项目单项收入信息!L7</f>
        <v>1156.32</v>
      </c>
      <c r="I7" s="62">
        <f>F.1项目单项收入信息!M7</f>
        <v>1167.8832</v>
      </c>
      <c r="J7" s="62">
        <f>F.1项目单项收入信息!N7</f>
        <v>1179.562032</v>
      </c>
      <c r="K7" s="62">
        <f>F.1项目单项收入信息!O7</f>
        <v>1191.35765232</v>
      </c>
      <c r="L7" s="62">
        <f>F.1项目单项收入信息!P7</f>
        <v>1203.2712288432</v>
      </c>
      <c r="M7" s="62">
        <f>F.1项目单项收入信息!Q7</f>
        <v>1215.30394113163</v>
      </c>
      <c r="N7" s="62">
        <f>F.1项目单项收入信息!R7</f>
        <v>1227.45698054295</v>
      </c>
      <c r="O7" s="62">
        <f>F.1项目单项收入信息!S7</f>
        <v>1239.73155034838</v>
      </c>
      <c r="P7" s="62">
        <f>F.1项目单项收入信息!T7</f>
        <v>1252.12886585186</v>
      </c>
      <c r="Q7" s="62">
        <f>F.1项目单项收入信息!U7</f>
        <v>1264.65015451038</v>
      </c>
      <c r="R7" s="62">
        <f>F.1项目单项收入信息!V7</f>
        <v>1277.29665605548</v>
      </c>
      <c r="S7" s="62">
        <f>F.1项目单项收入信息!W7</f>
        <v>1290.06962261604</v>
      </c>
      <c r="T7" s="62">
        <f>F.1项目单项收入信息!X7</f>
        <v>1302.9703188422</v>
      </c>
      <c r="U7" s="62">
        <f>F.1项目单项收入信息!Y7</f>
        <v>1316.00002203062</v>
      </c>
      <c r="V7" s="62">
        <f>F.1项目单项收入信息!Z7</f>
        <v>1329.16002225093</v>
      </c>
      <c r="W7" s="62">
        <f>F.1项目单项收入信息!AA7</f>
        <v>1342.45162247344</v>
      </c>
      <c r="X7" s="62">
        <f>F.1项目单项收入信息!AB7</f>
        <v>1355.87613869817</v>
      </c>
      <c r="Y7" s="62">
        <f>F.1项目单项收入信息!AC7</f>
        <v>1369.43490008515</v>
      </c>
      <c r="Z7" s="62">
        <f>F.1项目单项收入信息!AD7</f>
        <v>1383.129249086</v>
      </c>
      <c r="AA7" s="62">
        <f>F.1项目单项收入信息!AE7</f>
        <v>1396.96054157686</v>
      </c>
    </row>
    <row r="8" customHeight="1" spans="1:27">
      <c r="A8" s="121"/>
      <c r="B8" s="121"/>
      <c r="C8" s="8" t="s">
        <v>367</v>
      </c>
      <c r="D8" s="123">
        <f>D7/(1+G.3销项增值税率!$C$5)</f>
        <v>0</v>
      </c>
      <c r="E8" s="123">
        <f>E7/(1+G.3销项增值税率!$C$5)</f>
        <v>0</v>
      </c>
      <c r="F8" s="123">
        <f>F7/(1+G.3销项增值税率!$C$5)</f>
        <v>74.377358490566</v>
      </c>
      <c r="G8" s="123">
        <f>G7/(1+G.3销项增值税率!$C$5)</f>
        <v>406.596226415094</v>
      </c>
      <c r="H8" s="123">
        <f>H7/(1+G.3销项增值税率!$C$5)</f>
        <v>1090.8679245283</v>
      </c>
      <c r="I8" s="123">
        <f>I7/(1+G.3销项增值税率!$C$5)</f>
        <v>1101.77660377358</v>
      </c>
      <c r="J8" s="123">
        <f>J7/(1+G.3销项增值税率!$C$5)</f>
        <v>1112.79436981132</v>
      </c>
      <c r="K8" s="123">
        <f>K7/(1+G.3销项增值税率!$C$5)</f>
        <v>1123.92231350943</v>
      </c>
      <c r="L8" s="123">
        <f>L7/(1+G.3销项增值税率!$C$5)</f>
        <v>1135.16153664453</v>
      </c>
      <c r="M8" s="123">
        <f>M7/(1+G.3销项增值税率!$C$5)</f>
        <v>1146.51315201097</v>
      </c>
      <c r="N8" s="123">
        <f>N7/(1+G.3销项增值税率!$C$5)</f>
        <v>1157.97828353109</v>
      </c>
      <c r="O8" s="123">
        <f>O7/(1+G.3销项增值税率!$C$5)</f>
        <v>1169.5580663664</v>
      </c>
      <c r="P8" s="123">
        <f>P7/(1+G.3销项增值税率!$C$5)</f>
        <v>1181.25364703006</v>
      </c>
      <c r="Q8" s="123">
        <f>Q7/(1+G.3销项增值税率!$C$5)</f>
        <v>1193.06618350036</v>
      </c>
      <c r="R8" s="123">
        <f>R7/(1+G.3销项增值税率!$C$5)</f>
        <v>1204.99684533536</v>
      </c>
      <c r="S8" s="123">
        <f>S7/(1+G.3销项增值税率!$C$5)</f>
        <v>1217.04681378872</v>
      </c>
      <c r="T8" s="123">
        <f>T7/(1+G.3销项增值税率!$C$5)</f>
        <v>1229.2172819266</v>
      </c>
      <c r="U8" s="123">
        <f>U7/(1+G.3销项增值税率!$C$5)</f>
        <v>1241.50945474587</v>
      </c>
      <c r="V8" s="123">
        <f>V7/(1+G.3销项增值税率!$C$5)</f>
        <v>1253.92454929333</v>
      </c>
      <c r="W8" s="123">
        <f>W7/(1+G.3销项增值税率!$C$5)</f>
        <v>1266.46379478626</v>
      </c>
      <c r="X8" s="123">
        <f>X7/(1+G.3销项增值税率!$C$5)</f>
        <v>1279.12843273412</v>
      </c>
      <c r="Y8" s="123">
        <f>Y7/(1+G.3销项增值税率!$C$5)</f>
        <v>1291.91971706146</v>
      </c>
      <c r="Z8" s="123">
        <f>Z7/(1+G.3销项增值税率!$C$5)</f>
        <v>1304.83891423208</v>
      </c>
      <c r="AA8" s="123">
        <f>AA7/(1+G.3销项增值税率!$C$5)</f>
        <v>1317.8873033744</v>
      </c>
    </row>
    <row r="9" customHeight="1" spans="1:27">
      <c r="A9" s="120">
        <v>4</v>
      </c>
      <c r="B9" s="120" t="str">
        <f>F.1项目单项收入信息!B9</f>
        <v>低空出行收入</v>
      </c>
      <c r="C9" s="8" t="s">
        <v>366</v>
      </c>
      <c r="D9" s="62">
        <f>F.1项目单项收入信息!H9</f>
        <v>0</v>
      </c>
      <c r="E9" s="62">
        <f>F.1项目单项收入信息!I9</f>
        <v>0</v>
      </c>
      <c r="F9" s="62">
        <f>F.1项目单项收入信息!J9</f>
        <v>25.92</v>
      </c>
      <c r="G9" s="62">
        <f>F.1项目单项收入信息!K9</f>
        <v>146.88</v>
      </c>
      <c r="H9" s="62">
        <f>F.1项目单项收入信息!L9</f>
        <v>216</v>
      </c>
      <c r="I9" s="62">
        <f>F.1项目单项收入信息!M9</f>
        <v>218.16</v>
      </c>
      <c r="J9" s="62">
        <f>F.1项目单项收入信息!N9</f>
        <v>220.3416</v>
      </c>
      <c r="K9" s="62">
        <f>F.1项目单项收入信息!O9</f>
        <v>222.545016</v>
      </c>
      <c r="L9" s="62">
        <f>F.1项目单项收入信息!P9</f>
        <v>224.77046616</v>
      </c>
      <c r="M9" s="62">
        <f>F.1项目单项收入信息!Q9</f>
        <v>227.0181708216</v>
      </c>
      <c r="N9" s="62">
        <f>F.1项目单项收入信息!R9</f>
        <v>229.288352529816</v>
      </c>
      <c r="O9" s="62">
        <f>F.1项目单项收入信息!S9</f>
        <v>231.581236055114</v>
      </c>
      <c r="P9" s="62">
        <f>F.1项目单项收入信息!T9</f>
        <v>233.897048415665</v>
      </c>
      <c r="Q9" s="62">
        <f>F.1项目单项收入信息!U9</f>
        <v>236.236018899822</v>
      </c>
      <c r="R9" s="62">
        <f>F.1项目单项收入信息!V9</f>
        <v>238.59837908882</v>
      </c>
      <c r="S9" s="62">
        <f>F.1项目单项收入信息!W9</f>
        <v>240.984362879708</v>
      </c>
      <c r="T9" s="62">
        <f>F.1项目单项收入信息!X9</f>
        <v>243.394206508505</v>
      </c>
      <c r="U9" s="62">
        <f>F.1项目单项收入信息!Y9</f>
        <v>245.828148573591</v>
      </c>
      <c r="V9" s="62">
        <f>F.1项目单项收入信息!Z9</f>
        <v>248.286430059326</v>
      </c>
      <c r="W9" s="62">
        <f>F.1项目单项收入信息!AA9</f>
        <v>250.76929435992</v>
      </c>
      <c r="X9" s="62">
        <f>F.1项目单项收入信息!AB9</f>
        <v>253.276987303519</v>
      </c>
      <c r="Y9" s="62">
        <f>F.1项目单项收入信息!AC9</f>
        <v>255.809757176554</v>
      </c>
      <c r="Z9" s="62">
        <f>F.1项目单项收入信息!AD9</f>
        <v>258.36785474832</v>
      </c>
      <c r="AA9" s="62">
        <f>F.1项目单项收入信息!AE9</f>
        <v>260.951533295803</v>
      </c>
    </row>
    <row r="10" customHeight="1" spans="1:27">
      <c r="A10" s="121"/>
      <c r="B10" s="121"/>
      <c r="C10" s="8" t="s">
        <v>367</v>
      </c>
      <c r="D10" s="122">
        <f>D9/(1+G.3销项增值税率!$C$3)</f>
        <v>0</v>
      </c>
      <c r="E10" s="122">
        <f>E9/(1+G.3销项增值税率!$C$3)</f>
        <v>0</v>
      </c>
      <c r="F10" s="122">
        <f>F9/(1+G.3销项增值税率!$C$3)</f>
        <v>24.4528301886792</v>
      </c>
      <c r="G10" s="122">
        <f>G9/(1+G.3销项增值税率!$C$3)</f>
        <v>138.566037735849</v>
      </c>
      <c r="H10" s="122">
        <f>H9/(1+G.3销项增值税率!$C$3)</f>
        <v>203.77358490566</v>
      </c>
      <c r="I10" s="122">
        <f>I9/(1+G.3销项增值税率!$C$3)</f>
        <v>205.811320754717</v>
      </c>
      <c r="J10" s="122">
        <f>J9/(1+G.3销项增值税率!$C$3)</f>
        <v>207.869433962264</v>
      </c>
      <c r="K10" s="122">
        <f>K9/(1+G.3销项增值税率!$C$3)</f>
        <v>209.948128301887</v>
      </c>
      <c r="L10" s="122">
        <f>L9/(1+G.3销项增值税率!$C$3)</f>
        <v>212.047609584906</v>
      </c>
      <c r="M10" s="122">
        <f>M9/(1+G.3销项增值税率!$C$3)</f>
        <v>214.168085680755</v>
      </c>
      <c r="N10" s="122">
        <f>N9/(1+G.3销项增值税率!$C$3)</f>
        <v>216.309766537562</v>
      </c>
      <c r="O10" s="122">
        <f>O9/(1+G.3销项增值税率!$C$3)</f>
        <v>218.472864202938</v>
      </c>
      <c r="P10" s="122">
        <f>P9/(1+G.3销项增值税率!$C$3)</f>
        <v>220.657592844967</v>
      </c>
      <c r="Q10" s="122">
        <f>Q9/(1+G.3销项增值税率!$C$3)</f>
        <v>222.864168773417</v>
      </c>
      <c r="R10" s="122">
        <f>R9/(1+G.3销项增值税率!$C$3)</f>
        <v>225.092810461151</v>
      </c>
      <c r="S10" s="122">
        <f>S9/(1+G.3销项增值税率!$C$3)</f>
        <v>227.343738565762</v>
      </c>
      <c r="T10" s="122">
        <f>T9/(1+G.3销项增值税率!$C$3)</f>
        <v>229.61717595142</v>
      </c>
      <c r="U10" s="122">
        <f>U9/(1+G.3销项增值税率!$C$3)</f>
        <v>231.913347710935</v>
      </c>
      <c r="V10" s="122">
        <f>V9/(1+G.3销项增值税率!$C$3)</f>
        <v>234.232481188043</v>
      </c>
      <c r="W10" s="122">
        <f>W9/(1+G.3销项增值税率!$C$3)</f>
        <v>236.574805999925</v>
      </c>
      <c r="X10" s="122">
        <f>X9/(1+G.3销项增值税率!$C$3)</f>
        <v>238.940554059924</v>
      </c>
      <c r="Y10" s="122">
        <f>Y9/(1+G.3销项增值税率!$C$3)</f>
        <v>241.329959600523</v>
      </c>
      <c r="Z10" s="122">
        <f>Z9/(1+G.3销项增值税率!$C$3)</f>
        <v>243.743259196528</v>
      </c>
      <c r="AA10" s="122">
        <f>AA9/(1+G.3销项增值税率!$C$3)</f>
        <v>246.180691788493</v>
      </c>
    </row>
    <row r="11" customHeight="1" spans="1:27">
      <c r="A11" s="120">
        <v>5</v>
      </c>
      <c r="B11" s="120" t="str">
        <f>F.1项目单项收入信息!B11</f>
        <v>广告位收入</v>
      </c>
      <c r="C11" s="8" t="s">
        <v>366</v>
      </c>
      <c r="D11" s="62">
        <f>F.1项目单项收入信息!H11</f>
        <v>0</v>
      </c>
      <c r="E11" s="62">
        <f>F.1项目单项收入信息!I11</f>
        <v>0</v>
      </c>
      <c r="F11" s="62">
        <f>F.1项目单项收入信息!J11</f>
        <v>0</v>
      </c>
      <c r="G11" s="62">
        <f>F.1项目单项收入信息!K11</f>
        <v>125.28</v>
      </c>
      <c r="H11" s="62">
        <f>F.1项目单项收入信息!L11</f>
        <v>208.8</v>
      </c>
      <c r="I11" s="62">
        <f>F.1项目单项收入信息!M11</f>
        <v>210.888</v>
      </c>
      <c r="J11" s="62">
        <f>F.1项目单项收入信息!N11</f>
        <v>212.99688</v>
      </c>
      <c r="K11" s="62">
        <f>F.1项目单项收入信息!O11</f>
        <v>215.1268488</v>
      </c>
      <c r="L11" s="62">
        <f>F.1项目单项收入信息!P11</f>
        <v>217.278117288</v>
      </c>
      <c r="M11" s="62">
        <f>F.1项目单项收入信息!Q11</f>
        <v>219.45089846088</v>
      </c>
      <c r="N11" s="62">
        <f>F.1项目单项收入信息!R11</f>
        <v>221.645407445489</v>
      </c>
      <c r="O11" s="62">
        <f>F.1项目单项收入信息!S11</f>
        <v>223.861861519944</v>
      </c>
      <c r="P11" s="62">
        <f>F.1项目单项收入信息!T11</f>
        <v>226.100480135143</v>
      </c>
      <c r="Q11" s="62">
        <f>F.1项目单项收入信息!U11</f>
        <v>228.361484936495</v>
      </c>
      <c r="R11" s="62">
        <f>F.1项目单项收入信息!V11</f>
        <v>230.64509978586</v>
      </c>
      <c r="S11" s="62">
        <f>F.1项目单项收入信息!W11</f>
        <v>232.951550783718</v>
      </c>
      <c r="T11" s="62">
        <f>F.1项目单项收入信息!X11</f>
        <v>235.281066291555</v>
      </c>
      <c r="U11" s="62">
        <f>F.1项目单项收入信息!Y11</f>
        <v>237.633876954471</v>
      </c>
      <c r="V11" s="62">
        <f>F.1项目单项收入信息!Z11</f>
        <v>240.010215724016</v>
      </c>
      <c r="W11" s="62">
        <f>F.1项目单项收入信息!AA11</f>
        <v>242.410317881256</v>
      </c>
      <c r="X11" s="62">
        <f>F.1项目单项收入信息!AB11</f>
        <v>244.834421060068</v>
      </c>
      <c r="Y11" s="62">
        <f>F.1项目单项收入信息!AC11</f>
        <v>247.282765270669</v>
      </c>
      <c r="Z11" s="62">
        <f>F.1项目单项收入信息!AD11</f>
        <v>249.755592923376</v>
      </c>
      <c r="AA11" s="62">
        <f>F.1项目单项收入信息!AE11</f>
        <v>252.253148852609</v>
      </c>
    </row>
    <row r="12" customHeight="1" spans="1:27">
      <c r="A12" s="121"/>
      <c r="B12" s="121"/>
      <c r="C12" s="8" t="s">
        <v>367</v>
      </c>
      <c r="D12" s="123">
        <f>D11/(1+G.3销项增值税率!$C$4)</f>
        <v>0</v>
      </c>
      <c r="E12" s="123">
        <f>E11/(1+G.3销项增值税率!$C$4)</f>
        <v>0</v>
      </c>
      <c r="F12" s="123">
        <f>F11/(1+G.3销项增值税率!$C$4)</f>
        <v>0</v>
      </c>
      <c r="G12" s="123">
        <f>G11/(1+G.3销项增值税率!$C$4)</f>
        <v>118.188679245283</v>
      </c>
      <c r="H12" s="123">
        <f>H11/(1+G.3销项增值税率!$C$4)</f>
        <v>196.981132075472</v>
      </c>
      <c r="I12" s="123">
        <f>I11/(1+G.3销项增值税率!$C$4)</f>
        <v>198.950943396226</v>
      </c>
      <c r="J12" s="123">
        <f>J11/(1+G.3销项增值税率!$C$4)</f>
        <v>200.940452830189</v>
      </c>
      <c r="K12" s="123">
        <f>K11/(1+G.3销项增值税率!$C$4)</f>
        <v>202.949857358491</v>
      </c>
      <c r="L12" s="123">
        <f>L11/(1+G.3销项增值税率!$C$4)</f>
        <v>204.979355932075</v>
      </c>
      <c r="M12" s="123">
        <f>M11/(1+G.3销项增值税率!$C$4)</f>
        <v>207.029149491396</v>
      </c>
      <c r="N12" s="123">
        <f>N11/(1+G.3销项增值税率!$C$4)</f>
        <v>209.09944098631</v>
      </c>
      <c r="O12" s="123">
        <f>O11/(1+G.3销项增值税率!$C$4)</f>
        <v>211.190435396174</v>
      </c>
      <c r="P12" s="123">
        <f>P11/(1+G.3销项增值税率!$C$4)</f>
        <v>213.302339750135</v>
      </c>
      <c r="Q12" s="123">
        <f>Q11/(1+G.3销项增值税率!$C$4)</f>
        <v>215.435363147637</v>
      </c>
      <c r="R12" s="123">
        <f>R11/(1+G.3销项增值税率!$C$4)</f>
        <v>217.589716779113</v>
      </c>
      <c r="S12" s="123">
        <f>S11/(1+G.3销项增值税率!$C$4)</f>
        <v>219.765613946904</v>
      </c>
      <c r="T12" s="123">
        <f>T11/(1+G.3销项增值税率!$C$4)</f>
        <v>221.963270086373</v>
      </c>
      <c r="U12" s="123">
        <f>U11/(1+G.3销项增值税率!$C$4)</f>
        <v>224.182902787237</v>
      </c>
      <c r="V12" s="123">
        <f>V11/(1+G.3销项增值税率!$C$4)</f>
        <v>226.424731815109</v>
      </c>
      <c r="W12" s="123">
        <f>W11/(1+G.3销项增值税率!$C$4)</f>
        <v>228.68897913326</v>
      </c>
      <c r="X12" s="123">
        <f>X11/(1+G.3销项增值税率!$C$4)</f>
        <v>230.975868924592</v>
      </c>
      <c r="Y12" s="123">
        <f>Y11/(1+G.3销项增值税率!$C$4)</f>
        <v>233.285627613839</v>
      </c>
      <c r="Z12" s="123">
        <f>Z11/(1+G.3销项增值税率!$C$4)</f>
        <v>235.618483889977</v>
      </c>
      <c r="AA12" s="123">
        <f>AA11/(1+G.3销项增值税率!$C$4)</f>
        <v>237.974668728876</v>
      </c>
    </row>
    <row r="13" customHeight="1" spans="1:27">
      <c r="A13" s="120">
        <v>6</v>
      </c>
      <c r="B13" s="120" t="str">
        <f>F.1项目单项收入信息!B13</f>
        <v>停车位收入</v>
      </c>
      <c r="C13" s="8" t="s">
        <v>366</v>
      </c>
      <c r="D13" s="62">
        <f>F.1项目单项收入信息!H13</f>
        <v>0</v>
      </c>
      <c r="E13" s="62">
        <f>F.1项目单项收入信息!I13</f>
        <v>0</v>
      </c>
      <c r="F13" s="62">
        <f>F.1项目单项收入信息!J13</f>
        <v>0</v>
      </c>
      <c r="G13" s="62">
        <f>F.1项目单项收入信息!K13</f>
        <v>31.536</v>
      </c>
      <c r="H13" s="62">
        <f>F.1项目单项收入信息!L13</f>
        <v>52.56</v>
      </c>
      <c r="I13" s="62">
        <f>F.1项目单项收入信息!M13</f>
        <v>53.0856</v>
      </c>
      <c r="J13" s="62">
        <f>F.1项目单项收入信息!N13</f>
        <v>53.616456</v>
      </c>
      <c r="K13" s="62">
        <f>F.1项目单项收入信息!O13</f>
        <v>54.15262056</v>
      </c>
      <c r="L13" s="62">
        <f>F.1项目单项收入信息!P13</f>
        <v>54.6941467656</v>
      </c>
      <c r="M13" s="62">
        <f>F.1项目单项收入信息!Q13</f>
        <v>55.241088233256</v>
      </c>
      <c r="N13" s="62">
        <f>F.1项目单项收入信息!R13</f>
        <v>55.7934991155886</v>
      </c>
      <c r="O13" s="62">
        <f>F.1项目单项收入信息!S13</f>
        <v>56.3514341067444</v>
      </c>
      <c r="P13" s="62">
        <f>F.1项目单项收入信息!T13</f>
        <v>56.9149484478119</v>
      </c>
      <c r="Q13" s="62">
        <f>F.1项目单项收入信息!U13</f>
        <v>57.48409793229</v>
      </c>
      <c r="R13" s="62">
        <f>F.1项目单项收入信息!V13</f>
        <v>58.0589389116129</v>
      </c>
      <c r="S13" s="62">
        <f>F.1项目单项收入信息!W13</f>
        <v>58.639528300729</v>
      </c>
      <c r="T13" s="62">
        <f>F.1项目单项收入信息!X13</f>
        <v>59.2259235837363</v>
      </c>
      <c r="U13" s="62">
        <f>F.1项目单项收入信息!Y13</f>
        <v>59.8181828195737</v>
      </c>
      <c r="V13" s="62">
        <f>F.1项目单项收入信息!Z13</f>
        <v>60.4163646477694</v>
      </c>
      <c r="W13" s="62">
        <f>F.1项目单项收入信息!AA13</f>
        <v>61.0205282942471</v>
      </c>
      <c r="X13" s="62">
        <f>F.1项目单项收入信息!AB13</f>
        <v>61.6307335771896</v>
      </c>
      <c r="Y13" s="62">
        <f>F.1项目单项收入信息!AC13</f>
        <v>62.2470409129615</v>
      </c>
      <c r="Z13" s="62">
        <f>F.1项目单项收入信息!AD13</f>
        <v>62.8695113220911</v>
      </c>
      <c r="AA13" s="62">
        <f>F.1项目单项收入信息!AE13</f>
        <v>63.498206435312</v>
      </c>
    </row>
    <row r="14" customHeight="1" spans="1:27">
      <c r="A14" s="121"/>
      <c r="B14" s="121"/>
      <c r="C14" s="8" t="s">
        <v>367</v>
      </c>
      <c r="D14" s="123">
        <f>D13/(1+G.3销项增值税率!$C$5)</f>
        <v>0</v>
      </c>
      <c r="E14" s="123">
        <f>E13/(1+G.3销项增值税率!$C$5)</f>
        <v>0</v>
      </c>
      <c r="F14" s="123">
        <f>F13/(1+G.3销项增值税率!$C$5)</f>
        <v>0</v>
      </c>
      <c r="G14" s="123">
        <f>G13/(1+G.3销项增值税率!$C$5)</f>
        <v>29.7509433962264</v>
      </c>
      <c r="H14" s="123">
        <f>H13/(1+G.3销项增值税率!$C$5)</f>
        <v>49.5849056603774</v>
      </c>
      <c r="I14" s="123">
        <f>I13/(1+G.3销项增值税率!$C$5)</f>
        <v>50.0807547169811</v>
      </c>
      <c r="J14" s="123">
        <f>J13/(1+G.3销项增值税率!$C$5)</f>
        <v>50.5815622641509</v>
      </c>
      <c r="K14" s="123">
        <f>K13/(1+G.3销项增值税率!$C$5)</f>
        <v>51.0873778867925</v>
      </c>
      <c r="L14" s="123">
        <f>L13/(1+G.3销项增值税率!$C$5)</f>
        <v>51.5982516656604</v>
      </c>
      <c r="M14" s="123">
        <f>M13/(1+G.3销项增值税率!$C$5)</f>
        <v>52.114234182317</v>
      </c>
      <c r="N14" s="123">
        <f>N13/(1+G.3销项增值税率!$C$5)</f>
        <v>52.6353765241402</v>
      </c>
      <c r="O14" s="123">
        <f>O13/(1+G.3销项增值税率!$C$5)</f>
        <v>53.1617302893815</v>
      </c>
      <c r="P14" s="123">
        <f>P13/(1+G.3销项增值税率!$C$5)</f>
        <v>53.6933475922754</v>
      </c>
      <c r="Q14" s="123">
        <f>Q13/(1+G.3销项增值税率!$C$5)</f>
        <v>54.2302810681981</v>
      </c>
      <c r="R14" s="123">
        <f>R13/(1+G.3销项增值税率!$C$5)</f>
        <v>54.7725838788801</v>
      </c>
      <c r="S14" s="123">
        <f>S13/(1+G.3销项增值税率!$C$5)</f>
        <v>55.3203097176689</v>
      </c>
      <c r="T14" s="123">
        <f>T13/(1+G.3销项增值税率!$C$5)</f>
        <v>55.8735128148456</v>
      </c>
      <c r="U14" s="123">
        <f>U13/(1+G.3销项增值税率!$C$5)</f>
        <v>56.4322479429941</v>
      </c>
      <c r="V14" s="123">
        <f>V13/(1+G.3销项增值税率!$C$5)</f>
        <v>56.996570422424</v>
      </c>
      <c r="W14" s="123">
        <f>W13/(1+G.3销项增值税率!$C$5)</f>
        <v>57.5665361266482</v>
      </c>
      <c r="X14" s="123">
        <f>X13/(1+G.3销项增值税率!$C$5)</f>
        <v>58.1422014879147</v>
      </c>
      <c r="Y14" s="123">
        <f>Y13/(1+G.3销项增值税率!$C$5)</f>
        <v>58.7236235027939</v>
      </c>
      <c r="Z14" s="123">
        <f>Z13/(1+G.3销项增值税率!$C$5)</f>
        <v>59.3108597378218</v>
      </c>
      <c r="AA14" s="123">
        <f>AA13/(1+G.3销项增值税率!$C$5)</f>
        <v>59.9039683352</v>
      </c>
    </row>
    <row r="15" customHeight="1" spans="1:27">
      <c r="A15" s="120">
        <v>7</v>
      </c>
      <c r="B15" s="120" t="str">
        <f>F.1项目单项收入信息!B15</f>
        <v>商铺租赁收入</v>
      </c>
      <c r="C15" s="8" t="s">
        <v>366</v>
      </c>
      <c r="D15" s="62">
        <f>F.1项目单项收入信息!H15</f>
        <v>0</v>
      </c>
      <c r="E15" s="62">
        <f>F.1项目单项收入信息!I15</f>
        <v>0</v>
      </c>
      <c r="F15" s="62">
        <f>F.1项目单项收入信息!J15</f>
        <v>0</v>
      </c>
      <c r="G15" s="62">
        <f>F.1项目单项收入信息!K15</f>
        <v>86.4</v>
      </c>
      <c r="H15" s="62">
        <f>F.1项目单项收入信息!L15</f>
        <v>144</v>
      </c>
      <c r="I15" s="62">
        <f>F.1项目单项收入信息!M15</f>
        <v>145.44</v>
      </c>
      <c r="J15" s="62">
        <f>F.1项目单项收入信息!N15</f>
        <v>146.8944</v>
      </c>
      <c r="K15" s="62">
        <f>F.1项目单项收入信息!O15</f>
        <v>148.363344</v>
      </c>
      <c r="L15" s="62">
        <f>F.1项目单项收入信息!P15</f>
        <v>149.84697744</v>
      </c>
      <c r="M15" s="62">
        <f>F.1项目单项收入信息!Q15</f>
        <v>151.3454472144</v>
      </c>
      <c r="N15" s="62">
        <f>F.1项目单项收入信息!R15</f>
        <v>152.858901686544</v>
      </c>
      <c r="O15" s="62">
        <f>F.1项目单项收入信息!S15</f>
        <v>154.387490703409</v>
      </c>
      <c r="P15" s="62">
        <f>F.1项目单项收入信息!T15</f>
        <v>155.931365610444</v>
      </c>
      <c r="Q15" s="62">
        <f>F.1项目单项收入信息!U15</f>
        <v>157.490679266548</v>
      </c>
      <c r="R15" s="62">
        <f>F.1项目单项收入信息!V15</f>
        <v>159.065586059213</v>
      </c>
      <c r="S15" s="62">
        <f>F.1项目单项收入信息!W15</f>
        <v>160.656241919806</v>
      </c>
      <c r="T15" s="62">
        <f>F.1项目单项收入信息!X15</f>
        <v>162.262804339004</v>
      </c>
      <c r="U15" s="62">
        <f>F.1项目单项收入信息!Y15</f>
        <v>163.885432382394</v>
      </c>
      <c r="V15" s="62">
        <f>F.1项目单项收入信息!Z15</f>
        <v>165.524286706218</v>
      </c>
      <c r="W15" s="62">
        <f>F.1项目单项收入信息!AA15</f>
        <v>167.17952957328</v>
      </c>
      <c r="X15" s="62">
        <f>F.1项目单项收入信息!AB15</f>
        <v>168.851324869013</v>
      </c>
      <c r="Y15" s="62">
        <f>F.1项目单项收入信息!AC15</f>
        <v>170.539838117703</v>
      </c>
      <c r="Z15" s="62">
        <f>F.1项目单项收入信息!AD15</f>
        <v>172.24523649888</v>
      </c>
      <c r="AA15" s="62">
        <f>F.1项目单项收入信息!AE15</f>
        <v>173.967688863869</v>
      </c>
    </row>
    <row r="16" customHeight="1" spans="1:27">
      <c r="A16" s="121"/>
      <c r="B16" s="121"/>
      <c r="C16" s="8" t="s">
        <v>367</v>
      </c>
      <c r="D16" s="122">
        <f>D15/(1+G.3销项增值税率!$C$3)</f>
        <v>0</v>
      </c>
      <c r="E16" s="122">
        <f>E15/(1+G.3销项增值税率!$C$3)</f>
        <v>0</v>
      </c>
      <c r="F16" s="122">
        <f>F15/(1+G.3销项增值税率!$C$3)</f>
        <v>0</v>
      </c>
      <c r="G16" s="122">
        <f>G15/(1+G.3销项增值税率!$C$3)</f>
        <v>81.5094339622642</v>
      </c>
      <c r="H16" s="122">
        <f>H15/(1+G.3销项增值税率!$C$3)</f>
        <v>135.849056603774</v>
      </c>
      <c r="I16" s="122">
        <f>I15/(1+G.3销项增值税率!$C$3)</f>
        <v>137.207547169811</v>
      </c>
      <c r="J16" s="122">
        <f>J15/(1+G.3销项增值税率!$C$3)</f>
        <v>138.579622641509</v>
      </c>
      <c r="K16" s="122">
        <f>K15/(1+G.3销项增值税率!$C$3)</f>
        <v>139.965418867925</v>
      </c>
      <c r="L16" s="122">
        <f>L15/(1+G.3销项增值税率!$C$3)</f>
        <v>141.365073056604</v>
      </c>
      <c r="M16" s="122">
        <f>M15/(1+G.3销项增值税率!$C$3)</f>
        <v>142.77872378717</v>
      </c>
      <c r="N16" s="122">
        <f>N15/(1+G.3销项增值税率!$C$3)</f>
        <v>144.206511025041</v>
      </c>
      <c r="O16" s="122">
        <f>O15/(1+G.3销项增值税率!$C$3)</f>
        <v>145.648576135291</v>
      </c>
      <c r="P16" s="122">
        <f>P15/(1+G.3销项增值税率!$C$3)</f>
        <v>147.105061896645</v>
      </c>
      <c r="Q16" s="122">
        <f>Q15/(1+G.3销项增值税率!$C$3)</f>
        <v>148.576112515611</v>
      </c>
      <c r="R16" s="122">
        <f>R15/(1+G.3销项增值税率!$C$3)</f>
        <v>150.061873640767</v>
      </c>
      <c r="S16" s="122">
        <f>S15/(1+G.3销项增值税率!$C$3)</f>
        <v>151.562492377175</v>
      </c>
      <c r="T16" s="122">
        <f>T15/(1+G.3销项增值税率!$C$3)</f>
        <v>153.078117300947</v>
      </c>
      <c r="U16" s="122">
        <f>U15/(1+G.3销项增值税率!$C$3)</f>
        <v>154.608898473957</v>
      </c>
      <c r="V16" s="122">
        <f>V15/(1+G.3销项增值税率!$C$3)</f>
        <v>156.154987458696</v>
      </c>
      <c r="W16" s="122">
        <f>W15/(1+G.3销项增值税率!$C$3)</f>
        <v>157.716537333283</v>
      </c>
      <c r="X16" s="122">
        <f>X15/(1+G.3销项增值税率!$C$3)</f>
        <v>159.293702706616</v>
      </c>
      <c r="Y16" s="122">
        <f>Y15/(1+G.3销项增值税率!$C$3)</f>
        <v>160.886639733682</v>
      </c>
      <c r="Z16" s="122">
        <f>Z15/(1+G.3销项增值税率!$C$3)</f>
        <v>162.495506131019</v>
      </c>
      <c r="AA16" s="122">
        <f>AA15/(1+G.3销项增值税率!$C$3)</f>
        <v>164.120461192329</v>
      </c>
    </row>
    <row r="17" customHeight="1" spans="1:27">
      <c r="A17" s="120">
        <v>8</v>
      </c>
      <c r="B17" s="120" t="str">
        <f>F.1项目单项收入信息!B17</f>
        <v>政务服务收入</v>
      </c>
      <c r="C17" s="8" t="s">
        <v>366</v>
      </c>
      <c r="D17" s="62">
        <f>F.1项目单项收入信息!H17</f>
        <v>0</v>
      </c>
      <c r="E17" s="62">
        <f>F.1项目单项收入信息!I17</f>
        <v>0</v>
      </c>
      <c r="F17" s="62">
        <f>F.1项目单项收入信息!J17</f>
        <v>120</v>
      </c>
      <c r="G17" s="62">
        <f>F.1项目单项收入信息!K17</f>
        <v>260</v>
      </c>
      <c r="H17" s="62">
        <f>F.1项目单项收入信息!L17</f>
        <v>300</v>
      </c>
      <c r="I17" s="62">
        <f>F.1项目单项收入信息!M17</f>
        <v>303</v>
      </c>
      <c r="J17" s="62">
        <f>F.1项目单项收入信息!N17</f>
        <v>306.03</v>
      </c>
      <c r="K17" s="62">
        <f>F.1项目单项收入信息!O17</f>
        <v>309.0903</v>
      </c>
      <c r="L17" s="62">
        <f>F.1项目单项收入信息!P17</f>
        <v>312.181203</v>
      </c>
      <c r="M17" s="62">
        <f>F.1项目单项收入信息!Q17</f>
        <v>315.30301503</v>
      </c>
      <c r="N17" s="62">
        <f>F.1项目单项收入信息!R17</f>
        <v>318.4560451803</v>
      </c>
      <c r="O17" s="62">
        <f>F.1项目单项收入信息!S17</f>
        <v>321.640605632103</v>
      </c>
      <c r="P17" s="62">
        <f>F.1项目单项收入信息!T17</f>
        <v>324.857011688424</v>
      </c>
      <c r="Q17" s="62">
        <f>F.1项目单项收入信息!U17</f>
        <v>328.105581805308</v>
      </c>
      <c r="R17" s="62">
        <f>F.1项目单项收入信息!V17</f>
        <v>331.386637623361</v>
      </c>
      <c r="S17" s="62">
        <f>F.1项目单项收入信息!W17</f>
        <v>334.700503999595</v>
      </c>
      <c r="T17" s="62">
        <f>F.1项目单项收入信息!X17</f>
        <v>338.047509039591</v>
      </c>
      <c r="U17" s="62">
        <f>F.1项目单项收入信息!Y17</f>
        <v>341.427984129987</v>
      </c>
      <c r="V17" s="62">
        <f>F.1项目单项收入信息!Z17</f>
        <v>344.842263971287</v>
      </c>
      <c r="W17" s="62">
        <f>F.1项目单项收入信息!AA17</f>
        <v>348.290686611</v>
      </c>
      <c r="X17" s="62">
        <f>F.1项目单项收入信息!AB17</f>
        <v>351.77359347711</v>
      </c>
      <c r="Y17" s="62">
        <f>F.1项目单项收入信息!AC17</f>
        <v>355.291329411881</v>
      </c>
      <c r="Z17" s="62">
        <f>F.1项目单项收入信息!AD17</f>
        <v>358.844242706</v>
      </c>
      <c r="AA17" s="62">
        <f>F.1项目单项收入信息!AE17</f>
        <v>362.43268513306</v>
      </c>
    </row>
    <row r="18" customHeight="1" spans="1:27">
      <c r="A18" s="121"/>
      <c r="B18" s="121"/>
      <c r="C18" s="8" t="s">
        <v>367</v>
      </c>
      <c r="D18" s="123">
        <f>D17/(1+G.3销项增值税率!$C$4)</f>
        <v>0</v>
      </c>
      <c r="E18" s="123">
        <f>E17/(1+G.3销项增值税率!$C$4)</f>
        <v>0</v>
      </c>
      <c r="F18" s="123">
        <f>F17/(1+G.3销项增值税率!$C$4)</f>
        <v>113.207547169811</v>
      </c>
      <c r="G18" s="123">
        <f>G17/(1+G.3销项增值税率!$C$4)</f>
        <v>245.283018867925</v>
      </c>
      <c r="H18" s="123">
        <f>H17/(1+G.3销项增值税率!$C$4)</f>
        <v>283.018867924528</v>
      </c>
      <c r="I18" s="123">
        <f>I17/(1+G.3销项增值税率!$C$4)</f>
        <v>285.849056603774</v>
      </c>
      <c r="J18" s="123">
        <f>J17/(1+G.3销项增值税率!$C$4)</f>
        <v>288.707547169811</v>
      </c>
      <c r="K18" s="123">
        <f>K17/(1+G.3销项增值税率!$C$4)</f>
        <v>291.594622641509</v>
      </c>
      <c r="L18" s="123">
        <f>L17/(1+G.3销项增值税率!$C$4)</f>
        <v>294.510568867925</v>
      </c>
      <c r="M18" s="123">
        <f>M17/(1+G.3销项增值税率!$C$4)</f>
        <v>297.455674556604</v>
      </c>
      <c r="N18" s="123">
        <f>N17/(1+G.3销项增值税率!$C$4)</f>
        <v>300.43023130217</v>
      </c>
      <c r="O18" s="123">
        <f>O17/(1+G.3销项增值税率!$C$4)</f>
        <v>303.434533615192</v>
      </c>
      <c r="P18" s="123">
        <f>P17/(1+G.3销项增值税率!$C$4)</f>
        <v>306.468878951343</v>
      </c>
      <c r="Q18" s="123">
        <f>Q17/(1+G.3销项增值税率!$C$4)</f>
        <v>309.533567740857</v>
      </c>
      <c r="R18" s="123">
        <f>R17/(1+G.3销项增值税率!$C$4)</f>
        <v>312.628903418265</v>
      </c>
      <c r="S18" s="123">
        <f>S17/(1+G.3销项增值税率!$C$4)</f>
        <v>315.755192452448</v>
      </c>
      <c r="T18" s="123">
        <f>T17/(1+G.3销项增值税率!$C$4)</f>
        <v>318.912744376973</v>
      </c>
      <c r="U18" s="123">
        <f>U17/(1+G.3销项增值税率!$C$4)</f>
        <v>322.101871820742</v>
      </c>
      <c r="V18" s="123">
        <f>V17/(1+G.3销项增值税率!$C$4)</f>
        <v>325.32289053895</v>
      </c>
      <c r="W18" s="123">
        <f>W17/(1+G.3销项增值税率!$C$4)</f>
        <v>328.57611944434</v>
      </c>
      <c r="X18" s="123">
        <f>X17/(1+G.3销项增值税率!$C$4)</f>
        <v>331.861880638783</v>
      </c>
      <c r="Y18" s="123">
        <f>Y17/(1+G.3销项增值税率!$C$4)</f>
        <v>335.180499445171</v>
      </c>
      <c r="Z18" s="123">
        <f>Z17/(1+G.3销项增值税率!$C$4)</f>
        <v>338.532304439623</v>
      </c>
      <c r="AA18" s="123">
        <f>AA17/(1+G.3销项增值税率!$C$4)</f>
        <v>341.917627484019</v>
      </c>
    </row>
    <row r="19" customHeight="1" spans="1:27">
      <c r="A19" s="120">
        <v>9</v>
      </c>
      <c r="B19" s="120" t="str">
        <f>F.1项目单项收入信息!B19</f>
        <v>数据收入</v>
      </c>
      <c r="C19" s="8" t="s">
        <v>366</v>
      </c>
      <c r="D19" s="62">
        <f>F.1项目单项收入信息!H19</f>
        <v>0</v>
      </c>
      <c r="E19" s="62">
        <f>F.1项目单项收入信息!I19</f>
        <v>0</v>
      </c>
      <c r="F19" s="62">
        <f>F.1项目单项收入信息!J19</f>
        <v>0</v>
      </c>
      <c r="G19" s="62">
        <f>F.1项目单项收入信息!K19</f>
        <v>48</v>
      </c>
      <c r="H19" s="62">
        <f>F.1项目单项收入信息!L19</f>
        <v>80</v>
      </c>
      <c r="I19" s="62">
        <f>F.1项目单项收入信息!M19</f>
        <v>80.8</v>
      </c>
      <c r="J19" s="62">
        <f>F.1项目单项收入信息!N19</f>
        <v>81.608</v>
      </c>
      <c r="K19" s="62">
        <f>F.1项目单项收入信息!O19</f>
        <v>82.42408</v>
      </c>
      <c r="L19" s="62">
        <f>F.1项目单项收入信息!P19</f>
        <v>83.2483208</v>
      </c>
      <c r="M19" s="62">
        <f>F.1项目单项收入信息!Q19</f>
        <v>84.080804008</v>
      </c>
      <c r="N19" s="62">
        <f>F.1项目单项收入信息!R19</f>
        <v>84.92161204808</v>
      </c>
      <c r="O19" s="62">
        <f>F.1项目单项收入信息!S19</f>
        <v>85.7708281685608</v>
      </c>
      <c r="P19" s="62">
        <f>F.1项目单项收入信息!T19</f>
        <v>86.6285364502464</v>
      </c>
      <c r="Q19" s="62">
        <f>F.1项目单项收入信息!U19</f>
        <v>87.4948218147488</v>
      </c>
      <c r="R19" s="62">
        <f>F.1项目单项收入信息!V19</f>
        <v>88.3697700328964</v>
      </c>
      <c r="S19" s="62">
        <f>F.1项目单项收入信息!W19</f>
        <v>89.2534677332254</v>
      </c>
      <c r="T19" s="62">
        <f>F.1项目单项收入信息!X19</f>
        <v>90.1460024105576</v>
      </c>
      <c r="U19" s="62">
        <f>F.1项目单项收入信息!Y19</f>
        <v>91.0474624346632</v>
      </c>
      <c r="V19" s="62">
        <f>F.1项目单项收入信息!Z19</f>
        <v>91.9579370590098</v>
      </c>
      <c r="W19" s="62">
        <f>F.1项目单项收入信息!AA19</f>
        <v>92.8775164295998</v>
      </c>
      <c r="X19" s="62">
        <f>F.1项目单项收入信息!AB19</f>
        <v>93.8062915938958</v>
      </c>
      <c r="Y19" s="62">
        <f>F.1项目单项收入信息!AC19</f>
        <v>94.7443545098348</v>
      </c>
      <c r="Z19" s="62">
        <f>F.1项目单项收入信息!AD19</f>
        <v>95.6917980549332</v>
      </c>
      <c r="AA19" s="62">
        <f>F.1项目单项收入信息!AE19</f>
        <v>96.6487160354826</v>
      </c>
    </row>
    <row r="20" customHeight="1" spans="1:27">
      <c r="A20" s="121"/>
      <c r="B20" s="121"/>
      <c r="C20" s="8" t="s">
        <v>367</v>
      </c>
      <c r="D20" s="123">
        <f>D19/(1+G.3销项增值税率!$C$5)</f>
        <v>0</v>
      </c>
      <c r="E20" s="123">
        <f>E19/(1+G.3销项增值税率!$C$5)</f>
        <v>0</v>
      </c>
      <c r="F20" s="123">
        <f>F19/(1+G.3销项增值税率!$C$5)</f>
        <v>0</v>
      </c>
      <c r="G20" s="123">
        <f>G19/(1+G.3销项增值税率!$C$5)</f>
        <v>45.2830188679245</v>
      </c>
      <c r="H20" s="123">
        <f>H19/(1+G.3销项增值税率!$C$5)</f>
        <v>75.4716981132075</v>
      </c>
      <c r="I20" s="123">
        <f>I19/(1+G.3销项增值税率!$C$5)</f>
        <v>76.2264150943396</v>
      </c>
      <c r="J20" s="123">
        <f>J19/(1+G.3销项增值税率!$C$5)</f>
        <v>76.988679245283</v>
      </c>
      <c r="K20" s="123">
        <f>K19/(1+G.3销项增值税率!$C$5)</f>
        <v>77.7585660377358</v>
      </c>
      <c r="L20" s="123">
        <f>L19/(1+G.3销项增值税率!$C$5)</f>
        <v>78.5361516981132</v>
      </c>
      <c r="M20" s="123">
        <f>M19/(1+G.3销项增值税率!$C$5)</f>
        <v>79.3215132150943</v>
      </c>
      <c r="N20" s="123">
        <f>N19/(1+G.3销项增值税率!$C$5)</f>
        <v>80.1147283472453</v>
      </c>
      <c r="O20" s="123">
        <f>O19/(1+G.3销项增值税率!$C$5)</f>
        <v>80.9158756307177</v>
      </c>
      <c r="P20" s="123">
        <f>P19/(1+G.3销项增值税率!$C$5)</f>
        <v>81.7250343870249</v>
      </c>
      <c r="Q20" s="123">
        <f>Q19/(1+G.3销项增值税率!$C$5)</f>
        <v>82.5422847308951</v>
      </c>
      <c r="R20" s="123">
        <f>R19/(1+G.3销项增值税率!$C$5)</f>
        <v>83.3677075782041</v>
      </c>
      <c r="S20" s="123">
        <f>S19/(1+G.3销项增值税率!$C$5)</f>
        <v>84.2013846539862</v>
      </c>
      <c r="T20" s="123">
        <f>T19/(1+G.3销项增值税率!$C$5)</f>
        <v>85.043398500526</v>
      </c>
      <c r="U20" s="123">
        <f>U19/(1+G.3销项增值税率!$C$5)</f>
        <v>85.8938324855313</v>
      </c>
      <c r="V20" s="123">
        <f>V19/(1+G.3销项增值税率!$C$5)</f>
        <v>86.7527708103866</v>
      </c>
      <c r="W20" s="123">
        <f>W19/(1+G.3销项增值税率!$C$5)</f>
        <v>87.6202985184904</v>
      </c>
      <c r="X20" s="123">
        <f>X19/(1+G.3销项增值税率!$C$5)</f>
        <v>88.4965015036753</v>
      </c>
      <c r="Y20" s="123">
        <f>Y19/(1+G.3销项增值税率!$C$5)</f>
        <v>89.3814665187121</v>
      </c>
      <c r="Z20" s="123">
        <f>Z19/(1+G.3销项增值税率!$C$5)</f>
        <v>90.2752811838992</v>
      </c>
      <c r="AA20" s="123">
        <f>AA19/(1+G.3销项增值税率!$C$5)</f>
        <v>91.1780339957383</v>
      </c>
    </row>
    <row r="21" customHeight="1" spans="1:27">
      <c r="A21" s="120">
        <v>10</v>
      </c>
      <c r="B21" s="120" t="str">
        <f>F.1项目单项收入信息!B21</f>
        <v>产学研收入</v>
      </c>
      <c r="C21" s="8" t="s">
        <v>366</v>
      </c>
      <c r="D21" s="62">
        <f>F.1项目单项收入信息!H21</f>
        <v>0</v>
      </c>
      <c r="E21" s="62">
        <f>F.1项目单项收入信息!I21</f>
        <v>0</v>
      </c>
      <c r="F21" s="62">
        <f>F.1项目单项收入信息!J21</f>
        <v>168</v>
      </c>
      <c r="G21" s="62">
        <f>F.1项目单项收入信息!K21</f>
        <v>280</v>
      </c>
      <c r="H21" s="62">
        <f>F.1项目单项收入信息!L21</f>
        <v>280</v>
      </c>
      <c r="I21" s="62">
        <f>F.1项目单项收入信息!M21</f>
        <v>282.8</v>
      </c>
      <c r="J21" s="62">
        <f>F.1项目单项收入信息!N21</f>
        <v>285.628</v>
      </c>
      <c r="K21" s="62">
        <f>F.1项目单项收入信息!O21</f>
        <v>288.48428</v>
      </c>
      <c r="L21" s="62">
        <f>F.1项目单项收入信息!P21</f>
        <v>291.3691228</v>
      </c>
      <c r="M21" s="62">
        <f>F.1项目单项收入信息!Q21</f>
        <v>294.282814028</v>
      </c>
      <c r="N21" s="62">
        <f>F.1项目单项收入信息!R21</f>
        <v>297.22564216828</v>
      </c>
      <c r="O21" s="62">
        <f>F.1项目单项收入信息!S21</f>
        <v>300.197898589963</v>
      </c>
      <c r="P21" s="62">
        <f>F.1项目单项收入信息!T21</f>
        <v>303.199877575863</v>
      </c>
      <c r="Q21" s="62">
        <f>F.1项目单项收入信息!U21</f>
        <v>306.231876351621</v>
      </c>
      <c r="R21" s="62">
        <f>F.1项目单项收入信息!V21</f>
        <v>309.294195115137</v>
      </c>
      <c r="S21" s="62">
        <f>F.1项目单项收入信息!W21</f>
        <v>312.387137066289</v>
      </c>
      <c r="T21" s="62">
        <f>F.1项目单项收入信息!X21</f>
        <v>315.511008436952</v>
      </c>
      <c r="U21" s="62">
        <f>F.1项目单项收入信息!Y21</f>
        <v>318.666118521321</v>
      </c>
      <c r="V21" s="62">
        <f>F.1项目单项收入信息!Z21</f>
        <v>321.852779706534</v>
      </c>
      <c r="W21" s="62">
        <f>F.1项目单项收入信息!AA21</f>
        <v>325.0713075036</v>
      </c>
      <c r="X21" s="62">
        <f>F.1项目单项收入信息!AB21</f>
        <v>328.322020578636</v>
      </c>
      <c r="Y21" s="62">
        <f>F.1项目单项收入信息!AC21</f>
        <v>331.605240784422</v>
      </c>
      <c r="Z21" s="62">
        <f>F.1项目单项收入信息!AD21</f>
        <v>334.921293192266</v>
      </c>
      <c r="AA21" s="62">
        <f>F.1项目单项收入信息!AE21</f>
        <v>338.270506124189</v>
      </c>
    </row>
    <row r="22" customHeight="1" spans="1:27">
      <c r="A22" s="121"/>
      <c r="B22" s="121"/>
      <c r="C22" s="8" t="s">
        <v>367</v>
      </c>
      <c r="D22" s="122">
        <f>D21/(1+G.3销项增值税率!$C$3)</f>
        <v>0</v>
      </c>
      <c r="E22" s="122">
        <f>E21/(1+G.3销项增值税率!$C$3)</f>
        <v>0</v>
      </c>
      <c r="F22" s="122">
        <f>F21/(1+G.3销项增值税率!$C$3)</f>
        <v>158.490566037736</v>
      </c>
      <c r="G22" s="122">
        <f>G21/(1+G.3销项增值税率!$C$3)</f>
        <v>264.150943396226</v>
      </c>
      <c r="H22" s="122">
        <f>H21/(1+G.3销项增值税率!$C$3)</f>
        <v>264.150943396226</v>
      </c>
      <c r="I22" s="122">
        <f>I21/(1+G.3销项增值税率!$C$3)</f>
        <v>266.792452830189</v>
      </c>
      <c r="J22" s="122">
        <f>J21/(1+G.3销项增值税率!$C$3)</f>
        <v>269.460377358491</v>
      </c>
      <c r="K22" s="122">
        <f>K21/(1+G.3销项增值税率!$C$3)</f>
        <v>272.154981132075</v>
      </c>
      <c r="L22" s="122">
        <f>L21/(1+G.3销项增值税率!$C$3)</f>
        <v>274.876530943396</v>
      </c>
      <c r="M22" s="122">
        <f>M21/(1+G.3销项增值税率!$C$3)</f>
        <v>277.62529625283</v>
      </c>
      <c r="N22" s="122">
        <f>N21/(1+G.3销项增值税率!$C$3)</f>
        <v>280.401549215358</v>
      </c>
      <c r="O22" s="122">
        <f>O21/(1+G.3销项增值税率!$C$3)</f>
        <v>283.205564707512</v>
      </c>
      <c r="P22" s="122">
        <f>P21/(1+G.3销项增值税率!$C$3)</f>
        <v>286.037620354588</v>
      </c>
      <c r="Q22" s="122">
        <f>Q21/(1+G.3销项增值税率!$C$3)</f>
        <v>288.897996558133</v>
      </c>
      <c r="R22" s="122">
        <f>R21/(1+G.3销项增值税率!$C$3)</f>
        <v>291.786976523714</v>
      </c>
      <c r="S22" s="122">
        <f>S21/(1+G.3销项增值税率!$C$3)</f>
        <v>294.704846288952</v>
      </c>
      <c r="T22" s="122">
        <f>T21/(1+G.3销项增值税率!$C$3)</f>
        <v>297.651894751841</v>
      </c>
      <c r="U22" s="122">
        <f>U21/(1+G.3销项增值税率!$C$3)</f>
        <v>300.628413699359</v>
      </c>
      <c r="V22" s="122">
        <f>V21/(1+G.3销项增值税率!$C$3)</f>
        <v>303.634697836353</v>
      </c>
      <c r="W22" s="122">
        <f>W21/(1+G.3销项增值税率!$C$3)</f>
        <v>306.671044814717</v>
      </c>
      <c r="X22" s="122">
        <f>X21/(1+G.3销项增值税率!$C$3)</f>
        <v>309.737755262864</v>
      </c>
      <c r="Y22" s="122">
        <f>Y21/(1+G.3销项增值税率!$C$3)</f>
        <v>312.835132815492</v>
      </c>
      <c r="Z22" s="122">
        <f>Z21/(1+G.3销项增值税率!$C$3)</f>
        <v>315.963484143647</v>
      </c>
      <c r="AA22" s="122">
        <f>AA21/(1+G.3销项增值税率!$C$3)</f>
        <v>319.123118985084</v>
      </c>
    </row>
    <row r="23" customHeight="1" spans="1:27">
      <c r="A23" s="124">
        <v>4</v>
      </c>
      <c r="B23" s="125" t="s">
        <v>368</v>
      </c>
      <c r="C23" s="126"/>
      <c r="D23" s="127">
        <v>0</v>
      </c>
      <c r="E23" s="127">
        <v>0</v>
      </c>
      <c r="F23" s="127">
        <v>0</v>
      </c>
      <c r="G23" s="127">
        <v>0</v>
      </c>
      <c r="H23" s="127">
        <v>0</v>
      </c>
      <c r="I23" s="127">
        <v>0</v>
      </c>
      <c r="J23" s="127">
        <v>0</v>
      </c>
      <c r="K23" s="127">
        <v>0</v>
      </c>
      <c r="L23" s="127">
        <v>0</v>
      </c>
      <c r="M23" s="127">
        <v>0</v>
      </c>
      <c r="N23" s="127">
        <v>0</v>
      </c>
      <c r="O23" s="127">
        <v>0</v>
      </c>
      <c r="P23" s="127">
        <v>0</v>
      </c>
      <c r="Q23" s="127">
        <v>0</v>
      </c>
      <c r="R23" s="127">
        <v>0</v>
      </c>
      <c r="S23" s="127">
        <v>0</v>
      </c>
      <c r="T23" s="127">
        <v>0</v>
      </c>
      <c r="U23" s="127">
        <v>0</v>
      </c>
      <c r="V23" s="127">
        <v>0</v>
      </c>
      <c r="W23" s="127">
        <v>0</v>
      </c>
      <c r="X23" s="127">
        <v>0</v>
      </c>
      <c r="Y23" s="127">
        <v>0</v>
      </c>
      <c r="Z23" s="127">
        <v>0</v>
      </c>
      <c r="AA23" s="127">
        <v>0</v>
      </c>
    </row>
    <row r="24" customHeight="1" spans="1:27">
      <c r="A24" s="12">
        <v>5</v>
      </c>
      <c r="B24" s="128" t="s">
        <v>369</v>
      </c>
      <c r="C24" s="126"/>
      <c r="D24" s="38">
        <f>(D3+D5+D7+D9+D11+D13+D15+D17+D19+D21)</f>
        <v>0</v>
      </c>
      <c r="E24" s="38">
        <f>(E3+E5+E7+E9+E11+E13+E15+E17+E19+E21)</f>
        <v>0</v>
      </c>
      <c r="F24" s="38">
        <f>(F3+F5+F7+F9+F11+F13+F15+F17+F19+F21)</f>
        <v>846.684</v>
      </c>
      <c r="G24" s="38">
        <f>(G3+G5+G7+G9+G11+G13+G15+G17+G19+G21)</f>
        <v>2195.85</v>
      </c>
      <c r="H24" s="38">
        <f t="shared" ref="H24:AA24" si="0">SUM(H3,H7,H5,H9,H11,H13,H15,H17,H19,H21)</f>
        <v>3244.59</v>
      </c>
      <c r="I24" s="38">
        <f t="shared" si="0"/>
        <v>3277.0359</v>
      </c>
      <c r="J24" s="38">
        <f t="shared" si="0"/>
        <v>3309.806259</v>
      </c>
      <c r="K24" s="38">
        <f t="shared" si="0"/>
        <v>3342.90432159</v>
      </c>
      <c r="L24" s="38">
        <f t="shared" si="0"/>
        <v>3376.3333648059</v>
      </c>
      <c r="M24" s="38">
        <f t="shared" si="0"/>
        <v>3410.09669845396</v>
      </c>
      <c r="N24" s="38">
        <f t="shared" si="0"/>
        <v>3444.1976654385</v>
      </c>
      <c r="O24" s="38">
        <f t="shared" si="0"/>
        <v>3478.63964209289</v>
      </c>
      <c r="P24" s="38">
        <f t="shared" si="0"/>
        <v>3513.42603851381</v>
      </c>
      <c r="Q24" s="38">
        <f t="shared" si="0"/>
        <v>3548.56029889895</v>
      </c>
      <c r="R24" s="38">
        <f t="shared" si="0"/>
        <v>3584.04590188793</v>
      </c>
      <c r="S24" s="38">
        <f t="shared" si="0"/>
        <v>3619.88636090682</v>
      </c>
      <c r="T24" s="38">
        <f t="shared" si="0"/>
        <v>3656.08522451589</v>
      </c>
      <c r="U24" s="38">
        <f t="shared" si="0"/>
        <v>3692.64607676105</v>
      </c>
      <c r="V24" s="38">
        <f t="shared" si="0"/>
        <v>3729.57253752866</v>
      </c>
      <c r="W24" s="38">
        <f t="shared" si="0"/>
        <v>3766.86826290395</v>
      </c>
      <c r="X24" s="38">
        <f t="shared" si="0"/>
        <v>3804.53694553298</v>
      </c>
      <c r="Y24" s="38">
        <f t="shared" si="0"/>
        <v>3842.58231498831</v>
      </c>
      <c r="Z24" s="38">
        <f t="shared" si="0"/>
        <v>3881.00813813819</v>
      </c>
      <c r="AA24" s="38">
        <f t="shared" si="0"/>
        <v>3919.81821951957</v>
      </c>
    </row>
    <row r="25" customHeight="1" spans="1:27">
      <c r="A25" s="12">
        <v>6</v>
      </c>
      <c r="B25" s="129" t="s">
        <v>370</v>
      </c>
      <c r="C25" s="130"/>
      <c r="D25" s="38">
        <f>(D4+D6+D8+D10+D12+D14+D16+D18+D20+D22)</f>
        <v>0</v>
      </c>
      <c r="E25" s="38">
        <f>(E4+E6+E8+E10+E12+E14+E16+E18+E20+E22)</f>
        <v>0</v>
      </c>
      <c r="F25" s="38">
        <f>(F4+F6+F8+F10+F12+F14+F16+F18+F20+F22)</f>
        <v>798.758490566038</v>
      </c>
      <c r="G25" s="38">
        <f>(G4+G6+G8+G10+G12+G14+G16+G18+G20+G22)</f>
        <v>2071.55660377358</v>
      </c>
      <c r="H25" s="38">
        <f t="shared" ref="H25:AA25" si="1">SUM(H4,H8,H6,H10,H12,H14,H16,H18,H20,H22)</f>
        <v>3060.93396226415</v>
      </c>
      <c r="I25" s="38">
        <f t="shared" si="1"/>
        <v>3091.54330188679</v>
      </c>
      <c r="J25" s="38">
        <f t="shared" si="1"/>
        <v>3122.45873490566</v>
      </c>
      <c r="K25" s="38">
        <f t="shared" si="1"/>
        <v>3153.68332225472</v>
      </c>
      <c r="L25" s="38">
        <f t="shared" si="1"/>
        <v>3185.22015547726</v>
      </c>
      <c r="M25" s="38">
        <f t="shared" si="1"/>
        <v>3217.07235703204</v>
      </c>
      <c r="N25" s="38">
        <f t="shared" si="1"/>
        <v>3249.24308060236</v>
      </c>
      <c r="O25" s="38">
        <f t="shared" si="1"/>
        <v>3281.73551140838</v>
      </c>
      <c r="P25" s="38">
        <f t="shared" si="1"/>
        <v>3314.55286652246</v>
      </c>
      <c r="Q25" s="38">
        <f t="shared" si="1"/>
        <v>3347.69839518769</v>
      </c>
      <c r="R25" s="38">
        <f t="shared" si="1"/>
        <v>3381.17537913956</v>
      </c>
      <c r="S25" s="38">
        <f t="shared" si="1"/>
        <v>3414.98713293096</v>
      </c>
      <c r="T25" s="38">
        <f t="shared" si="1"/>
        <v>3449.13700426027</v>
      </c>
      <c r="U25" s="38">
        <f t="shared" si="1"/>
        <v>3483.62837430287</v>
      </c>
      <c r="V25" s="38">
        <f t="shared" si="1"/>
        <v>3518.46465804591</v>
      </c>
      <c r="W25" s="38">
        <f t="shared" si="1"/>
        <v>3553.64930462637</v>
      </c>
      <c r="X25" s="38">
        <f t="shared" si="1"/>
        <v>3589.18579767263</v>
      </c>
      <c r="Y25" s="38">
        <f t="shared" si="1"/>
        <v>3625.07765564935</v>
      </c>
      <c r="Z25" s="38">
        <f t="shared" si="1"/>
        <v>3661.32843220584</v>
      </c>
      <c r="AA25" s="38">
        <f t="shared" si="1"/>
        <v>3697.9417165279</v>
      </c>
    </row>
    <row r="26" customHeight="1" spans="4:10">
      <c r="D26" s="131"/>
      <c r="E26" s="131"/>
      <c r="F26" s="131"/>
      <c r="G26" s="131"/>
      <c r="H26" s="131"/>
      <c r="I26"/>
      <c r="J26"/>
    </row>
    <row r="27" customHeight="1" spans="9:10">
      <c r="I27"/>
      <c r="J27"/>
    </row>
  </sheetData>
  <autoFilter xmlns:etc="http://www.wps.cn/officeDocument/2017/etCustomData" ref="A2:H25" etc:filterBottomFollowUsedRange="0">
    <extLst/>
  </autoFilter>
  <pageMargins left="0.75" right="0.75" top="1" bottom="1" header="0.5" footer="0.5"/>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FF00"/>
  </sheetPr>
  <dimension ref="A1:AH44"/>
  <sheetViews>
    <sheetView zoomScale="85" zoomScaleNormal="85" workbookViewId="0">
      <selection activeCell="G27" sqref="G27"/>
    </sheetView>
  </sheetViews>
  <sheetFormatPr defaultColWidth="8.89090909090909" defaultRowHeight="28.05" customHeight="1"/>
  <cols>
    <col min="1" max="1" width="6" style="1" customWidth="1"/>
    <col min="2" max="2" width="12.4454545454545" style="1" customWidth="1"/>
    <col min="3" max="3" width="21.3363636363636" style="1" customWidth="1"/>
    <col min="4" max="4" width="26" style="1" customWidth="1"/>
    <col min="5" max="5" width="21.6636363636364" style="1" customWidth="1"/>
    <col min="6" max="6" width="17.1090909090909" style="1" customWidth="1"/>
    <col min="7" max="7" width="10.2181818181818" style="1" customWidth="1"/>
    <col min="8" max="8" width="14.7818181818182" style="1" customWidth="1"/>
    <col min="9" max="9" width="12.4454545454545" style="1" customWidth="1"/>
    <col min="10" max="31" width="9.89090909090909" style="1" customWidth="1"/>
    <col min="32" max="32" width="9.55454545454545" style="1" customWidth="1"/>
    <col min="33" max="33" width="11.7818181818182" style="1" customWidth="1"/>
    <col min="34" max="34" width="13.8909090909091" style="1" customWidth="1"/>
  </cols>
  <sheetData>
    <row r="1" ht="20" customHeight="1" spans="1:32">
      <c r="A1" s="75" t="s">
        <v>371</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2" t="s">
        <v>372</v>
      </c>
    </row>
    <row r="2" ht="16.5" customHeight="1" spans="1:31">
      <c r="A2" s="5" t="s">
        <v>1</v>
      </c>
      <c r="B2" s="5" t="s">
        <v>364</v>
      </c>
      <c r="C2" s="5" t="s">
        <v>87</v>
      </c>
      <c r="D2" s="5" t="s">
        <v>373</v>
      </c>
      <c r="E2" s="5" t="s">
        <v>231</v>
      </c>
      <c r="F2" s="5" t="s">
        <v>374</v>
      </c>
      <c r="G2" s="5" t="s">
        <v>375</v>
      </c>
      <c r="H2" s="33">
        <v>2025</v>
      </c>
      <c r="I2" s="33">
        <v>2026</v>
      </c>
      <c r="J2" s="33">
        <v>2027</v>
      </c>
      <c r="K2" s="33">
        <v>2028</v>
      </c>
      <c r="L2" s="33">
        <v>2029</v>
      </c>
      <c r="M2" s="33">
        <v>2030</v>
      </c>
      <c r="N2" s="33">
        <v>2031</v>
      </c>
      <c r="O2" s="33">
        <v>2032</v>
      </c>
      <c r="P2" s="33">
        <v>2033</v>
      </c>
      <c r="Q2" s="33">
        <v>2034</v>
      </c>
      <c r="R2" s="33">
        <v>2035</v>
      </c>
      <c r="S2" s="33">
        <v>2036</v>
      </c>
      <c r="T2" s="33">
        <v>2037</v>
      </c>
      <c r="U2" s="33">
        <v>2038</v>
      </c>
      <c r="V2" s="33">
        <v>2039</v>
      </c>
      <c r="W2" s="33">
        <v>2040</v>
      </c>
      <c r="X2" s="33">
        <v>2041</v>
      </c>
      <c r="Y2" s="33">
        <v>2042</v>
      </c>
      <c r="Z2" s="33">
        <v>2043</v>
      </c>
      <c r="AA2" s="33">
        <v>2044</v>
      </c>
      <c r="AB2" s="33">
        <v>2045</v>
      </c>
      <c r="AC2" s="33">
        <v>2046</v>
      </c>
      <c r="AD2" s="33">
        <v>2047</v>
      </c>
      <c r="AE2" s="33">
        <v>2048</v>
      </c>
    </row>
    <row r="3" ht="21.45" customHeight="1" spans="1:32">
      <c r="A3" s="12">
        <v>1</v>
      </c>
      <c r="B3" s="12" t="s">
        <v>376</v>
      </c>
      <c r="C3" s="12">
        <v>1</v>
      </c>
      <c r="D3" s="38"/>
      <c r="E3" s="83">
        <f>[1]A财务假设!D20</f>
        <v>0</v>
      </c>
      <c r="F3" s="84" t="s">
        <v>377</v>
      </c>
      <c r="G3" s="10">
        <v>0</v>
      </c>
      <c r="H3" s="38">
        <f>SUM(J26:J28)*(1+$E3)</f>
        <v>0</v>
      </c>
      <c r="I3" s="38">
        <f>SUM(K26:K28)*(1+$E3)</f>
        <v>0</v>
      </c>
      <c r="J3" s="38">
        <f>SUM(L26:L28)*(1+$E3)</f>
        <v>64.8</v>
      </c>
      <c r="K3" s="38">
        <f>SUM(M26:M28)*(1+$E3)</f>
        <v>108</v>
      </c>
      <c r="L3" s="38">
        <f>SUM(N26:N28)*(1+$E3)</f>
        <v>108</v>
      </c>
      <c r="M3" s="38">
        <f>SUM(O26:O28)*(1+$E3)</f>
        <v>109.08</v>
      </c>
      <c r="N3" s="38">
        <f>SUM(P26:P28)*(1+$E3)</f>
        <v>110.1708</v>
      </c>
      <c r="O3" s="38">
        <f>SUM(Q26:Q28)*(1+$E3)</f>
        <v>111.272508</v>
      </c>
      <c r="P3" s="38">
        <f>SUM(R26:R28)*(1+$E3)</f>
        <v>112.38523308</v>
      </c>
      <c r="Q3" s="38">
        <f>SUM(S26:S28)*(1+$E3)</f>
        <v>113.5090854108</v>
      </c>
      <c r="R3" s="38">
        <f>SUM(T26:T28)*(1+$E3)</f>
        <v>114.644176264908</v>
      </c>
      <c r="S3" s="38">
        <f>SUM(U26:U28)*(1+$E3)</f>
        <v>115.790618027557</v>
      </c>
      <c r="T3" s="38">
        <f>SUM(V26:V28)*(1+$E3)</f>
        <v>116.948524207833</v>
      </c>
      <c r="U3" s="38">
        <f>SUM(W26:W28)*(1+$E3)</f>
        <v>118.118009449911</v>
      </c>
      <c r="V3" s="38">
        <f>SUM(X26:X28)*(1+$E3)</f>
        <v>119.29918954441</v>
      </c>
      <c r="W3" s="38">
        <f>SUM(Y26:Y28)*(1+$E3)</f>
        <v>120.492181439854</v>
      </c>
      <c r="X3" s="38">
        <f>SUM(Z26:Z28)*(1+$E3)</f>
        <v>121.697103254253</v>
      </c>
      <c r="Y3" s="38">
        <f>SUM(AA26:AA28)*(1+$E3)</f>
        <v>122.914074286795</v>
      </c>
      <c r="Z3" s="38">
        <f>SUM(AB26:AB28)*(1+$E3)</f>
        <v>124.143215029663</v>
      </c>
      <c r="AA3" s="38">
        <f>SUM(AC26:AC28)*(1+$E3)</f>
        <v>125.38464717996</v>
      </c>
      <c r="AB3" s="38">
        <f>SUM(AD26:AD28)*(1+$E3)</f>
        <v>126.638493651759</v>
      </c>
      <c r="AC3" s="38">
        <f>SUM(AE26:AE28)*(1+$E3)</f>
        <v>127.904878588277</v>
      </c>
      <c r="AD3" s="38">
        <f>SUM(AF26:AF28)*(1+$E3)</f>
        <v>129.18392737416</v>
      </c>
      <c r="AE3" s="38">
        <f>SUM(AG26:AG28)*(1+$E3)</f>
        <v>130.475766647901</v>
      </c>
      <c r="AF3" s="32" t="s">
        <v>378</v>
      </c>
    </row>
    <row r="4" ht="21.45" customHeight="1" spans="1:31">
      <c r="A4" s="15"/>
      <c r="B4" s="15"/>
      <c r="C4" s="8" t="s">
        <v>379</v>
      </c>
      <c r="D4" s="3"/>
      <c r="E4" s="3"/>
      <c r="F4" s="3"/>
      <c r="G4" s="4"/>
      <c r="H4" s="85"/>
      <c r="I4" s="85"/>
      <c r="J4" s="85"/>
      <c r="K4" s="85"/>
      <c r="L4" s="85"/>
      <c r="M4" s="85"/>
      <c r="N4" s="85"/>
      <c r="O4" s="85"/>
      <c r="P4" s="85"/>
      <c r="Q4" s="85"/>
      <c r="R4" s="85"/>
      <c r="S4" s="85"/>
      <c r="T4" s="85"/>
      <c r="U4" s="85"/>
      <c r="V4" s="85"/>
      <c r="W4" s="85"/>
      <c r="X4" s="85"/>
      <c r="Y4" s="85"/>
      <c r="Z4" s="85"/>
      <c r="AA4" s="85"/>
      <c r="AB4" s="85"/>
      <c r="AC4" s="85"/>
      <c r="AD4" s="85"/>
      <c r="AE4" s="85"/>
    </row>
    <row r="5" ht="21.45" customHeight="1" spans="1:31">
      <c r="A5" s="12">
        <v>2</v>
      </c>
      <c r="B5" s="12" t="s">
        <v>380</v>
      </c>
      <c r="C5" s="12">
        <v>1</v>
      </c>
      <c r="D5" s="38"/>
      <c r="E5" s="13"/>
      <c r="F5" s="84" t="s">
        <v>377</v>
      </c>
      <c r="G5" s="10">
        <v>0</v>
      </c>
      <c r="H5" s="38">
        <f>SUM(J29:J32)*(1+$E3)</f>
        <v>0</v>
      </c>
      <c r="I5" s="38">
        <f>SUM(K29:K32)*(1+$E3)</f>
        <v>0</v>
      </c>
      <c r="J5" s="38">
        <f>SUM(L29:L32)*(1+$E3)</f>
        <v>389.124</v>
      </c>
      <c r="K5" s="38">
        <f>SUM(M29:M32)*(1+$E3)</f>
        <v>678.762</v>
      </c>
      <c r="L5" s="38">
        <f>SUM(N29:N32)*(1+$E3)</f>
        <v>698.91</v>
      </c>
      <c r="M5" s="38">
        <f>SUM(O29:O32)*(1+$E3)</f>
        <v>705.8991</v>
      </c>
      <c r="N5" s="38">
        <f>SUM(P29:P32)*(1+$E3)</f>
        <v>712.958091</v>
      </c>
      <c r="O5" s="38">
        <f>SUM(Q29:Q32)*(1+$E3)</f>
        <v>720.08767191</v>
      </c>
      <c r="P5" s="38">
        <f>SUM(R29:R32)*(1+$E3)</f>
        <v>727.2885486291</v>
      </c>
      <c r="Q5" s="38">
        <f>SUM(S29:S32)*(1+$E3)</f>
        <v>734.561434115391</v>
      </c>
      <c r="R5" s="38">
        <f>SUM(T29:T32)*(1+$E3)</f>
        <v>741.907048456545</v>
      </c>
      <c r="S5" s="38">
        <f>SUM(U29:U32)*(1+$E3)</f>
        <v>749.32611894111</v>
      </c>
      <c r="T5" s="38">
        <f>SUM(V29:V32)*(1+$E3)</f>
        <v>756.819380130522</v>
      </c>
      <c r="U5" s="38">
        <f>SUM(W29:W32)*(1+$E3)</f>
        <v>764.387573931827</v>
      </c>
      <c r="V5" s="38">
        <f>SUM(X29:X32)*(1+$E3)</f>
        <v>772.031449671144</v>
      </c>
      <c r="W5" s="38">
        <f>SUM(Y29:Y32)*(1+$E3)</f>
        <v>779.751764167857</v>
      </c>
      <c r="X5" s="38">
        <f>SUM(Z29:Z32)*(1+$E3)</f>
        <v>787.549281809536</v>
      </c>
      <c r="Y5" s="38">
        <f>SUM(AA29:AA32)*(1+$E3)</f>
        <v>795.42477462763</v>
      </c>
      <c r="Z5" s="38">
        <f>SUM(AB29:AB32)*(1+$E3)</f>
        <v>803.379022373906</v>
      </c>
      <c r="AA5" s="38">
        <f>SUM(AC29:AC32)*(1+$E3)</f>
        <v>811.412812597646</v>
      </c>
      <c r="AB5" s="38">
        <f>SUM(AD29:AD32)*(1+$E3)</f>
        <v>819.526940723622</v>
      </c>
      <c r="AC5" s="38">
        <f>SUM(AE29:AE32)*(1+$E3)</f>
        <v>827.722210130859</v>
      </c>
      <c r="AD5" s="38">
        <f>SUM(AF29:AF32)*(1+$E3)</f>
        <v>835.999432232167</v>
      </c>
      <c r="AE5" s="38">
        <f>SUM(AG29:AG32)*(1+$E3)</f>
        <v>844.359426554488</v>
      </c>
    </row>
    <row r="6" ht="21.45" customHeight="1" spans="1:31">
      <c r="A6" s="15"/>
      <c r="B6" s="15"/>
      <c r="C6" s="8" t="s">
        <v>379</v>
      </c>
      <c r="D6" s="3"/>
      <c r="E6" s="3"/>
      <c r="F6" s="3"/>
      <c r="G6" s="4"/>
      <c r="H6" s="85"/>
      <c r="I6" s="85"/>
      <c r="J6" s="85"/>
      <c r="K6" s="85"/>
      <c r="L6" s="85"/>
      <c r="M6" s="85"/>
      <c r="N6" s="85"/>
      <c r="O6" s="85"/>
      <c r="P6" s="85"/>
      <c r="Q6" s="85"/>
      <c r="R6" s="85"/>
      <c r="S6" s="85"/>
      <c r="T6" s="85"/>
      <c r="U6" s="85"/>
      <c r="V6" s="85"/>
      <c r="W6" s="85"/>
      <c r="X6" s="85"/>
      <c r="Y6" s="85"/>
      <c r="Z6" s="85"/>
      <c r="AA6" s="85"/>
      <c r="AB6" s="85"/>
      <c r="AC6" s="85"/>
      <c r="AD6" s="85"/>
      <c r="AE6" s="85"/>
    </row>
    <row r="7" ht="21.45" customHeight="1" spans="1:32">
      <c r="A7" s="12">
        <v>3</v>
      </c>
      <c r="B7" s="12" t="s">
        <v>381</v>
      </c>
      <c r="C7" s="12">
        <v>1</v>
      </c>
      <c r="D7" s="38"/>
      <c r="E7" s="13"/>
      <c r="F7" s="84" t="s">
        <v>382</v>
      </c>
      <c r="G7" s="70">
        <v>0.02</v>
      </c>
      <c r="H7" s="38">
        <f>J33*(1+$E3)</f>
        <v>0</v>
      </c>
      <c r="I7" s="38">
        <f>K33*(1+$E3)</f>
        <v>0</v>
      </c>
      <c r="J7" s="38">
        <f>L33*(1+$E3)</f>
        <v>78.84</v>
      </c>
      <c r="K7" s="38">
        <f>M33*(1+$E3)</f>
        <v>430.992</v>
      </c>
      <c r="L7" s="38">
        <f>N33*(1+$E3)</f>
        <v>1156.32</v>
      </c>
      <c r="M7" s="38">
        <f>O33*(1+$E3)</f>
        <v>1167.8832</v>
      </c>
      <c r="N7" s="38">
        <f>P33*(1+$E3)</f>
        <v>1179.562032</v>
      </c>
      <c r="O7" s="38">
        <f>Q33*(1+$E3)</f>
        <v>1191.35765232</v>
      </c>
      <c r="P7" s="38">
        <f>R33*(1+$E3)</f>
        <v>1203.2712288432</v>
      </c>
      <c r="Q7" s="38">
        <f>S33*(1+$E3)</f>
        <v>1215.30394113163</v>
      </c>
      <c r="R7" s="38">
        <f>T33*(1+$E3)</f>
        <v>1227.45698054295</v>
      </c>
      <c r="S7" s="38">
        <f>U33*(1+$E3)</f>
        <v>1239.73155034838</v>
      </c>
      <c r="T7" s="38">
        <f>V33*(1+$E3)</f>
        <v>1252.12886585186</v>
      </c>
      <c r="U7" s="38">
        <f>W33*(1+$E3)</f>
        <v>1264.65015451038</v>
      </c>
      <c r="V7" s="38">
        <f>X33*(1+$E3)</f>
        <v>1277.29665605548</v>
      </c>
      <c r="W7" s="38">
        <f>Y33*(1+$E3)</f>
        <v>1290.06962261604</v>
      </c>
      <c r="X7" s="38">
        <f>Z33*(1+$E3)</f>
        <v>1302.9703188422</v>
      </c>
      <c r="Y7" s="38">
        <f>AA33*(1+$E3)</f>
        <v>1316.00002203062</v>
      </c>
      <c r="Z7" s="38">
        <f>AB33*(1+$E3)</f>
        <v>1329.16002225093</v>
      </c>
      <c r="AA7" s="38">
        <f>AC33*(1+$E3)</f>
        <v>1342.45162247344</v>
      </c>
      <c r="AB7" s="38">
        <f>AD33*(1+$E3)</f>
        <v>1355.87613869817</v>
      </c>
      <c r="AC7" s="38">
        <f>AE33*(1+$E3)</f>
        <v>1369.43490008515</v>
      </c>
      <c r="AD7" s="38">
        <f>AF33*(1+$E3)</f>
        <v>1383.129249086</v>
      </c>
      <c r="AE7" s="38">
        <f>AG33*(1+$E3)</f>
        <v>1396.96054157686</v>
      </c>
      <c r="AF7" s="32" t="s">
        <v>383</v>
      </c>
    </row>
    <row r="8" ht="21.45" customHeight="1" spans="1:31">
      <c r="A8" s="15"/>
      <c r="B8" s="15"/>
      <c r="C8" s="8" t="s">
        <v>379</v>
      </c>
      <c r="D8" s="3"/>
      <c r="E8" s="3"/>
      <c r="F8" s="3"/>
      <c r="G8" s="4"/>
      <c r="H8" s="85"/>
      <c r="I8" s="85"/>
      <c r="J8" s="85"/>
      <c r="K8" s="85"/>
      <c r="L8" s="85"/>
      <c r="M8" s="85"/>
      <c r="N8" s="85"/>
      <c r="O8" s="85"/>
      <c r="P8" s="85"/>
      <c r="Q8" s="85"/>
      <c r="R8" s="85"/>
      <c r="S8" s="85"/>
      <c r="T8" s="85"/>
      <c r="U8" s="85"/>
      <c r="V8" s="85"/>
      <c r="W8" s="85"/>
      <c r="X8" s="85"/>
      <c r="Y8" s="85"/>
      <c r="Z8" s="85"/>
      <c r="AA8" s="85"/>
      <c r="AB8" s="85"/>
      <c r="AC8" s="85"/>
      <c r="AD8" s="85"/>
      <c r="AE8" s="85"/>
    </row>
    <row r="9" ht="21.45" customHeight="1" spans="1:32">
      <c r="A9" s="12">
        <v>4</v>
      </c>
      <c r="B9" s="12" t="s">
        <v>384</v>
      </c>
      <c r="C9" s="12">
        <v>1</v>
      </c>
      <c r="D9" s="38"/>
      <c r="E9" s="13"/>
      <c r="F9" s="84" t="s">
        <v>377</v>
      </c>
      <c r="G9" s="10">
        <v>0</v>
      </c>
      <c r="H9" s="38">
        <f>J34*(1+$E3)</f>
        <v>0</v>
      </c>
      <c r="I9" s="38">
        <f>K34*(1+$E3)</f>
        <v>0</v>
      </c>
      <c r="J9" s="38">
        <f>L34*(1+$E3)</f>
        <v>25.92</v>
      </c>
      <c r="K9" s="38">
        <f>M34*(1+$E3)</f>
        <v>146.88</v>
      </c>
      <c r="L9" s="38">
        <f>N34*(1+$E3)</f>
        <v>216</v>
      </c>
      <c r="M9" s="38">
        <f>O34*(1+$E3)</f>
        <v>218.16</v>
      </c>
      <c r="N9" s="38">
        <f>P34*(1+$E3)</f>
        <v>220.3416</v>
      </c>
      <c r="O9" s="38">
        <f>Q34*(1+$E3)</f>
        <v>222.545016</v>
      </c>
      <c r="P9" s="38">
        <f>R34*(1+$E3)</f>
        <v>224.77046616</v>
      </c>
      <c r="Q9" s="38">
        <f>S34*(1+$E3)</f>
        <v>227.0181708216</v>
      </c>
      <c r="R9" s="38">
        <f>T34*(1+$E3)</f>
        <v>229.288352529816</v>
      </c>
      <c r="S9" s="38">
        <f>U34*(1+$E3)</f>
        <v>231.581236055114</v>
      </c>
      <c r="T9" s="38">
        <f>V34*(1+$E3)</f>
        <v>233.897048415665</v>
      </c>
      <c r="U9" s="38">
        <f>W34*(1+$E3)</f>
        <v>236.236018899822</v>
      </c>
      <c r="V9" s="38">
        <f>X34*(1+$E3)</f>
        <v>238.59837908882</v>
      </c>
      <c r="W9" s="38">
        <f>Y34*(1+$E3)</f>
        <v>240.984362879708</v>
      </c>
      <c r="X9" s="38">
        <f>Z34*(1+$E3)</f>
        <v>243.394206508505</v>
      </c>
      <c r="Y9" s="38">
        <f>AA34*(1+$E3)</f>
        <v>245.828148573591</v>
      </c>
      <c r="Z9" s="38">
        <f>AB34*(1+$E3)</f>
        <v>248.286430059326</v>
      </c>
      <c r="AA9" s="38">
        <f>AC34*(1+$E3)</f>
        <v>250.76929435992</v>
      </c>
      <c r="AB9" s="38">
        <f>AD34*(1+$E3)</f>
        <v>253.276987303519</v>
      </c>
      <c r="AC9" s="38">
        <f>AE34*(1+$E3)</f>
        <v>255.809757176554</v>
      </c>
      <c r="AD9" s="38">
        <f>AF34*(1+$E3)</f>
        <v>258.36785474832</v>
      </c>
      <c r="AE9" s="38">
        <f>AG34*(1+$E3)</f>
        <v>260.951533295803</v>
      </c>
      <c r="AF9" s="32"/>
    </row>
    <row r="10" ht="21.45" customHeight="1" spans="1:31">
      <c r="A10" s="15"/>
      <c r="B10" s="15"/>
      <c r="C10" s="8" t="s">
        <v>379</v>
      </c>
      <c r="D10" s="3"/>
      <c r="E10" s="3"/>
      <c r="F10" s="3"/>
      <c r="G10" s="4"/>
      <c r="H10" s="85"/>
      <c r="I10" s="85"/>
      <c r="J10" s="85"/>
      <c r="K10" s="85"/>
      <c r="L10" s="85"/>
      <c r="M10" s="85"/>
      <c r="N10" s="85"/>
      <c r="O10" s="85"/>
      <c r="P10" s="85"/>
      <c r="Q10" s="85"/>
      <c r="R10" s="85"/>
      <c r="S10" s="85"/>
      <c r="T10" s="85"/>
      <c r="U10" s="85"/>
      <c r="V10" s="85"/>
      <c r="W10" s="85"/>
      <c r="X10" s="85"/>
      <c r="Y10" s="85"/>
      <c r="Z10" s="85"/>
      <c r="AA10" s="85"/>
      <c r="AB10" s="85"/>
      <c r="AC10" s="85"/>
      <c r="AD10" s="85"/>
      <c r="AE10" s="85"/>
    </row>
    <row r="11" ht="21.45" customHeight="1" spans="1:31">
      <c r="A11" s="12">
        <v>5</v>
      </c>
      <c r="B11" s="12" t="s">
        <v>385</v>
      </c>
      <c r="C11" s="12">
        <v>1</v>
      </c>
      <c r="D11" s="38"/>
      <c r="E11" s="13"/>
      <c r="F11" s="84" t="s">
        <v>377</v>
      </c>
      <c r="G11" s="10">
        <v>0</v>
      </c>
      <c r="H11" s="38">
        <f>J35*(1+$E3)</f>
        <v>0</v>
      </c>
      <c r="I11" s="38">
        <f>K35*(1+$E3)</f>
        <v>0</v>
      </c>
      <c r="J11" s="38">
        <f>L35*(1+$E3)</f>
        <v>0</v>
      </c>
      <c r="K11" s="38">
        <f>M35*(1+$E3)</f>
        <v>125.28</v>
      </c>
      <c r="L11" s="38">
        <f>N35*(1+$E3)</f>
        <v>208.8</v>
      </c>
      <c r="M11" s="38">
        <f>O35*(1+$E3)</f>
        <v>210.888</v>
      </c>
      <c r="N11" s="38">
        <f>P35*(1+$E3)</f>
        <v>212.99688</v>
      </c>
      <c r="O11" s="38">
        <f>Q35*(1+$E3)</f>
        <v>215.1268488</v>
      </c>
      <c r="P11" s="38">
        <f>R35*(1+$E3)</f>
        <v>217.278117288</v>
      </c>
      <c r="Q11" s="38">
        <f>S35*(1+$E3)</f>
        <v>219.45089846088</v>
      </c>
      <c r="R11" s="38">
        <f>T35*(1+$E3)</f>
        <v>221.645407445489</v>
      </c>
      <c r="S11" s="38">
        <f>U35*(1+$E3)</f>
        <v>223.861861519944</v>
      </c>
      <c r="T11" s="38">
        <f>V35*(1+$E3)</f>
        <v>226.100480135143</v>
      </c>
      <c r="U11" s="38">
        <f>W35*(1+$E3)</f>
        <v>228.361484936495</v>
      </c>
      <c r="V11" s="38">
        <f>X35*(1+$E3)</f>
        <v>230.64509978586</v>
      </c>
      <c r="W11" s="38">
        <f>Y35*(1+$E3)</f>
        <v>232.951550783718</v>
      </c>
      <c r="X11" s="38">
        <f>Z35*(1+$E3)</f>
        <v>235.281066291555</v>
      </c>
      <c r="Y11" s="38">
        <f>AA35*(1+$E3)</f>
        <v>237.633876954471</v>
      </c>
      <c r="Z11" s="38">
        <f>AB35*(1+$E3)</f>
        <v>240.010215724016</v>
      </c>
      <c r="AA11" s="38">
        <f>AC35*(1+$E3)</f>
        <v>242.410317881256</v>
      </c>
      <c r="AB11" s="38">
        <f>AD35*(1+$E3)</f>
        <v>244.834421060068</v>
      </c>
      <c r="AC11" s="38">
        <f>AE35*(1+$E3)</f>
        <v>247.282765270669</v>
      </c>
      <c r="AD11" s="38">
        <f>AF35*(1+$E3)</f>
        <v>249.755592923376</v>
      </c>
      <c r="AE11" s="38">
        <f>AG35*(1+$E3)</f>
        <v>252.253148852609</v>
      </c>
    </row>
    <row r="12" ht="21.45" customHeight="1" spans="1:31">
      <c r="A12" s="15"/>
      <c r="B12" s="15"/>
      <c r="C12" s="8" t="s">
        <v>379</v>
      </c>
      <c r="D12" s="3"/>
      <c r="E12" s="3"/>
      <c r="F12" s="3"/>
      <c r="G12" s="4"/>
      <c r="H12" s="85"/>
      <c r="I12" s="85"/>
      <c r="J12" s="85"/>
      <c r="K12" s="85"/>
      <c r="L12" s="85"/>
      <c r="M12" s="85"/>
      <c r="N12" s="85"/>
      <c r="O12" s="85"/>
      <c r="P12" s="85"/>
      <c r="Q12" s="85"/>
      <c r="R12" s="85"/>
      <c r="S12" s="85"/>
      <c r="T12" s="85"/>
      <c r="U12" s="85"/>
      <c r="V12" s="85"/>
      <c r="W12" s="85"/>
      <c r="X12" s="85"/>
      <c r="Y12" s="85"/>
      <c r="Z12" s="85"/>
      <c r="AA12" s="85"/>
      <c r="AB12" s="85"/>
      <c r="AC12" s="85"/>
      <c r="AD12" s="85"/>
      <c r="AE12" s="85"/>
    </row>
    <row r="13" ht="21.45" customHeight="1" spans="1:32">
      <c r="A13" s="12">
        <v>6</v>
      </c>
      <c r="B13" s="12" t="s">
        <v>386</v>
      </c>
      <c r="C13" s="12">
        <v>1</v>
      </c>
      <c r="D13" s="38"/>
      <c r="E13" s="13"/>
      <c r="F13" s="84" t="s">
        <v>382</v>
      </c>
      <c r="G13" s="70">
        <v>0.02</v>
      </c>
      <c r="H13" s="38">
        <f>J36*(1+$E3)</f>
        <v>0</v>
      </c>
      <c r="I13" s="38">
        <f>K36*(1+$E3)</f>
        <v>0</v>
      </c>
      <c r="J13" s="38">
        <f>L36*(1+$E3)</f>
        <v>0</v>
      </c>
      <c r="K13" s="38">
        <f>M36*(1+$E3)</f>
        <v>31.536</v>
      </c>
      <c r="L13" s="38">
        <f>N36*(1+$E3)</f>
        <v>52.56</v>
      </c>
      <c r="M13" s="38">
        <f>O36*(1+$E3)</f>
        <v>53.0856</v>
      </c>
      <c r="N13" s="38">
        <f>P36*(1+$E3)</f>
        <v>53.616456</v>
      </c>
      <c r="O13" s="38">
        <f>Q36*(1+$E3)</f>
        <v>54.15262056</v>
      </c>
      <c r="P13" s="38">
        <f>R36*(1+$E3)</f>
        <v>54.6941467656</v>
      </c>
      <c r="Q13" s="38">
        <f>S36*(1+$E3)</f>
        <v>55.241088233256</v>
      </c>
      <c r="R13" s="38">
        <f>T36*(1+$E3)</f>
        <v>55.7934991155886</v>
      </c>
      <c r="S13" s="38">
        <f>U36*(1+$E3)</f>
        <v>56.3514341067444</v>
      </c>
      <c r="T13" s="38">
        <f>V36*(1+$E3)</f>
        <v>56.9149484478119</v>
      </c>
      <c r="U13" s="38">
        <f>W36*(1+$E3)</f>
        <v>57.48409793229</v>
      </c>
      <c r="V13" s="38">
        <f>X36*(1+$E3)</f>
        <v>58.0589389116129</v>
      </c>
      <c r="W13" s="38">
        <f>Y36*(1+$E3)</f>
        <v>58.639528300729</v>
      </c>
      <c r="X13" s="38">
        <f>Z36*(1+$E3)</f>
        <v>59.2259235837363</v>
      </c>
      <c r="Y13" s="38">
        <f>AA36*(1+$E3)</f>
        <v>59.8181828195737</v>
      </c>
      <c r="Z13" s="38">
        <f>AB36*(1+$E3)</f>
        <v>60.4163646477694</v>
      </c>
      <c r="AA13" s="38">
        <f>AC36*(1+$E3)</f>
        <v>61.0205282942471</v>
      </c>
      <c r="AB13" s="38">
        <f>AD36*(1+$E3)</f>
        <v>61.6307335771896</v>
      </c>
      <c r="AC13" s="38">
        <f>AE36*(1+$E3)</f>
        <v>62.2470409129615</v>
      </c>
      <c r="AD13" s="38">
        <f>AF36*(1+$E3)</f>
        <v>62.8695113220911</v>
      </c>
      <c r="AE13" s="38">
        <f>AG36*(1+$E3)</f>
        <v>63.498206435312</v>
      </c>
      <c r="AF13" s="32"/>
    </row>
    <row r="14" ht="21.45" customHeight="1" spans="1:31">
      <c r="A14" s="15"/>
      <c r="B14" s="15"/>
      <c r="C14" s="8" t="s">
        <v>379</v>
      </c>
      <c r="D14" s="3"/>
      <c r="E14" s="3"/>
      <c r="F14" s="3"/>
      <c r="G14" s="4"/>
      <c r="H14" s="85"/>
      <c r="I14" s="85"/>
      <c r="J14" s="85"/>
      <c r="K14" s="85"/>
      <c r="L14" s="85"/>
      <c r="M14" s="85"/>
      <c r="N14" s="85"/>
      <c r="O14" s="85"/>
      <c r="P14" s="85"/>
      <c r="Q14" s="85"/>
      <c r="R14" s="85"/>
      <c r="S14" s="85"/>
      <c r="T14" s="85"/>
      <c r="U14" s="85"/>
      <c r="V14" s="85"/>
      <c r="W14" s="85"/>
      <c r="X14" s="85"/>
      <c r="Y14" s="85"/>
      <c r="Z14" s="85"/>
      <c r="AA14" s="85"/>
      <c r="AB14" s="85"/>
      <c r="AC14" s="85"/>
      <c r="AD14" s="85"/>
      <c r="AE14" s="85"/>
    </row>
    <row r="15" ht="21.45" customHeight="1" spans="1:32">
      <c r="A15" s="12">
        <v>7</v>
      </c>
      <c r="B15" s="12" t="s">
        <v>387</v>
      </c>
      <c r="C15" s="12">
        <v>1</v>
      </c>
      <c r="D15" s="38"/>
      <c r="E15" s="13"/>
      <c r="F15" s="84" t="s">
        <v>377</v>
      </c>
      <c r="G15" s="10">
        <v>0</v>
      </c>
      <c r="H15" s="86">
        <f>J37*(1+$E3)</f>
        <v>0</v>
      </c>
      <c r="I15" s="86">
        <f>K37*(1+$E3)</f>
        <v>0</v>
      </c>
      <c r="J15" s="86">
        <f>L37*(1+$E3)</f>
        <v>0</v>
      </c>
      <c r="K15" s="86">
        <f>M37*(1+$E3)</f>
        <v>86.4</v>
      </c>
      <c r="L15" s="86">
        <f>N37*(1+$E3)</f>
        <v>144</v>
      </c>
      <c r="M15" s="86">
        <f>O37*(1+$E3)</f>
        <v>145.44</v>
      </c>
      <c r="N15" s="86">
        <f>P37*(1+$E3)</f>
        <v>146.8944</v>
      </c>
      <c r="O15" s="86">
        <f>Q37*(1+$E3)</f>
        <v>148.363344</v>
      </c>
      <c r="P15" s="86">
        <f>R37*(1+$E3)</f>
        <v>149.84697744</v>
      </c>
      <c r="Q15" s="86">
        <f>S37*(1+$E3)</f>
        <v>151.3454472144</v>
      </c>
      <c r="R15" s="86">
        <f>T37*(1+$E3)</f>
        <v>152.858901686544</v>
      </c>
      <c r="S15" s="86">
        <f>U37*(1+$E3)</f>
        <v>154.387490703409</v>
      </c>
      <c r="T15" s="86">
        <f>V37*(1+$E3)</f>
        <v>155.931365610444</v>
      </c>
      <c r="U15" s="86">
        <f>W37*(1+$E3)</f>
        <v>157.490679266548</v>
      </c>
      <c r="V15" s="86">
        <f>X37*(1+$E3)</f>
        <v>159.065586059213</v>
      </c>
      <c r="W15" s="86">
        <f>Y37*(1+$E3)</f>
        <v>160.656241919806</v>
      </c>
      <c r="X15" s="86">
        <f>Z37*(1+$E3)</f>
        <v>162.262804339004</v>
      </c>
      <c r="Y15" s="86">
        <f>AA37*(1+$E3)</f>
        <v>163.885432382394</v>
      </c>
      <c r="Z15" s="86">
        <f>AB37*(1+$E3)</f>
        <v>165.524286706218</v>
      </c>
      <c r="AA15" s="86">
        <f>AC37*(1+$E3)</f>
        <v>167.17952957328</v>
      </c>
      <c r="AB15" s="86">
        <f>AD37*(1+$E3)</f>
        <v>168.851324869013</v>
      </c>
      <c r="AC15" s="86">
        <f>AE37*(1+$E3)</f>
        <v>170.539838117703</v>
      </c>
      <c r="AD15" s="86">
        <f>AF37*(1+$E3)</f>
        <v>172.24523649888</v>
      </c>
      <c r="AE15" s="86">
        <f>AG37*(1+$E3)</f>
        <v>173.967688863869</v>
      </c>
      <c r="AF15" s="32"/>
    </row>
    <row r="16" ht="21.45" customHeight="1" spans="1:31">
      <c r="A16" s="15"/>
      <c r="B16" s="15"/>
      <c r="C16" s="8" t="s">
        <v>379</v>
      </c>
      <c r="D16" s="3"/>
      <c r="E16" s="3"/>
      <c r="F16" s="3"/>
      <c r="G16" s="4"/>
      <c r="H16" s="85"/>
      <c r="I16" s="85"/>
      <c r="J16" s="85"/>
      <c r="K16" s="85"/>
      <c r="L16" s="85"/>
      <c r="M16" s="85"/>
      <c r="N16" s="85"/>
      <c r="O16" s="85"/>
      <c r="P16" s="85"/>
      <c r="Q16" s="85"/>
      <c r="R16" s="85"/>
      <c r="S16" s="85"/>
      <c r="T16" s="85"/>
      <c r="U16" s="85"/>
      <c r="V16" s="85"/>
      <c r="W16" s="85"/>
      <c r="X16" s="85"/>
      <c r="Y16" s="85"/>
      <c r="Z16" s="85"/>
      <c r="AA16" s="85"/>
      <c r="AB16" s="85"/>
      <c r="AC16" s="85"/>
      <c r="AD16" s="85"/>
      <c r="AE16" s="85"/>
    </row>
    <row r="17" ht="21.45" customHeight="1" spans="1:31">
      <c r="A17" s="12">
        <v>8</v>
      </c>
      <c r="B17" s="12" t="s">
        <v>388</v>
      </c>
      <c r="C17" s="12">
        <v>1</v>
      </c>
      <c r="D17" s="38"/>
      <c r="E17" s="13"/>
      <c r="F17" s="84" t="s">
        <v>377</v>
      </c>
      <c r="G17" s="10">
        <v>0</v>
      </c>
      <c r="H17" s="86">
        <f>J38*(1+$E3)</f>
        <v>0</v>
      </c>
      <c r="I17" s="86">
        <f>K38*(1+$E3)</f>
        <v>0</v>
      </c>
      <c r="J17" s="86">
        <f>L38*(1+$E3)</f>
        <v>120</v>
      </c>
      <c r="K17" s="86">
        <f>M38*(1+$E3)</f>
        <v>260</v>
      </c>
      <c r="L17" s="86">
        <f>N38*(1+$E3)</f>
        <v>300</v>
      </c>
      <c r="M17" s="86">
        <f>O38*(1+$E3)</f>
        <v>303</v>
      </c>
      <c r="N17" s="86">
        <f>P38*(1+$E3)</f>
        <v>306.03</v>
      </c>
      <c r="O17" s="86">
        <f>Q38*(1+$E3)</f>
        <v>309.0903</v>
      </c>
      <c r="P17" s="86">
        <f>R38*(1+$E3)</f>
        <v>312.181203</v>
      </c>
      <c r="Q17" s="86">
        <f>S38*(1+$E3)</f>
        <v>315.30301503</v>
      </c>
      <c r="R17" s="86">
        <f>T38*(1+$E3)</f>
        <v>318.4560451803</v>
      </c>
      <c r="S17" s="86">
        <f>U38*(1+$E3)</f>
        <v>321.640605632103</v>
      </c>
      <c r="T17" s="86">
        <f>V38*(1+$E3)</f>
        <v>324.857011688424</v>
      </c>
      <c r="U17" s="86">
        <f>W38*(1+$E3)</f>
        <v>328.105581805308</v>
      </c>
      <c r="V17" s="86">
        <f>X38*(1+$E3)</f>
        <v>331.386637623361</v>
      </c>
      <c r="W17" s="86">
        <f>Y38*(1+$E3)</f>
        <v>334.700503999595</v>
      </c>
      <c r="X17" s="86">
        <f>Z38*(1+$E3)</f>
        <v>338.047509039591</v>
      </c>
      <c r="Y17" s="86">
        <f>AA38*(1+$E3)</f>
        <v>341.427984129987</v>
      </c>
      <c r="Z17" s="86">
        <f>AB38*(1+$E3)</f>
        <v>344.842263971287</v>
      </c>
      <c r="AA17" s="86">
        <f>AC38*(1+$E3)</f>
        <v>348.290686611</v>
      </c>
      <c r="AB17" s="86">
        <f>AD38*(1+$E3)</f>
        <v>351.77359347711</v>
      </c>
      <c r="AC17" s="86">
        <f>AE38*(1+$E3)</f>
        <v>355.291329411881</v>
      </c>
      <c r="AD17" s="86">
        <f>AF38*(1+$E3)</f>
        <v>358.844242706</v>
      </c>
      <c r="AE17" s="86">
        <f>AG38*(1+$E3)</f>
        <v>362.43268513306</v>
      </c>
    </row>
    <row r="18" ht="21.45" customHeight="1" spans="1:31">
      <c r="A18" s="15"/>
      <c r="B18" s="15"/>
      <c r="C18" s="8" t="s">
        <v>379</v>
      </c>
      <c r="D18" s="3"/>
      <c r="E18" s="3"/>
      <c r="F18" s="3"/>
      <c r="G18" s="4"/>
      <c r="H18" s="85"/>
      <c r="I18" s="85"/>
      <c r="J18" s="85"/>
      <c r="K18" s="85"/>
      <c r="L18" s="85"/>
      <c r="M18" s="85"/>
      <c r="N18" s="85"/>
      <c r="O18" s="85"/>
      <c r="P18" s="85"/>
      <c r="Q18" s="85"/>
      <c r="R18" s="85"/>
      <c r="S18" s="85"/>
      <c r="T18" s="85"/>
      <c r="U18" s="85"/>
      <c r="V18" s="85"/>
      <c r="W18" s="85"/>
      <c r="X18" s="85"/>
      <c r="Y18" s="85"/>
      <c r="Z18" s="85"/>
      <c r="AA18" s="85"/>
      <c r="AB18" s="85"/>
      <c r="AC18" s="85"/>
      <c r="AD18" s="85"/>
      <c r="AE18" s="85"/>
    </row>
    <row r="19" ht="21.45" customHeight="1" spans="1:31">
      <c r="A19" s="12">
        <v>9</v>
      </c>
      <c r="B19" s="12" t="s">
        <v>389</v>
      </c>
      <c r="C19" s="12">
        <v>1</v>
      </c>
      <c r="D19" s="38"/>
      <c r="E19" s="13"/>
      <c r="F19" s="84" t="s">
        <v>377</v>
      </c>
      <c r="G19" s="10">
        <v>0</v>
      </c>
      <c r="H19" s="86">
        <f>SUM(J39:J40)*(1+$E3)</f>
        <v>0</v>
      </c>
      <c r="I19" s="86">
        <f>SUM(K39:K40)*(1+$E3)</f>
        <v>0</v>
      </c>
      <c r="J19" s="86">
        <f>SUM(L39:L40)*(1+$E3)</f>
        <v>0</v>
      </c>
      <c r="K19" s="86">
        <f>SUM(M39:M40)*(1+$E3)</f>
        <v>48</v>
      </c>
      <c r="L19" s="86">
        <f>SUM(N39:N40)*(1+$E3)</f>
        <v>80</v>
      </c>
      <c r="M19" s="86">
        <f>SUM(O39:O40)*(1+$E3)</f>
        <v>80.8</v>
      </c>
      <c r="N19" s="86">
        <f>SUM(P39:P40)*(1+$E3)</f>
        <v>81.608</v>
      </c>
      <c r="O19" s="86">
        <f>SUM(Q39:Q40)*(1+$E3)</f>
        <v>82.42408</v>
      </c>
      <c r="P19" s="86">
        <f>SUM(R39:R40)*(1+$E3)</f>
        <v>83.2483208</v>
      </c>
      <c r="Q19" s="86">
        <f>SUM(S39:S40)*(1+$E3)</f>
        <v>84.080804008</v>
      </c>
      <c r="R19" s="86">
        <f>SUM(T39:T40)*(1+$E3)</f>
        <v>84.92161204808</v>
      </c>
      <c r="S19" s="86">
        <f>SUM(U39:U40)*(1+$E3)</f>
        <v>85.7708281685608</v>
      </c>
      <c r="T19" s="86">
        <f>SUM(V39:V40)*(1+$E3)</f>
        <v>86.6285364502464</v>
      </c>
      <c r="U19" s="86">
        <f>SUM(W39:W40)*(1+$E3)</f>
        <v>87.4948218147488</v>
      </c>
      <c r="V19" s="86">
        <f>SUM(X39:X40)*(1+$E3)</f>
        <v>88.3697700328964</v>
      </c>
      <c r="W19" s="86">
        <f>SUM(Y39:Y40)*(1+$E3)</f>
        <v>89.2534677332254</v>
      </c>
      <c r="X19" s="86">
        <f>SUM(Z39:Z40)*(1+$E3)</f>
        <v>90.1460024105576</v>
      </c>
      <c r="Y19" s="86">
        <f>SUM(AA39:AA40)*(1+$E3)</f>
        <v>91.0474624346632</v>
      </c>
      <c r="Z19" s="86">
        <f>SUM(AB39:AB40)*(1+$E3)</f>
        <v>91.9579370590098</v>
      </c>
      <c r="AA19" s="86">
        <f>SUM(AC39:AC40)*(1+$E3)</f>
        <v>92.8775164295998</v>
      </c>
      <c r="AB19" s="86">
        <f>SUM(AD39:AD40)*(1+$E3)</f>
        <v>93.8062915938958</v>
      </c>
      <c r="AC19" s="86">
        <f>SUM(AE39:AE40)*(1+$E3)</f>
        <v>94.7443545098348</v>
      </c>
      <c r="AD19" s="86">
        <f>SUM(AF39:AF40)*(1+$E3)</f>
        <v>95.6917980549332</v>
      </c>
      <c r="AE19" s="86">
        <f>SUM(AG39:AG40)*(1+$E3)</f>
        <v>96.6487160354826</v>
      </c>
    </row>
    <row r="20" ht="21.45" customHeight="1" spans="1:31">
      <c r="A20" s="15"/>
      <c r="B20" s="15"/>
      <c r="C20" s="8" t="s">
        <v>379</v>
      </c>
      <c r="D20" s="3"/>
      <c r="E20" s="3"/>
      <c r="F20" s="3"/>
      <c r="G20" s="4"/>
      <c r="H20" s="85"/>
      <c r="I20" s="85"/>
      <c r="J20" s="85"/>
      <c r="K20" s="85"/>
      <c r="L20" s="85"/>
      <c r="M20" s="85"/>
      <c r="N20" s="85"/>
      <c r="O20" s="85"/>
      <c r="P20" s="85"/>
      <c r="Q20" s="85"/>
      <c r="R20" s="85"/>
      <c r="S20" s="85"/>
      <c r="T20" s="85"/>
      <c r="U20" s="85"/>
      <c r="V20" s="85"/>
      <c r="W20" s="85"/>
      <c r="X20" s="85"/>
      <c r="Y20" s="85"/>
      <c r="Z20" s="85"/>
      <c r="AA20" s="85"/>
      <c r="AB20" s="85"/>
      <c r="AC20" s="85"/>
      <c r="AD20" s="85"/>
      <c r="AE20" s="85"/>
    </row>
    <row r="21" ht="21.45" customHeight="1" spans="1:32">
      <c r="A21" s="12">
        <v>10</v>
      </c>
      <c r="B21" s="12" t="s">
        <v>390</v>
      </c>
      <c r="C21" s="12">
        <v>1</v>
      </c>
      <c r="D21" s="38"/>
      <c r="E21" s="13"/>
      <c r="F21" s="84" t="s">
        <v>382</v>
      </c>
      <c r="G21" s="70">
        <v>0.02</v>
      </c>
      <c r="H21" s="86">
        <f>J41*(1+$E3)</f>
        <v>0</v>
      </c>
      <c r="I21" s="86">
        <f>K41*(1+$E3)</f>
        <v>0</v>
      </c>
      <c r="J21" s="86">
        <f>L41*(1+$E3)</f>
        <v>168</v>
      </c>
      <c r="K21" s="86">
        <f>M41*(1+$E3)</f>
        <v>280</v>
      </c>
      <c r="L21" s="86">
        <f>N41*(1+$E3)</f>
        <v>280</v>
      </c>
      <c r="M21" s="86">
        <f>O41*(1+$E3)</f>
        <v>282.8</v>
      </c>
      <c r="N21" s="86">
        <f>P41*(1+$E3)</f>
        <v>285.628</v>
      </c>
      <c r="O21" s="86">
        <f>Q41*(1+$E3)</f>
        <v>288.48428</v>
      </c>
      <c r="P21" s="86">
        <f>R41*(1+$E3)</f>
        <v>291.3691228</v>
      </c>
      <c r="Q21" s="86">
        <f>S41*(1+$E3)</f>
        <v>294.282814028</v>
      </c>
      <c r="R21" s="86">
        <f>T41*(1+$E3)</f>
        <v>297.22564216828</v>
      </c>
      <c r="S21" s="86">
        <f>U41*(1+$E3)</f>
        <v>300.197898589963</v>
      </c>
      <c r="T21" s="86">
        <f>V41*(1+$E3)</f>
        <v>303.199877575863</v>
      </c>
      <c r="U21" s="86">
        <f>W41*(1+$E3)</f>
        <v>306.231876351621</v>
      </c>
      <c r="V21" s="86">
        <f>X41*(1+$E3)</f>
        <v>309.294195115137</v>
      </c>
      <c r="W21" s="86">
        <f>Y41*(1+$E3)</f>
        <v>312.387137066289</v>
      </c>
      <c r="X21" s="86">
        <f>Z41*(1+$E3)</f>
        <v>315.511008436952</v>
      </c>
      <c r="Y21" s="86">
        <f>AA41*(1+$E3)</f>
        <v>318.666118521321</v>
      </c>
      <c r="Z21" s="86">
        <f>AB41*(1+$E3)</f>
        <v>321.852779706534</v>
      </c>
      <c r="AA21" s="86">
        <f>AC41*(1+$E3)</f>
        <v>325.0713075036</v>
      </c>
      <c r="AB21" s="86">
        <f>AD41*(1+$E3)</f>
        <v>328.322020578636</v>
      </c>
      <c r="AC21" s="86">
        <f>AE41*(1+$E3)</f>
        <v>331.605240784422</v>
      </c>
      <c r="AD21" s="86">
        <f>AF41*(1+$E3)</f>
        <v>334.921293192266</v>
      </c>
      <c r="AE21" s="86">
        <f>AG41*(1+$E3)</f>
        <v>338.270506124189</v>
      </c>
      <c r="AF21" s="32" t="s">
        <v>383</v>
      </c>
    </row>
    <row r="22" ht="21.45" customHeight="1" spans="1:31">
      <c r="A22" s="15"/>
      <c r="B22" s="15"/>
      <c r="C22" s="8" t="s">
        <v>379</v>
      </c>
      <c r="D22" s="3"/>
      <c r="E22" s="3"/>
      <c r="F22" s="3"/>
      <c r="G22" s="4"/>
      <c r="H22" s="85"/>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row>
    <row r="23" ht="16.5" customHeight="1" spans="1:31">
      <c r="A23" s="8" t="s">
        <v>391</v>
      </c>
      <c r="B23" s="8"/>
      <c r="C23" s="8"/>
      <c r="D23" s="8"/>
      <c r="E23" s="8"/>
      <c r="F23" s="8"/>
      <c r="G23" s="8"/>
      <c r="H23" s="8"/>
      <c r="I23" s="39"/>
      <c r="J23" s="39"/>
      <c r="K23" s="8"/>
      <c r="L23" s="39"/>
      <c r="M23" s="39"/>
      <c r="N23" s="8"/>
      <c r="O23" s="39"/>
      <c r="P23" s="39"/>
      <c r="Q23" s="8"/>
      <c r="R23" s="39"/>
      <c r="S23" s="39"/>
      <c r="T23" s="8"/>
      <c r="U23" s="39"/>
      <c r="V23" s="39"/>
      <c r="W23" s="8"/>
      <c r="X23" s="39"/>
      <c r="Y23" s="39"/>
      <c r="Z23" s="8"/>
      <c r="AA23" s="39"/>
      <c r="AB23" s="39"/>
      <c r="AC23" s="8"/>
      <c r="AD23" s="8"/>
      <c r="AE23" s="8"/>
    </row>
    <row r="24" s="82" customFormat="1" ht="43.95" customHeight="1" spans="1:1">
      <c r="A24" s="87" t="s">
        <v>392</v>
      </c>
    </row>
    <row r="25" s="82" customFormat="1" ht="15" customHeight="1" spans="1:33">
      <c r="A25" s="88" t="s">
        <v>1</v>
      </c>
      <c r="B25" s="89" t="s">
        <v>393</v>
      </c>
      <c r="C25" s="89" t="s">
        <v>394</v>
      </c>
      <c r="D25" s="89" t="s">
        <v>395</v>
      </c>
      <c r="E25" s="90" t="s">
        <v>396</v>
      </c>
      <c r="F25" s="90" t="s">
        <v>397</v>
      </c>
      <c r="G25" s="90" t="s">
        <v>398</v>
      </c>
      <c r="H25" s="90" t="s">
        <v>399</v>
      </c>
      <c r="I25" s="90" t="s">
        <v>400</v>
      </c>
      <c r="J25" s="110" t="s">
        <v>286</v>
      </c>
      <c r="K25" s="110" t="s">
        <v>287</v>
      </c>
      <c r="L25" s="110" t="s">
        <v>288</v>
      </c>
      <c r="M25" s="110" t="s">
        <v>289</v>
      </c>
      <c r="N25" s="111" t="s">
        <v>290</v>
      </c>
      <c r="O25" s="90" t="s">
        <v>291</v>
      </c>
      <c r="P25" s="90" t="s">
        <v>292</v>
      </c>
      <c r="Q25" s="90" t="s">
        <v>293</v>
      </c>
      <c r="R25" s="90" t="s">
        <v>294</v>
      </c>
      <c r="S25" s="90" t="s">
        <v>295</v>
      </c>
      <c r="T25" s="90" t="s">
        <v>296</v>
      </c>
      <c r="U25" s="90" t="s">
        <v>297</v>
      </c>
      <c r="V25" s="90" t="s">
        <v>298</v>
      </c>
      <c r="W25" s="90" t="s">
        <v>299</v>
      </c>
      <c r="X25" s="90" t="s">
        <v>300</v>
      </c>
      <c r="Y25" s="90" t="s">
        <v>301</v>
      </c>
      <c r="Z25" s="90" t="s">
        <v>302</v>
      </c>
      <c r="AA25" s="90" t="s">
        <v>303</v>
      </c>
      <c r="AB25" s="90" t="s">
        <v>304</v>
      </c>
      <c r="AC25" s="90" t="s">
        <v>305</v>
      </c>
      <c r="AD25" s="90" t="s">
        <v>306</v>
      </c>
      <c r="AE25" s="90" t="s">
        <v>307</v>
      </c>
      <c r="AF25" s="90" t="s">
        <v>308</v>
      </c>
      <c r="AG25" s="115" t="s">
        <v>309</v>
      </c>
    </row>
    <row r="26" s="82" customFormat="1" ht="28.95" customHeight="1" spans="1:33">
      <c r="A26" s="91">
        <f t="shared" ref="A26:A41" si="0">ROW()-2</f>
        <v>24</v>
      </c>
      <c r="B26" s="92" t="s">
        <v>401</v>
      </c>
      <c r="C26" s="92" t="s">
        <v>402</v>
      </c>
      <c r="D26" s="92" t="s">
        <v>403</v>
      </c>
      <c r="E26" s="93">
        <f>15*10</f>
        <v>150</v>
      </c>
      <c r="F26" s="94" t="s">
        <v>404</v>
      </c>
      <c r="G26" s="95">
        <v>0.4</v>
      </c>
      <c r="H26" s="96">
        <f t="shared" ref="H26:H41" si="1">E26*G26</f>
        <v>60</v>
      </c>
      <c r="I26" s="112">
        <v>2026</v>
      </c>
      <c r="J26" s="98">
        <v>0</v>
      </c>
      <c r="K26" s="98">
        <v>0</v>
      </c>
      <c r="L26" s="98">
        <f>H26*60%</f>
        <v>36</v>
      </c>
      <c r="M26" s="98">
        <f>H26*100%</f>
        <v>60</v>
      </c>
      <c r="N26" s="98">
        <f t="shared" ref="N26:N41" si="2">H26*100%</f>
        <v>60</v>
      </c>
      <c r="O26" s="98">
        <f t="shared" ref="O26:AG26" si="3">N26*1.01</f>
        <v>60.6</v>
      </c>
      <c r="P26" s="98">
        <f t="shared" si="3"/>
        <v>61.206</v>
      </c>
      <c r="Q26" s="98">
        <f t="shared" si="3"/>
        <v>61.81806</v>
      </c>
      <c r="R26" s="98">
        <f t="shared" si="3"/>
        <v>62.4362406</v>
      </c>
      <c r="S26" s="98">
        <f t="shared" si="3"/>
        <v>63.060603006</v>
      </c>
      <c r="T26" s="98">
        <f t="shared" si="3"/>
        <v>63.69120903606</v>
      </c>
      <c r="U26" s="98">
        <f t="shared" si="3"/>
        <v>64.3281211264206</v>
      </c>
      <c r="V26" s="98">
        <f t="shared" si="3"/>
        <v>64.9714023376848</v>
      </c>
      <c r="W26" s="98">
        <f t="shared" si="3"/>
        <v>65.6211163610617</v>
      </c>
      <c r="X26" s="98">
        <f t="shared" si="3"/>
        <v>66.2773275246723</v>
      </c>
      <c r="Y26" s="98">
        <f t="shared" si="3"/>
        <v>66.940100799919</v>
      </c>
      <c r="Z26" s="98">
        <f t="shared" si="3"/>
        <v>67.6095018079182</v>
      </c>
      <c r="AA26" s="98">
        <f t="shared" si="3"/>
        <v>68.2855968259974</v>
      </c>
      <c r="AB26" s="98">
        <f t="shared" si="3"/>
        <v>68.9684527942573</v>
      </c>
      <c r="AC26" s="98">
        <f t="shared" si="3"/>
        <v>69.6581373221999</v>
      </c>
      <c r="AD26" s="98">
        <f t="shared" si="3"/>
        <v>70.3547186954219</v>
      </c>
      <c r="AE26" s="98">
        <f t="shared" si="3"/>
        <v>71.0582658823761</v>
      </c>
      <c r="AF26" s="98">
        <f t="shared" si="3"/>
        <v>71.7688485411999</v>
      </c>
      <c r="AG26" s="116">
        <f t="shared" si="3"/>
        <v>72.4865370266119</v>
      </c>
    </row>
    <row r="27" s="82" customFormat="1" ht="28.95" customHeight="1" spans="1:33">
      <c r="A27" s="91">
        <f t="shared" si="0"/>
        <v>25</v>
      </c>
      <c r="B27" s="23"/>
      <c r="C27" s="92" t="s">
        <v>405</v>
      </c>
      <c r="D27" s="92" t="s">
        <v>406</v>
      </c>
      <c r="E27" s="93">
        <f>10*10</f>
        <v>100</v>
      </c>
      <c r="F27" s="94" t="s">
        <v>404</v>
      </c>
      <c r="G27" s="95">
        <v>0.4</v>
      </c>
      <c r="H27" s="96">
        <f t="shared" si="1"/>
        <v>40</v>
      </c>
      <c r="I27" s="112">
        <v>2026</v>
      </c>
      <c r="J27" s="98">
        <v>0</v>
      </c>
      <c r="K27" s="98">
        <v>0</v>
      </c>
      <c r="L27" s="98">
        <f>H27*60%</f>
        <v>24</v>
      </c>
      <c r="M27" s="98">
        <f>H27*100%</f>
        <v>40</v>
      </c>
      <c r="N27" s="98">
        <f t="shared" si="2"/>
        <v>40</v>
      </c>
      <c r="O27" s="98">
        <f t="shared" ref="O27:AG27" si="4">N27*1.01</f>
        <v>40.4</v>
      </c>
      <c r="P27" s="98">
        <f t="shared" si="4"/>
        <v>40.804</v>
      </c>
      <c r="Q27" s="98">
        <f t="shared" si="4"/>
        <v>41.21204</v>
      </c>
      <c r="R27" s="98">
        <f t="shared" si="4"/>
        <v>41.6241604</v>
      </c>
      <c r="S27" s="98">
        <f t="shared" si="4"/>
        <v>42.040402004</v>
      </c>
      <c r="T27" s="98">
        <f t="shared" si="4"/>
        <v>42.46080602404</v>
      </c>
      <c r="U27" s="98">
        <f t="shared" si="4"/>
        <v>42.8854140842804</v>
      </c>
      <c r="V27" s="98">
        <f t="shared" si="4"/>
        <v>43.3142682251232</v>
      </c>
      <c r="W27" s="98">
        <f t="shared" si="4"/>
        <v>43.7474109073744</v>
      </c>
      <c r="X27" s="98">
        <f t="shared" si="4"/>
        <v>44.1848850164482</v>
      </c>
      <c r="Y27" s="98">
        <f t="shared" si="4"/>
        <v>44.6267338666127</v>
      </c>
      <c r="Z27" s="98">
        <f t="shared" si="4"/>
        <v>45.0730012052788</v>
      </c>
      <c r="AA27" s="98">
        <f t="shared" si="4"/>
        <v>45.5237312173316</v>
      </c>
      <c r="AB27" s="98">
        <f t="shared" si="4"/>
        <v>45.9789685295049</v>
      </c>
      <c r="AC27" s="98">
        <f t="shared" si="4"/>
        <v>46.4387582147999</v>
      </c>
      <c r="AD27" s="98">
        <f t="shared" si="4"/>
        <v>46.9031457969479</v>
      </c>
      <c r="AE27" s="98">
        <f t="shared" si="4"/>
        <v>47.3721772549174</v>
      </c>
      <c r="AF27" s="98">
        <f t="shared" si="4"/>
        <v>47.8458990274666</v>
      </c>
      <c r="AG27" s="116">
        <f t="shared" si="4"/>
        <v>48.3243580177413</v>
      </c>
    </row>
    <row r="28" s="82" customFormat="1" ht="28.95" customHeight="1" spans="1:33">
      <c r="A28" s="91">
        <f t="shared" si="0"/>
        <v>26</v>
      </c>
      <c r="B28" s="15"/>
      <c r="C28" s="92" t="s">
        <v>407</v>
      </c>
      <c r="D28" s="92" t="s">
        <v>408</v>
      </c>
      <c r="E28" s="93">
        <v>20</v>
      </c>
      <c r="F28" s="94" t="s">
        <v>404</v>
      </c>
      <c r="G28" s="95">
        <v>0.4</v>
      </c>
      <c r="H28" s="96">
        <f t="shared" si="1"/>
        <v>8</v>
      </c>
      <c r="I28" s="112">
        <v>2026</v>
      </c>
      <c r="J28" s="98">
        <v>0</v>
      </c>
      <c r="K28" s="98">
        <v>0</v>
      </c>
      <c r="L28" s="98">
        <f>H28*60%</f>
        <v>4.8</v>
      </c>
      <c r="M28" s="98">
        <f>H28*100%</f>
        <v>8</v>
      </c>
      <c r="N28" s="98">
        <f t="shared" si="2"/>
        <v>8</v>
      </c>
      <c r="O28" s="98">
        <f t="shared" ref="O28:AG28" si="5">N28*1.01</f>
        <v>8.08</v>
      </c>
      <c r="P28" s="98">
        <f t="shared" si="5"/>
        <v>8.1608</v>
      </c>
      <c r="Q28" s="98">
        <f t="shared" si="5"/>
        <v>8.242408</v>
      </c>
      <c r="R28" s="98">
        <f t="shared" si="5"/>
        <v>8.32483208</v>
      </c>
      <c r="S28" s="98">
        <f t="shared" si="5"/>
        <v>8.4080804008</v>
      </c>
      <c r="T28" s="98">
        <f t="shared" si="5"/>
        <v>8.492161204808</v>
      </c>
      <c r="U28" s="98">
        <f t="shared" si="5"/>
        <v>8.57708281685608</v>
      </c>
      <c r="V28" s="98">
        <f t="shared" si="5"/>
        <v>8.66285364502464</v>
      </c>
      <c r="W28" s="98">
        <f t="shared" si="5"/>
        <v>8.74948218147489</v>
      </c>
      <c r="X28" s="98">
        <f t="shared" si="5"/>
        <v>8.83697700328964</v>
      </c>
      <c r="Y28" s="98">
        <f t="shared" si="5"/>
        <v>8.92534677332253</v>
      </c>
      <c r="Z28" s="98">
        <f t="shared" si="5"/>
        <v>9.01460024105576</v>
      </c>
      <c r="AA28" s="98">
        <f t="shared" si="5"/>
        <v>9.10474624346632</v>
      </c>
      <c r="AB28" s="98">
        <f t="shared" si="5"/>
        <v>9.19579370590098</v>
      </c>
      <c r="AC28" s="98">
        <f t="shared" si="5"/>
        <v>9.28775164295999</v>
      </c>
      <c r="AD28" s="98">
        <f t="shared" si="5"/>
        <v>9.38062915938959</v>
      </c>
      <c r="AE28" s="98">
        <f t="shared" si="5"/>
        <v>9.47443545098348</v>
      </c>
      <c r="AF28" s="98">
        <f t="shared" si="5"/>
        <v>9.56917980549332</v>
      </c>
      <c r="AG28" s="116">
        <f t="shared" si="5"/>
        <v>9.66487160354825</v>
      </c>
    </row>
    <row r="29" s="82" customFormat="1" ht="28.95" customHeight="1" spans="1:33">
      <c r="A29" s="91">
        <f t="shared" si="0"/>
        <v>27</v>
      </c>
      <c r="B29" s="92" t="s">
        <v>380</v>
      </c>
      <c r="C29" s="92" t="s">
        <v>409</v>
      </c>
      <c r="D29" s="92" t="s">
        <v>410</v>
      </c>
      <c r="E29" s="97">
        <f>50*5</f>
        <v>250</v>
      </c>
      <c r="F29" s="94" t="s">
        <v>404</v>
      </c>
      <c r="G29" s="95">
        <v>0.4</v>
      </c>
      <c r="H29" s="96">
        <f t="shared" si="1"/>
        <v>100</v>
      </c>
      <c r="I29" s="112">
        <v>2026</v>
      </c>
      <c r="J29" s="98">
        <v>0</v>
      </c>
      <c r="K29" s="98">
        <v>0</v>
      </c>
      <c r="L29" s="98">
        <f>H29*60%</f>
        <v>60</v>
      </c>
      <c r="M29" s="98">
        <f>H29*100%</f>
        <v>100</v>
      </c>
      <c r="N29" s="98">
        <f t="shared" si="2"/>
        <v>100</v>
      </c>
      <c r="O29" s="98">
        <f t="shared" ref="O29:AG29" si="6">N29*1.01</f>
        <v>101</v>
      </c>
      <c r="P29" s="98">
        <f t="shared" si="6"/>
        <v>102.01</v>
      </c>
      <c r="Q29" s="98">
        <f t="shared" si="6"/>
        <v>103.0301</v>
      </c>
      <c r="R29" s="98">
        <f t="shared" si="6"/>
        <v>104.060401</v>
      </c>
      <c r="S29" s="98">
        <f t="shared" si="6"/>
        <v>105.10100501</v>
      </c>
      <c r="T29" s="98">
        <f t="shared" si="6"/>
        <v>106.1520150601</v>
      </c>
      <c r="U29" s="98">
        <f t="shared" si="6"/>
        <v>107.213535210701</v>
      </c>
      <c r="V29" s="98">
        <f t="shared" si="6"/>
        <v>108.285670562808</v>
      </c>
      <c r="W29" s="98">
        <f t="shared" si="6"/>
        <v>109.368527268436</v>
      </c>
      <c r="X29" s="98">
        <f t="shared" si="6"/>
        <v>110.46221254112</v>
      </c>
      <c r="Y29" s="98">
        <f t="shared" si="6"/>
        <v>111.566834666532</v>
      </c>
      <c r="Z29" s="98">
        <f t="shared" si="6"/>
        <v>112.682503013197</v>
      </c>
      <c r="AA29" s="98">
        <f t="shared" si="6"/>
        <v>113.809328043329</v>
      </c>
      <c r="AB29" s="98">
        <f t="shared" si="6"/>
        <v>114.947421323762</v>
      </c>
      <c r="AC29" s="98">
        <f t="shared" si="6"/>
        <v>116.096895537</v>
      </c>
      <c r="AD29" s="98">
        <f t="shared" si="6"/>
        <v>117.25786449237</v>
      </c>
      <c r="AE29" s="98">
        <f t="shared" si="6"/>
        <v>118.430443137294</v>
      </c>
      <c r="AF29" s="98">
        <f t="shared" si="6"/>
        <v>119.614747568667</v>
      </c>
      <c r="AG29" s="116">
        <f t="shared" si="6"/>
        <v>120.810895044353</v>
      </c>
    </row>
    <row r="30" s="82" customFormat="1" ht="28.95" customHeight="1" spans="1:33">
      <c r="A30" s="91">
        <f t="shared" si="0"/>
        <v>28</v>
      </c>
      <c r="B30" s="23"/>
      <c r="C30" s="92" t="s">
        <v>411</v>
      </c>
      <c r="D30" s="92" t="s">
        <v>412</v>
      </c>
      <c r="E30" s="98">
        <f>49*300*365*50%/10000</f>
        <v>268.275</v>
      </c>
      <c r="F30" s="94" t="s">
        <v>404</v>
      </c>
      <c r="G30" s="95">
        <v>0.4</v>
      </c>
      <c r="H30" s="96">
        <f t="shared" si="1"/>
        <v>107.31</v>
      </c>
      <c r="I30" s="113" t="s">
        <v>413</v>
      </c>
      <c r="J30" s="98">
        <v>0</v>
      </c>
      <c r="K30" s="98">
        <v>0</v>
      </c>
      <c r="L30" s="98">
        <f>H30*26/49*60%</f>
        <v>34.164</v>
      </c>
      <c r="M30" s="98">
        <f>H30*26/49+H30*23/49*60%</f>
        <v>87.162</v>
      </c>
      <c r="N30" s="98">
        <f t="shared" si="2"/>
        <v>107.31</v>
      </c>
      <c r="O30" s="98">
        <f t="shared" ref="O30:AG30" si="7">N30*1.01</f>
        <v>108.3831</v>
      </c>
      <c r="P30" s="98">
        <f t="shared" si="7"/>
        <v>109.466931</v>
      </c>
      <c r="Q30" s="98">
        <f t="shared" si="7"/>
        <v>110.56160031</v>
      </c>
      <c r="R30" s="98">
        <f t="shared" si="7"/>
        <v>111.6672163131</v>
      </c>
      <c r="S30" s="98">
        <f t="shared" si="7"/>
        <v>112.783888476231</v>
      </c>
      <c r="T30" s="98">
        <f t="shared" si="7"/>
        <v>113.911727360993</v>
      </c>
      <c r="U30" s="98">
        <f t="shared" si="7"/>
        <v>115.050844634603</v>
      </c>
      <c r="V30" s="98">
        <f t="shared" si="7"/>
        <v>116.201353080949</v>
      </c>
      <c r="W30" s="98">
        <f t="shared" si="7"/>
        <v>117.363366611759</v>
      </c>
      <c r="X30" s="98">
        <f t="shared" si="7"/>
        <v>118.537000277876</v>
      </c>
      <c r="Y30" s="98">
        <f t="shared" si="7"/>
        <v>119.722370280655</v>
      </c>
      <c r="Z30" s="98">
        <f t="shared" si="7"/>
        <v>120.919593983462</v>
      </c>
      <c r="AA30" s="98">
        <f t="shared" si="7"/>
        <v>122.128789923296</v>
      </c>
      <c r="AB30" s="98">
        <f t="shared" si="7"/>
        <v>123.350077822529</v>
      </c>
      <c r="AC30" s="98">
        <f t="shared" si="7"/>
        <v>124.583578600755</v>
      </c>
      <c r="AD30" s="98">
        <f t="shared" si="7"/>
        <v>125.829414386762</v>
      </c>
      <c r="AE30" s="98">
        <f t="shared" si="7"/>
        <v>127.08770853063</v>
      </c>
      <c r="AF30" s="98">
        <f t="shared" si="7"/>
        <v>128.358585615936</v>
      </c>
      <c r="AG30" s="116">
        <f t="shared" si="7"/>
        <v>129.642171472095</v>
      </c>
    </row>
    <row r="31" s="82" customFormat="1" ht="28.95" customHeight="1" spans="1:33">
      <c r="A31" s="91">
        <f t="shared" si="0"/>
        <v>29</v>
      </c>
      <c r="B31" s="23"/>
      <c r="C31" s="92" t="s">
        <v>414</v>
      </c>
      <c r="D31" s="92" t="s">
        <v>415</v>
      </c>
      <c r="E31" s="97">
        <f>(150*600+200*1000)/10000</f>
        <v>29</v>
      </c>
      <c r="F31" s="94" t="s">
        <v>404</v>
      </c>
      <c r="G31" s="95">
        <v>0.4</v>
      </c>
      <c r="H31" s="96">
        <f t="shared" si="1"/>
        <v>11.6</v>
      </c>
      <c r="I31" s="112">
        <v>2026</v>
      </c>
      <c r="J31" s="98">
        <v>0</v>
      </c>
      <c r="K31" s="98">
        <v>0</v>
      </c>
      <c r="L31" s="98">
        <f>H31*60%</f>
        <v>6.96</v>
      </c>
      <c r="M31" s="98">
        <f>H31*100%</f>
        <v>11.6</v>
      </c>
      <c r="N31" s="98">
        <f t="shared" si="2"/>
        <v>11.6</v>
      </c>
      <c r="O31" s="98">
        <f t="shared" ref="O31:AG31" si="8">N31*1.01</f>
        <v>11.716</v>
      </c>
      <c r="P31" s="98">
        <f t="shared" si="8"/>
        <v>11.83316</v>
      </c>
      <c r="Q31" s="98">
        <f t="shared" si="8"/>
        <v>11.9514916</v>
      </c>
      <c r="R31" s="98">
        <f t="shared" si="8"/>
        <v>12.071006516</v>
      </c>
      <c r="S31" s="98">
        <f t="shared" si="8"/>
        <v>12.19171658116</v>
      </c>
      <c r="T31" s="98">
        <f t="shared" si="8"/>
        <v>12.3136337469716</v>
      </c>
      <c r="U31" s="98">
        <f t="shared" si="8"/>
        <v>12.4367700844413</v>
      </c>
      <c r="V31" s="98">
        <f t="shared" si="8"/>
        <v>12.5611377852857</v>
      </c>
      <c r="W31" s="98">
        <f t="shared" si="8"/>
        <v>12.6867491631386</v>
      </c>
      <c r="X31" s="98">
        <f t="shared" si="8"/>
        <v>12.81361665477</v>
      </c>
      <c r="Y31" s="98">
        <f t="shared" si="8"/>
        <v>12.9417528213177</v>
      </c>
      <c r="Z31" s="98">
        <f t="shared" si="8"/>
        <v>13.0711703495309</v>
      </c>
      <c r="AA31" s="98">
        <f t="shared" si="8"/>
        <v>13.2018820530262</v>
      </c>
      <c r="AB31" s="98">
        <f t="shared" si="8"/>
        <v>13.3339008735564</v>
      </c>
      <c r="AC31" s="98">
        <f t="shared" si="8"/>
        <v>13.467239882292</v>
      </c>
      <c r="AD31" s="98">
        <f t="shared" si="8"/>
        <v>13.6019122811149</v>
      </c>
      <c r="AE31" s="98">
        <f t="shared" si="8"/>
        <v>13.7379314039261</v>
      </c>
      <c r="AF31" s="98">
        <f t="shared" si="8"/>
        <v>13.8753107179653</v>
      </c>
      <c r="AG31" s="116">
        <f t="shared" si="8"/>
        <v>14.014063825145</v>
      </c>
    </row>
    <row r="32" s="82" customFormat="1" ht="28.95" customHeight="1" spans="1:33">
      <c r="A32" s="91">
        <f t="shared" si="0"/>
        <v>30</v>
      </c>
      <c r="B32" s="15"/>
      <c r="C32" s="92" t="s">
        <v>416</v>
      </c>
      <c r="D32" s="92" t="s">
        <v>417</v>
      </c>
      <c r="E32" s="97">
        <f>500*0.8+400*2</f>
        <v>1200</v>
      </c>
      <c r="F32" s="94" t="s">
        <v>404</v>
      </c>
      <c r="G32" s="95">
        <v>0.4</v>
      </c>
      <c r="H32" s="96">
        <f t="shared" si="1"/>
        <v>480</v>
      </c>
      <c r="I32" s="112">
        <v>2026</v>
      </c>
      <c r="J32" s="98">
        <v>0</v>
      </c>
      <c r="K32" s="98">
        <v>0</v>
      </c>
      <c r="L32" s="98">
        <f>H32*60%</f>
        <v>288</v>
      </c>
      <c r="M32" s="98">
        <f>H32*100%</f>
        <v>480</v>
      </c>
      <c r="N32" s="98">
        <f t="shared" si="2"/>
        <v>480</v>
      </c>
      <c r="O32" s="98">
        <f t="shared" ref="O32:AG32" si="9">N32*1.01</f>
        <v>484.8</v>
      </c>
      <c r="P32" s="98">
        <f t="shared" si="9"/>
        <v>489.648</v>
      </c>
      <c r="Q32" s="98">
        <f t="shared" si="9"/>
        <v>494.54448</v>
      </c>
      <c r="R32" s="98">
        <f t="shared" si="9"/>
        <v>499.4899248</v>
      </c>
      <c r="S32" s="98">
        <f t="shared" si="9"/>
        <v>504.484824048</v>
      </c>
      <c r="T32" s="98">
        <f t="shared" si="9"/>
        <v>509.52967228848</v>
      </c>
      <c r="U32" s="98">
        <f t="shared" si="9"/>
        <v>514.624969011365</v>
      </c>
      <c r="V32" s="98">
        <f t="shared" si="9"/>
        <v>519.771218701479</v>
      </c>
      <c r="W32" s="98">
        <f t="shared" si="9"/>
        <v>524.968930888493</v>
      </c>
      <c r="X32" s="98">
        <f t="shared" si="9"/>
        <v>530.218620197378</v>
      </c>
      <c r="Y32" s="98">
        <f t="shared" si="9"/>
        <v>535.520806399352</v>
      </c>
      <c r="Z32" s="98">
        <f t="shared" si="9"/>
        <v>540.876014463346</v>
      </c>
      <c r="AA32" s="98">
        <f t="shared" si="9"/>
        <v>546.284774607979</v>
      </c>
      <c r="AB32" s="98">
        <f t="shared" si="9"/>
        <v>551.747622354059</v>
      </c>
      <c r="AC32" s="98">
        <f t="shared" si="9"/>
        <v>557.265098577599</v>
      </c>
      <c r="AD32" s="98">
        <f t="shared" si="9"/>
        <v>562.837749563375</v>
      </c>
      <c r="AE32" s="98">
        <f t="shared" si="9"/>
        <v>568.466127059009</v>
      </c>
      <c r="AF32" s="98">
        <f t="shared" si="9"/>
        <v>574.150788329599</v>
      </c>
      <c r="AG32" s="116">
        <f t="shared" si="9"/>
        <v>579.892296212895</v>
      </c>
    </row>
    <row r="33" s="82" customFormat="1" ht="28.95" customHeight="1" spans="1:33">
      <c r="A33" s="91">
        <f t="shared" si="0"/>
        <v>31</v>
      </c>
      <c r="B33" s="92" t="s">
        <v>381</v>
      </c>
      <c r="C33" s="92" t="s">
        <v>418</v>
      </c>
      <c r="D33" s="99" t="s">
        <v>419</v>
      </c>
      <c r="E33" s="97">
        <f>44*60*30*365/10000</f>
        <v>2890.8</v>
      </c>
      <c r="F33" s="94" t="s">
        <v>404</v>
      </c>
      <c r="G33" s="95">
        <v>0.4</v>
      </c>
      <c r="H33" s="96">
        <f t="shared" si="1"/>
        <v>1156.32</v>
      </c>
      <c r="I33" s="97" t="s">
        <v>420</v>
      </c>
      <c r="J33" s="98">
        <v>0</v>
      </c>
      <c r="K33" s="98">
        <v>0</v>
      </c>
      <c r="L33" s="98">
        <f>H33*5/44*60%</f>
        <v>78.84</v>
      </c>
      <c r="M33" s="98">
        <f>H33*5/44+H33*19/44*60%</f>
        <v>430.992</v>
      </c>
      <c r="N33" s="98">
        <f t="shared" si="2"/>
        <v>1156.32</v>
      </c>
      <c r="O33" s="98">
        <f t="shared" ref="O33:AG33" si="10">N33*1.01</f>
        <v>1167.8832</v>
      </c>
      <c r="P33" s="98">
        <f t="shared" si="10"/>
        <v>1179.562032</v>
      </c>
      <c r="Q33" s="98">
        <f t="shared" si="10"/>
        <v>1191.35765232</v>
      </c>
      <c r="R33" s="98">
        <f t="shared" si="10"/>
        <v>1203.2712288432</v>
      </c>
      <c r="S33" s="98">
        <f t="shared" si="10"/>
        <v>1215.30394113163</v>
      </c>
      <c r="T33" s="98">
        <f t="shared" si="10"/>
        <v>1227.45698054295</v>
      </c>
      <c r="U33" s="98">
        <f t="shared" si="10"/>
        <v>1239.73155034838</v>
      </c>
      <c r="V33" s="98">
        <f t="shared" si="10"/>
        <v>1252.12886585186</v>
      </c>
      <c r="W33" s="98">
        <f t="shared" si="10"/>
        <v>1264.65015451038</v>
      </c>
      <c r="X33" s="98">
        <f t="shared" si="10"/>
        <v>1277.29665605548</v>
      </c>
      <c r="Y33" s="98">
        <f t="shared" si="10"/>
        <v>1290.06962261604</v>
      </c>
      <c r="Z33" s="98">
        <f t="shared" si="10"/>
        <v>1302.9703188422</v>
      </c>
      <c r="AA33" s="98">
        <f t="shared" si="10"/>
        <v>1316.00002203062</v>
      </c>
      <c r="AB33" s="98">
        <f t="shared" si="10"/>
        <v>1329.16002225093</v>
      </c>
      <c r="AC33" s="98">
        <f t="shared" si="10"/>
        <v>1342.45162247344</v>
      </c>
      <c r="AD33" s="98">
        <f t="shared" si="10"/>
        <v>1355.87613869817</v>
      </c>
      <c r="AE33" s="98">
        <f t="shared" si="10"/>
        <v>1369.43490008515</v>
      </c>
      <c r="AF33" s="98">
        <f t="shared" si="10"/>
        <v>1383.129249086</v>
      </c>
      <c r="AG33" s="116">
        <f t="shared" si="10"/>
        <v>1396.96054157686</v>
      </c>
    </row>
    <row r="34" s="82" customFormat="1" ht="28.95" customHeight="1" spans="1:33">
      <c r="A34" s="91">
        <f t="shared" si="0"/>
        <v>32</v>
      </c>
      <c r="B34" s="92" t="s">
        <v>384</v>
      </c>
      <c r="C34" s="92" t="s">
        <v>421</v>
      </c>
      <c r="D34" s="92" t="s">
        <v>422</v>
      </c>
      <c r="E34" s="97">
        <f>150*3+150*3*20%</f>
        <v>540</v>
      </c>
      <c r="F34" s="94" t="s">
        <v>404</v>
      </c>
      <c r="G34" s="95">
        <v>0.4</v>
      </c>
      <c r="H34" s="96">
        <f t="shared" si="1"/>
        <v>216</v>
      </c>
      <c r="I34" s="97" t="s">
        <v>423</v>
      </c>
      <c r="J34" s="98">
        <v>0</v>
      </c>
      <c r="K34" s="98">
        <v>0</v>
      </c>
      <c r="L34" s="98">
        <f>H34*3/15*60%</f>
        <v>25.92</v>
      </c>
      <c r="M34" s="98">
        <f>H34*3/15+H34*12/15*60%</f>
        <v>146.88</v>
      </c>
      <c r="N34" s="98">
        <f t="shared" si="2"/>
        <v>216</v>
      </c>
      <c r="O34" s="98">
        <f t="shared" ref="O34:AG34" si="11">N34*1.01</f>
        <v>218.16</v>
      </c>
      <c r="P34" s="98">
        <f t="shared" si="11"/>
        <v>220.3416</v>
      </c>
      <c r="Q34" s="98">
        <f t="shared" si="11"/>
        <v>222.545016</v>
      </c>
      <c r="R34" s="98">
        <f t="shared" si="11"/>
        <v>224.77046616</v>
      </c>
      <c r="S34" s="98">
        <f t="shared" si="11"/>
        <v>227.0181708216</v>
      </c>
      <c r="T34" s="98">
        <f t="shared" si="11"/>
        <v>229.288352529816</v>
      </c>
      <c r="U34" s="98">
        <f t="shared" si="11"/>
        <v>231.581236055114</v>
      </c>
      <c r="V34" s="98">
        <f t="shared" si="11"/>
        <v>233.897048415665</v>
      </c>
      <c r="W34" s="98">
        <f t="shared" si="11"/>
        <v>236.236018899822</v>
      </c>
      <c r="X34" s="98">
        <f t="shared" si="11"/>
        <v>238.59837908882</v>
      </c>
      <c r="Y34" s="98">
        <f t="shared" si="11"/>
        <v>240.984362879708</v>
      </c>
      <c r="Z34" s="98">
        <f t="shared" si="11"/>
        <v>243.394206508505</v>
      </c>
      <c r="AA34" s="98">
        <f t="shared" si="11"/>
        <v>245.828148573591</v>
      </c>
      <c r="AB34" s="98">
        <f t="shared" si="11"/>
        <v>248.286430059326</v>
      </c>
      <c r="AC34" s="98">
        <f t="shared" si="11"/>
        <v>250.76929435992</v>
      </c>
      <c r="AD34" s="98">
        <f t="shared" si="11"/>
        <v>253.276987303519</v>
      </c>
      <c r="AE34" s="98">
        <f t="shared" si="11"/>
        <v>255.809757176554</v>
      </c>
      <c r="AF34" s="98">
        <f t="shared" si="11"/>
        <v>258.36785474832</v>
      </c>
      <c r="AG34" s="116">
        <f t="shared" si="11"/>
        <v>260.951533295803</v>
      </c>
    </row>
    <row r="35" s="82" customFormat="1" ht="28.95" customHeight="1" spans="1:33">
      <c r="A35" s="91">
        <f t="shared" si="0"/>
        <v>33</v>
      </c>
      <c r="B35" s="92" t="s">
        <v>385</v>
      </c>
      <c r="C35" s="92" t="s">
        <v>424</v>
      </c>
      <c r="D35" s="92" t="s">
        <v>425</v>
      </c>
      <c r="E35" s="97">
        <f>3*(500*30%*500+500*70%*200)*12/10000</f>
        <v>522</v>
      </c>
      <c r="F35" s="94" t="s">
        <v>404</v>
      </c>
      <c r="G35" s="95">
        <v>0.4</v>
      </c>
      <c r="H35" s="96">
        <f t="shared" si="1"/>
        <v>208.8</v>
      </c>
      <c r="I35" s="97" t="s">
        <v>288</v>
      </c>
      <c r="J35" s="98">
        <v>0</v>
      </c>
      <c r="K35" s="98">
        <v>0</v>
      </c>
      <c r="L35" s="98">
        <v>0</v>
      </c>
      <c r="M35" s="98">
        <f>H35*60%</f>
        <v>125.28</v>
      </c>
      <c r="N35" s="98">
        <f t="shared" si="2"/>
        <v>208.8</v>
      </c>
      <c r="O35" s="98">
        <f t="shared" ref="O35:AG35" si="12">N35*1.01</f>
        <v>210.888</v>
      </c>
      <c r="P35" s="98">
        <f t="shared" si="12"/>
        <v>212.99688</v>
      </c>
      <c r="Q35" s="98">
        <f t="shared" si="12"/>
        <v>215.1268488</v>
      </c>
      <c r="R35" s="98">
        <f t="shared" si="12"/>
        <v>217.278117288</v>
      </c>
      <c r="S35" s="98">
        <f t="shared" si="12"/>
        <v>219.45089846088</v>
      </c>
      <c r="T35" s="98">
        <f t="shared" si="12"/>
        <v>221.645407445489</v>
      </c>
      <c r="U35" s="98">
        <f t="shared" si="12"/>
        <v>223.861861519944</v>
      </c>
      <c r="V35" s="98">
        <f t="shared" si="12"/>
        <v>226.100480135143</v>
      </c>
      <c r="W35" s="98">
        <f t="shared" si="12"/>
        <v>228.361484936495</v>
      </c>
      <c r="X35" s="98">
        <f t="shared" si="12"/>
        <v>230.64509978586</v>
      </c>
      <c r="Y35" s="98">
        <f t="shared" si="12"/>
        <v>232.951550783718</v>
      </c>
      <c r="Z35" s="98">
        <f t="shared" si="12"/>
        <v>235.281066291555</v>
      </c>
      <c r="AA35" s="98">
        <f t="shared" si="12"/>
        <v>237.633876954471</v>
      </c>
      <c r="AB35" s="98">
        <f t="shared" si="12"/>
        <v>240.010215724016</v>
      </c>
      <c r="AC35" s="98">
        <f t="shared" si="12"/>
        <v>242.410317881256</v>
      </c>
      <c r="AD35" s="98">
        <f t="shared" si="12"/>
        <v>244.834421060068</v>
      </c>
      <c r="AE35" s="98">
        <f t="shared" si="12"/>
        <v>247.282765270669</v>
      </c>
      <c r="AF35" s="98">
        <f t="shared" si="12"/>
        <v>249.755592923376</v>
      </c>
      <c r="AG35" s="116">
        <f t="shared" si="12"/>
        <v>252.253148852609</v>
      </c>
    </row>
    <row r="36" s="82" customFormat="1" ht="28.95" customHeight="1" spans="1:33">
      <c r="A36" s="91">
        <f t="shared" si="0"/>
        <v>34</v>
      </c>
      <c r="B36" s="92" t="s">
        <v>386</v>
      </c>
      <c r="C36" s="92" t="s">
        <v>426</v>
      </c>
      <c r="D36" s="92" t="s">
        <v>427</v>
      </c>
      <c r="E36" s="97">
        <f>3*20*60*365/10000</f>
        <v>131.4</v>
      </c>
      <c r="F36" s="94" t="s">
        <v>404</v>
      </c>
      <c r="G36" s="95">
        <v>0.4</v>
      </c>
      <c r="H36" s="96">
        <f t="shared" si="1"/>
        <v>52.56</v>
      </c>
      <c r="I36" s="97" t="s">
        <v>288</v>
      </c>
      <c r="J36" s="98">
        <v>0</v>
      </c>
      <c r="K36" s="98">
        <v>0</v>
      </c>
      <c r="L36" s="98">
        <v>0</v>
      </c>
      <c r="M36" s="98">
        <f>H36*60%</f>
        <v>31.536</v>
      </c>
      <c r="N36" s="98">
        <f t="shared" si="2"/>
        <v>52.56</v>
      </c>
      <c r="O36" s="98">
        <f t="shared" ref="O36:AG36" si="13">N36*1.01</f>
        <v>53.0856</v>
      </c>
      <c r="P36" s="98">
        <f t="shared" si="13"/>
        <v>53.616456</v>
      </c>
      <c r="Q36" s="98">
        <f t="shared" si="13"/>
        <v>54.15262056</v>
      </c>
      <c r="R36" s="98">
        <f t="shared" si="13"/>
        <v>54.6941467656</v>
      </c>
      <c r="S36" s="98">
        <f t="shared" si="13"/>
        <v>55.241088233256</v>
      </c>
      <c r="T36" s="98">
        <f t="shared" si="13"/>
        <v>55.7934991155886</v>
      </c>
      <c r="U36" s="98">
        <f t="shared" si="13"/>
        <v>56.3514341067444</v>
      </c>
      <c r="V36" s="98">
        <f t="shared" si="13"/>
        <v>56.9149484478119</v>
      </c>
      <c r="W36" s="98">
        <f t="shared" si="13"/>
        <v>57.48409793229</v>
      </c>
      <c r="X36" s="98">
        <f t="shared" si="13"/>
        <v>58.0589389116129</v>
      </c>
      <c r="Y36" s="98">
        <f t="shared" si="13"/>
        <v>58.639528300729</v>
      </c>
      <c r="Z36" s="98">
        <f t="shared" si="13"/>
        <v>59.2259235837363</v>
      </c>
      <c r="AA36" s="98">
        <f t="shared" si="13"/>
        <v>59.8181828195737</v>
      </c>
      <c r="AB36" s="98">
        <f t="shared" si="13"/>
        <v>60.4163646477694</v>
      </c>
      <c r="AC36" s="98">
        <f t="shared" si="13"/>
        <v>61.0205282942471</v>
      </c>
      <c r="AD36" s="98">
        <f t="shared" si="13"/>
        <v>61.6307335771896</v>
      </c>
      <c r="AE36" s="98">
        <f t="shared" si="13"/>
        <v>62.2470409129615</v>
      </c>
      <c r="AF36" s="98">
        <f t="shared" si="13"/>
        <v>62.8695113220911</v>
      </c>
      <c r="AG36" s="116">
        <f t="shared" si="13"/>
        <v>63.498206435312</v>
      </c>
    </row>
    <row r="37" s="82" customFormat="1" ht="28.95" customHeight="1" spans="1:33">
      <c r="A37" s="91">
        <f t="shared" si="0"/>
        <v>35</v>
      </c>
      <c r="B37" s="92" t="s">
        <v>387</v>
      </c>
      <c r="C37" s="92" t="s">
        <v>428</v>
      </c>
      <c r="D37" s="92" t="s">
        <v>429</v>
      </c>
      <c r="E37" s="97">
        <f>3*1000*100*12/10000</f>
        <v>360</v>
      </c>
      <c r="F37" s="94" t="s">
        <v>404</v>
      </c>
      <c r="G37" s="95">
        <v>0.4</v>
      </c>
      <c r="H37" s="96">
        <f t="shared" si="1"/>
        <v>144</v>
      </c>
      <c r="I37" s="97" t="s">
        <v>288</v>
      </c>
      <c r="J37" s="98">
        <v>0</v>
      </c>
      <c r="K37" s="98">
        <v>0</v>
      </c>
      <c r="L37" s="98">
        <v>0</v>
      </c>
      <c r="M37" s="98">
        <f>H37*60%</f>
        <v>86.4</v>
      </c>
      <c r="N37" s="98">
        <f t="shared" si="2"/>
        <v>144</v>
      </c>
      <c r="O37" s="98">
        <f t="shared" ref="O37:AG37" si="14">N37*1.01</f>
        <v>145.44</v>
      </c>
      <c r="P37" s="98">
        <f t="shared" si="14"/>
        <v>146.8944</v>
      </c>
      <c r="Q37" s="98">
        <f t="shared" si="14"/>
        <v>148.363344</v>
      </c>
      <c r="R37" s="98">
        <f t="shared" si="14"/>
        <v>149.84697744</v>
      </c>
      <c r="S37" s="98">
        <f t="shared" si="14"/>
        <v>151.3454472144</v>
      </c>
      <c r="T37" s="98">
        <f t="shared" si="14"/>
        <v>152.858901686544</v>
      </c>
      <c r="U37" s="98">
        <f t="shared" si="14"/>
        <v>154.387490703409</v>
      </c>
      <c r="V37" s="98">
        <f t="shared" si="14"/>
        <v>155.931365610444</v>
      </c>
      <c r="W37" s="98">
        <f t="shared" si="14"/>
        <v>157.490679266548</v>
      </c>
      <c r="X37" s="98">
        <f t="shared" si="14"/>
        <v>159.065586059213</v>
      </c>
      <c r="Y37" s="98">
        <f t="shared" si="14"/>
        <v>160.656241919806</v>
      </c>
      <c r="Z37" s="98">
        <f t="shared" si="14"/>
        <v>162.262804339004</v>
      </c>
      <c r="AA37" s="98">
        <f t="shared" si="14"/>
        <v>163.885432382394</v>
      </c>
      <c r="AB37" s="98">
        <f t="shared" si="14"/>
        <v>165.524286706218</v>
      </c>
      <c r="AC37" s="98">
        <f t="shared" si="14"/>
        <v>167.17952957328</v>
      </c>
      <c r="AD37" s="98">
        <f t="shared" si="14"/>
        <v>168.851324869013</v>
      </c>
      <c r="AE37" s="98">
        <f t="shared" si="14"/>
        <v>170.539838117703</v>
      </c>
      <c r="AF37" s="98">
        <f t="shared" si="14"/>
        <v>172.24523649888</v>
      </c>
      <c r="AG37" s="116">
        <f t="shared" si="14"/>
        <v>173.967688863869</v>
      </c>
    </row>
    <row r="38" s="82" customFormat="1" ht="28.95" customHeight="1" spans="1:33">
      <c r="A38" s="91">
        <f t="shared" si="0"/>
        <v>36</v>
      </c>
      <c r="B38" s="100" t="s">
        <v>388</v>
      </c>
      <c r="C38" s="92" t="s">
        <v>430</v>
      </c>
      <c r="D38" s="99" t="s">
        <v>431</v>
      </c>
      <c r="E38" s="97">
        <v>750</v>
      </c>
      <c r="F38" s="94" t="s">
        <v>404</v>
      </c>
      <c r="G38" s="95">
        <v>0.4</v>
      </c>
      <c r="H38" s="96">
        <f t="shared" si="1"/>
        <v>300</v>
      </c>
      <c r="I38" s="97" t="s">
        <v>432</v>
      </c>
      <c r="J38" s="98">
        <v>0</v>
      </c>
      <c r="K38" s="98">
        <v>0</v>
      </c>
      <c r="L38" s="98">
        <f>H38*20/30*60%</f>
        <v>120</v>
      </c>
      <c r="M38" s="98">
        <f>H38*20/30+H38*10/30*60%</f>
        <v>260</v>
      </c>
      <c r="N38" s="98">
        <f t="shared" si="2"/>
        <v>300</v>
      </c>
      <c r="O38" s="98">
        <f t="shared" ref="O38:AG38" si="15">N38*1.01</f>
        <v>303</v>
      </c>
      <c r="P38" s="98">
        <f t="shared" si="15"/>
        <v>306.03</v>
      </c>
      <c r="Q38" s="98">
        <f t="shared" si="15"/>
        <v>309.0903</v>
      </c>
      <c r="R38" s="98">
        <f t="shared" si="15"/>
        <v>312.181203</v>
      </c>
      <c r="S38" s="98">
        <f t="shared" si="15"/>
        <v>315.30301503</v>
      </c>
      <c r="T38" s="98">
        <f t="shared" si="15"/>
        <v>318.4560451803</v>
      </c>
      <c r="U38" s="98">
        <f t="shared" si="15"/>
        <v>321.640605632103</v>
      </c>
      <c r="V38" s="98">
        <f t="shared" si="15"/>
        <v>324.857011688424</v>
      </c>
      <c r="W38" s="98">
        <f t="shared" si="15"/>
        <v>328.105581805308</v>
      </c>
      <c r="X38" s="98">
        <f t="shared" si="15"/>
        <v>331.386637623361</v>
      </c>
      <c r="Y38" s="98">
        <f t="shared" si="15"/>
        <v>334.700503999595</v>
      </c>
      <c r="Z38" s="98">
        <f t="shared" si="15"/>
        <v>338.047509039591</v>
      </c>
      <c r="AA38" s="98">
        <f t="shared" si="15"/>
        <v>341.427984129987</v>
      </c>
      <c r="AB38" s="98">
        <f t="shared" si="15"/>
        <v>344.842263971287</v>
      </c>
      <c r="AC38" s="98">
        <f t="shared" si="15"/>
        <v>348.290686611</v>
      </c>
      <c r="AD38" s="98">
        <f t="shared" si="15"/>
        <v>351.77359347711</v>
      </c>
      <c r="AE38" s="98">
        <f t="shared" si="15"/>
        <v>355.291329411881</v>
      </c>
      <c r="AF38" s="98">
        <f t="shared" si="15"/>
        <v>358.844242706</v>
      </c>
      <c r="AG38" s="116">
        <f t="shared" si="15"/>
        <v>362.43268513306</v>
      </c>
    </row>
    <row r="39" s="82" customFormat="1" ht="28.95" customHeight="1" spans="1:33">
      <c r="A39" s="91">
        <f t="shared" si="0"/>
        <v>37</v>
      </c>
      <c r="B39" s="92" t="s">
        <v>389</v>
      </c>
      <c r="C39" s="99" t="s">
        <v>433</v>
      </c>
      <c r="D39" s="99" t="s">
        <v>434</v>
      </c>
      <c r="E39" s="97">
        <v>100</v>
      </c>
      <c r="F39" s="94" t="s">
        <v>404</v>
      </c>
      <c r="G39" s="95">
        <v>0.4</v>
      </c>
      <c r="H39" s="96">
        <f t="shared" si="1"/>
        <v>40</v>
      </c>
      <c r="I39" s="97" t="s">
        <v>288</v>
      </c>
      <c r="J39" s="98">
        <v>0</v>
      </c>
      <c r="K39" s="98">
        <v>0</v>
      </c>
      <c r="L39" s="98">
        <v>0</v>
      </c>
      <c r="M39" s="98">
        <f>H39*60%</f>
        <v>24</v>
      </c>
      <c r="N39" s="98">
        <f t="shared" si="2"/>
        <v>40</v>
      </c>
      <c r="O39" s="98">
        <f t="shared" ref="O39:AG39" si="16">N39*1.01</f>
        <v>40.4</v>
      </c>
      <c r="P39" s="98">
        <f t="shared" si="16"/>
        <v>40.804</v>
      </c>
      <c r="Q39" s="98">
        <f t="shared" si="16"/>
        <v>41.21204</v>
      </c>
      <c r="R39" s="98">
        <f t="shared" si="16"/>
        <v>41.6241604</v>
      </c>
      <c r="S39" s="98">
        <f t="shared" si="16"/>
        <v>42.040402004</v>
      </c>
      <c r="T39" s="98">
        <f t="shared" si="16"/>
        <v>42.46080602404</v>
      </c>
      <c r="U39" s="98">
        <f t="shared" si="16"/>
        <v>42.8854140842804</v>
      </c>
      <c r="V39" s="98">
        <f t="shared" si="16"/>
        <v>43.3142682251232</v>
      </c>
      <c r="W39" s="98">
        <f t="shared" si="16"/>
        <v>43.7474109073744</v>
      </c>
      <c r="X39" s="98">
        <f t="shared" si="16"/>
        <v>44.1848850164482</v>
      </c>
      <c r="Y39" s="98">
        <f t="shared" si="16"/>
        <v>44.6267338666127</v>
      </c>
      <c r="Z39" s="98">
        <f t="shared" si="16"/>
        <v>45.0730012052788</v>
      </c>
      <c r="AA39" s="98">
        <f t="shared" si="16"/>
        <v>45.5237312173316</v>
      </c>
      <c r="AB39" s="98">
        <f t="shared" si="16"/>
        <v>45.9789685295049</v>
      </c>
      <c r="AC39" s="98">
        <f t="shared" si="16"/>
        <v>46.4387582147999</v>
      </c>
      <c r="AD39" s="98">
        <f t="shared" si="16"/>
        <v>46.9031457969479</v>
      </c>
      <c r="AE39" s="98">
        <f t="shared" si="16"/>
        <v>47.3721772549174</v>
      </c>
      <c r="AF39" s="98">
        <f t="shared" si="16"/>
        <v>47.8458990274666</v>
      </c>
      <c r="AG39" s="116">
        <f t="shared" si="16"/>
        <v>48.3243580177413</v>
      </c>
    </row>
    <row r="40" s="82" customFormat="1" ht="28.95" customHeight="1" spans="1:33">
      <c r="A40" s="91">
        <f t="shared" si="0"/>
        <v>38</v>
      </c>
      <c r="B40" s="15"/>
      <c r="C40" s="92" t="s">
        <v>435</v>
      </c>
      <c r="D40" s="99" t="s">
        <v>436</v>
      </c>
      <c r="E40" s="97">
        <v>100</v>
      </c>
      <c r="F40" s="94" t="s">
        <v>404</v>
      </c>
      <c r="G40" s="95">
        <v>0.4</v>
      </c>
      <c r="H40" s="96">
        <f t="shared" si="1"/>
        <v>40</v>
      </c>
      <c r="I40" s="97" t="s">
        <v>288</v>
      </c>
      <c r="J40" s="98">
        <v>0</v>
      </c>
      <c r="K40" s="98">
        <v>0</v>
      </c>
      <c r="L40" s="98">
        <v>0</v>
      </c>
      <c r="M40" s="98">
        <f>H40*60%</f>
        <v>24</v>
      </c>
      <c r="N40" s="98">
        <f t="shared" si="2"/>
        <v>40</v>
      </c>
      <c r="O40" s="98">
        <f t="shared" ref="O40:AG40" si="17">N40*1.01</f>
        <v>40.4</v>
      </c>
      <c r="P40" s="98">
        <f t="shared" si="17"/>
        <v>40.804</v>
      </c>
      <c r="Q40" s="98">
        <f t="shared" si="17"/>
        <v>41.21204</v>
      </c>
      <c r="R40" s="98">
        <f t="shared" si="17"/>
        <v>41.6241604</v>
      </c>
      <c r="S40" s="98">
        <f t="shared" si="17"/>
        <v>42.040402004</v>
      </c>
      <c r="T40" s="98">
        <f t="shared" si="17"/>
        <v>42.46080602404</v>
      </c>
      <c r="U40" s="98">
        <f t="shared" si="17"/>
        <v>42.8854140842804</v>
      </c>
      <c r="V40" s="98">
        <f t="shared" si="17"/>
        <v>43.3142682251232</v>
      </c>
      <c r="W40" s="98">
        <f t="shared" si="17"/>
        <v>43.7474109073744</v>
      </c>
      <c r="X40" s="98">
        <f t="shared" si="17"/>
        <v>44.1848850164482</v>
      </c>
      <c r="Y40" s="98">
        <f t="shared" si="17"/>
        <v>44.6267338666127</v>
      </c>
      <c r="Z40" s="98">
        <f t="shared" si="17"/>
        <v>45.0730012052788</v>
      </c>
      <c r="AA40" s="98">
        <f t="shared" si="17"/>
        <v>45.5237312173316</v>
      </c>
      <c r="AB40" s="98">
        <f t="shared" si="17"/>
        <v>45.9789685295049</v>
      </c>
      <c r="AC40" s="98">
        <f t="shared" si="17"/>
        <v>46.4387582147999</v>
      </c>
      <c r="AD40" s="98">
        <f t="shared" si="17"/>
        <v>46.9031457969479</v>
      </c>
      <c r="AE40" s="98">
        <f t="shared" si="17"/>
        <v>47.3721772549174</v>
      </c>
      <c r="AF40" s="98">
        <f t="shared" si="17"/>
        <v>47.8458990274666</v>
      </c>
      <c r="AG40" s="116">
        <f t="shared" si="17"/>
        <v>48.3243580177413</v>
      </c>
    </row>
    <row r="41" s="82" customFormat="1" ht="28.95" customHeight="1" spans="1:33">
      <c r="A41" s="91">
        <f t="shared" si="0"/>
        <v>39</v>
      </c>
      <c r="B41" s="92" t="s">
        <v>390</v>
      </c>
      <c r="C41" s="92" t="s">
        <v>437</v>
      </c>
      <c r="D41" s="92" t="s">
        <v>438</v>
      </c>
      <c r="E41" s="97">
        <f>3.5*200</f>
        <v>700</v>
      </c>
      <c r="F41" s="94" t="s">
        <v>404</v>
      </c>
      <c r="G41" s="95">
        <v>0.4</v>
      </c>
      <c r="H41" s="96">
        <f t="shared" si="1"/>
        <v>280</v>
      </c>
      <c r="I41" s="112">
        <v>2026</v>
      </c>
      <c r="J41" s="98">
        <v>0</v>
      </c>
      <c r="K41" s="98">
        <v>0</v>
      </c>
      <c r="L41" s="98">
        <f>H41*60%</f>
        <v>168</v>
      </c>
      <c r="M41" s="98">
        <f>H41*100%</f>
        <v>280</v>
      </c>
      <c r="N41" s="98">
        <f t="shared" si="2"/>
        <v>280</v>
      </c>
      <c r="O41" s="98">
        <f t="shared" ref="O41:AG41" si="18">N41*1.01</f>
        <v>282.8</v>
      </c>
      <c r="P41" s="98">
        <f t="shared" si="18"/>
        <v>285.628</v>
      </c>
      <c r="Q41" s="98">
        <f t="shared" si="18"/>
        <v>288.48428</v>
      </c>
      <c r="R41" s="98">
        <f t="shared" si="18"/>
        <v>291.3691228</v>
      </c>
      <c r="S41" s="98">
        <f t="shared" si="18"/>
        <v>294.282814028</v>
      </c>
      <c r="T41" s="98">
        <f t="shared" si="18"/>
        <v>297.22564216828</v>
      </c>
      <c r="U41" s="98">
        <f t="shared" si="18"/>
        <v>300.197898589963</v>
      </c>
      <c r="V41" s="98">
        <f t="shared" si="18"/>
        <v>303.199877575863</v>
      </c>
      <c r="W41" s="98">
        <f t="shared" si="18"/>
        <v>306.231876351621</v>
      </c>
      <c r="X41" s="98">
        <f t="shared" si="18"/>
        <v>309.294195115137</v>
      </c>
      <c r="Y41" s="98">
        <f t="shared" si="18"/>
        <v>312.387137066289</v>
      </c>
      <c r="Z41" s="98">
        <f t="shared" si="18"/>
        <v>315.511008436952</v>
      </c>
      <c r="AA41" s="98">
        <f t="shared" si="18"/>
        <v>318.666118521321</v>
      </c>
      <c r="AB41" s="98">
        <f t="shared" si="18"/>
        <v>321.852779706534</v>
      </c>
      <c r="AC41" s="98">
        <f t="shared" si="18"/>
        <v>325.0713075036</v>
      </c>
      <c r="AD41" s="98">
        <f t="shared" si="18"/>
        <v>328.322020578636</v>
      </c>
      <c r="AE41" s="98">
        <f t="shared" si="18"/>
        <v>331.605240784422</v>
      </c>
      <c r="AF41" s="98">
        <f t="shared" si="18"/>
        <v>334.921293192266</v>
      </c>
      <c r="AG41" s="116">
        <f t="shared" si="18"/>
        <v>338.270506124189</v>
      </c>
    </row>
    <row r="42" s="82" customFormat="1" ht="28.95" customHeight="1" spans="1:34">
      <c r="A42" s="101" t="s">
        <v>81</v>
      </c>
      <c r="B42" s="102"/>
      <c r="C42" s="102"/>
      <c r="D42" s="103"/>
      <c r="E42" s="104">
        <f>SUM(E26:E41)</f>
        <v>8111.475</v>
      </c>
      <c r="F42" s="105"/>
      <c r="G42" s="104"/>
      <c r="H42" s="104">
        <f>SUM(H26:H41)</f>
        <v>3244.59</v>
      </c>
      <c r="I42" s="104"/>
      <c r="J42" s="104">
        <f t="shared" ref="J42:AG42" si="19">SUM(J26:J41)</f>
        <v>0</v>
      </c>
      <c r="K42" s="104">
        <f t="shared" si="19"/>
        <v>0</v>
      </c>
      <c r="L42" s="104">
        <f t="shared" si="19"/>
        <v>846.684</v>
      </c>
      <c r="M42" s="104">
        <f t="shared" si="19"/>
        <v>2195.85</v>
      </c>
      <c r="N42" s="104">
        <f t="shared" si="19"/>
        <v>3244.59</v>
      </c>
      <c r="O42" s="104">
        <f t="shared" si="19"/>
        <v>3277.0359</v>
      </c>
      <c r="P42" s="104">
        <f t="shared" si="19"/>
        <v>3309.806259</v>
      </c>
      <c r="Q42" s="104">
        <f t="shared" si="19"/>
        <v>3342.90432159</v>
      </c>
      <c r="R42" s="104">
        <f t="shared" si="19"/>
        <v>3376.3333648059</v>
      </c>
      <c r="S42" s="104">
        <f t="shared" si="19"/>
        <v>3410.09669845396</v>
      </c>
      <c r="T42" s="104">
        <f t="shared" si="19"/>
        <v>3444.1976654385</v>
      </c>
      <c r="U42" s="104">
        <f t="shared" si="19"/>
        <v>3478.63964209288</v>
      </c>
      <c r="V42" s="104">
        <f t="shared" si="19"/>
        <v>3513.42603851381</v>
      </c>
      <c r="W42" s="104">
        <f t="shared" si="19"/>
        <v>3548.56029889895</v>
      </c>
      <c r="X42" s="104">
        <f t="shared" si="19"/>
        <v>3584.04590188794</v>
      </c>
      <c r="Y42" s="104">
        <f t="shared" si="19"/>
        <v>3619.88636090682</v>
      </c>
      <c r="Z42" s="104">
        <f t="shared" si="19"/>
        <v>3656.08522451589</v>
      </c>
      <c r="AA42" s="104">
        <f t="shared" si="19"/>
        <v>3692.64607676105</v>
      </c>
      <c r="AB42" s="104">
        <f t="shared" si="19"/>
        <v>3729.57253752866</v>
      </c>
      <c r="AC42" s="104">
        <f t="shared" si="19"/>
        <v>3766.86826290394</v>
      </c>
      <c r="AD42" s="104">
        <f t="shared" si="19"/>
        <v>3804.53694553298</v>
      </c>
      <c r="AE42" s="104">
        <f t="shared" si="19"/>
        <v>3842.58231498831</v>
      </c>
      <c r="AF42" s="104">
        <f t="shared" si="19"/>
        <v>3881.0081381382</v>
      </c>
      <c r="AG42" s="117">
        <f t="shared" si="19"/>
        <v>3919.81821951958</v>
      </c>
      <c r="AH42" s="118">
        <f>SUM(J42:AG42)</f>
        <v>74485.1741714774</v>
      </c>
    </row>
    <row r="43" s="82" customFormat="1" ht="15" customHeight="1" spans="1:34">
      <c r="A43" s="106"/>
      <c r="B43" s="107"/>
      <c r="C43" s="107"/>
      <c r="D43" s="107"/>
      <c r="E43" s="108"/>
      <c r="F43" s="106"/>
      <c r="G43" s="108"/>
      <c r="H43" s="108"/>
      <c r="I43" s="108">
        <f t="array" ref="I43:N43">'b利润与利润分配表（损益和利润分配表）'!C27:H27</f>
        <v>1.2255730835208</v>
      </c>
      <c r="J43" s="108">
        <v>0</v>
      </c>
      <c r="K43" s="108">
        <v>0</v>
      </c>
      <c r="L43" s="108">
        <v>0</v>
      </c>
      <c r="M43" s="108">
        <v>0</v>
      </c>
      <c r="N43" s="108">
        <v>0</v>
      </c>
      <c r="O43" s="108"/>
      <c r="P43" s="108"/>
      <c r="Q43" s="108"/>
      <c r="R43" s="108"/>
      <c r="S43" s="108"/>
      <c r="T43" s="108"/>
      <c r="U43" s="108"/>
      <c r="V43" s="108"/>
      <c r="W43" s="108"/>
      <c r="X43" s="108"/>
      <c r="Y43" s="108"/>
      <c r="Z43" s="108"/>
      <c r="AA43" s="108"/>
      <c r="AB43" s="108"/>
      <c r="AC43" s="108"/>
      <c r="AD43" s="108"/>
      <c r="AE43" s="108"/>
      <c r="AF43" s="114"/>
      <c r="AG43" s="114"/>
      <c r="AH43" s="118"/>
    </row>
    <row r="44" s="82" customFormat="1" ht="15" customHeight="1" spans="1:34">
      <c r="A44" s="106"/>
      <c r="B44" s="107"/>
      <c r="C44" s="107"/>
      <c r="D44" s="107"/>
      <c r="E44" s="108"/>
      <c r="F44" s="106"/>
      <c r="G44" s="108"/>
      <c r="H44" s="108"/>
      <c r="I44" s="108"/>
      <c r="J44" s="108"/>
      <c r="K44" s="108"/>
      <c r="L44" s="108"/>
      <c r="M44" s="108"/>
      <c r="N44" s="108"/>
      <c r="O44" s="108"/>
      <c r="P44" s="108"/>
      <c r="Q44" s="108"/>
      <c r="R44" s="108"/>
      <c r="S44" s="108"/>
      <c r="T44" s="108"/>
      <c r="U44" s="108"/>
      <c r="V44" s="108"/>
      <c r="W44" s="108"/>
      <c r="X44" s="108"/>
      <c r="Y44" s="108"/>
      <c r="Z44" s="108"/>
      <c r="AA44" s="108"/>
      <c r="AB44" s="108"/>
      <c r="AC44" s="108"/>
      <c r="AD44" s="108"/>
      <c r="AE44" s="108"/>
      <c r="AF44" s="114"/>
      <c r="AG44" s="114"/>
      <c r="AH44" s="118"/>
    </row>
  </sheetData>
  <mergeCells count="36">
    <mergeCell ref="A1:AE1"/>
    <mergeCell ref="C4:G4"/>
    <mergeCell ref="C6:G6"/>
    <mergeCell ref="C8:G8"/>
    <mergeCell ref="C10:G10"/>
    <mergeCell ref="C12:G12"/>
    <mergeCell ref="C14:G14"/>
    <mergeCell ref="C16:G16"/>
    <mergeCell ref="C18:G18"/>
    <mergeCell ref="C20:G20"/>
    <mergeCell ref="C22:G22"/>
    <mergeCell ref="A24:AG24"/>
    <mergeCell ref="A42:D42"/>
    <mergeCell ref="A3:A4"/>
    <mergeCell ref="A5:A6"/>
    <mergeCell ref="A7:A8"/>
    <mergeCell ref="A9:A10"/>
    <mergeCell ref="A11:A12"/>
    <mergeCell ref="A13:A14"/>
    <mergeCell ref="A15:A16"/>
    <mergeCell ref="A17:A18"/>
    <mergeCell ref="A19:A20"/>
    <mergeCell ref="A21:A22"/>
    <mergeCell ref="B3:B4"/>
    <mergeCell ref="B5:B6"/>
    <mergeCell ref="B7:B8"/>
    <mergeCell ref="B9:B10"/>
    <mergeCell ref="B11:B12"/>
    <mergeCell ref="B13:B14"/>
    <mergeCell ref="B15:B16"/>
    <mergeCell ref="B17:B18"/>
    <mergeCell ref="B19:B20"/>
    <mergeCell ref="B21:B22"/>
    <mergeCell ref="B26:B28"/>
    <mergeCell ref="B29:B32"/>
    <mergeCell ref="B39:B40"/>
  </mergeCells>
  <dataValidations count="2">
    <dataValidation type="list" allowBlank="1" showInputMessage="1" showErrorMessage="1" sqref="F3 F9 F15">
      <formula1>"不增长,每2年增长,每3年增长,每5年增长,自定义增长"</formula1>
    </dataValidation>
    <dataValidation type="list" allowBlank="1" showInputMessage="1" showErrorMessage="1" sqref="F5 F7 F11 F13 F17 F19 F21">
      <formula1>"不增长,每年增长,每2年增长,每3年增长,每5年增长,自定义增长"</formula1>
    </dataValidation>
  </dataValidations>
  <pageMargins left="0.75" right="0.75" top="1" bottom="1" header="0.5" footer="0.5"/>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FF00"/>
  </sheetPr>
  <dimension ref="A1:AA31"/>
  <sheetViews>
    <sheetView zoomScale="85" zoomScaleNormal="85" workbookViewId="0">
      <pane xSplit="3" ySplit="2" topLeftCell="D10" activePane="bottomRight" state="frozen"/>
      <selection/>
      <selection pane="topRight"/>
      <selection pane="bottomLeft"/>
      <selection pane="bottomRight" activeCell="B30" sqref="B30"/>
    </sheetView>
  </sheetViews>
  <sheetFormatPr defaultColWidth="8.89090909090909" defaultRowHeight="14"/>
  <cols>
    <col min="1" max="1" width="13.1090909090909" style="1" customWidth="1"/>
    <col min="2" max="2" width="33.2181818181818" style="1" customWidth="1"/>
    <col min="3" max="3" width="25.7818181818182" style="1" customWidth="1"/>
    <col min="4" max="4" width="14.7818181818182" style="1" customWidth="1"/>
    <col min="5" max="5" width="13.8909090909091" style="1" customWidth="1"/>
    <col min="6" max="6" width="14.7818181818182" style="1" customWidth="1"/>
    <col min="7" max="7" width="17.1090909090909" style="1" customWidth="1"/>
    <col min="8" max="8" width="14.7818181818182" style="1" customWidth="1"/>
  </cols>
  <sheetData>
    <row r="1" ht="20" customHeight="1" spans="1:8">
      <c r="A1" s="75" t="s">
        <v>439</v>
      </c>
      <c r="B1" s="3"/>
      <c r="C1" s="3"/>
      <c r="D1" s="3"/>
      <c r="E1" s="3"/>
      <c r="F1" s="3"/>
      <c r="G1" s="3"/>
      <c r="H1" s="3"/>
    </row>
    <row r="2" ht="16.5" customHeight="1" spans="1:27">
      <c r="A2" s="5" t="s">
        <v>1</v>
      </c>
      <c r="B2" s="5" t="s">
        <v>144</v>
      </c>
      <c r="C2" s="5" t="s">
        <v>440</v>
      </c>
      <c r="D2" s="33" t="s">
        <v>441</v>
      </c>
      <c r="E2" s="33" t="s">
        <v>442</v>
      </c>
      <c r="F2" s="33" t="s">
        <v>443</v>
      </c>
      <c r="G2" s="33" t="s">
        <v>444</v>
      </c>
      <c r="H2" s="33" t="s">
        <v>445</v>
      </c>
      <c r="I2" s="33">
        <v>2030</v>
      </c>
      <c r="J2" s="33">
        <v>2031</v>
      </c>
      <c r="K2" s="33">
        <v>2032</v>
      </c>
      <c r="L2" s="33">
        <v>2033</v>
      </c>
      <c r="M2" s="33">
        <v>2034</v>
      </c>
      <c r="N2" s="33">
        <v>2035</v>
      </c>
      <c r="O2" s="33">
        <v>2036</v>
      </c>
      <c r="P2" s="33">
        <v>2037</v>
      </c>
      <c r="Q2" s="33">
        <v>2038</v>
      </c>
      <c r="R2" s="33">
        <v>2039</v>
      </c>
      <c r="S2" s="33">
        <v>2040</v>
      </c>
      <c r="T2" s="33">
        <v>2041</v>
      </c>
      <c r="U2" s="33">
        <v>2042</v>
      </c>
      <c r="V2" s="33">
        <v>2043</v>
      </c>
      <c r="W2" s="33">
        <v>2044</v>
      </c>
      <c r="X2" s="33">
        <v>2045</v>
      </c>
      <c r="Y2" s="33">
        <v>2046</v>
      </c>
      <c r="Z2" s="33">
        <v>2047</v>
      </c>
      <c r="AA2" s="33">
        <v>2048</v>
      </c>
    </row>
    <row r="3" ht="33" customHeight="1" spans="1:27">
      <c r="A3" s="8"/>
      <c r="B3" s="8"/>
      <c r="C3" s="35" t="s">
        <v>446</v>
      </c>
      <c r="D3" s="39">
        <f>('G.1进项增值税率-建设投资'!F17)</f>
        <v>2589.55182668377</v>
      </c>
      <c r="E3" s="76">
        <f>(IF(D29=0,ABS(D25-D4-D3),0))</f>
        <v>2589.55182668377</v>
      </c>
      <c r="F3" s="76">
        <f>(IF(E29=0,ABS(E25-E4-E3),0))</f>
        <v>2589.55182668377</v>
      </c>
      <c r="G3" s="76">
        <f>(IF(F29=0,ABS(F25-F4-F3),0))</f>
        <v>2612.55213077491</v>
      </c>
      <c r="H3" s="39">
        <f>IF(G29=0,ABS(G25-G4-G3),0)</f>
        <v>2613.9478762563</v>
      </c>
      <c r="I3" s="39">
        <f>IF(G29=0,ABS(H25-H4-H3),0)</f>
        <v>2574.20174527841</v>
      </c>
      <c r="J3" s="39">
        <f>IF(G29=0,ABS(I25-I4-I3),0)</f>
        <v>2534.41505346792</v>
      </c>
      <c r="K3" s="39">
        <f>IF(G29=0,ABS(J25-J4-J3),0)</f>
        <v>2494.59274872368</v>
      </c>
      <c r="L3" s="39">
        <f>IF(G29=0,ABS(K25-K4-K3),0)</f>
        <v>2454.7399087261</v>
      </c>
      <c r="M3" s="39">
        <f>IF(G29=0,ABS(L25-L4-L3),0)</f>
        <v>2414.86174343956</v>
      </c>
      <c r="N3" s="39">
        <f>IF(G29=0,ABS(M25-M4-M3),0)</f>
        <v>2374.96359765784</v>
      </c>
      <c r="O3" s="39">
        <f>IF(G29=0,ABS(N25-N4-N3),0)</f>
        <v>2335.05095359336</v>
      </c>
      <c r="P3" s="39">
        <f>IF(G29=0,ABS(O25-O4-O3),0)</f>
        <v>2295.12943351091</v>
      </c>
      <c r="Q3" s="39">
        <f>IF(G29=0,ABS(P25-P4-P3),0)</f>
        <v>2255.20480240665</v>
      </c>
      <c r="R3" s="39">
        <f>IF(G29=0,ABS(Q25-Q4-Q3),0)</f>
        <v>2215.28297073306</v>
      </c>
      <c r="S3" s="39">
        <f>IF(G29=0,ABS(R25-R4-R3),0)</f>
        <v>2175.36999717055</v>
      </c>
      <c r="T3" s="39">
        <f>IF(G29=0,ABS(S25-S4-S3),0)</f>
        <v>2135.47209144667</v>
      </c>
      <c r="U3" s="39">
        <f>IF(G29=0,ABS(T25-T4-T3),0)</f>
        <v>2095.5956172034</v>
      </c>
      <c r="V3" s="39">
        <f>IF(G29=0,ABS(U25-U4-U3),0)</f>
        <v>2055.74709491363</v>
      </c>
      <c r="W3" s="39">
        <f>IF(G29=0,ABS(V25-V4-V3),0)</f>
        <v>2015.93320484733</v>
      </c>
      <c r="X3" s="39">
        <f>IF(G29=0,ABS(W25-W4-W3),0)</f>
        <v>1976.16079008842</v>
      </c>
      <c r="Y3" s="39">
        <f>IF(G29=0,ABS(X25-X4-X3),0)</f>
        <v>1936.43685960311</v>
      </c>
      <c r="Z3" s="39">
        <f>IF(G29=0,ABS(Y25-Y4-Y3),0)</f>
        <v>1896.76859136045</v>
      </c>
      <c r="AA3" s="39">
        <f>IF(G29=0,ABS(Z25-Z4-Z3),0)</f>
        <v>1857.16333550607</v>
      </c>
    </row>
    <row r="4" ht="16.5" customHeight="1" spans="1:27">
      <c r="A4" s="8">
        <v>1</v>
      </c>
      <c r="B4" s="8" t="s">
        <v>447</v>
      </c>
      <c r="C4" s="8"/>
      <c r="D4" s="13">
        <f>(SUM(D5:D24))</f>
        <v>0</v>
      </c>
      <c r="E4" s="13">
        <f>(SUM(E5:E24))</f>
        <v>0</v>
      </c>
      <c r="F4" s="13">
        <f>(SUM(F5:F24))</f>
        <v>53.1567569213283</v>
      </c>
      <c r="G4" s="13">
        <f>(SUM(G5:G24))</f>
        <v>70.325217179508</v>
      </c>
      <c r="H4" s="13">
        <f t="shared" ref="H4:AA4" si="0">SUM(H5:H24)</f>
        <v>71.3800954372006</v>
      </c>
      <c r="I4" s="13">
        <f t="shared" si="0"/>
        <v>72.4507968687586</v>
      </c>
      <c r="J4" s="13">
        <f t="shared" si="0"/>
        <v>73.53755882179</v>
      </c>
      <c r="K4" s="13">
        <f t="shared" si="0"/>
        <v>74.6406222041168</v>
      </c>
      <c r="L4" s="13">
        <f t="shared" si="0"/>
        <v>75.7602315371786</v>
      </c>
      <c r="M4" s="13">
        <f t="shared" si="0"/>
        <v>76.8966350102362</v>
      </c>
      <c r="N4" s="13">
        <f t="shared" si="0"/>
        <v>78.0500845353898</v>
      </c>
      <c r="O4" s="13">
        <f t="shared" si="0"/>
        <v>79.2208358034206</v>
      </c>
      <c r="P4" s="13">
        <f t="shared" si="0"/>
        <v>80.409148340472</v>
      </c>
      <c r="Q4" s="13">
        <f t="shared" si="0"/>
        <v>81.615285565579</v>
      </c>
      <c r="R4" s="13">
        <f t="shared" si="0"/>
        <v>82.8395148490627</v>
      </c>
      <c r="S4" s="13">
        <f t="shared" si="0"/>
        <v>84.0821075717985</v>
      </c>
      <c r="T4" s="13">
        <f t="shared" si="0"/>
        <v>85.3433391853756</v>
      </c>
      <c r="U4" s="13">
        <f t="shared" si="0"/>
        <v>86.6234892731561</v>
      </c>
      <c r="V4" s="13">
        <f t="shared" si="0"/>
        <v>87.9228416122536</v>
      </c>
      <c r="W4" s="13">
        <f t="shared" si="0"/>
        <v>89.2416842364373</v>
      </c>
      <c r="X4" s="13">
        <f t="shared" si="0"/>
        <v>90.5803094999839</v>
      </c>
      <c r="Y4" s="13">
        <f t="shared" si="0"/>
        <v>91.9390141424836</v>
      </c>
      <c r="Z4" s="13">
        <f t="shared" si="0"/>
        <v>93.3180993546209</v>
      </c>
      <c r="AA4" s="13">
        <f t="shared" si="0"/>
        <v>94.7178708449403</v>
      </c>
    </row>
    <row r="5" ht="16.5" customHeight="1" spans="1:27">
      <c r="A5" s="8"/>
      <c r="B5" s="77" t="s">
        <v>234</v>
      </c>
      <c r="C5" s="8"/>
      <c r="D5" s="78">
        <f>E.1项目运营期费用!H4*'G.2进项增值税率-运营成本'!$C3/(1+'G.2进项增值税率-运营成本'!$C3)</f>
        <v>0</v>
      </c>
      <c r="E5" s="79">
        <f>E.1项目运营期费用!I4*'G.2进项增值税率-运营成本'!$C3/(1+'G.2进项增值税率-运营成本'!$C3)</f>
        <v>0</v>
      </c>
      <c r="F5" s="79">
        <f>E.1项目运营期费用!J4*'G.2进项增值税率-运营成本'!$C3/(1+'G.2进项增值税率-运营成本'!$C3)</f>
        <v>9.90825688073394</v>
      </c>
      <c r="G5" s="79">
        <f>E.1项目运营期费用!K4*'G.2进项增值税率-运营成本'!$C3/(1+'G.2进项增值税率-运营成本'!$C3)</f>
        <v>13.2110091743119</v>
      </c>
      <c r="H5" s="79">
        <f>E.1项目运营期费用!L4*'G.2进项增值税率-运营成本'!$C3/(1+'G.2进项增值税率-运营成本'!$C3)</f>
        <v>13.4091743119266</v>
      </c>
      <c r="I5" s="79">
        <f>E.1项目运营期费用!M4*'G.2进项增值税率-运营成本'!$C3/(1+'G.2进项增值税率-运营成本'!$C3)</f>
        <v>13.6103119266055</v>
      </c>
      <c r="J5" s="79">
        <f>E.1项目运营期费用!N4*'G.2进项增值税率-运营成本'!$C3/(1+'G.2进项增值税率-运营成本'!$C3)</f>
        <v>13.8144666055046</v>
      </c>
      <c r="K5" s="79">
        <f>E.1项目运营期费用!O4*'G.2进项增值税率-运营成本'!$C3/(1+'G.2进项增值税率-运营成本'!$C3)</f>
        <v>14.0216836045872</v>
      </c>
      <c r="L5" s="79">
        <f>E.1项目运营期费用!P4*'G.2进项增值税率-运营成本'!$C3/(1+'G.2进项增值税率-运营成本'!$C3)</f>
        <v>14.232008858656</v>
      </c>
      <c r="M5" s="79">
        <f>E.1项目运营期费用!Q4*'G.2进项增值税率-运营成本'!$C3/(1+'G.2进项增值税率-运营成本'!$C3)</f>
        <v>14.4454889915358</v>
      </c>
      <c r="N5" s="79">
        <f>E.1项目运营期费用!R4*'G.2进项增值税率-运营成本'!$C3/(1+'G.2进项增值税率-运营成本'!$C3)</f>
        <v>14.6621713264089</v>
      </c>
      <c r="O5" s="79">
        <f>E.1项目运营期费用!S4*'G.2进项增值税率-运营成本'!$C3/(1+'G.2进项增值税率-运营成本'!$C3)</f>
        <v>14.882103896305</v>
      </c>
      <c r="P5" s="79">
        <f>E.1项目运营期费用!T4*'G.2进项增值税率-运营成本'!$C3/(1+'G.2进项增值税率-运营成本'!$C3)</f>
        <v>15.1053354547496</v>
      </c>
      <c r="Q5" s="79">
        <f>E.1项目运营期费用!U4*'G.2进项增值税率-运营成本'!$C3/(1+'G.2进项增值税率-运营成本'!$C3)</f>
        <v>15.3319154865708</v>
      </c>
      <c r="R5" s="79">
        <f>E.1项目运营期费用!V4*'G.2进项增值税率-运营成本'!$C3/(1+'G.2进项增值税率-运营成本'!$C3)</f>
        <v>15.5618942188693</v>
      </c>
      <c r="S5" s="79">
        <f>E.1项目运营期费用!W4*'G.2进项增值税率-运营成本'!$C3/(1+'G.2进项增值税率-运营成本'!$C3)</f>
        <v>15.7953226321523</v>
      </c>
      <c r="T5" s="79">
        <f>E.1项目运营期费用!X4*'G.2进项增值税率-运营成本'!$C3/(1+'G.2进项增值税率-运营成本'!$C3)</f>
        <v>16.0322524716346</v>
      </c>
      <c r="U5" s="79">
        <f>E.1项目运营期费用!Y4*'G.2进项增值税率-运营成本'!$C3/(1+'G.2进项增值税率-运营成本'!$C3)</f>
        <v>16.2727362587091</v>
      </c>
      <c r="V5" s="79">
        <f>E.1项目运营期费用!Z4*'G.2进项增值税率-运营成本'!$C3/(1+'G.2进项增值税率-运营成本'!$C3)</f>
        <v>16.5168273025898</v>
      </c>
      <c r="W5" s="79">
        <f>E.1项目运营期费用!AA4*'G.2进项增值税率-运营成本'!$C3/(1+'G.2进项增值税率-运营成本'!$C3)</f>
        <v>16.7645797121286</v>
      </c>
      <c r="X5" s="79">
        <f>E.1项目运营期费用!AB4*'G.2进项增值税率-运营成本'!$C3/(1+'G.2进项增值税率-运营成本'!$C3)</f>
        <v>17.0160484078106</v>
      </c>
      <c r="Y5" s="79">
        <f>E.1项目运营期费用!AC4*'G.2进项增值税率-运营成本'!$C3/(1+'G.2进项增值税率-运营成本'!$C3)</f>
        <v>17.2712891339278</v>
      </c>
      <c r="Z5" s="79">
        <f>E.1项目运营期费用!AD4*'G.2进项增值税率-运营成本'!$C3/(1+'G.2进项增值税率-运营成本'!$C3)</f>
        <v>17.5303584709367</v>
      </c>
      <c r="AA5" s="79">
        <f>E.1项目运营期费用!AE4*'G.2进项增值税率-运营成本'!$C3/(1+'G.2进项增值税率-运营成本'!$C3)</f>
        <v>17.7933138480007</v>
      </c>
    </row>
    <row r="6" ht="29" customHeight="1" spans="1:27">
      <c r="A6" s="8"/>
      <c r="B6" s="80" t="s">
        <v>236</v>
      </c>
      <c r="C6" s="8"/>
      <c r="D6" s="78">
        <f>E.1项目运营期费用!H5*'G.2进项增值税率-运营成本'!$C4/(1+'G.2进项增值税率-运营成本'!$C4)</f>
        <v>0</v>
      </c>
      <c r="E6" s="79">
        <f>E.1项目运营期费用!I5*'G.2进项增值税率-运营成本'!$C4/(1+'G.2进项增值税率-运营成本'!$C4)</f>
        <v>0</v>
      </c>
      <c r="F6" s="79">
        <f>E.1项目运营期费用!J5*'G.2进项增值税率-运营成本'!$C4/(1+'G.2进项增值税率-运营成本'!$C4)</f>
        <v>0</v>
      </c>
      <c r="G6" s="79">
        <f>E.1项目运营期费用!K5*'G.2进项增值税率-运营成本'!$C4/(1+'G.2进项增值税率-运营成本'!$C4)</f>
        <v>0</v>
      </c>
      <c r="H6" s="79">
        <f>E.1项目运营期费用!L5*'G.2进项增值税率-运营成本'!$C4/(1+'G.2进项增值税率-运营成本'!$C4)</f>
        <v>0</v>
      </c>
      <c r="I6" s="79">
        <f>E.1项目运营期费用!M5*'G.2进项增值税率-运营成本'!$C4/(1+'G.2进项增值税率-运营成本'!$C4)</f>
        <v>0</v>
      </c>
      <c r="J6" s="79">
        <f>E.1项目运营期费用!N5*'G.2进项增值税率-运营成本'!$C4/(1+'G.2进项增值税率-运营成本'!$C4)</f>
        <v>0</v>
      </c>
      <c r="K6" s="79">
        <f>E.1项目运营期费用!O5*'G.2进项增值税率-运营成本'!$C4/(1+'G.2进项增值税率-运营成本'!$C4)</f>
        <v>0</v>
      </c>
      <c r="L6" s="79">
        <f>E.1项目运营期费用!P5*'G.2进项增值税率-运营成本'!$C4/(1+'G.2进项增值税率-运营成本'!$C4)</f>
        <v>0</v>
      </c>
      <c r="M6" s="79">
        <f>E.1项目运营期费用!Q5*'G.2进项增值税率-运营成本'!$C4/(1+'G.2进项增值税率-运营成本'!$C4)</f>
        <v>0</v>
      </c>
      <c r="N6" s="79">
        <f>E.1项目运营期费用!R5*'G.2进项增值税率-运营成本'!$C4/(1+'G.2进项增值税率-运营成本'!$C4)</f>
        <v>0</v>
      </c>
      <c r="O6" s="79">
        <f>E.1项目运营期费用!S5*'G.2进项增值税率-运营成本'!$C4/(1+'G.2进项增值税率-运营成本'!$C4)</f>
        <v>0</v>
      </c>
      <c r="P6" s="79">
        <f>E.1项目运营期费用!T5*'G.2进项增值税率-运营成本'!$C4/(1+'G.2进项增值税率-运营成本'!$C4)</f>
        <v>0</v>
      </c>
      <c r="Q6" s="79">
        <f>E.1项目运营期费用!U5*'G.2进项增值税率-运营成本'!$C4/(1+'G.2进项增值税率-运营成本'!$C4)</f>
        <v>0</v>
      </c>
      <c r="R6" s="79">
        <f>E.1项目运营期费用!V5*'G.2进项增值税率-运营成本'!$C4/(1+'G.2进项增值税率-运营成本'!$C4)</f>
        <v>0</v>
      </c>
      <c r="S6" s="79">
        <f>E.1项目运营期费用!W5*'G.2进项增值税率-运营成本'!$C4/(1+'G.2进项增值税率-运营成本'!$C4)</f>
        <v>0</v>
      </c>
      <c r="T6" s="79">
        <f>E.1项目运营期费用!X5*'G.2进项增值税率-运营成本'!$C4/(1+'G.2进项增值税率-运营成本'!$C4)</f>
        <v>0</v>
      </c>
      <c r="U6" s="79">
        <f>E.1项目运营期费用!Y5*'G.2进项增值税率-运营成本'!$C4/(1+'G.2进项增值税率-运营成本'!$C4)</f>
        <v>0</v>
      </c>
      <c r="V6" s="79">
        <f>E.1项目运营期费用!Z5*'G.2进项增值税率-运营成本'!$C4/(1+'G.2进项增值税率-运营成本'!$C4)</f>
        <v>0</v>
      </c>
      <c r="W6" s="79">
        <f>E.1项目运营期费用!AA5*'G.2进项增值税率-运营成本'!$C4/(1+'G.2进项增值税率-运营成本'!$C4)</f>
        <v>0</v>
      </c>
      <c r="X6" s="79">
        <f>E.1项目运营期费用!AB5*'G.2进项增值税率-运营成本'!$C4/(1+'G.2进项增值税率-运营成本'!$C4)</f>
        <v>0</v>
      </c>
      <c r="Y6" s="79">
        <f>E.1项目运营期费用!AC5*'G.2进项增值税率-运营成本'!$C4/(1+'G.2进项增值税率-运营成本'!$C4)</f>
        <v>0</v>
      </c>
      <c r="Z6" s="79">
        <f>E.1项目运营期费用!AD5*'G.2进项增值税率-运营成本'!$C4/(1+'G.2进项增值税率-运营成本'!$C4)</f>
        <v>0</v>
      </c>
      <c r="AA6" s="79">
        <f>E.1项目运营期费用!AE5*'G.2进项增值税率-运营成本'!$C4/(1+'G.2进项增值税率-运营成本'!$C4)</f>
        <v>0</v>
      </c>
    </row>
    <row r="7" ht="16.5" customHeight="1" spans="1:27">
      <c r="A7" s="8"/>
      <c r="B7" s="77" t="s">
        <v>238</v>
      </c>
      <c r="C7" s="8"/>
      <c r="D7" s="78">
        <f>E.1项目运营期费用!H6*'G.2进项增值税率-运营成本'!$C5/(1+'G.2进项增值税率-运营成本'!$C5)</f>
        <v>0</v>
      </c>
      <c r="E7" s="79">
        <f>E.1项目运营期费用!I6*'G.2进项增值税率-运营成本'!$C5/(1+'G.2进项增值税率-运营成本'!$C5)</f>
        <v>0</v>
      </c>
      <c r="F7" s="79">
        <f>E.1项目运营期费用!J6*'G.2进项增值税率-运营成本'!$C5/(1+'G.2进项增值税率-运营成本'!$C5)</f>
        <v>0</v>
      </c>
      <c r="G7" s="79">
        <f>E.1项目运营期费用!K6*'G.2进项增值税率-运营成本'!$C5/(1+'G.2进项增值税率-运营成本'!$C5)</f>
        <v>0</v>
      </c>
      <c r="H7" s="79">
        <f>E.1项目运营期费用!L6*'G.2进项增值税率-运营成本'!$C5/(1+'G.2进项增值税率-运营成本'!$C5)</f>
        <v>0</v>
      </c>
      <c r="I7" s="79">
        <f>E.1项目运营期费用!M6*'G.2进项增值税率-运营成本'!$C5/(1+'G.2进项增值税率-运营成本'!$C5)</f>
        <v>0</v>
      </c>
      <c r="J7" s="79">
        <f>E.1项目运营期费用!N6*'G.2进项增值税率-运营成本'!$C5/(1+'G.2进项增值税率-运营成本'!$C5)</f>
        <v>0</v>
      </c>
      <c r="K7" s="79">
        <f>E.1项目运营期费用!O6*'G.2进项增值税率-运营成本'!$C5/(1+'G.2进项增值税率-运营成本'!$C5)</f>
        <v>0</v>
      </c>
      <c r="L7" s="79">
        <f>E.1项目运营期费用!P6*'G.2进项增值税率-运营成本'!$C5/(1+'G.2进项增值税率-运营成本'!$C5)</f>
        <v>0</v>
      </c>
      <c r="M7" s="79">
        <f>E.1项目运营期费用!Q6*'G.2进项增值税率-运营成本'!$C5/(1+'G.2进项增值税率-运营成本'!$C5)</f>
        <v>0</v>
      </c>
      <c r="N7" s="79">
        <f>E.1项目运营期费用!R6*'G.2进项增值税率-运营成本'!$C5/(1+'G.2进项增值税率-运营成本'!$C5)</f>
        <v>0</v>
      </c>
      <c r="O7" s="79">
        <f>E.1项目运营期费用!S6*'G.2进项增值税率-运营成本'!$C5/(1+'G.2进项增值税率-运营成本'!$C5)</f>
        <v>0</v>
      </c>
      <c r="P7" s="79">
        <f>E.1项目运营期费用!T6*'G.2进项增值税率-运营成本'!$C5/(1+'G.2进项增值税率-运营成本'!$C5)</f>
        <v>0</v>
      </c>
      <c r="Q7" s="79">
        <f>E.1项目运营期费用!U6*'G.2进项增值税率-运营成本'!$C5/(1+'G.2进项增值税率-运营成本'!$C5)</f>
        <v>0</v>
      </c>
      <c r="R7" s="79">
        <f>E.1项目运营期费用!V6*'G.2进项增值税率-运营成本'!$C5/(1+'G.2进项增值税率-运营成本'!$C5)</f>
        <v>0</v>
      </c>
      <c r="S7" s="79">
        <f>E.1项目运营期费用!W6*'G.2进项增值税率-运营成本'!$C5/(1+'G.2进项增值税率-运营成本'!$C5)</f>
        <v>0</v>
      </c>
      <c r="T7" s="79">
        <f>E.1项目运营期费用!X6*'G.2进项增值税率-运营成本'!$C5/(1+'G.2进项增值税率-运营成本'!$C5)</f>
        <v>0</v>
      </c>
      <c r="U7" s="79">
        <f>E.1项目运营期费用!Y6*'G.2进项增值税率-运营成本'!$C5/(1+'G.2进项增值税率-运营成本'!$C5)</f>
        <v>0</v>
      </c>
      <c r="V7" s="79">
        <f>E.1项目运营期费用!Z6*'G.2进项增值税率-运营成本'!$C5/(1+'G.2进项增值税率-运营成本'!$C5)</f>
        <v>0</v>
      </c>
      <c r="W7" s="79">
        <f>E.1项目运营期费用!AA6*'G.2进项增值税率-运营成本'!$C5/(1+'G.2进项增值税率-运营成本'!$C5)</f>
        <v>0</v>
      </c>
      <c r="X7" s="79">
        <f>E.1项目运营期费用!AB6*'G.2进项增值税率-运营成本'!$C5/(1+'G.2进项增值税率-运营成本'!$C5)</f>
        <v>0</v>
      </c>
      <c r="Y7" s="79">
        <f>E.1项目运营期费用!AC6*'G.2进项增值税率-运营成本'!$C5/(1+'G.2进项增值税率-运营成本'!$C5)</f>
        <v>0</v>
      </c>
      <c r="Z7" s="79">
        <f>E.1项目运营期费用!AD6*'G.2进项增值税率-运营成本'!$C5/(1+'G.2进项增值税率-运营成本'!$C5)</f>
        <v>0</v>
      </c>
      <c r="AA7" s="79">
        <f>E.1项目运营期费用!AE6*'G.2进项增值税率-运营成本'!$C5/(1+'G.2进项增值税率-运营成本'!$C5)</f>
        <v>0</v>
      </c>
    </row>
    <row r="8" ht="16.5" customHeight="1" spans="1:27">
      <c r="A8" s="8"/>
      <c r="B8" s="77" t="s">
        <v>240</v>
      </c>
      <c r="C8" s="8"/>
      <c r="D8" s="78">
        <f>E.1项目运营期费用!H7*'G.2进项增值税率-运营成本'!$C6/(1+'G.2进项增值税率-运营成本'!$C6)</f>
        <v>0</v>
      </c>
      <c r="E8" s="79">
        <f>E.1项目运营期费用!I7*'G.2进项增值税率-运营成本'!$C6/(1+'G.2进项增值税率-运营成本'!$C6)</f>
        <v>0</v>
      </c>
      <c r="F8" s="79">
        <f>E.1项目运营期费用!J7*'G.2进项增值税率-运营成本'!$C6/(1+'G.2进项增值税率-运营成本'!$C6)</f>
        <v>0</v>
      </c>
      <c r="G8" s="79">
        <f>E.1项目运营期费用!K7*'G.2进项增值税率-运营成本'!$C6/(1+'G.2进项增值税率-运营成本'!$C6)</f>
        <v>0</v>
      </c>
      <c r="H8" s="79">
        <f>E.1项目运营期费用!L7*'G.2进项增值税率-运营成本'!$C6/(1+'G.2进项增值税率-运营成本'!$C6)</f>
        <v>0</v>
      </c>
      <c r="I8" s="79">
        <f>E.1项目运营期费用!M7*'G.2进项增值税率-运营成本'!$C6/(1+'G.2进项增值税率-运营成本'!$C6)</f>
        <v>0</v>
      </c>
      <c r="J8" s="79">
        <f>E.1项目运营期费用!N7*'G.2进项增值税率-运营成本'!$C6/(1+'G.2进项增值税率-运营成本'!$C6)</f>
        <v>0</v>
      </c>
      <c r="K8" s="79">
        <f>E.1项目运营期费用!O7*'G.2进项增值税率-运营成本'!$C6/(1+'G.2进项增值税率-运营成本'!$C6)</f>
        <v>0</v>
      </c>
      <c r="L8" s="79">
        <f>E.1项目运营期费用!P7*'G.2进项增值税率-运营成本'!$C6/(1+'G.2进项增值税率-运营成本'!$C6)</f>
        <v>0</v>
      </c>
      <c r="M8" s="79">
        <f>E.1项目运营期费用!Q7*'G.2进项增值税率-运营成本'!$C6/(1+'G.2进项增值税率-运营成本'!$C6)</f>
        <v>0</v>
      </c>
      <c r="N8" s="79">
        <f>E.1项目运营期费用!R7*'G.2进项增值税率-运营成本'!$C6/(1+'G.2进项增值税率-运营成本'!$C6)</f>
        <v>0</v>
      </c>
      <c r="O8" s="79">
        <f>E.1项目运营期费用!S7*'G.2进项增值税率-运营成本'!$C6/(1+'G.2进项增值税率-运营成本'!$C6)</f>
        <v>0</v>
      </c>
      <c r="P8" s="79">
        <f>E.1项目运营期费用!T7*'G.2进项增值税率-运营成本'!$C6/(1+'G.2进项增值税率-运营成本'!$C6)</f>
        <v>0</v>
      </c>
      <c r="Q8" s="79">
        <f>E.1项目运营期费用!U7*'G.2进项增值税率-运营成本'!$C6/(1+'G.2进项增值税率-运营成本'!$C6)</f>
        <v>0</v>
      </c>
      <c r="R8" s="79">
        <f>E.1项目运营期费用!V7*'G.2进项增值税率-运营成本'!$C6/(1+'G.2进项增值税率-运营成本'!$C6)</f>
        <v>0</v>
      </c>
      <c r="S8" s="79">
        <f>E.1项目运营期费用!W7*'G.2进项增值税率-运营成本'!$C6/(1+'G.2进项增值税率-运营成本'!$C6)</f>
        <v>0</v>
      </c>
      <c r="T8" s="79">
        <f>E.1项目运营期费用!X7*'G.2进项增值税率-运营成本'!$C6/(1+'G.2进项增值税率-运营成本'!$C6)</f>
        <v>0</v>
      </c>
      <c r="U8" s="79">
        <f>E.1项目运营期费用!Y7*'G.2进项增值税率-运营成本'!$C6/(1+'G.2进项增值税率-运营成本'!$C6)</f>
        <v>0</v>
      </c>
      <c r="V8" s="79">
        <f>E.1项目运营期费用!Z7*'G.2进项增值税率-运营成本'!$C6/(1+'G.2进项增值税率-运营成本'!$C6)</f>
        <v>0</v>
      </c>
      <c r="W8" s="79">
        <f>E.1项目运营期费用!AA7*'G.2进项增值税率-运营成本'!$C6/(1+'G.2进项增值税率-运营成本'!$C6)</f>
        <v>0</v>
      </c>
      <c r="X8" s="79">
        <f>E.1项目运营期费用!AB7*'G.2进项增值税率-运营成本'!$C6/(1+'G.2进项增值税率-运营成本'!$C6)</f>
        <v>0</v>
      </c>
      <c r="Y8" s="79">
        <f>E.1项目运营期费用!AC7*'G.2进项增值税率-运营成本'!$C6/(1+'G.2进项增值税率-运营成本'!$C6)</f>
        <v>0</v>
      </c>
      <c r="Z8" s="79">
        <f>E.1项目运营期费用!AD7*'G.2进项增值税率-运营成本'!$C6/(1+'G.2进项增值税率-运营成本'!$C6)</f>
        <v>0</v>
      </c>
      <c r="AA8" s="79">
        <f>E.1项目运营期费用!AE7*'G.2进项增值税率-运营成本'!$C6/(1+'G.2进项增值税率-运营成本'!$C6)</f>
        <v>0</v>
      </c>
    </row>
    <row r="9" ht="16.5" customHeight="1" spans="1:27">
      <c r="A9" s="8"/>
      <c r="B9" s="77" t="s">
        <v>243</v>
      </c>
      <c r="C9" s="8"/>
      <c r="D9" s="78">
        <f>E.1项目运营期费用!H8*'G.2进项增值税率-运营成本'!$C7/(1+'G.2进项增值税率-运营成本'!$C7)</f>
        <v>0</v>
      </c>
      <c r="E9" s="79">
        <f>E.1项目运营期费用!I8*'G.2进项增值税率-运营成本'!$C7/(1+'G.2进项增值税率-运营成本'!$C7)</f>
        <v>0</v>
      </c>
      <c r="F9" s="79">
        <f>E.1项目运营期费用!J8*'G.2进项增值税率-运营成本'!$C7/(1+'G.2进项增值税率-运营成本'!$C7)</f>
        <v>0</v>
      </c>
      <c r="G9" s="79">
        <f>E.1项目运营期费用!K8*'G.2进项增值税率-运营成本'!$C7/(1+'G.2进项增值税率-运营成本'!$C7)</f>
        <v>0</v>
      </c>
      <c r="H9" s="79">
        <f>E.1项目运营期费用!L8*'G.2进项增值税率-运营成本'!$C7/(1+'G.2进项增值税率-运营成本'!$C7)</f>
        <v>0</v>
      </c>
      <c r="I9" s="79">
        <f>E.1项目运营期费用!M8*'G.2进项增值税率-运营成本'!$C7/(1+'G.2进项增值税率-运营成本'!$C7)</f>
        <v>0</v>
      </c>
      <c r="J9" s="79">
        <f>E.1项目运营期费用!N8*'G.2进项增值税率-运营成本'!$C7/(1+'G.2进项增值税率-运营成本'!$C7)</f>
        <v>0</v>
      </c>
      <c r="K9" s="79">
        <f>E.1项目运营期费用!O8*'G.2进项增值税率-运营成本'!$C7/(1+'G.2进项增值税率-运营成本'!$C7)</f>
        <v>0</v>
      </c>
      <c r="L9" s="79">
        <f>E.1项目运营期费用!P8*'G.2进项增值税率-运营成本'!$C7/(1+'G.2进项增值税率-运营成本'!$C7)</f>
        <v>0</v>
      </c>
      <c r="M9" s="79">
        <f>E.1项目运营期费用!Q8*'G.2进项增值税率-运营成本'!$C7/(1+'G.2进项增值税率-运营成本'!$C7)</f>
        <v>0</v>
      </c>
      <c r="N9" s="79">
        <f>E.1项目运营期费用!R8*'G.2进项增值税率-运营成本'!$C7/(1+'G.2进项增值税率-运营成本'!$C7)</f>
        <v>0</v>
      </c>
      <c r="O9" s="79">
        <f>E.1项目运营期费用!S8*'G.2进项增值税率-运营成本'!$C7/(1+'G.2进项增值税率-运营成本'!$C7)</f>
        <v>0</v>
      </c>
      <c r="P9" s="79">
        <f>E.1项目运营期费用!T8*'G.2进项增值税率-运营成本'!$C7/(1+'G.2进项增值税率-运营成本'!$C7)</f>
        <v>0</v>
      </c>
      <c r="Q9" s="79">
        <f>E.1项目运营期费用!U8*'G.2进项增值税率-运营成本'!$C7/(1+'G.2进项增值税率-运营成本'!$C7)</f>
        <v>0</v>
      </c>
      <c r="R9" s="79">
        <f>E.1项目运营期费用!V8*'G.2进项增值税率-运营成本'!$C7/(1+'G.2进项增值税率-运营成本'!$C7)</f>
        <v>0</v>
      </c>
      <c r="S9" s="79">
        <f>E.1项目运营期费用!W8*'G.2进项增值税率-运营成本'!$C7/(1+'G.2进项增值税率-运营成本'!$C7)</f>
        <v>0</v>
      </c>
      <c r="T9" s="79">
        <f>E.1项目运营期费用!X8*'G.2进项增值税率-运营成本'!$C7/(1+'G.2进项增值税率-运营成本'!$C7)</f>
        <v>0</v>
      </c>
      <c r="U9" s="79">
        <f>E.1项目运营期费用!Y8*'G.2进项增值税率-运营成本'!$C7/(1+'G.2进项增值税率-运营成本'!$C7)</f>
        <v>0</v>
      </c>
      <c r="V9" s="79">
        <f>E.1项目运营期费用!Z8*'G.2进项增值税率-运营成本'!$C7/(1+'G.2进项增值税率-运营成本'!$C7)</f>
        <v>0</v>
      </c>
      <c r="W9" s="79">
        <f>E.1项目运营期费用!AA8*'G.2进项增值税率-运营成本'!$C7/(1+'G.2进项增值税率-运营成本'!$C7)</f>
        <v>0</v>
      </c>
      <c r="X9" s="79">
        <f>E.1项目运营期费用!AB8*'G.2进项增值税率-运营成本'!$C7/(1+'G.2进项增值税率-运营成本'!$C7)</f>
        <v>0</v>
      </c>
      <c r="Y9" s="79">
        <f>E.1项目运营期费用!AC8*'G.2进项增值税率-运营成本'!$C7/(1+'G.2进项增值税率-运营成本'!$C7)</f>
        <v>0</v>
      </c>
      <c r="Z9" s="79">
        <f>E.1项目运营期费用!AD8*'G.2进项增值税率-运营成本'!$C7/(1+'G.2进项增值税率-运营成本'!$C7)</f>
        <v>0</v>
      </c>
      <c r="AA9" s="79">
        <f>E.1项目运营期费用!AE8*'G.2进项增值税率-运营成本'!$C7/(1+'G.2进项增值税率-运营成本'!$C7)</f>
        <v>0</v>
      </c>
    </row>
    <row r="10" ht="16.5" customHeight="1" spans="1:27">
      <c r="A10" s="8"/>
      <c r="B10" s="77" t="s">
        <v>245</v>
      </c>
      <c r="C10" s="8"/>
      <c r="D10" s="78">
        <f>E.1项目运营期费用!H9*'G.2进项增值税率-运营成本'!$C8/(1+'G.2进项增值税率-运营成本'!$C8)</f>
        <v>0</v>
      </c>
      <c r="E10" s="79">
        <f>E.1项目运营期费用!I9*'G.2进项增值税率-运营成本'!$C8/(1+'G.2进项增值税率-运营成本'!$C8)</f>
        <v>0</v>
      </c>
      <c r="F10" s="79">
        <f>E.1项目运营期费用!J9*'G.2进项增值税率-运营成本'!$C8/(1+'G.2进项增值税率-运营成本'!$C8)</f>
        <v>0</v>
      </c>
      <c r="G10" s="79">
        <f>E.1项目运营期费用!K9*'G.2进项增值税率-运营成本'!$C8/(1+'G.2进项增值税率-运营成本'!$C8)</f>
        <v>0</v>
      </c>
      <c r="H10" s="79">
        <f>E.1项目运营期费用!L9*'G.2进项增值税率-运营成本'!$C8/(1+'G.2进项增值税率-运营成本'!$C8)</f>
        <v>0</v>
      </c>
      <c r="I10" s="79">
        <f>E.1项目运营期费用!M9*'G.2进项增值税率-运营成本'!$C8/(1+'G.2进项增值税率-运营成本'!$C8)</f>
        <v>0</v>
      </c>
      <c r="J10" s="79">
        <f>E.1项目运营期费用!N9*'G.2进项增值税率-运营成本'!$C8/(1+'G.2进项增值税率-运营成本'!$C8)</f>
        <v>0</v>
      </c>
      <c r="K10" s="79">
        <f>E.1项目运营期费用!O9*'G.2进项增值税率-运营成本'!$C8/(1+'G.2进项增值税率-运营成本'!$C8)</f>
        <v>0</v>
      </c>
      <c r="L10" s="79">
        <f>E.1项目运营期费用!P9*'G.2进项增值税率-运营成本'!$C8/(1+'G.2进项增值税率-运营成本'!$C8)</f>
        <v>0</v>
      </c>
      <c r="M10" s="79">
        <f>E.1项目运营期费用!Q9*'G.2进项增值税率-运营成本'!$C8/(1+'G.2进项增值税率-运营成本'!$C8)</f>
        <v>0</v>
      </c>
      <c r="N10" s="79">
        <f>E.1项目运营期费用!R9*'G.2进项增值税率-运营成本'!$C8/(1+'G.2进项增值税率-运营成本'!$C8)</f>
        <v>0</v>
      </c>
      <c r="O10" s="79">
        <f>E.1项目运营期费用!S9*'G.2进项增值税率-运营成本'!$C8/(1+'G.2进项增值税率-运营成本'!$C8)</f>
        <v>0</v>
      </c>
      <c r="P10" s="79">
        <f>E.1项目运营期费用!T9*'G.2进项增值税率-运营成本'!$C8/(1+'G.2进项增值税率-运营成本'!$C8)</f>
        <v>0</v>
      </c>
      <c r="Q10" s="79">
        <f>E.1项目运营期费用!U9*'G.2进项增值税率-运营成本'!$C8/(1+'G.2进项增值税率-运营成本'!$C8)</f>
        <v>0</v>
      </c>
      <c r="R10" s="79">
        <f>E.1项目运营期费用!V9*'G.2进项增值税率-运营成本'!$C8/(1+'G.2进项增值税率-运营成本'!$C8)</f>
        <v>0</v>
      </c>
      <c r="S10" s="79">
        <f>E.1项目运营期费用!W9*'G.2进项增值税率-运营成本'!$C8/(1+'G.2进项增值税率-运营成本'!$C8)</f>
        <v>0</v>
      </c>
      <c r="T10" s="79">
        <f>E.1项目运营期费用!X9*'G.2进项增值税率-运营成本'!$C8/(1+'G.2进项增值税率-运营成本'!$C8)</f>
        <v>0</v>
      </c>
      <c r="U10" s="79">
        <f>E.1项目运营期费用!Y9*'G.2进项增值税率-运营成本'!$C8/(1+'G.2进项增值税率-运营成本'!$C8)</f>
        <v>0</v>
      </c>
      <c r="V10" s="79">
        <f>E.1项目运营期费用!Z9*'G.2进项增值税率-运营成本'!$C8/(1+'G.2进项增值税率-运营成本'!$C8)</f>
        <v>0</v>
      </c>
      <c r="W10" s="79">
        <f>E.1项目运营期费用!AA9*'G.2进项增值税率-运营成本'!$C8/(1+'G.2进项增值税率-运营成本'!$C8)</f>
        <v>0</v>
      </c>
      <c r="X10" s="79">
        <f>E.1项目运营期费用!AB9*'G.2进项增值税率-运营成本'!$C8/(1+'G.2进项增值税率-运营成本'!$C8)</f>
        <v>0</v>
      </c>
      <c r="Y10" s="79">
        <f>E.1项目运营期费用!AC9*'G.2进项增值税率-运营成本'!$C8/(1+'G.2进项增值税率-运营成本'!$C8)</f>
        <v>0</v>
      </c>
      <c r="Z10" s="79">
        <f>E.1项目运营期费用!AD9*'G.2进项增值税率-运营成本'!$C8/(1+'G.2进项增值税率-运营成本'!$C8)</f>
        <v>0</v>
      </c>
      <c r="AA10" s="79">
        <f>E.1项目运营期费用!AE9*'G.2进项增值税率-运营成本'!$C8/(1+'G.2进项增值税率-运营成本'!$C8)</f>
        <v>0</v>
      </c>
    </row>
    <row r="11" ht="16.5" customHeight="1" spans="1:27">
      <c r="A11" s="8"/>
      <c r="B11" s="77" t="s">
        <v>247</v>
      </c>
      <c r="C11" s="8"/>
      <c r="D11" s="78">
        <f>E.1项目运营期费用!H10*'G.2进项增值税率-运营成本'!$C9/(1+'G.2进项增值税率-运营成本'!$C9)</f>
        <v>0</v>
      </c>
      <c r="E11" s="79">
        <f>E.1项目运营期费用!I10*'G.2进项增值税率-运营成本'!$C9/(1+'G.2进项增值税率-运营成本'!$C9)</f>
        <v>0</v>
      </c>
      <c r="F11" s="79">
        <f>E.1项目运营期费用!J10*'G.2进项增值税率-运营成本'!$C9/(1+'G.2进项增值税率-运营成本'!$C9)</f>
        <v>0.825688073394495</v>
      </c>
      <c r="G11" s="79">
        <f>E.1项目运营期费用!K10*'G.2进项增值税率-运营成本'!$C9/(1+'G.2进项增值税率-运营成本'!$C9)</f>
        <v>0.825688073394495</v>
      </c>
      <c r="H11" s="79">
        <f>E.1项目运营期费用!L10*'G.2进项增值税率-运营成本'!$C9/(1+'G.2进项增值税率-运营成本'!$C9)</f>
        <v>0.838073394495413</v>
      </c>
      <c r="I11" s="79">
        <f>E.1项目运营期费用!M10*'G.2进项增值税率-运营成本'!$C9/(1+'G.2进项增值税率-运营成本'!$C9)</f>
        <v>0.850644495412844</v>
      </c>
      <c r="J11" s="79">
        <f>E.1项目运营期费用!N10*'G.2进项增值税率-运营成本'!$C9/(1+'G.2进项增值税率-运营成本'!$C9)</f>
        <v>0.863404162844037</v>
      </c>
      <c r="K11" s="79">
        <f>E.1项目运营期费用!O10*'G.2进项增值税率-运营成本'!$C9/(1+'G.2进项增值税率-运营成本'!$C9)</f>
        <v>0.876355225286697</v>
      </c>
      <c r="L11" s="79">
        <f>E.1项目运营期费用!P10*'G.2进项增值税率-运营成本'!$C9/(1+'G.2进项增值税率-运营成本'!$C9)</f>
        <v>0.889500553665993</v>
      </c>
      <c r="M11" s="79">
        <f>E.1项目运营期费用!Q10*'G.2进项增值税率-运营成本'!$C9/(1+'G.2进项增值税率-运营成本'!$C9)</f>
        <v>0.902843061970987</v>
      </c>
      <c r="N11" s="79">
        <f>E.1项目运营期费用!R10*'G.2进项增值税率-运营成本'!$C9/(1+'G.2进项增值税率-运营成本'!$C9)</f>
        <v>0.916385707900552</v>
      </c>
      <c r="O11" s="79">
        <f>E.1项目运营期费用!S10*'G.2进项增值税率-运营成本'!$C9/(1+'G.2进项增值税率-运营成本'!$C9)</f>
        <v>0.930131493519063</v>
      </c>
      <c r="P11" s="79">
        <f>E.1项目运营期费用!T10*'G.2进项增值税率-运营成本'!$C9/(1+'G.2进项增值税率-运营成本'!$C9)</f>
        <v>0.94408346592185</v>
      </c>
      <c r="Q11" s="79">
        <f>E.1项目运营期费用!U10*'G.2进项增值税率-运营成本'!$C9/(1+'G.2进项增值税率-运营成本'!$C9)</f>
        <v>0.958244717910674</v>
      </c>
      <c r="R11" s="79">
        <f>E.1项目运营期费用!V10*'G.2进项增值税率-运营成本'!$C9/(1+'G.2进项增值税率-运营成本'!$C9)</f>
        <v>0.972618388679336</v>
      </c>
      <c r="S11" s="79">
        <f>E.1项目运营期费用!W10*'G.2进项增值税率-运营成本'!$C9/(1+'G.2进项增值税率-运营成本'!$C9)</f>
        <v>0.98720766450952</v>
      </c>
      <c r="T11" s="79">
        <f>E.1项目运营期费用!X10*'G.2进项增值税率-运营成本'!$C9/(1+'G.2进项增值税率-运营成本'!$C9)</f>
        <v>1.00201577947717</v>
      </c>
      <c r="U11" s="79">
        <f>E.1项目运营期费用!Y10*'G.2进项增值税率-运营成本'!$C9/(1+'G.2进项增值税率-运营成本'!$C9)</f>
        <v>1.01704601616932</v>
      </c>
      <c r="V11" s="79">
        <f>E.1项目运营期费用!Z10*'G.2进项增值税率-运营成本'!$C9/(1+'G.2进项增值税率-运营成本'!$C9)</f>
        <v>1.03230170641186</v>
      </c>
      <c r="W11" s="79">
        <f>E.1项目运营期费用!AA10*'G.2进项增值税率-运营成本'!$C9/(1+'G.2进项增值税率-运营成本'!$C9)</f>
        <v>1.04778623200804</v>
      </c>
      <c r="X11" s="79">
        <f>E.1项目运营期费用!AB10*'G.2进项增值税率-运营成本'!$C9/(1+'G.2进项增值税率-运营成本'!$C9)</f>
        <v>1.06350302548816</v>
      </c>
      <c r="Y11" s="79">
        <f>E.1项目运营期费用!AC10*'G.2进项增值税率-运营成本'!$C9/(1+'G.2进项增值税率-运营成本'!$C9)</f>
        <v>1.07945557087048</v>
      </c>
      <c r="Z11" s="79">
        <f>E.1项目运营期费用!AD10*'G.2进项增值税率-运营成本'!$C9/(1+'G.2进项增值税率-运营成本'!$C9)</f>
        <v>1.09564740443354</v>
      </c>
      <c r="AA11" s="79">
        <f>E.1项目运营期费用!AE10*'G.2进项增值税率-运营成本'!$C9/(1+'G.2进项增值税率-运营成本'!$C9)</f>
        <v>1.11208211550004</v>
      </c>
    </row>
    <row r="12" ht="16.5" customHeight="1" spans="1:27">
      <c r="A12" s="8"/>
      <c r="B12" s="77" t="s">
        <v>250</v>
      </c>
      <c r="C12" s="8"/>
      <c r="D12" s="78">
        <f>E.1项目运营期费用!H11*'G.2进项增值税率-运营成本'!$C10/(1+'G.2进项增值税率-运营成本'!$C10)</f>
        <v>0</v>
      </c>
      <c r="E12" s="79">
        <f>E.1项目运营期费用!I11*'G.2进项增值税率-运营成本'!$C10/(1+'G.2进项增值税率-运营成本'!$C10)</f>
        <v>0</v>
      </c>
      <c r="F12" s="79">
        <f>E.1项目运营期费用!J11*'G.2进项增值税率-运营成本'!$C10/(1+'G.2进项增值税率-运营成本'!$C10)</f>
        <v>0.825688073394495</v>
      </c>
      <c r="G12" s="79">
        <f>E.1项目运营期费用!K11*'G.2进项增值税率-运营成本'!$C10/(1+'G.2进项增值税率-运营成本'!$C10)</f>
        <v>0.825688073394495</v>
      </c>
      <c r="H12" s="79">
        <f>E.1项目运营期费用!L11*'G.2进项增值税率-运营成本'!$C10/(1+'G.2进项增值税率-运营成本'!$C10)</f>
        <v>0.838073394495413</v>
      </c>
      <c r="I12" s="79">
        <f>E.1项目运营期费用!M11*'G.2进项增值税率-运营成本'!$C10/(1+'G.2进项增值税率-运营成本'!$C10)</f>
        <v>0.850644495412844</v>
      </c>
      <c r="J12" s="79">
        <f>E.1项目运营期费用!N11*'G.2进项增值税率-运营成本'!$C10/(1+'G.2进项增值税率-运营成本'!$C10)</f>
        <v>0.863404162844037</v>
      </c>
      <c r="K12" s="79">
        <f>E.1项目运营期费用!O11*'G.2进项增值税率-运营成本'!$C10/(1+'G.2进项增值税率-运营成本'!$C10)</f>
        <v>0.876355225286697</v>
      </c>
      <c r="L12" s="79">
        <f>E.1项目运营期费用!P11*'G.2进项增值税率-运营成本'!$C10/(1+'G.2进项增值税率-运营成本'!$C10)</f>
        <v>0.889500553665993</v>
      </c>
      <c r="M12" s="79">
        <f>E.1项目运营期费用!Q11*'G.2进项增值税率-运营成本'!$C10/(1+'G.2进项增值税率-运营成本'!$C10)</f>
        <v>0.902843061970987</v>
      </c>
      <c r="N12" s="79">
        <f>E.1项目运营期费用!R11*'G.2进项增值税率-运营成本'!$C10/(1+'G.2进项增值税率-运营成本'!$C10)</f>
        <v>0.916385707900552</v>
      </c>
      <c r="O12" s="79">
        <f>E.1项目运营期费用!S11*'G.2进项增值税率-运营成本'!$C10/(1+'G.2进项增值税率-运营成本'!$C10)</f>
        <v>0.930131493519063</v>
      </c>
      <c r="P12" s="79">
        <f>E.1项目运营期费用!T11*'G.2进项增值税率-运营成本'!$C10/(1+'G.2进项增值税率-运营成本'!$C10)</f>
        <v>0.94408346592185</v>
      </c>
      <c r="Q12" s="79">
        <f>E.1项目运营期费用!U11*'G.2进项增值税率-运营成本'!$C10/(1+'G.2进项增值税率-运营成本'!$C10)</f>
        <v>0.958244717910674</v>
      </c>
      <c r="R12" s="79">
        <f>E.1项目运营期费用!V11*'G.2进项增值税率-运营成本'!$C10/(1+'G.2进项增值税率-运营成本'!$C10)</f>
        <v>0.972618388679336</v>
      </c>
      <c r="S12" s="79">
        <f>E.1项目运营期费用!W11*'G.2进项增值税率-运营成本'!$C10/(1+'G.2进项增值税率-运营成本'!$C10)</f>
        <v>0.98720766450952</v>
      </c>
      <c r="T12" s="79">
        <f>E.1项目运营期费用!X11*'G.2进项增值税率-运营成本'!$C10/(1+'G.2进项增值税率-运营成本'!$C10)</f>
        <v>1.00201577947717</v>
      </c>
      <c r="U12" s="79">
        <f>E.1项目运营期费用!Y11*'G.2进项增值税率-运营成本'!$C10/(1+'G.2进项增值税率-运营成本'!$C10)</f>
        <v>1.01704601616932</v>
      </c>
      <c r="V12" s="79">
        <f>E.1项目运营期费用!Z11*'G.2进项增值税率-运营成本'!$C10/(1+'G.2进项增值税率-运营成本'!$C10)</f>
        <v>1.03230170641186</v>
      </c>
      <c r="W12" s="79">
        <f>E.1项目运营期费用!AA11*'G.2进项增值税率-运营成本'!$C10/(1+'G.2进项增值税率-运营成本'!$C10)</f>
        <v>1.04778623200804</v>
      </c>
      <c r="X12" s="79">
        <f>E.1项目运营期费用!AB11*'G.2进项增值税率-运营成本'!$C10/(1+'G.2进项增值税率-运营成本'!$C10)</f>
        <v>1.06350302548816</v>
      </c>
      <c r="Y12" s="79">
        <f>E.1项目运营期费用!AC11*'G.2进项增值税率-运营成本'!$C10/(1+'G.2进项增值税率-运营成本'!$C10)</f>
        <v>1.07945557087048</v>
      </c>
      <c r="Z12" s="79">
        <f>E.1项目运营期费用!AD11*'G.2进项增值税率-运营成本'!$C10/(1+'G.2进项增值税率-运营成本'!$C10)</f>
        <v>1.09564740443354</v>
      </c>
      <c r="AA12" s="79">
        <f>E.1项目运营期费用!AE11*'G.2进项增值税率-运营成本'!$C10/(1+'G.2进项增值税率-运营成本'!$C10)</f>
        <v>1.11208211550004</v>
      </c>
    </row>
    <row r="13" ht="16.5" customHeight="1" spans="1:27">
      <c r="A13" s="8"/>
      <c r="B13" s="77" t="s">
        <v>253</v>
      </c>
      <c r="C13" s="8"/>
      <c r="D13" s="78">
        <f>E.1项目运营期费用!H12*'G.2进项增值税率-运营成本'!$C11/(1+'G.2进项增值税率-运营成本'!$C11)</f>
        <v>0</v>
      </c>
      <c r="E13" s="79">
        <f>E.1项目运营期费用!I12*'G.2进项增值税率-运营成本'!$C11/(1+'G.2进项增值税率-运营成本'!$C11)</f>
        <v>0</v>
      </c>
      <c r="F13" s="79">
        <f>E.1项目运营期费用!J12*'G.2进项增值税率-运营成本'!$C11/(1+'G.2进项增值税率-运营成本'!$C11)</f>
        <v>41.5971238938053</v>
      </c>
      <c r="G13" s="79">
        <f>E.1项目运营期费用!K12*'G.2进项增值税率-运营成本'!$C11/(1+'G.2进项增值税率-运营成本'!$C11)</f>
        <v>55.4628318584071</v>
      </c>
      <c r="H13" s="79">
        <f>E.1项目运营期费用!L12*'G.2进项增值税率-运营成本'!$C11/(1+'G.2进项增值税率-运营成本'!$C11)</f>
        <v>56.2947743362832</v>
      </c>
      <c r="I13" s="79">
        <f>E.1项目运营期费用!M12*'G.2进项增值税率-运营成本'!$C11/(1+'G.2进项增值税率-运营成本'!$C11)</f>
        <v>57.1391959513274</v>
      </c>
      <c r="J13" s="79">
        <f>E.1项目运营期费用!N12*'G.2进项增值税率-运营成本'!$C11/(1+'G.2进项增值税率-运营成本'!$C11)</f>
        <v>57.9962838905973</v>
      </c>
      <c r="K13" s="79">
        <f>E.1项目运营期费用!O12*'G.2进项增值税率-运营成本'!$C11/(1+'G.2进项增值税率-运营成本'!$C11)</f>
        <v>58.8662281489563</v>
      </c>
      <c r="L13" s="79">
        <f>E.1项目运营期费用!P12*'G.2进项增值税率-运营成本'!$C11/(1+'G.2进项增值税率-运营成本'!$C11)</f>
        <v>59.7492215711906</v>
      </c>
      <c r="M13" s="79">
        <f>E.1项目运营期费用!Q12*'G.2进项增值税率-运营成本'!$C11/(1+'G.2进项增值税率-运营成本'!$C11)</f>
        <v>60.6454598947585</v>
      </c>
      <c r="N13" s="79">
        <f>E.1项目运营期费用!R12*'G.2进项增值税率-运营成本'!$C11/(1+'G.2进项增值税率-运营成本'!$C11)</f>
        <v>61.5551417931799</v>
      </c>
      <c r="O13" s="79">
        <f>E.1项目运营期费用!S12*'G.2进项增值税率-运营成本'!$C11/(1+'G.2进项增值税率-运营成本'!$C11)</f>
        <v>62.4784689200775</v>
      </c>
      <c r="P13" s="79">
        <f>E.1项目运营期费用!T12*'G.2进项增值税率-运营成本'!$C11/(1+'G.2进项增值税率-运营成本'!$C11)</f>
        <v>63.4156459538787</v>
      </c>
      <c r="Q13" s="79">
        <f>E.1项目运营期费用!U12*'G.2进项增值税率-运营成本'!$C11/(1+'G.2进项增值税率-运营成本'!$C11)</f>
        <v>64.3668806431868</v>
      </c>
      <c r="R13" s="79">
        <f>E.1项目运营期费用!V12*'G.2进项增值税率-运营成本'!$C11/(1+'G.2进项增值税率-运营成本'!$C11)</f>
        <v>65.3323838528347</v>
      </c>
      <c r="S13" s="79">
        <f>E.1项目运营期费用!W12*'G.2进项增值税率-运营成本'!$C11/(1+'G.2进项增值税率-运营成本'!$C11)</f>
        <v>66.3123696106271</v>
      </c>
      <c r="T13" s="79">
        <f>E.1项目运营期费用!X12*'G.2进项增值税率-运营成本'!$C11/(1+'G.2进项增值税率-运营成本'!$C11)</f>
        <v>67.3070551547866</v>
      </c>
      <c r="U13" s="79">
        <f>E.1项目运营期费用!Y12*'G.2进项增值税率-运营成本'!$C11/(1+'G.2进项增值税率-运营成本'!$C11)</f>
        <v>68.3166609821083</v>
      </c>
      <c r="V13" s="79">
        <f>E.1项目运营期费用!Z12*'G.2进项增值税率-运营成本'!$C11/(1+'G.2进项增值税率-运营成本'!$C11)</f>
        <v>69.34141089684</v>
      </c>
      <c r="W13" s="79">
        <f>E.1项目运营期费用!AA12*'G.2进项增值税率-运营成本'!$C11/(1+'G.2进项增值税率-运营成本'!$C11)</f>
        <v>70.3815320602926</v>
      </c>
      <c r="X13" s="79">
        <f>E.1项目运营期费用!AB12*'G.2进项增值税率-运营成本'!$C11/(1+'G.2进项增值税率-运营成本'!$C11)</f>
        <v>71.437255041197</v>
      </c>
      <c r="Y13" s="79">
        <f>E.1项目运营期费用!AC12*'G.2进项增值税率-运营成本'!$C11/(1+'G.2进项增值税率-运营成本'!$C11)</f>
        <v>72.5088138668149</v>
      </c>
      <c r="Z13" s="79">
        <f>E.1项目运营期费用!AD12*'G.2进项增值税率-运营成本'!$C11/(1+'G.2进项增值税率-运营成本'!$C11)</f>
        <v>73.5964460748171</v>
      </c>
      <c r="AA13" s="79">
        <f>E.1项目运营期费用!AE12*'G.2进项增值税率-运营成本'!$C11/(1+'G.2进项增值税率-运营成本'!$C11)</f>
        <v>74.7003927659394</v>
      </c>
    </row>
    <row r="14" ht="16.5" customHeight="1" spans="1:27">
      <c r="A14" s="8"/>
      <c r="B14" s="77" t="s">
        <v>255</v>
      </c>
      <c r="C14" s="8"/>
      <c r="D14" s="78">
        <f>E.1项目运营期费用!H13*'G.2进项增值税率-运营成本'!$C12/(1+'G.2进项增值税率-运营成本'!$C12)</f>
        <v>0</v>
      </c>
      <c r="E14" s="79">
        <f>E.1项目运营期费用!I13*'G.2进项增值税率-运营成本'!$C12/(1+'G.2进项增值税率-运营成本'!$C12)</f>
        <v>0</v>
      </c>
      <c r="F14" s="79">
        <f>E.1项目运营期费用!J13*'G.2进项增值税率-运营成本'!$C12/(1+'G.2进项增值税率-运营成本'!$C12)</f>
        <v>0</v>
      </c>
      <c r="G14" s="79">
        <f>E.1项目运营期费用!K13*'G.2进项增值税率-运营成本'!$C12/(1+'G.2进项增值税率-运营成本'!$C12)</f>
        <v>0</v>
      </c>
      <c r="H14" s="79">
        <f>E.1项目运营期费用!L13*'G.2进项增值税率-运营成本'!$C12/(1+'G.2进项增值税率-运营成本'!$C12)</f>
        <v>0</v>
      </c>
      <c r="I14" s="79">
        <f>E.1项目运营期费用!M13*'G.2进项增值税率-运营成本'!$C12/(1+'G.2进项增值税率-运营成本'!$C12)</f>
        <v>0</v>
      </c>
      <c r="J14" s="79">
        <f>E.1项目运营期费用!N13*'G.2进项增值税率-运营成本'!$C12/(1+'G.2进项增值税率-运营成本'!$C12)</f>
        <v>0</v>
      </c>
      <c r="K14" s="79">
        <f>E.1项目运营期费用!O13*'G.2进项增值税率-运营成本'!$C12/(1+'G.2进项增值税率-运营成本'!$C12)</f>
        <v>0</v>
      </c>
      <c r="L14" s="79">
        <f>E.1项目运营期费用!P13*'G.2进项增值税率-运营成本'!$C12/(1+'G.2进项增值税率-运营成本'!$C12)</f>
        <v>0</v>
      </c>
      <c r="M14" s="79">
        <f>E.1项目运营期费用!Q13*'G.2进项增值税率-运营成本'!$C12/(1+'G.2进项增值税率-运营成本'!$C12)</f>
        <v>0</v>
      </c>
      <c r="N14" s="79">
        <f>E.1项目运营期费用!R13*'G.2进项增值税率-运营成本'!$C12/(1+'G.2进项增值税率-运营成本'!$C12)</f>
        <v>0</v>
      </c>
      <c r="O14" s="79">
        <f>E.1项目运营期费用!S13*'G.2进项增值税率-运营成本'!$C12/(1+'G.2进项增值税率-运营成本'!$C12)</f>
        <v>0</v>
      </c>
      <c r="P14" s="79">
        <f>E.1项目运营期费用!T13*'G.2进项增值税率-运营成本'!$C12/(1+'G.2进项增值税率-运营成本'!$C12)</f>
        <v>0</v>
      </c>
      <c r="Q14" s="79">
        <f>E.1项目运营期费用!U13*'G.2进项增值税率-运营成本'!$C12/(1+'G.2进项增值税率-运营成本'!$C12)</f>
        <v>0</v>
      </c>
      <c r="R14" s="79">
        <f>E.1项目运营期费用!V13*'G.2进项增值税率-运营成本'!$C12/(1+'G.2进项增值税率-运营成本'!$C12)</f>
        <v>0</v>
      </c>
      <c r="S14" s="79">
        <f>E.1项目运营期费用!W13*'G.2进项增值税率-运营成本'!$C12/(1+'G.2进项增值税率-运营成本'!$C12)</f>
        <v>0</v>
      </c>
      <c r="T14" s="79">
        <f>E.1项目运营期费用!X13*'G.2进项增值税率-运营成本'!$C12/(1+'G.2进项增值税率-运营成本'!$C12)</f>
        <v>0</v>
      </c>
      <c r="U14" s="79">
        <f>E.1项目运营期费用!Y13*'G.2进项增值税率-运营成本'!$C12/(1+'G.2进项增值税率-运营成本'!$C12)</f>
        <v>0</v>
      </c>
      <c r="V14" s="79">
        <f>E.1项目运营期费用!Z13*'G.2进项增值税率-运营成本'!$C12/(1+'G.2进项增值税率-运营成本'!$C12)</f>
        <v>0</v>
      </c>
      <c r="W14" s="79">
        <f>E.1项目运营期费用!AA13*'G.2进项增值税率-运营成本'!$C12/(1+'G.2进项增值税率-运营成本'!$C12)</f>
        <v>0</v>
      </c>
      <c r="X14" s="79">
        <f>E.1项目运营期费用!AB13*'G.2进项增值税率-运营成本'!$C12/(1+'G.2进项增值税率-运营成本'!$C12)</f>
        <v>0</v>
      </c>
      <c r="Y14" s="79">
        <f>E.1项目运营期费用!AC13*'G.2进项增值税率-运营成本'!$C12/(1+'G.2进项增值税率-运营成本'!$C12)</f>
        <v>0</v>
      </c>
      <c r="Z14" s="79">
        <f>E.1项目运营期费用!AD13*'G.2进项增值税率-运营成本'!$C12/(1+'G.2进项增值税率-运营成本'!$C12)</f>
        <v>0</v>
      </c>
      <c r="AA14" s="79">
        <f>E.1项目运营期费用!AE13*'G.2进项增值税率-运营成本'!$C12/(1+'G.2进项增值税率-运营成本'!$C12)</f>
        <v>0</v>
      </c>
    </row>
    <row r="15" ht="16.5" customHeight="1" spans="1:27">
      <c r="A15" s="8"/>
      <c r="B15" s="77" t="s">
        <v>258</v>
      </c>
      <c r="C15" s="8"/>
      <c r="D15" s="78">
        <f>E.1项目运营期费用!H14*'G.2进项增值税率-运营成本'!$C13/(1+'G.2进项增值税率-运营成本'!$C13)</f>
        <v>0</v>
      </c>
      <c r="E15" s="79">
        <f>E.1项目运营期费用!I14*'G.2进项增值税率-运营成本'!$C13/(1+'G.2进项增值税率-运营成本'!$C13)</f>
        <v>0</v>
      </c>
      <c r="F15" s="79">
        <f>E.1项目运营期费用!J14*'G.2进项增值税率-运营成本'!$C13/(1+'G.2进项增值税率-运营成本'!$C13)</f>
        <v>0</v>
      </c>
      <c r="G15" s="79">
        <f>E.1项目运营期费用!K14*'G.2进项增值税率-运营成本'!$C13/(1+'G.2进项增值税率-运营成本'!$C13)</f>
        <v>0</v>
      </c>
      <c r="H15" s="79">
        <f>E.1项目运营期费用!L14*'G.2进项增值税率-运营成本'!$C13/(1+'G.2进项增值税率-运营成本'!$C13)</f>
        <v>0</v>
      </c>
      <c r="I15" s="79">
        <f>E.1项目运营期费用!M14*'G.2进项增值税率-运营成本'!$C13/(1+'G.2进项增值税率-运营成本'!$C13)</f>
        <v>0</v>
      </c>
      <c r="J15" s="79">
        <f>E.1项目运营期费用!N14*'G.2进项增值税率-运营成本'!$C13/(1+'G.2进项增值税率-运营成本'!$C13)</f>
        <v>0</v>
      </c>
      <c r="K15" s="79">
        <f>E.1项目运营期费用!O14*'G.2进项增值税率-运营成本'!$C13/(1+'G.2进项增值税率-运营成本'!$C13)</f>
        <v>0</v>
      </c>
      <c r="L15" s="79">
        <f>E.1项目运营期费用!P14*'G.2进项增值税率-运营成本'!$C13/(1+'G.2进项增值税率-运营成本'!$C13)</f>
        <v>0</v>
      </c>
      <c r="M15" s="79">
        <f>E.1项目运营期费用!Q14*'G.2进项增值税率-运营成本'!$C13/(1+'G.2进项增值税率-运营成本'!$C13)</f>
        <v>0</v>
      </c>
      <c r="N15" s="79">
        <f>E.1项目运营期费用!R14*'G.2进项增值税率-运营成本'!$C13/(1+'G.2进项增值税率-运营成本'!$C13)</f>
        <v>0</v>
      </c>
      <c r="O15" s="79">
        <f>E.1项目运营期费用!S14*'G.2进项增值税率-运营成本'!$C13/(1+'G.2进项增值税率-运营成本'!$C13)</f>
        <v>0</v>
      </c>
      <c r="P15" s="79">
        <f>E.1项目运营期费用!T14*'G.2进项增值税率-运营成本'!$C13/(1+'G.2进项增值税率-运营成本'!$C13)</f>
        <v>0</v>
      </c>
      <c r="Q15" s="79">
        <f>E.1项目运营期费用!U14*'G.2进项增值税率-运营成本'!$C13/(1+'G.2进项增值税率-运营成本'!$C13)</f>
        <v>0</v>
      </c>
      <c r="R15" s="79">
        <f>E.1项目运营期费用!V14*'G.2进项增值税率-运营成本'!$C13/(1+'G.2进项增值税率-运营成本'!$C13)</f>
        <v>0</v>
      </c>
      <c r="S15" s="79">
        <f>E.1项目运营期费用!W14*'G.2进项增值税率-运营成本'!$C13/(1+'G.2进项增值税率-运营成本'!$C13)</f>
        <v>0</v>
      </c>
      <c r="T15" s="79">
        <f>E.1项目运营期费用!X14*'G.2进项增值税率-运营成本'!$C13/(1+'G.2进项增值税率-运营成本'!$C13)</f>
        <v>0</v>
      </c>
      <c r="U15" s="79">
        <f>E.1项目运营期费用!Y14*'G.2进项增值税率-运营成本'!$C13/(1+'G.2进项增值税率-运营成本'!$C13)</f>
        <v>0</v>
      </c>
      <c r="V15" s="79">
        <f>E.1项目运营期费用!Z14*'G.2进项增值税率-运营成本'!$C13/(1+'G.2进项增值税率-运营成本'!$C13)</f>
        <v>0</v>
      </c>
      <c r="W15" s="79">
        <f>E.1项目运营期费用!AA14*'G.2进项增值税率-运营成本'!$C13/(1+'G.2进项增值税率-运营成本'!$C13)</f>
        <v>0</v>
      </c>
      <c r="X15" s="79">
        <f>E.1项目运营期费用!AB14*'G.2进项增值税率-运营成本'!$C13/(1+'G.2进项增值税率-运营成本'!$C13)</f>
        <v>0</v>
      </c>
      <c r="Y15" s="79">
        <f>E.1项目运营期费用!AC14*'G.2进项增值税率-运营成本'!$C13/(1+'G.2进项增值税率-运营成本'!$C13)</f>
        <v>0</v>
      </c>
      <c r="Z15" s="79">
        <f>E.1项目运营期费用!AD14*'G.2进项增值税率-运营成本'!$C13/(1+'G.2进项增值税率-运营成本'!$C13)</f>
        <v>0</v>
      </c>
      <c r="AA15" s="79">
        <f>E.1项目运营期费用!AE14*'G.2进项增值税率-运营成本'!$C13/(1+'G.2进项增值税率-运营成本'!$C13)</f>
        <v>0</v>
      </c>
    </row>
    <row r="16" ht="16.5" customHeight="1" spans="1:27">
      <c r="A16" s="8"/>
      <c r="B16" s="77" t="s">
        <v>261</v>
      </c>
      <c r="C16" s="8"/>
      <c r="D16" s="78">
        <f>E.1项目运营期费用!H15*'G.2进项增值税率-运营成本'!$C14/(1+'G.2进项增值税率-运营成本'!$C14)</f>
        <v>0</v>
      </c>
      <c r="E16" s="79">
        <f>E.1项目运营期费用!I15*'G.2进项增值税率-运营成本'!$C14/(1+'G.2进项增值税率-运营成本'!$C14)</f>
        <v>0</v>
      </c>
      <c r="F16" s="79">
        <f>E.1项目运营期费用!J15*'G.2进项增值税率-运营成本'!$C14/(1+'G.2进项增值税率-运营成本'!$C14)</f>
        <v>0</v>
      </c>
      <c r="G16" s="79">
        <f>E.1项目运营期费用!K15*'G.2进项增值税率-运营成本'!$C14/(1+'G.2进项增值税率-运营成本'!$C14)</f>
        <v>0</v>
      </c>
      <c r="H16" s="79">
        <f>E.1项目运营期费用!L15*'G.2进项增值税率-运营成本'!$C14/(1+'G.2进项增值税率-运营成本'!$C14)</f>
        <v>0</v>
      </c>
      <c r="I16" s="79">
        <f>E.1项目运营期费用!M15*'G.2进项增值税率-运营成本'!$C14/(1+'G.2进项增值税率-运营成本'!$C14)</f>
        <v>0</v>
      </c>
      <c r="J16" s="79">
        <f>E.1项目运营期费用!N15*'G.2进项增值税率-运营成本'!$C14/(1+'G.2进项增值税率-运营成本'!$C14)</f>
        <v>0</v>
      </c>
      <c r="K16" s="79">
        <f>E.1项目运营期费用!O15*'G.2进项增值税率-运营成本'!$C14/(1+'G.2进项增值税率-运营成本'!$C14)</f>
        <v>0</v>
      </c>
      <c r="L16" s="79">
        <f>E.1项目运营期费用!P15*'G.2进项增值税率-运营成本'!$C14/(1+'G.2进项增值税率-运营成本'!$C14)</f>
        <v>0</v>
      </c>
      <c r="M16" s="79">
        <f>E.1项目运营期费用!Q15*'G.2进项增值税率-运营成本'!$C14/(1+'G.2进项增值税率-运营成本'!$C14)</f>
        <v>0</v>
      </c>
      <c r="N16" s="79">
        <f>E.1项目运营期费用!R15*'G.2进项增值税率-运营成本'!$C14/(1+'G.2进项增值税率-运营成本'!$C14)</f>
        <v>0</v>
      </c>
      <c r="O16" s="79">
        <f>E.1项目运营期费用!S15*'G.2进项增值税率-运营成本'!$C14/(1+'G.2进项增值税率-运营成本'!$C14)</f>
        <v>0</v>
      </c>
      <c r="P16" s="79">
        <f>E.1项目运营期费用!T15*'G.2进项增值税率-运营成本'!$C14/(1+'G.2进项增值税率-运营成本'!$C14)</f>
        <v>0</v>
      </c>
      <c r="Q16" s="79">
        <f>E.1项目运营期费用!U15*'G.2进项增值税率-运营成本'!$C14/(1+'G.2进项增值税率-运营成本'!$C14)</f>
        <v>0</v>
      </c>
      <c r="R16" s="79">
        <f>E.1项目运营期费用!V15*'G.2进项增值税率-运营成本'!$C14/(1+'G.2进项增值税率-运营成本'!$C14)</f>
        <v>0</v>
      </c>
      <c r="S16" s="79">
        <f>E.1项目运营期费用!W15*'G.2进项增值税率-运营成本'!$C14/(1+'G.2进项增值税率-运营成本'!$C14)</f>
        <v>0</v>
      </c>
      <c r="T16" s="79">
        <f>E.1项目运营期费用!X15*'G.2进项增值税率-运营成本'!$C14/(1+'G.2进项增值税率-运营成本'!$C14)</f>
        <v>0</v>
      </c>
      <c r="U16" s="79">
        <f>E.1项目运营期费用!Y15*'G.2进项增值税率-运营成本'!$C14/(1+'G.2进项增值税率-运营成本'!$C14)</f>
        <v>0</v>
      </c>
      <c r="V16" s="79">
        <f>E.1项目运营期费用!Z15*'G.2进项增值税率-运营成本'!$C14/(1+'G.2进项增值税率-运营成本'!$C14)</f>
        <v>0</v>
      </c>
      <c r="W16" s="79">
        <f>E.1项目运营期费用!AA15*'G.2进项增值税率-运营成本'!$C14/(1+'G.2进项增值税率-运营成本'!$C14)</f>
        <v>0</v>
      </c>
      <c r="X16" s="79">
        <f>E.1项目运营期费用!AB15*'G.2进项增值税率-运营成本'!$C14/(1+'G.2进项增值税率-运营成本'!$C14)</f>
        <v>0</v>
      </c>
      <c r="Y16" s="79">
        <f>E.1项目运营期费用!AC15*'G.2进项增值税率-运营成本'!$C14/(1+'G.2进项增值税率-运营成本'!$C14)</f>
        <v>0</v>
      </c>
      <c r="Z16" s="79">
        <f>E.1项目运营期费用!AD15*'G.2进项增值税率-运营成本'!$C14/(1+'G.2进项增值税率-运营成本'!$C14)</f>
        <v>0</v>
      </c>
      <c r="AA16" s="79">
        <f>E.1项目运营期费用!AE15*'G.2进项增值税率-运营成本'!$C14/(1+'G.2进项增值税率-运营成本'!$C14)</f>
        <v>0</v>
      </c>
    </row>
    <row r="17" ht="16.5" customHeight="1" spans="1:27">
      <c r="A17" s="8"/>
      <c r="B17" s="77" t="s">
        <v>264</v>
      </c>
      <c r="C17" s="8"/>
      <c r="D17" s="78">
        <f>E.1项目运营期费用!H16*'G.2进项增值税率-运营成本'!$C15/(1+'G.2进项增值税率-运营成本'!$C15)</f>
        <v>0</v>
      </c>
      <c r="E17" s="79">
        <f>E.1项目运营期费用!I16*'G.2进项增值税率-运营成本'!$C15/(1+'G.2进项增值税率-运营成本'!$C15)</f>
        <v>0</v>
      </c>
      <c r="F17" s="79">
        <f>E.1项目运营期费用!J16*'G.2进项增值税率-运营成本'!$C15/(1+'G.2进项增值税率-运营成本'!$C15)</f>
        <v>0</v>
      </c>
      <c r="G17" s="79">
        <f>E.1项目运营期费用!K16*'G.2进项增值税率-运营成本'!$C15/(1+'G.2进项增值税率-运营成本'!$C15)</f>
        <v>0</v>
      </c>
      <c r="H17" s="79">
        <f>E.1项目运营期费用!L16*'G.2进项增值税率-运营成本'!$C15/(1+'G.2进项增值税率-运营成本'!$C15)</f>
        <v>0</v>
      </c>
      <c r="I17" s="79">
        <f>E.1项目运营期费用!M16*'G.2进项增值税率-运营成本'!$C15/(1+'G.2进项增值税率-运营成本'!$C15)</f>
        <v>0</v>
      </c>
      <c r="J17" s="79">
        <f>E.1项目运营期费用!N16*'G.2进项增值税率-运营成本'!$C15/(1+'G.2进项增值税率-运营成本'!$C15)</f>
        <v>0</v>
      </c>
      <c r="K17" s="79">
        <f>E.1项目运营期费用!O16*'G.2进项增值税率-运营成本'!$C15/(1+'G.2进项增值税率-运营成本'!$C15)</f>
        <v>0</v>
      </c>
      <c r="L17" s="79">
        <f>E.1项目运营期费用!P16*'G.2进项增值税率-运营成本'!$C15/(1+'G.2进项增值税率-运营成本'!$C15)</f>
        <v>0</v>
      </c>
      <c r="M17" s="79">
        <f>E.1项目运营期费用!Q16*'G.2进项增值税率-运营成本'!$C15/(1+'G.2进项增值税率-运营成本'!$C15)</f>
        <v>0</v>
      </c>
      <c r="N17" s="79">
        <f>E.1项目运营期费用!R16*'G.2进项增值税率-运营成本'!$C15/(1+'G.2进项增值税率-运营成本'!$C15)</f>
        <v>0</v>
      </c>
      <c r="O17" s="79">
        <f>E.1项目运营期费用!S16*'G.2进项增值税率-运营成本'!$C15/(1+'G.2进项增值税率-运营成本'!$C15)</f>
        <v>0</v>
      </c>
      <c r="P17" s="79">
        <f>E.1项目运营期费用!T16*'G.2进项增值税率-运营成本'!$C15/(1+'G.2进项增值税率-运营成本'!$C15)</f>
        <v>0</v>
      </c>
      <c r="Q17" s="79">
        <f>E.1项目运营期费用!U16*'G.2进项增值税率-运营成本'!$C15/(1+'G.2进项增值税率-运营成本'!$C15)</f>
        <v>0</v>
      </c>
      <c r="R17" s="79">
        <f>E.1项目运营期费用!V16*'G.2进项增值税率-运营成本'!$C15/(1+'G.2进项增值税率-运营成本'!$C15)</f>
        <v>0</v>
      </c>
      <c r="S17" s="79">
        <f>E.1项目运营期费用!W16*'G.2进项增值税率-运营成本'!$C15/(1+'G.2进项增值税率-运营成本'!$C15)</f>
        <v>0</v>
      </c>
      <c r="T17" s="79">
        <f>E.1项目运营期费用!X16*'G.2进项增值税率-运营成本'!$C15/(1+'G.2进项增值税率-运营成本'!$C15)</f>
        <v>0</v>
      </c>
      <c r="U17" s="79">
        <f>E.1项目运营期费用!Y16*'G.2进项增值税率-运营成本'!$C15/(1+'G.2进项增值税率-运营成本'!$C15)</f>
        <v>0</v>
      </c>
      <c r="V17" s="79">
        <f>E.1项目运营期费用!Z16*'G.2进项增值税率-运营成本'!$C15/(1+'G.2进项增值税率-运营成本'!$C15)</f>
        <v>0</v>
      </c>
      <c r="W17" s="79">
        <f>E.1项目运营期费用!AA16*'G.2进项增值税率-运营成本'!$C15/(1+'G.2进项增值税率-运营成本'!$C15)</f>
        <v>0</v>
      </c>
      <c r="X17" s="79">
        <f>E.1项目运营期费用!AB16*'G.2进项增值税率-运营成本'!$C15/(1+'G.2进项增值税率-运营成本'!$C15)</f>
        <v>0</v>
      </c>
      <c r="Y17" s="79">
        <f>E.1项目运营期费用!AC16*'G.2进项增值税率-运营成本'!$C15/(1+'G.2进项增值税率-运营成本'!$C15)</f>
        <v>0</v>
      </c>
      <c r="Z17" s="79">
        <f>E.1项目运营期费用!AD16*'G.2进项增值税率-运营成本'!$C15/(1+'G.2进项增值税率-运营成本'!$C15)</f>
        <v>0</v>
      </c>
      <c r="AA17" s="79">
        <f>E.1项目运营期费用!AE16*'G.2进项增值税率-运营成本'!$C15/(1+'G.2进项增值税率-运营成本'!$C15)</f>
        <v>0</v>
      </c>
    </row>
    <row r="18" ht="16.5" customHeight="1" spans="1:27">
      <c r="A18" s="8"/>
      <c r="B18" s="77" t="s">
        <v>266</v>
      </c>
      <c r="C18" s="8"/>
      <c r="D18" s="78">
        <f>E.1项目运营期费用!H17*'G.2进项增值税率-运营成本'!$C16/(1+'G.2进项增值税率-运营成本'!$C16)</f>
        <v>0</v>
      </c>
      <c r="E18" s="79">
        <f>E.1项目运营期费用!I17*'G.2进项增值税率-运营成本'!$C16/(1+'G.2进项增值税率-运营成本'!$C16)</f>
        <v>0</v>
      </c>
      <c r="F18" s="79">
        <f>E.1项目运营期费用!J17*'G.2进项增值税率-运营成本'!$C16/(1+'G.2进项增值税率-运营成本'!$C16)</f>
        <v>0</v>
      </c>
      <c r="G18" s="79">
        <f>E.1项目运营期费用!K17*'G.2进项增值税率-运营成本'!$C16/(1+'G.2进项增值税率-运营成本'!$C16)</f>
        <v>0</v>
      </c>
      <c r="H18" s="79">
        <f>E.1项目运营期费用!L17*'G.2进项增值税率-运营成本'!$C16/(1+'G.2进项增值税率-运营成本'!$C16)</f>
        <v>0</v>
      </c>
      <c r="I18" s="79">
        <f>E.1项目运营期费用!M17*'G.2进项增值税率-运营成本'!$C16/(1+'G.2进项增值税率-运营成本'!$C16)</f>
        <v>0</v>
      </c>
      <c r="J18" s="79">
        <f>E.1项目运营期费用!N17*'G.2进项增值税率-运营成本'!$C16/(1+'G.2进项增值税率-运营成本'!$C16)</f>
        <v>0</v>
      </c>
      <c r="K18" s="79">
        <f>E.1项目运营期费用!O17*'G.2进项增值税率-运营成本'!$C16/(1+'G.2进项增值税率-运营成本'!$C16)</f>
        <v>0</v>
      </c>
      <c r="L18" s="79">
        <f>E.1项目运营期费用!P17*'G.2进项增值税率-运营成本'!$C16/(1+'G.2进项增值税率-运营成本'!$C16)</f>
        <v>0</v>
      </c>
      <c r="M18" s="79">
        <f>E.1项目运营期费用!Q17*'G.2进项增值税率-运营成本'!$C16/(1+'G.2进项增值税率-运营成本'!$C16)</f>
        <v>0</v>
      </c>
      <c r="N18" s="79">
        <f>E.1项目运营期费用!R17*'G.2进项增值税率-运营成本'!$C16/(1+'G.2进项增值税率-运营成本'!$C16)</f>
        <v>0</v>
      </c>
      <c r="O18" s="79">
        <f>E.1项目运营期费用!S17*'G.2进项增值税率-运营成本'!$C16/(1+'G.2进项增值税率-运营成本'!$C16)</f>
        <v>0</v>
      </c>
      <c r="P18" s="79">
        <f>E.1项目运营期费用!T17*'G.2进项增值税率-运营成本'!$C16/(1+'G.2进项增值税率-运营成本'!$C16)</f>
        <v>0</v>
      </c>
      <c r="Q18" s="79">
        <f>E.1项目运营期费用!U17*'G.2进项增值税率-运营成本'!$C16/(1+'G.2进项增值税率-运营成本'!$C16)</f>
        <v>0</v>
      </c>
      <c r="R18" s="79">
        <f>E.1项目运营期费用!V17*'G.2进项增值税率-运营成本'!$C16/(1+'G.2进项增值税率-运营成本'!$C16)</f>
        <v>0</v>
      </c>
      <c r="S18" s="79">
        <f>E.1项目运营期费用!W17*'G.2进项增值税率-运营成本'!$C16/(1+'G.2进项增值税率-运营成本'!$C16)</f>
        <v>0</v>
      </c>
      <c r="T18" s="79">
        <f>E.1项目运营期费用!X17*'G.2进项增值税率-运营成本'!$C16/(1+'G.2进项增值税率-运营成本'!$C16)</f>
        <v>0</v>
      </c>
      <c r="U18" s="79">
        <f>E.1项目运营期费用!Y17*'G.2进项增值税率-运营成本'!$C16/(1+'G.2进项增值税率-运营成本'!$C16)</f>
        <v>0</v>
      </c>
      <c r="V18" s="79">
        <f>E.1项目运营期费用!Z17*'G.2进项增值税率-运营成本'!$C16/(1+'G.2进项增值税率-运营成本'!$C16)</f>
        <v>0</v>
      </c>
      <c r="W18" s="79">
        <f>E.1项目运营期费用!AA17*'G.2进项增值税率-运营成本'!$C16/(1+'G.2进项增值税率-运营成本'!$C16)</f>
        <v>0</v>
      </c>
      <c r="X18" s="79">
        <f>E.1项目运营期费用!AB17*'G.2进项增值税率-运营成本'!$C16/(1+'G.2进项增值税率-运营成本'!$C16)</f>
        <v>0</v>
      </c>
      <c r="Y18" s="79">
        <f>E.1项目运营期费用!AC17*'G.2进项增值税率-运营成本'!$C16/(1+'G.2进项增值税率-运营成本'!$C16)</f>
        <v>0</v>
      </c>
      <c r="Z18" s="79">
        <f>E.1项目运营期费用!AD17*'G.2进项增值税率-运营成本'!$C16/(1+'G.2进项增值税率-运营成本'!$C16)</f>
        <v>0</v>
      </c>
      <c r="AA18" s="79">
        <f>E.1项目运营期费用!AE17*'G.2进项增值税率-运营成本'!$C16/(1+'G.2进项增值税率-运营成本'!$C16)</f>
        <v>0</v>
      </c>
    </row>
    <row r="19" ht="16.5" customHeight="1" spans="1:27">
      <c r="A19" s="8"/>
      <c r="B19" s="77" t="s">
        <v>268</v>
      </c>
      <c r="C19" s="8"/>
      <c r="D19" s="78">
        <f>E.1项目运营期费用!H18*'G.2进项增值税率-运营成本'!$C17/(1+'G.2进项增值税率-运营成本'!$C17)</f>
        <v>0</v>
      </c>
      <c r="E19" s="79">
        <f>E.1项目运营期费用!I18*'G.2进项增值税率-运营成本'!$C17/(1+'G.2进项增值税率-运营成本'!$C17)</f>
        <v>0</v>
      </c>
      <c r="F19" s="79">
        <f>E.1项目运营期费用!J18*'G.2进项增值税率-运营成本'!$C17/(1+'G.2进项增值税率-运营成本'!$C17)</f>
        <v>0</v>
      </c>
      <c r="G19" s="79">
        <f>E.1项目运营期费用!K18*'G.2进项增值税率-运营成本'!$C17/(1+'G.2进项增值税率-运营成本'!$C17)</f>
        <v>0</v>
      </c>
      <c r="H19" s="79">
        <f>E.1项目运营期费用!L18*'G.2进项增值税率-运营成本'!$C17/(1+'G.2进项增值税率-运营成本'!$C17)</f>
        <v>0</v>
      </c>
      <c r="I19" s="79">
        <f>E.1项目运营期费用!M18*'G.2进项增值税率-运营成本'!$C17/(1+'G.2进项增值税率-运营成本'!$C17)</f>
        <v>0</v>
      </c>
      <c r="J19" s="79">
        <f>E.1项目运营期费用!N18*'G.2进项增值税率-运营成本'!$C17/(1+'G.2进项增值税率-运营成本'!$C17)</f>
        <v>0</v>
      </c>
      <c r="K19" s="79">
        <f>E.1项目运营期费用!O18*'G.2进项增值税率-运营成本'!$C17/(1+'G.2进项增值税率-运营成本'!$C17)</f>
        <v>0</v>
      </c>
      <c r="L19" s="79">
        <f>E.1项目运营期费用!P18*'G.2进项增值税率-运营成本'!$C17/(1+'G.2进项增值税率-运营成本'!$C17)</f>
        <v>0</v>
      </c>
      <c r="M19" s="79">
        <f>E.1项目运营期费用!Q18*'G.2进项增值税率-运营成本'!$C17/(1+'G.2进项增值税率-运营成本'!$C17)</f>
        <v>0</v>
      </c>
      <c r="N19" s="79">
        <f>E.1项目运营期费用!R18*'G.2进项增值税率-运营成本'!$C17/(1+'G.2进项增值税率-运营成本'!$C17)</f>
        <v>0</v>
      </c>
      <c r="O19" s="79">
        <f>E.1项目运营期费用!S18*'G.2进项增值税率-运营成本'!$C17/(1+'G.2进项增值税率-运营成本'!$C17)</f>
        <v>0</v>
      </c>
      <c r="P19" s="79">
        <f>E.1项目运营期费用!T18*'G.2进项增值税率-运营成本'!$C17/(1+'G.2进项增值税率-运营成本'!$C17)</f>
        <v>0</v>
      </c>
      <c r="Q19" s="79">
        <f>E.1项目运营期费用!U18*'G.2进项增值税率-运营成本'!$C17/(1+'G.2进项增值税率-运营成本'!$C17)</f>
        <v>0</v>
      </c>
      <c r="R19" s="79">
        <f>E.1项目运营期费用!V18*'G.2进项增值税率-运营成本'!$C17/(1+'G.2进项增值税率-运营成本'!$C17)</f>
        <v>0</v>
      </c>
      <c r="S19" s="79">
        <f>E.1项目运营期费用!W18*'G.2进项增值税率-运营成本'!$C17/(1+'G.2进项增值税率-运营成本'!$C17)</f>
        <v>0</v>
      </c>
      <c r="T19" s="79">
        <f>E.1项目运营期费用!X18*'G.2进项增值税率-运营成本'!$C17/(1+'G.2进项增值税率-运营成本'!$C17)</f>
        <v>0</v>
      </c>
      <c r="U19" s="79">
        <f>E.1项目运营期费用!Y18*'G.2进项增值税率-运营成本'!$C17/(1+'G.2进项增值税率-运营成本'!$C17)</f>
        <v>0</v>
      </c>
      <c r="V19" s="79">
        <f>E.1项目运营期费用!Z18*'G.2进项增值税率-运营成本'!$C17/(1+'G.2进项增值税率-运营成本'!$C17)</f>
        <v>0</v>
      </c>
      <c r="W19" s="79">
        <f>E.1项目运营期费用!AA18*'G.2进项增值税率-运营成本'!$C17/(1+'G.2进项增值税率-运营成本'!$C17)</f>
        <v>0</v>
      </c>
      <c r="X19" s="79">
        <f>E.1项目运营期费用!AB18*'G.2进项增值税率-运营成本'!$C17/(1+'G.2进项增值税率-运营成本'!$C17)</f>
        <v>0</v>
      </c>
      <c r="Y19" s="79">
        <f>E.1项目运营期费用!AC18*'G.2进项增值税率-运营成本'!$C17/(1+'G.2进项增值税率-运营成本'!$C17)</f>
        <v>0</v>
      </c>
      <c r="Z19" s="79">
        <f>E.1项目运营期费用!AD18*'G.2进项增值税率-运营成本'!$C17/(1+'G.2进项增值税率-运营成本'!$C17)</f>
        <v>0</v>
      </c>
      <c r="AA19" s="79">
        <f>E.1项目运营期费用!AE18*'G.2进项增值税率-运营成本'!$C17/(1+'G.2进项增值税率-运营成本'!$C17)</f>
        <v>0</v>
      </c>
    </row>
    <row r="20" ht="16.5" customHeight="1" spans="1:27">
      <c r="A20" s="8"/>
      <c r="B20" s="77" t="s">
        <v>271</v>
      </c>
      <c r="C20" s="8"/>
      <c r="D20" s="78">
        <f>E.1项目运营期费用!H19*'G.2进项增值税率-运营成本'!$C18/(1+'G.2进项增值税率-运营成本'!$C18)</f>
        <v>0</v>
      </c>
      <c r="E20" s="79">
        <f>E.1项目运营期费用!I19*'G.2进项增值税率-运营成本'!$C18/(1+'G.2进项增值税率-运营成本'!$C18)</f>
        <v>0</v>
      </c>
      <c r="F20" s="79">
        <f>E.1项目运营期费用!J19*'G.2进项增值税率-运营成本'!$C18/(1+'G.2进项增值税率-运营成本'!$C18)</f>
        <v>0</v>
      </c>
      <c r="G20" s="79">
        <f>E.1项目运营期费用!K19*'G.2进项增值税率-运营成本'!$C18/(1+'G.2进项增值税率-运营成本'!$C18)</f>
        <v>0</v>
      </c>
      <c r="H20" s="79">
        <f>E.1项目运营期费用!L19*'G.2进项增值税率-运营成本'!$C18/(1+'G.2进项增值税率-运营成本'!$C18)</f>
        <v>0</v>
      </c>
      <c r="I20" s="79">
        <f>E.1项目运营期费用!M19*'G.2进项增值税率-运营成本'!$C18/(1+'G.2进项增值税率-运营成本'!$C18)</f>
        <v>0</v>
      </c>
      <c r="J20" s="79">
        <f>E.1项目运营期费用!N19*'G.2进项增值税率-运营成本'!$C18/(1+'G.2进项增值税率-运营成本'!$C18)</f>
        <v>0</v>
      </c>
      <c r="K20" s="79">
        <f>E.1项目运营期费用!O19*'G.2进项增值税率-运营成本'!$C18/(1+'G.2进项增值税率-运营成本'!$C18)</f>
        <v>0</v>
      </c>
      <c r="L20" s="79">
        <f>E.1项目运营期费用!P19*'G.2进项增值税率-运营成本'!$C18/(1+'G.2进项增值税率-运营成本'!$C18)</f>
        <v>0</v>
      </c>
      <c r="M20" s="79">
        <f>E.1项目运营期费用!Q19*'G.2进项增值税率-运营成本'!$C18/(1+'G.2进项增值税率-运营成本'!$C18)</f>
        <v>0</v>
      </c>
      <c r="N20" s="79">
        <f>E.1项目运营期费用!R19*'G.2进项增值税率-运营成本'!$C18/(1+'G.2进项增值税率-运营成本'!$C18)</f>
        <v>0</v>
      </c>
      <c r="O20" s="79">
        <f>E.1项目运营期费用!S19*'G.2进项增值税率-运营成本'!$C18/(1+'G.2进项增值税率-运营成本'!$C18)</f>
        <v>0</v>
      </c>
      <c r="P20" s="79">
        <f>E.1项目运营期费用!T19*'G.2进项增值税率-运营成本'!$C18/(1+'G.2进项增值税率-运营成本'!$C18)</f>
        <v>0</v>
      </c>
      <c r="Q20" s="79">
        <f>E.1项目运营期费用!U19*'G.2进项增值税率-运营成本'!$C18/(1+'G.2进项增值税率-运营成本'!$C18)</f>
        <v>0</v>
      </c>
      <c r="R20" s="79">
        <f>E.1项目运营期费用!V19*'G.2进项增值税率-运营成本'!$C18/(1+'G.2进项增值税率-运营成本'!$C18)</f>
        <v>0</v>
      </c>
      <c r="S20" s="79">
        <f>E.1项目运营期费用!W19*'G.2进项增值税率-运营成本'!$C18/(1+'G.2进项增值税率-运营成本'!$C18)</f>
        <v>0</v>
      </c>
      <c r="T20" s="79">
        <f>E.1项目运营期费用!X19*'G.2进项增值税率-运营成本'!$C18/(1+'G.2进项增值税率-运营成本'!$C18)</f>
        <v>0</v>
      </c>
      <c r="U20" s="79">
        <f>E.1项目运营期费用!Y19*'G.2进项增值税率-运营成本'!$C18/(1+'G.2进项增值税率-运营成本'!$C18)</f>
        <v>0</v>
      </c>
      <c r="V20" s="79">
        <f>E.1项目运营期费用!Z19*'G.2进项增值税率-运营成本'!$C18/(1+'G.2进项增值税率-运营成本'!$C18)</f>
        <v>0</v>
      </c>
      <c r="W20" s="79">
        <f>E.1项目运营期费用!AA19*'G.2进项增值税率-运营成本'!$C18/(1+'G.2进项增值税率-运营成本'!$C18)</f>
        <v>0</v>
      </c>
      <c r="X20" s="79">
        <f>E.1项目运营期费用!AB19*'G.2进项增值税率-运营成本'!$C18/(1+'G.2进项增值税率-运营成本'!$C18)</f>
        <v>0</v>
      </c>
      <c r="Y20" s="79">
        <f>E.1项目运营期费用!AC19*'G.2进项增值税率-运营成本'!$C18/(1+'G.2进项增值税率-运营成本'!$C18)</f>
        <v>0</v>
      </c>
      <c r="Z20" s="79">
        <f>E.1项目运营期费用!AD19*'G.2进项增值税率-运营成本'!$C18/(1+'G.2进项增值税率-运营成本'!$C18)</f>
        <v>0</v>
      </c>
      <c r="AA20" s="79">
        <f>E.1项目运营期费用!AE19*'G.2进项增值税率-运营成本'!$C18/(1+'G.2进项增值税率-运营成本'!$C18)</f>
        <v>0</v>
      </c>
    </row>
    <row r="21" ht="16.5" customHeight="1" spans="1:27">
      <c r="A21" s="8"/>
      <c r="B21" s="77" t="s">
        <v>273</v>
      </c>
      <c r="C21" s="8"/>
      <c r="D21" s="78">
        <f>E.1项目运营期费用!H20*'G.2进项增值税率-运营成本'!$C19/(1+'G.2进项增值税率-运营成本'!$C19)</f>
        <v>0</v>
      </c>
      <c r="E21" s="79">
        <f>E.1项目运营期费用!I20*'G.2进项增值税率-运营成本'!$C19/(1+'G.2进项增值税率-运营成本'!$C19)</f>
        <v>0</v>
      </c>
      <c r="F21" s="79">
        <f>E.1项目运营期费用!J20*'G.2进项增值税率-运营成本'!$C19/(1+'G.2进项增值税率-运营成本'!$C19)</f>
        <v>0</v>
      </c>
      <c r="G21" s="79">
        <f>E.1项目运营期费用!K20*'G.2进项增值税率-运营成本'!$C19/(1+'G.2进项增值税率-运营成本'!$C19)</f>
        <v>0</v>
      </c>
      <c r="H21" s="79">
        <f>E.1项目运营期费用!L20*'G.2进项增值税率-运营成本'!$C19/(1+'G.2进项增值税率-运营成本'!$C19)</f>
        <v>0</v>
      </c>
      <c r="I21" s="79">
        <f>E.1项目运营期费用!M20*'G.2进项增值税率-运营成本'!$C19/(1+'G.2进项增值税率-运营成本'!$C19)</f>
        <v>0</v>
      </c>
      <c r="J21" s="79">
        <f>E.1项目运营期费用!N20*'G.2进项增值税率-运营成本'!$C19/(1+'G.2进项增值税率-运营成本'!$C19)</f>
        <v>0</v>
      </c>
      <c r="K21" s="79">
        <f>E.1项目运营期费用!O20*'G.2进项增值税率-运营成本'!$C19/(1+'G.2进项增值税率-运营成本'!$C19)</f>
        <v>0</v>
      </c>
      <c r="L21" s="79">
        <f>E.1项目运营期费用!P20*'G.2进项增值税率-运营成本'!$C19/(1+'G.2进项增值税率-运营成本'!$C19)</f>
        <v>0</v>
      </c>
      <c r="M21" s="79">
        <f>E.1项目运营期费用!Q20*'G.2进项增值税率-运营成本'!$C19/(1+'G.2进项增值税率-运营成本'!$C19)</f>
        <v>0</v>
      </c>
      <c r="N21" s="79">
        <f>E.1项目运营期费用!R20*'G.2进项增值税率-运营成本'!$C19/(1+'G.2进项增值税率-运营成本'!$C19)</f>
        <v>0</v>
      </c>
      <c r="O21" s="79">
        <f>E.1项目运营期费用!S20*'G.2进项增值税率-运营成本'!$C19/(1+'G.2进项增值税率-运营成本'!$C19)</f>
        <v>0</v>
      </c>
      <c r="P21" s="79">
        <f>E.1项目运营期费用!T20*'G.2进项增值税率-运营成本'!$C19/(1+'G.2进项增值税率-运营成本'!$C19)</f>
        <v>0</v>
      </c>
      <c r="Q21" s="79">
        <f>E.1项目运营期费用!U20*'G.2进项增值税率-运营成本'!$C19/(1+'G.2进项增值税率-运营成本'!$C19)</f>
        <v>0</v>
      </c>
      <c r="R21" s="79">
        <f>E.1项目运营期费用!V20*'G.2进项增值税率-运营成本'!$C19/(1+'G.2进项增值税率-运营成本'!$C19)</f>
        <v>0</v>
      </c>
      <c r="S21" s="79">
        <f>E.1项目运营期费用!W20*'G.2进项增值税率-运营成本'!$C19/(1+'G.2进项增值税率-运营成本'!$C19)</f>
        <v>0</v>
      </c>
      <c r="T21" s="79">
        <f>E.1项目运营期费用!X20*'G.2进项增值税率-运营成本'!$C19/(1+'G.2进项增值税率-运营成本'!$C19)</f>
        <v>0</v>
      </c>
      <c r="U21" s="79">
        <f>E.1项目运营期费用!Y20*'G.2进项增值税率-运营成本'!$C19/(1+'G.2进项增值税率-运营成本'!$C19)</f>
        <v>0</v>
      </c>
      <c r="V21" s="79">
        <f>E.1项目运营期费用!Z20*'G.2进项增值税率-运营成本'!$C19/(1+'G.2进项增值税率-运营成本'!$C19)</f>
        <v>0</v>
      </c>
      <c r="W21" s="79">
        <f>E.1项目运营期费用!AA20*'G.2进项增值税率-运营成本'!$C19/(1+'G.2进项增值税率-运营成本'!$C19)</f>
        <v>0</v>
      </c>
      <c r="X21" s="79">
        <f>E.1项目运营期费用!AB20*'G.2进项增值税率-运营成本'!$C19/(1+'G.2进项增值税率-运营成本'!$C19)</f>
        <v>0</v>
      </c>
      <c r="Y21" s="79">
        <f>E.1项目运营期费用!AC20*'G.2进项增值税率-运营成本'!$C19/(1+'G.2进项增值税率-运营成本'!$C19)</f>
        <v>0</v>
      </c>
      <c r="Z21" s="79">
        <f>E.1项目运营期费用!AD20*'G.2进项增值税率-运营成本'!$C19/(1+'G.2进项增值税率-运营成本'!$C19)</f>
        <v>0</v>
      </c>
      <c r="AA21" s="79">
        <f>E.1项目运营期费用!AE20*'G.2进项增值税率-运营成本'!$C19/(1+'G.2进项增值税率-运营成本'!$C19)</f>
        <v>0</v>
      </c>
    </row>
    <row r="22" ht="16.5" customHeight="1" spans="1:27">
      <c r="A22" s="8"/>
      <c r="B22" s="77" t="s">
        <v>275</v>
      </c>
      <c r="C22" s="8"/>
      <c r="D22" s="78">
        <f>E.1项目运营期费用!H21*'G.2进项增值税率-运营成本'!$C20/(1+'G.2进项增值税率-运营成本'!$C20)</f>
        <v>0</v>
      </c>
      <c r="E22" s="79">
        <f>E.1项目运营期费用!I21*'G.2进项增值税率-运营成本'!$C20/(1+'G.2进项增值税率-运营成本'!$C20)</f>
        <v>0</v>
      </c>
      <c r="F22" s="79">
        <f>E.1项目运营期费用!J21*'G.2进项增值税率-运营成本'!$C20/(1+'G.2进项增值税率-运营成本'!$C20)</f>
        <v>0</v>
      </c>
      <c r="G22" s="79">
        <f>E.1项目运营期费用!K21*'G.2进项增值税率-运营成本'!$C20/(1+'G.2进项增值税率-运营成本'!$C20)</f>
        <v>0</v>
      </c>
      <c r="H22" s="79">
        <f>E.1项目运营期费用!L21*'G.2进项增值税率-运营成本'!$C20/(1+'G.2进项增值税率-运营成本'!$C20)</f>
        <v>0</v>
      </c>
      <c r="I22" s="79">
        <f>E.1项目运营期费用!M21*'G.2进项增值税率-运营成本'!$C20/(1+'G.2进项增值税率-运营成本'!$C20)</f>
        <v>0</v>
      </c>
      <c r="J22" s="79">
        <f>E.1项目运营期费用!N21*'G.2进项增值税率-运营成本'!$C20/(1+'G.2进项增值税率-运营成本'!$C20)</f>
        <v>0</v>
      </c>
      <c r="K22" s="79">
        <f>E.1项目运营期费用!O21*'G.2进项增值税率-运营成本'!$C20/(1+'G.2进项增值税率-运营成本'!$C20)</f>
        <v>0</v>
      </c>
      <c r="L22" s="79">
        <f>E.1项目运营期费用!P21*'G.2进项增值税率-运营成本'!$C20/(1+'G.2进项增值税率-运营成本'!$C20)</f>
        <v>0</v>
      </c>
      <c r="M22" s="79">
        <f>E.1项目运营期费用!Q21*'G.2进项增值税率-运营成本'!$C20/(1+'G.2进项增值税率-运营成本'!$C20)</f>
        <v>0</v>
      </c>
      <c r="N22" s="79">
        <f>E.1项目运营期费用!R21*'G.2进项增值税率-运营成本'!$C20/(1+'G.2进项增值税率-运营成本'!$C20)</f>
        <v>0</v>
      </c>
      <c r="O22" s="79">
        <f>E.1项目运营期费用!S21*'G.2进项增值税率-运营成本'!$C20/(1+'G.2进项增值税率-运营成本'!$C20)</f>
        <v>0</v>
      </c>
      <c r="P22" s="79">
        <f>E.1项目运营期费用!T21*'G.2进项增值税率-运营成本'!$C20/(1+'G.2进项增值税率-运营成本'!$C20)</f>
        <v>0</v>
      </c>
      <c r="Q22" s="79">
        <f>E.1项目运营期费用!U21*'G.2进项增值税率-运营成本'!$C20/(1+'G.2进项增值税率-运营成本'!$C20)</f>
        <v>0</v>
      </c>
      <c r="R22" s="79">
        <f>E.1项目运营期费用!V21*'G.2进项增值税率-运营成本'!$C20/(1+'G.2进项增值税率-运营成本'!$C20)</f>
        <v>0</v>
      </c>
      <c r="S22" s="79">
        <f>E.1项目运营期费用!W21*'G.2进项增值税率-运营成本'!$C20/(1+'G.2进项增值税率-运营成本'!$C20)</f>
        <v>0</v>
      </c>
      <c r="T22" s="79">
        <f>E.1项目运营期费用!X21*'G.2进项增值税率-运营成本'!$C20/(1+'G.2进项增值税率-运营成本'!$C20)</f>
        <v>0</v>
      </c>
      <c r="U22" s="79">
        <f>E.1项目运营期费用!Y21*'G.2进项增值税率-运营成本'!$C20/(1+'G.2进项增值税率-运营成本'!$C20)</f>
        <v>0</v>
      </c>
      <c r="V22" s="79">
        <f>E.1项目运营期费用!Z21*'G.2进项增值税率-运营成本'!$C20/(1+'G.2进项增值税率-运营成本'!$C20)</f>
        <v>0</v>
      </c>
      <c r="W22" s="79">
        <f>E.1项目运营期费用!AA21*'G.2进项增值税率-运营成本'!$C20/(1+'G.2进项增值税率-运营成本'!$C20)</f>
        <v>0</v>
      </c>
      <c r="X22" s="79">
        <f>E.1项目运营期费用!AB21*'G.2进项增值税率-运营成本'!$C20/(1+'G.2进项增值税率-运营成本'!$C20)</f>
        <v>0</v>
      </c>
      <c r="Y22" s="79">
        <f>E.1项目运营期费用!AC21*'G.2进项增值税率-运营成本'!$C20/(1+'G.2进项增值税率-运营成本'!$C20)</f>
        <v>0</v>
      </c>
      <c r="Z22" s="79">
        <f>E.1项目运营期费用!AD21*'G.2进项增值税率-运营成本'!$C20/(1+'G.2进项增值税率-运营成本'!$C20)</f>
        <v>0</v>
      </c>
      <c r="AA22" s="79">
        <f>E.1项目运营期费用!AE21*'G.2进项增值税率-运营成本'!$C20/(1+'G.2进项增值税率-运营成本'!$C20)</f>
        <v>0</v>
      </c>
    </row>
    <row r="23" ht="16.5" customHeight="1" spans="1:27">
      <c r="A23" s="8"/>
      <c r="B23" s="77" t="s">
        <v>278</v>
      </c>
      <c r="C23" s="8"/>
      <c r="D23" s="78">
        <f>E.1项目运营期费用!H22*'G.2进项增值税率-运营成本'!$C21/(1+'G.2进项增值税率-运营成本'!$C21)</f>
        <v>0</v>
      </c>
      <c r="E23" s="79">
        <f>E.1项目运营期费用!I22*'G.2进项增值税率-运营成本'!$C21/(1+'G.2进项增值税率-运营成本'!$C21)</f>
        <v>0</v>
      </c>
      <c r="F23" s="79">
        <f>E.1项目运营期费用!J22*'G.2进项增值税率-运营成本'!$C21/(1+'G.2进项增值税率-运营成本'!$C21)</f>
        <v>0</v>
      </c>
      <c r="G23" s="79">
        <f>E.1项目运营期费用!K22*'G.2进项增值税率-运营成本'!$C21/(1+'G.2进项增值税率-运营成本'!$C21)</f>
        <v>0</v>
      </c>
      <c r="H23" s="79">
        <f>E.1项目运营期费用!L22*'G.2进项增值税率-运营成本'!$C21/(1+'G.2进项增值税率-运营成本'!$C21)</f>
        <v>0</v>
      </c>
      <c r="I23" s="79">
        <f>E.1项目运营期费用!M22*'G.2进项增值税率-运营成本'!$C21/(1+'G.2进项增值税率-运营成本'!$C21)</f>
        <v>0</v>
      </c>
      <c r="J23" s="79">
        <f>E.1项目运营期费用!N22*'G.2进项增值税率-运营成本'!$C21/(1+'G.2进项增值税率-运营成本'!$C21)</f>
        <v>0</v>
      </c>
      <c r="K23" s="79">
        <f>E.1项目运营期费用!O22*'G.2进项增值税率-运营成本'!$C21/(1+'G.2进项增值税率-运营成本'!$C21)</f>
        <v>0</v>
      </c>
      <c r="L23" s="79">
        <f>E.1项目运营期费用!P22*'G.2进项增值税率-运营成本'!$C21/(1+'G.2进项增值税率-运营成本'!$C21)</f>
        <v>0</v>
      </c>
      <c r="M23" s="79">
        <f>E.1项目运营期费用!Q22*'G.2进项增值税率-运营成本'!$C21/(1+'G.2进项增值税率-运营成本'!$C21)</f>
        <v>0</v>
      </c>
      <c r="N23" s="79">
        <f>E.1项目运营期费用!R22*'G.2进项增值税率-运营成本'!$C21/(1+'G.2进项增值税率-运营成本'!$C21)</f>
        <v>0</v>
      </c>
      <c r="O23" s="79">
        <f>E.1项目运营期费用!S22*'G.2进项增值税率-运营成本'!$C21/(1+'G.2进项增值税率-运营成本'!$C21)</f>
        <v>0</v>
      </c>
      <c r="P23" s="79">
        <f>E.1项目运营期费用!T22*'G.2进项增值税率-运营成本'!$C21/(1+'G.2进项增值税率-运营成本'!$C21)</f>
        <v>0</v>
      </c>
      <c r="Q23" s="79">
        <f>E.1项目运营期费用!U22*'G.2进项增值税率-运营成本'!$C21/(1+'G.2进项增值税率-运营成本'!$C21)</f>
        <v>0</v>
      </c>
      <c r="R23" s="79">
        <f>E.1项目运营期费用!V22*'G.2进项增值税率-运营成本'!$C21/(1+'G.2进项增值税率-运营成本'!$C21)</f>
        <v>0</v>
      </c>
      <c r="S23" s="79">
        <f>E.1项目运营期费用!W22*'G.2进项增值税率-运营成本'!$C21/(1+'G.2进项增值税率-运营成本'!$C21)</f>
        <v>0</v>
      </c>
      <c r="T23" s="79">
        <f>E.1项目运营期费用!X22*'G.2进项增值税率-运营成本'!$C21/(1+'G.2进项增值税率-运营成本'!$C21)</f>
        <v>0</v>
      </c>
      <c r="U23" s="79">
        <f>E.1项目运营期费用!Y22*'G.2进项增值税率-运营成本'!$C21/(1+'G.2进项增值税率-运营成本'!$C21)</f>
        <v>0</v>
      </c>
      <c r="V23" s="79">
        <f>E.1项目运营期费用!Z22*'G.2进项增值税率-运营成本'!$C21/(1+'G.2进项增值税率-运营成本'!$C21)</f>
        <v>0</v>
      </c>
      <c r="W23" s="79">
        <f>E.1项目运营期费用!AA22*'G.2进项增值税率-运营成本'!$C21/(1+'G.2进项增值税率-运营成本'!$C21)</f>
        <v>0</v>
      </c>
      <c r="X23" s="79">
        <f>E.1项目运营期费用!AB22*'G.2进项增值税率-运营成本'!$C21/(1+'G.2进项增值税率-运营成本'!$C21)</f>
        <v>0</v>
      </c>
      <c r="Y23" s="79">
        <f>E.1项目运营期费用!AC22*'G.2进项增值税率-运营成本'!$C21/(1+'G.2进项增值税率-运营成本'!$C21)</f>
        <v>0</v>
      </c>
      <c r="Z23" s="79">
        <f>E.1项目运营期费用!AD22*'G.2进项增值税率-运营成本'!$C21/(1+'G.2进项增值税率-运营成本'!$C21)</f>
        <v>0</v>
      </c>
      <c r="AA23" s="79">
        <f>E.1项目运营期费用!AE22*'G.2进项增值税率-运营成本'!$C21/(1+'G.2进项增值税率-运营成本'!$C21)</f>
        <v>0</v>
      </c>
    </row>
    <row r="24" ht="16.5" customHeight="1" spans="1:27">
      <c r="A24" s="8"/>
      <c r="B24" s="77" t="s">
        <v>280</v>
      </c>
      <c r="C24" s="8"/>
      <c r="D24" s="78">
        <f>E.1项目运营期费用!H23*'G.2进项增值税率-运营成本'!$C22/(1+'G.2进项增值税率-运营成本'!$C22)</f>
        <v>0</v>
      </c>
      <c r="E24" s="79">
        <f>E.1项目运营期费用!I23*'G.2进项增值税率-运营成本'!$C22/(1+'G.2进项增值税率-运营成本'!$C22)</f>
        <v>0</v>
      </c>
      <c r="F24" s="79">
        <f>E.1项目运营期费用!J23*'G.2进项增值税率-运营成本'!$C22/(1+'G.2进项增值税率-运营成本'!$C22)</f>
        <v>0</v>
      </c>
      <c r="G24" s="79">
        <f>E.1项目运营期费用!K23*'G.2进项增值税率-运营成本'!$C22/(1+'G.2进项增值税率-运营成本'!$C22)</f>
        <v>0</v>
      </c>
      <c r="H24" s="79">
        <f>E.1项目运营期费用!L23*'G.2进项增值税率-运营成本'!$C22/(1+'G.2进项增值税率-运营成本'!$C22)</f>
        <v>0</v>
      </c>
      <c r="I24" s="79">
        <f>E.1项目运营期费用!M23*'G.2进项增值税率-运营成本'!$C22/(1+'G.2进项增值税率-运营成本'!$C22)</f>
        <v>0</v>
      </c>
      <c r="J24" s="79">
        <f>E.1项目运营期费用!N23*'G.2进项增值税率-运营成本'!$C22/(1+'G.2进项增值税率-运营成本'!$C22)</f>
        <v>0</v>
      </c>
      <c r="K24" s="79">
        <f>E.1项目运营期费用!O23*'G.2进项增值税率-运营成本'!$C22/(1+'G.2进项增值税率-运营成本'!$C22)</f>
        <v>0</v>
      </c>
      <c r="L24" s="79">
        <f>E.1项目运营期费用!P23*'G.2进项增值税率-运营成本'!$C22/(1+'G.2进项增值税率-运营成本'!$C22)</f>
        <v>0</v>
      </c>
      <c r="M24" s="79">
        <f>E.1项目运营期费用!Q23*'G.2进项增值税率-运营成本'!$C22/(1+'G.2进项增值税率-运营成本'!$C22)</f>
        <v>0</v>
      </c>
      <c r="N24" s="79">
        <f>E.1项目运营期费用!R23*'G.2进项增值税率-运营成本'!$C22/(1+'G.2进项增值税率-运营成本'!$C22)</f>
        <v>0</v>
      </c>
      <c r="O24" s="79">
        <f>E.1项目运营期费用!S23*'G.2进项增值税率-运营成本'!$C22/(1+'G.2进项增值税率-运营成本'!$C22)</f>
        <v>0</v>
      </c>
      <c r="P24" s="79">
        <f>E.1项目运营期费用!T23*'G.2进项增值税率-运营成本'!$C22/(1+'G.2进项增值税率-运营成本'!$C22)</f>
        <v>0</v>
      </c>
      <c r="Q24" s="79">
        <f>E.1项目运营期费用!U23*'G.2进项增值税率-运营成本'!$C22/(1+'G.2进项增值税率-运营成本'!$C22)</f>
        <v>0</v>
      </c>
      <c r="R24" s="79">
        <f>E.1项目运营期费用!V23*'G.2进项增值税率-运营成本'!$C22/(1+'G.2进项增值税率-运营成本'!$C22)</f>
        <v>0</v>
      </c>
      <c r="S24" s="79">
        <f>E.1项目运营期费用!W23*'G.2进项增值税率-运营成本'!$C22/(1+'G.2进项增值税率-运营成本'!$C22)</f>
        <v>0</v>
      </c>
      <c r="T24" s="79">
        <f>E.1项目运营期费用!X23*'G.2进项增值税率-运营成本'!$C22/(1+'G.2进项增值税率-运营成本'!$C22)</f>
        <v>0</v>
      </c>
      <c r="U24" s="79">
        <f>E.1项目运营期费用!Y23*'G.2进项增值税率-运营成本'!$C22/(1+'G.2进项增值税率-运营成本'!$C22)</f>
        <v>0</v>
      </c>
      <c r="V24" s="79">
        <f>E.1项目运营期费用!Z23*'G.2进项增值税率-运营成本'!$C22/(1+'G.2进项增值税率-运营成本'!$C22)</f>
        <v>0</v>
      </c>
      <c r="W24" s="79">
        <f>E.1项目运营期费用!AA23*'G.2进项增值税率-运营成本'!$C22/(1+'G.2进项增值税率-运营成本'!$C22)</f>
        <v>0</v>
      </c>
      <c r="X24" s="79">
        <f>E.1项目运营期费用!AB23*'G.2进项增值税率-运营成本'!$C22/(1+'G.2进项增值税率-运营成本'!$C22)</f>
        <v>0</v>
      </c>
      <c r="Y24" s="79">
        <f>E.1项目运营期费用!AC23*'G.2进项增值税率-运营成本'!$C22/(1+'G.2进项增值税率-运营成本'!$C22)</f>
        <v>0</v>
      </c>
      <c r="Z24" s="79">
        <f>E.1项目运营期费用!AD23*'G.2进项增值税率-运营成本'!$C22/(1+'G.2进项增值税率-运营成本'!$C22)</f>
        <v>0</v>
      </c>
      <c r="AA24" s="79">
        <f>E.1项目运营期费用!AE23*'G.2进项增值税率-运营成本'!$C22/(1+'G.2进项增值税率-运营成本'!$C22)</f>
        <v>0</v>
      </c>
    </row>
    <row r="25" ht="16.5" customHeight="1" spans="1:27">
      <c r="A25" s="8">
        <v>2</v>
      </c>
      <c r="B25" s="8" t="s">
        <v>448</v>
      </c>
      <c r="C25" s="8"/>
      <c r="D25" s="40">
        <f>(SUM(D26:D28))</f>
        <v>0</v>
      </c>
      <c r="E25" s="40">
        <f>(SUM(E26:E28))</f>
        <v>0</v>
      </c>
      <c r="F25" s="40">
        <f>(SUM(F26:F28))</f>
        <v>30.1564528301887</v>
      </c>
      <c r="G25" s="40">
        <f>(SUM(G26:G28))</f>
        <v>68.9294716981132</v>
      </c>
      <c r="H25" s="40">
        <f t="shared" ref="H25:AA25" si="1">SUM(H26:H28)</f>
        <v>111.126226415094</v>
      </c>
      <c r="I25" s="40">
        <f t="shared" si="1"/>
        <v>112.237488679245</v>
      </c>
      <c r="J25" s="40">
        <f t="shared" si="1"/>
        <v>113.359863566038</v>
      </c>
      <c r="K25" s="40">
        <f t="shared" si="1"/>
        <v>114.493462201698</v>
      </c>
      <c r="L25" s="40">
        <f t="shared" si="1"/>
        <v>115.638396823715</v>
      </c>
      <c r="M25" s="40">
        <f t="shared" si="1"/>
        <v>116.794780791952</v>
      </c>
      <c r="N25" s="40">
        <f t="shared" si="1"/>
        <v>117.962728599872</v>
      </c>
      <c r="O25" s="40">
        <f t="shared" si="1"/>
        <v>119.142355885871</v>
      </c>
      <c r="P25" s="40">
        <f t="shared" si="1"/>
        <v>120.333779444729</v>
      </c>
      <c r="Q25" s="40">
        <f t="shared" si="1"/>
        <v>121.537117239176</v>
      </c>
      <c r="R25" s="40">
        <f t="shared" si="1"/>
        <v>122.752488411568</v>
      </c>
      <c r="S25" s="40">
        <f t="shared" si="1"/>
        <v>123.980013295684</v>
      </c>
      <c r="T25" s="40">
        <f t="shared" si="1"/>
        <v>125.219813428641</v>
      </c>
      <c r="U25" s="40">
        <f t="shared" si="1"/>
        <v>126.472011562927</v>
      </c>
      <c r="V25" s="40">
        <f t="shared" si="1"/>
        <v>127.736731678557</v>
      </c>
      <c r="W25" s="40">
        <f t="shared" si="1"/>
        <v>129.014098995342</v>
      </c>
      <c r="X25" s="40">
        <f t="shared" si="1"/>
        <v>130.304239985295</v>
      </c>
      <c r="Y25" s="40">
        <f t="shared" si="1"/>
        <v>131.607282385148</v>
      </c>
      <c r="Z25" s="40">
        <f t="shared" si="1"/>
        <v>132.923355209</v>
      </c>
      <c r="AA25" s="40">
        <f t="shared" si="1"/>
        <v>134.25258876109</v>
      </c>
    </row>
    <row r="26" ht="16.5" customHeight="1" spans="1:27">
      <c r="A26" s="8"/>
      <c r="B26" s="77" t="s">
        <v>449</v>
      </c>
      <c r="C26" s="8"/>
      <c r="D26" s="81">
        <f>F项目收入!D3*G.3销项增值税率!$C3/(1+G.3销项增值税率!$C3)</f>
        <v>0</v>
      </c>
      <c r="E26" s="38">
        <f>F项目收入!E3*G.3销项增值税率!$C3/(1+G.3销项增值税率!$C3)</f>
        <v>0</v>
      </c>
      <c r="F26" s="38">
        <f>F项目收入!F3*G.3销项增值税率!$C3/(1+G.3销项增值税率!$C3)</f>
        <v>3.66792452830189</v>
      </c>
      <c r="G26" s="38">
        <f>F项目收入!G3*G.3销项增值税率!$C3/(1+G.3销项增值税率!$C3)</f>
        <v>6.11320754716981</v>
      </c>
      <c r="H26" s="38">
        <f>F项目收入!H3*G.3销项增值税率!$C3/(1+G.3销项增值税率!$C3)</f>
        <v>6.11320754716981</v>
      </c>
      <c r="I26" s="38">
        <f>F项目收入!I3*G.3销项增值税率!$C3/(1+G.3销项增值税率!$C3)</f>
        <v>6.17433962264151</v>
      </c>
      <c r="J26" s="38">
        <f>F项目收入!J3*G.3销项增值税率!$C3/(1+G.3销项增值税率!$C3)</f>
        <v>6.23608301886792</v>
      </c>
      <c r="K26" s="38">
        <f>F项目收入!K3*G.3销项增值税率!$C3/(1+G.3销项增值税率!$C3)</f>
        <v>6.2984438490566</v>
      </c>
      <c r="L26" s="38">
        <f>F项目收入!L3*G.3销项增值税率!$C3/(1+G.3销项增值税率!$C3)</f>
        <v>6.36142828754717</v>
      </c>
      <c r="M26" s="38">
        <f>F项目收入!M3*G.3销项增值税率!$C3/(1+G.3销项增值税率!$C3)</f>
        <v>6.42504257042264</v>
      </c>
      <c r="N26" s="38">
        <f>F项目收入!N3*G.3销项增值税率!$C3/(1+G.3销项增值税率!$C3)</f>
        <v>6.48929299612687</v>
      </c>
      <c r="O26" s="38">
        <f>F项目收入!O3*G.3销项增值税率!$C3/(1+G.3销项增值税率!$C3)</f>
        <v>6.55418592608814</v>
      </c>
      <c r="P26" s="38">
        <f>F项目收入!P3*G.3销项增值税率!$C3/(1+G.3销项增值税率!$C3)</f>
        <v>6.61972778534902</v>
      </c>
      <c r="Q26" s="38">
        <f>F项目收入!Q3*G.3销项增值税率!$C3/(1+G.3销项增值税率!$C3)</f>
        <v>6.68592506320251</v>
      </c>
      <c r="R26" s="38">
        <f>F项目收入!R3*G.3销项增值税率!$C3/(1+G.3销项增值税率!$C3)</f>
        <v>6.75278431383453</v>
      </c>
      <c r="S26" s="38">
        <f>F项目收入!S3*G.3销项增值税率!$C3/(1+G.3销项增值税率!$C3)</f>
        <v>6.82031215697288</v>
      </c>
      <c r="T26" s="38">
        <f>F项目收入!T3*G.3销项增值税率!$C3/(1+G.3销项增值税率!$C3)</f>
        <v>6.88851527854261</v>
      </c>
      <c r="U26" s="38">
        <f>F项目收入!U3*G.3销项增值税率!$C3/(1+G.3销项增值税率!$C3)</f>
        <v>6.95740043132804</v>
      </c>
      <c r="V26" s="38">
        <f>F项目收入!V3*G.3销项增值税率!$C3/(1+G.3销项增值税率!$C3)</f>
        <v>7.02697443564131</v>
      </c>
      <c r="W26" s="38">
        <f>F项目收入!W3*G.3销项增值税率!$C3/(1+G.3销项增值税率!$C3)</f>
        <v>7.09724417999772</v>
      </c>
      <c r="X26" s="38">
        <f>F项目收入!X3*G.3销项增值税率!$C3/(1+G.3销项增值税率!$C3)</f>
        <v>7.1682166217977</v>
      </c>
      <c r="Y26" s="38">
        <f>F项目收入!Y3*G.3销项增值税率!$C3/(1+G.3销项增值税率!$C3)</f>
        <v>7.23989878801568</v>
      </c>
      <c r="Z26" s="38">
        <f>F项目收入!Z3*G.3销项增值税率!$C3/(1+G.3销项增值税率!$C3)</f>
        <v>7.31229777589584</v>
      </c>
      <c r="AA26" s="38">
        <f>F项目收入!AA3*G.3销项增值税率!$C3/(1+G.3销项增值税率!$C3)</f>
        <v>7.3854207536548</v>
      </c>
    </row>
    <row r="27" ht="16.5" customHeight="1" spans="1:27">
      <c r="A27" s="8"/>
      <c r="B27" s="77" t="s">
        <v>450</v>
      </c>
      <c r="C27" s="8"/>
      <c r="D27" s="81">
        <f>F项目收入!D5*G.3销项增值税率!$C4/(1+G.3销项增值税率!$C4)</f>
        <v>0</v>
      </c>
      <c r="E27" s="38">
        <f>F项目收入!E5*G.3销项增值税率!$C4/(1+G.3销项增值税率!$C4)</f>
        <v>0</v>
      </c>
      <c r="F27" s="38">
        <f>F项目收入!F5*G.3销项增值税率!$C4/(1+G.3销项增值税率!$C4)</f>
        <v>22.0258867924528</v>
      </c>
      <c r="G27" s="38">
        <f>F项目收入!G5*G.3销项增值税率!$C4/(1+G.3销项增值税率!$C4)</f>
        <v>38.4204905660377</v>
      </c>
      <c r="H27" s="38">
        <f>F项目收入!H5*G.3销项增值税率!$C4/(1+G.3销项增值税率!$C4)</f>
        <v>39.5609433962264</v>
      </c>
      <c r="I27" s="38">
        <f>F项目收入!I5*G.3销项增值税率!$C4/(1+G.3销项增值税率!$C4)</f>
        <v>39.9565528301887</v>
      </c>
      <c r="J27" s="38">
        <f>F项目收入!J5*G.3销项增值税率!$C4/(1+G.3销项增值税率!$C4)</f>
        <v>40.3561183584906</v>
      </c>
      <c r="K27" s="38">
        <f>F项目收入!K5*G.3销项增值税率!$C4/(1+G.3销项增值税率!$C4)</f>
        <v>40.7596795420755</v>
      </c>
      <c r="L27" s="38">
        <f>F项目收入!L5*G.3销项增值税率!$C4/(1+G.3销项增值税率!$C4)</f>
        <v>41.1672763374962</v>
      </c>
      <c r="M27" s="38">
        <f>F项目收入!M5*G.3销项增值税率!$C4/(1+G.3销项增值税率!$C4)</f>
        <v>41.5789491008712</v>
      </c>
      <c r="N27" s="38">
        <f>F项目收入!N5*G.3销项增值税率!$C4/(1+G.3销项增值税率!$C4)</f>
        <v>41.9947385918799</v>
      </c>
      <c r="O27" s="38">
        <f>F项目收入!O5*G.3销项增值税率!$C4/(1+G.3销项增值税率!$C4)</f>
        <v>42.4146859777987</v>
      </c>
      <c r="P27" s="38">
        <f>F项目收入!P5*G.3销项增值税率!$C4/(1+G.3销项增值税率!$C4)</f>
        <v>42.8388328375767</v>
      </c>
      <c r="Q27" s="38">
        <f>F项目收入!Q5*G.3销项增值税率!$C4/(1+G.3销项增值税率!$C4)</f>
        <v>43.2672211659524</v>
      </c>
      <c r="R27" s="38">
        <f>F项目收入!R5*G.3销项增值税率!$C4/(1+G.3销项增值税率!$C4)</f>
        <v>43.6998933776119</v>
      </c>
      <c r="S27" s="38">
        <f>F项目收入!S5*G.3销项增值税率!$C4/(1+G.3销项增值税率!$C4)</f>
        <v>44.1368923113881</v>
      </c>
      <c r="T27" s="38">
        <f>F项目收入!T5*G.3销项增值税率!$C4/(1+G.3销项增值税率!$C4)</f>
        <v>44.578261234502</v>
      </c>
      <c r="U27" s="38">
        <f>F项目收入!U5*G.3销项增值税率!$C4/(1+G.3销项增值税率!$C4)</f>
        <v>45.024043846847</v>
      </c>
      <c r="V27" s="38">
        <f>F项目收入!V5*G.3销项增值税率!$C4/(1+G.3销项增值税率!$C4)</f>
        <v>45.4742842853154</v>
      </c>
      <c r="W27" s="38">
        <f>F项目收入!W5*G.3销项增值税率!$C4/(1+G.3销项增值税率!$C4)</f>
        <v>45.9290271281686</v>
      </c>
      <c r="X27" s="38">
        <f>F项目收入!X5*G.3销项增值税率!$C4/(1+G.3销项增值税率!$C4)</f>
        <v>46.3883173994503</v>
      </c>
      <c r="Y27" s="38">
        <f>F项目收入!Y5*G.3销项增值税率!$C4/(1+G.3销项增值税率!$C4)</f>
        <v>46.8522005734448</v>
      </c>
      <c r="Z27" s="38">
        <f>F项目收入!Z5*G.3销项增值税率!$C4/(1+G.3销项增值税率!$C4)</f>
        <v>47.3207225791793</v>
      </c>
      <c r="AA27" s="38">
        <f>F项目收入!AA5*G.3销项增值税率!$C4/(1+G.3销项增值税率!$C4)</f>
        <v>47.793929804971</v>
      </c>
    </row>
    <row r="28" ht="16.5" customHeight="1" spans="1:27">
      <c r="A28" s="8"/>
      <c r="B28" s="77" t="s">
        <v>451</v>
      </c>
      <c r="C28" s="8"/>
      <c r="D28" s="81">
        <f>F项目收入!D7*G.3销项增值税率!$C5/(1+G.3销项增值税率!$C5)</f>
        <v>0</v>
      </c>
      <c r="E28" s="38">
        <f>F项目收入!E7*G.3销项增值税率!$C5/(1+G.3销项增值税率!$C5)</f>
        <v>0</v>
      </c>
      <c r="F28" s="38">
        <f>F项目收入!F7*G.3销项增值税率!$C5/(1+G.3销项增值税率!$C5)</f>
        <v>4.46264150943396</v>
      </c>
      <c r="G28" s="38">
        <f>F项目收入!G7*G.3销项增值税率!$C5/(1+G.3销项增值税率!$C5)</f>
        <v>24.3957735849057</v>
      </c>
      <c r="H28" s="38">
        <f>F项目收入!H7*G.3销项增值税率!$C5/(1+G.3销项增值税率!$C5)</f>
        <v>65.4520754716981</v>
      </c>
      <c r="I28" s="38">
        <f>F项目收入!I7*G.3销项增值税率!$C5/(1+G.3销项增值税率!$C5)</f>
        <v>66.1065962264151</v>
      </c>
      <c r="J28" s="38">
        <f>F项目收入!J7*G.3销项增值税率!$C5/(1+G.3销项增值税率!$C5)</f>
        <v>66.7676621886792</v>
      </c>
      <c r="K28" s="38">
        <f>F项目收入!K7*G.3销项增值税率!$C5/(1+G.3销项增值税率!$C5)</f>
        <v>67.435338810566</v>
      </c>
      <c r="L28" s="38">
        <f>F项目收入!L7*G.3销项增值税率!$C5/(1+G.3销项增值税率!$C5)</f>
        <v>68.1096921986717</v>
      </c>
      <c r="M28" s="38">
        <f>F项目收入!M7*G.3销项增值税率!$C5/(1+G.3销项增值税率!$C5)</f>
        <v>68.7907891206583</v>
      </c>
      <c r="N28" s="38">
        <f>F项目收入!N7*G.3销项增值税率!$C5/(1+G.3销项增值税率!$C5)</f>
        <v>69.4786970118651</v>
      </c>
      <c r="O28" s="38">
        <f>F项目收入!O7*G.3销项增值税率!$C5/(1+G.3销项增值税率!$C5)</f>
        <v>70.1734839819838</v>
      </c>
      <c r="P28" s="38">
        <f>F项目收入!P7*G.3销项增值税率!$C5/(1+G.3销项增值税率!$C5)</f>
        <v>70.8752188218034</v>
      </c>
      <c r="Q28" s="38">
        <f>F项目收入!Q7*G.3销项增值税率!$C5/(1+G.3销项增值税率!$C5)</f>
        <v>71.5839710100215</v>
      </c>
      <c r="R28" s="38">
        <f>F项目收入!R7*G.3销项增值税率!$C5/(1+G.3销项增值税率!$C5)</f>
        <v>72.2998107201215</v>
      </c>
      <c r="S28" s="38">
        <f>F项目收入!S7*G.3销项增值税率!$C5/(1+G.3销项增值税率!$C5)</f>
        <v>73.022808827323</v>
      </c>
      <c r="T28" s="38">
        <f>F项目收入!T7*G.3销项增值税率!$C5/(1+G.3销项增值税率!$C5)</f>
        <v>73.7530369155962</v>
      </c>
      <c r="U28" s="38">
        <f>F项目收入!U7*G.3销项增值税率!$C5/(1+G.3销项增值税率!$C5)</f>
        <v>74.4905672847521</v>
      </c>
      <c r="V28" s="38">
        <f>F项目收入!V7*G.3销项增值税率!$C5/(1+G.3销项增值税率!$C5)</f>
        <v>75.2354729575998</v>
      </c>
      <c r="W28" s="38">
        <f>F项目收入!W7*G.3销项增值税率!$C5/(1+G.3销项增值税率!$C5)</f>
        <v>75.9878276871758</v>
      </c>
      <c r="X28" s="38">
        <f>F项目收入!X7*G.3销项增值税率!$C5/(1+G.3销项增值税率!$C5)</f>
        <v>76.7477059640474</v>
      </c>
      <c r="Y28" s="38">
        <f>F项目收入!Y7*G.3销项增值税率!$C5/(1+G.3销项增值税率!$C5)</f>
        <v>77.5151830236877</v>
      </c>
      <c r="Z28" s="38">
        <f>F项目收入!Z7*G.3销项增值税率!$C5/(1+G.3销项增值税率!$C5)</f>
        <v>78.2903348539245</v>
      </c>
      <c r="AA28" s="38">
        <f>F项目收入!AA7*G.3销项增值税率!$C5/(1+G.3销项增值税率!$C5)</f>
        <v>79.0732382024638</v>
      </c>
    </row>
    <row r="29" ht="16.5" customHeight="1" spans="1:27">
      <c r="A29" s="8">
        <v>3</v>
      </c>
      <c r="B29" s="35" t="s">
        <v>452</v>
      </c>
      <c r="C29" s="8"/>
      <c r="D29" s="35">
        <v>0</v>
      </c>
      <c r="E29" s="40">
        <f>(MAX(E25-E4-E3,0))</f>
        <v>0</v>
      </c>
      <c r="F29" s="40">
        <f>(MAX(F25-F4-F3,0))</f>
        <v>0</v>
      </c>
      <c r="G29" s="40">
        <f>(MAX(G25-G4-G3,0))</f>
        <v>0</v>
      </c>
      <c r="H29" s="40">
        <f t="shared" ref="H29:AA29" si="2">MAX(H25-H4-H3,0)</f>
        <v>0</v>
      </c>
      <c r="I29" s="40">
        <f t="shared" si="2"/>
        <v>0</v>
      </c>
      <c r="J29" s="40">
        <f t="shared" si="2"/>
        <v>0</v>
      </c>
      <c r="K29" s="40">
        <f t="shared" si="2"/>
        <v>0</v>
      </c>
      <c r="L29" s="40">
        <f t="shared" si="2"/>
        <v>0</v>
      </c>
      <c r="M29" s="40">
        <f t="shared" si="2"/>
        <v>0</v>
      </c>
      <c r="N29" s="40">
        <f t="shared" si="2"/>
        <v>0</v>
      </c>
      <c r="O29" s="40">
        <f t="shared" si="2"/>
        <v>0</v>
      </c>
      <c r="P29" s="40">
        <f t="shared" si="2"/>
        <v>0</v>
      </c>
      <c r="Q29" s="40">
        <f t="shared" si="2"/>
        <v>0</v>
      </c>
      <c r="R29" s="40">
        <f t="shared" si="2"/>
        <v>0</v>
      </c>
      <c r="S29" s="40">
        <f t="shared" si="2"/>
        <v>0</v>
      </c>
      <c r="T29" s="40">
        <f t="shared" si="2"/>
        <v>0</v>
      </c>
      <c r="U29" s="40">
        <f t="shared" si="2"/>
        <v>0</v>
      </c>
      <c r="V29" s="40">
        <f t="shared" si="2"/>
        <v>0</v>
      </c>
      <c r="W29" s="40">
        <f t="shared" si="2"/>
        <v>0</v>
      </c>
      <c r="X29" s="40">
        <f t="shared" si="2"/>
        <v>0</v>
      </c>
      <c r="Y29" s="40">
        <f t="shared" si="2"/>
        <v>0</v>
      </c>
      <c r="Z29" s="40">
        <f t="shared" si="2"/>
        <v>0</v>
      </c>
      <c r="AA29" s="40">
        <f t="shared" si="2"/>
        <v>0</v>
      </c>
    </row>
    <row r="30" ht="16.5" customHeight="1" spans="1:27">
      <c r="A30" s="8">
        <v>4</v>
      </c>
      <c r="B30" s="35" t="s">
        <v>453</v>
      </c>
      <c r="C30" s="8"/>
      <c r="D30" s="35">
        <v>0</v>
      </c>
      <c r="E30" s="40">
        <f>(E29*(A财务假设!$D$6+A财务假设!$D$7+A财务假设!$D$8))</f>
        <v>0</v>
      </c>
      <c r="F30" s="40">
        <f>(F29*(A财务假设!$D$6+A财务假设!$D$7+A财务假设!$D$8))</f>
        <v>0</v>
      </c>
      <c r="G30" s="40">
        <f>(G29*(A财务假设!$D$6+A财务假设!$D$7+A财务假设!$D$8))</f>
        <v>0</v>
      </c>
      <c r="H30" s="40">
        <f>H29*(A财务假设!$D$6+A财务假设!$D$7+A财务假设!$D$8)</f>
        <v>0</v>
      </c>
      <c r="I30" s="40">
        <f>I29*(A财务假设!$D$6+A财务假设!$D$7+A财务假设!$D$8)</f>
        <v>0</v>
      </c>
      <c r="J30" s="40">
        <f>J29*(A财务假设!$D$6+A财务假设!$D$7+A财务假设!$D$8)</f>
        <v>0</v>
      </c>
      <c r="K30" s="40">
        <f>K29*(A财务假设!$D$6+A财务假设!$D$7+A财务假设!$D$8)</f>
        <v>0</v>
      </c>
      <c r="L30" s="40">
        <f>L29*(A财务假设!$D$6+A财务假设!$D$7+A财务假设!$D$8)</f>
        <v>0</v>
      </c>
      <c r="M30" s="40">
        <f>M29*(A财务假设!$D$6+A财务假设!$D$7+A财务假设!$D$8)</f>
        <v>0</v>
      </c>
      <c r="N30" s="40">
        <f>N29*(A财务假设!$D$6+A财务假设!$D$7+A财务假设!$D$8)</f>
        <v>0</v>
      </c>
      <c r="O30" s="40">
        <f>O29*(A财务假设!$D$6+A财务假设!$D$7+A财务假设!$D$8)</f>
        <v>0</v>
      </c>
      <c r="P30" s="40">
        <f>P29*(A财务假设!$D$6+A财务假设!$D$7+A财务假设!$D$8)</f>
        <v>0</v>
      </c>
      <c r="Q30" s="40">
        <f>Q29*(A财务假设!$D$6+A财务假设!$D$7+A财务假设!$D$8)</f>
        <v>0</v>
      </c>
      <c r="R30" s="40">
        <f>R29*(A财务假设!$D$6+A财务假设!$D$7+A财务假设!$D$8)</f>
        <v>0</v>
      </c>
      <c r="S30" s="40">
        <f>S29*(A财务假设!$D$6+A财务假设!$D$7+A财务假设!$D$8)</f>
        <v>0</v>
      </c>
      <c r="T30" s="40">
        <f>T29*(A财务假设!$D$6+A财务假设!$D$7+A财务假设!$D$8)</f>
        <v>0</v>
      </c>
      <c r="U30" s="40">
        <f>U29*(A财务假设!$D$6+A财务假设!$D$7+A财务假设!$D$8)</f>
        <v>0</v>
      </c>
      <c r="V30" s="40">
        <f>V29*(A财务假设!$D$6+A财务假设!$D$7+A财务假设!$D$8)</f>
        <v>0</v>
      </c>
      <c r="W30" s="40">
        <f>W29*(A财务假设!$D$6+A财务假设!$D$7+A财务假设!$D$8)</f>
        <v>0</v>
      </c>
      <c r="X30" s="40">
        <f>X29*(A财务假设!$D$6+A财务假设!$D$7+A财务假设!$D$8)</f>
        <v>0</v>
      </c>
      <c r="Y30" s="40">
        <f>Y29*(A财务假设!$D$6+A财务假设!$D$7+A财务假设!$D$8)</f>
        <v>0</v>
      </c>
      <c r="Z30" s="40">
        <f>Z29*(A财务假设!$D$6+A财务假设!$D$7+A财务假设!$D$8)</f>
        <v>0</v>
      </c>
      <c r="AA30" s="40">
        <f>AA29*(A财务假设!$D$6+A财务假设!$D$7+A财务假设!$D$8)</f>
        <v>0</v>
      </c>
    </row>
    <row r="31" ht="16.5" customHeight="1" spans="1:27">
      <c r="A31" s="8"/>
      <c r="B31" s="8" t="s">
        <v>81</v>
      </c>
      <c r="C31" s="8"/>
      <c r="D31" s="35">
        <f>(D29+D29)</f>
        <v>0</v>
      </c>
      <c r="E31" s="40">
        <f>(E29+E29)</f>
        <v>0</v>
      </c>
      <c r="F31" s="40">
        <f>(F29+F29)</f>
        <v>0</v>
      </c>
      <c r="G31" s="40">
        <f>(G29+G29)</f>
        <v>0</v>
      </c>
      <c r="H31" s="40">
        <f t="shared" ref="H31:AA31" si="3">H30+H29</f>
        <v>0</v>
      </c>
      <c r="I31" s="40">
        <f t="shared" si="3"/>
        <v>0</v>
      </c>
      <c r="J31" s="40">
        <f t="shared" si="3"/>
        <v>0</v>
      </c>
      <c r="K31" s="40">
        <f t="shared" si="3"/>
        <v>0</v>
      </c>
      <c r="L31" s="40">
        <f t="shared" si="3"/>
        <v>0</v>
      </c>
      <c r="M31" s="40">
        <f t="shared" si="3"/>
        <v>0</v>
      </c>
      <c r="N31" s="40">
        <f t="shared" si="3"/>
        <v>0</v>
      </c>
      <c r="O31" s="40">
        <f t="shared" si="3"/>
        <v>0</v>
      </c>
      <c r="P31" s="40">
        <f t="shared" si="3"/>
        <v>0</v>
      </c>
      <c r="Q31" s="40">
        <f t="shared" si="3"/>
        <v>0</v>
      </c>
      <c r="R31" s="40">
        <f t="shared" si="3"/>
        <v>0</v>
      </c>
      <c r="S31" s="40">
        <f t="shared" si="3"/>
        <v>0</v>
      </c>
      <c r="T31" s="40">
        <f t="shared" si="3"/>
        <v>0</v>
      </c>
      <c r="U31" s="40">
        <f t="shared" si="3"/>
        <v>0</v>
      </c>
      <c r="V31" s="40">
        <f t="shared" si="3"/>
        <v>0</v>
      </c>
      <c r="W31" s="40">
        <f t="shared" si="3"/>
        <v>0</v>
      </c>
      <c r="X31" s="40">
        <f t="shared" si="3"/>
        <v>0</v>
      </c>
      <c r="Y31" s="40">
        <f t="shared" si="3"/>
        <v>0</v>
      </c>
      <c r="Z31" s="40">
        <f t="shared" si="3"/>
        <v>0</v>
      </c>
      <c r="AA31" s="40">
        <f t="shared" si="3"/>
        <v>0</v>
      </c>
    </row>
  </sheetData>
  <mergeCells count="1">
    <mergeCell ref="A1:H1"/>
  </mergeCells>
  <pageMargins left="0.75" right="0.75" top="1" bottom="1" header="0.5" footer="0.5"/>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FFFF00"/>
  </sheetPr>
  <dimension ref="A1:G17"/>
  <sheetViews>
    <sheetView topLeftCell="A5" workbookViewId="0">
      <selection activeCell="F10" sqref="F10"/>
    </sheetView>
  </sheetViews>
  <sheetFormatPr defaultColWidth="8.89090909090909" defaultRowHeight="28.05" customHeight="1" outlineLevelCol="6"/>
  <cols>
    <col min="1" max="1" width="8.89090909090909" style="48" customWidth="1"/>
    <col min="2" max="2" width="17.6636363636364" style="48" customWidth="1"/>
    <col min="3" max="3" width="37.5545454545455" style="48" customWidth="1"/>
    <col min="4" max="4" width="15.1090909090909" style="48" customWidth="1"/>
    <col min="5" max="5" width="10.4454545454545" style="48" customWidth="1"/>
    <col min="6" max="6" width="14.8909090909091" style="48" customWidth="1"/>
    <col min="7" max="16384" width="8.89090909090909" style="48" customWidth="1"/>
  </cols>
  <sheetData>
    <row r="1" ht="20" customHeight="1" spans="1:7">
      <c r="A1" s="37" t="s">
        <v>454</v>
      </c>
      <c r="B1" s="3"/>
      <c r="C1" s="3"/>
      <c r="D1" s="3"/>
      <c r="E1" s="3"/>
      <c r="F1" s="4"/>
      <c r="G1" s="72" t="s">
        <v>455</v>
      </c>
    </row>
    <row r="2" ht="16.5" customHeight="1" spans="1:6">
      <c r="A2" s="5" t="s">
        <v>1</v>
      </c>
      <c r="B2" s="5" t="s">
        <v>166</v>
      </c>
      <c r="C2" s="5" t="s">
        <v>167</v>
      </c>
      <c r="D2" s="5" t="s">
        <v>456</v>
      </c>
      <c r="E2" s="5" t="s">
        <v>357</v>
      </c>
      <c r="F2" s="5" t="s">
        <v>457</v>
      </c>
    </row>
    <row r="3" ht="16.5" customHeight="1" spans="1:6">
      <c r="A3" s="8" t="s">
        <v>90</v>
      </c>
      <c r="B3" s="8" t="s">
        <v>168</v>
      </c>
      <c r="C3" s="8"/>
      <c r="D3" s="38">
        <f>D.3建设投资分年计划表!D3</f>
        <v>24474.93</v>
      </c>
      <c r="E3" s="8" t="s">
        <v>162</v>
      </c>
      <c r="F3" s="13">
        <f>F4+F8</f>
        <v>2445.0609</v>
      </c>
    </row>
    <row r="4" ht="16.5" customHeight="1" spans="1:6">
      <c r="A4" s="8">
        <v>1</v>
      </c>
      <c r="B4" s="8" t="s">
        <v>458</v>
      </c>
      <c r="C4" s="8"/>
      <c r="D4" s="38">
        <f>D.3建设投资分年计划表!D4</f>
        <v>19534.93</v>
      </c>
      <c r="E4" s="8" t="s">
        <v>162</v>
      </c>
      <c r="F4" s="13">
        <f>SUM(F5:F7)</f>
        <v>2148.6609</v>
      </c>
    </row>
    <row r="5" ht="112.95" customHeight="1" spans="1:6">
      <c r="A5" s="8">
        <v>1.1</v>
      </c>
      <c r="B5" s="12" t="s">
        <v>170</v>
      </c>
      <c r="C5" s="73" t="s">
        <v>171</v>
      </c>
      <c r="D5" s="38">
        <f>D.3建设投资分年计划表!D5</f>
        <v>9772</v>
      </c>
      <c r="E5" s="70">
        <v>0.09</v>
      </c>
      <c r="F5" s="74">
        <f>D5*E5</f>
        <v>879.48</v>
      </c>
    </row>
    <row r="6" ht="16.5" customHeight="1" spans="1:6">
      <c r="A6" s="8">
        <v>1.2</v>
      </c>
      <c r="B6" s="12" t="s">
        <v>172</v>
      </c>
      <c r="C6" s="8"/>
      <c r="D6" s="38">
        <f>D.3建设投资分年计划表!D6</f>
        <v>9762.93</v>
      </c>
      <c r="E6" s="70">
        <v>0.13</v>
      </c>
      <c r="F6" s="13">
        <f>D6*E6</f>
        <v>1269.1809</v>
      </c>
    </row>
    <row r="7" ht="64.05" customHeight="1" spans="1:6">
      <c r="A7" s="8">
        <v>1.3</v>
      </c>
      <c r="B7" s="12" t="s">
        <v>173</v>
      </c>
      <c r="C7" s="73" t="s">
        <v>174</v>
      </c>
      <c r="D7" s="38">
        <f>D.3建设投资分年计划表!D7</f>
        <v>0</v>
      </c>
      <c r="E7" s="70">
        <v>0.09</v>
      </c>
      <c r="F7" s="13">
        <f>D7*E7</f>
        <v>0</v>
      </c>
    </row>
    <row r="8" ht="16.5" customHeight="1" spans="1:6">
      <c r="A8" s="8">
        <v>2</v>
      </c>
      <c r="B8" s="8" t="s">
        <v>175</v>
      </c>
      <c r="C8" s="8"/>
      <c r="D8" s="38">
        <f>D.3建设投资分年计划表!D8</f>
        <v>4940</v>
      </c>
      <c r="E8" s="8" t="s">
        <v>162</v>
      </c>
      <c r="F8" s="13">
        <f>SUM(F9:F12)</f>
        <v>296.4</v>
      </c>
    </row>
    <row r="9" ht="16.5" customHeight="1" spans="1:6">
      <c r="A9" s="8">
        <v>2.1</v>
      </c>
      <c r="B9" s="12" t="s">
        <v>176</v>
      </c>
      <c r="C9" s="8" t="s">
        <v>177</v>
      </c>
      <c r="D9" s="38">
        <f>D.3建设投资分年计划表!D9</f>
        <v>0</v>
      </c>
      <c r="E9" s="70">
        <v>0.13</v>
      </c>
      <c r="F9" s="13">
        <f>D9*E9</f>
        <v>0</v>
      </c>
    </row>
    <row r="10" ht="16.5" customHeight="1" spans="1:6">
      <c r="A10" s="8">
        <v>2.2</v>
      </c>
      <c r="B10" s="12" t="s">
        <v>178</v>
      </c>
      <c r="C10" s="8"/>
      <c r="D10" s="38">
        <f>D.3建设投资分年计划表!D10</f>
        <v>4940</v>
      </c>
      <c r="E10" s="70">
        <v>0.06</v>
      </c>
      <c r="F10" s="13">
        <f>D10*E10</f>
        <v>296.4</v>
      </c>
    </row>
    <row r="11" ht="16.5" customHeight="1" spans="1:6">
      <c r="A11" s="8">
        <v>2.3</v>
      </c>
      <c r="B11" s="12" t="s">
        <v>179</v>
      </c>
      <c r="C11" s="8"/>
      <c r="D11" s="38">
        <f>D.3建设投资分年计划表!D11</f>
        <v>0</v>
      </c>
      <c r="E11" s="70">
        <v>0.13</v>
      </c>
      <c r="F11" s="13">
        <f>D11*E11</f>
        <v>0</v>
      </c>
    </row>
    <row r="12" ht="16.5" customHeight="1" spans="1:6">
      <c r="A12" s="8">
        <v>2.4</v>
      </c>
      <c r="B12" s="12" t="s">
        <v>180</v>
      </c>
      <c r="C12" s="8"/>
      <c r="D12" s="38">
        <f>D.3建设投资分年计划表!D12</f>
        <v>0</v>
      </c>
      <c r="E12" s="70">
        <v>0.06</v>
      </c>
      <c r="F12" s="13">
        <f>D12*E12</f>
        <v>0</v>
      </c>
    </row>
    <row r="13" ht="16.5" customHeight="1" spans="1:6">
      <c r="A13" s="8" t="s">
        <v>113</v>
      </c>
      <c r="B13" s="8" t="s">
        <v>114</v>
      </c>
      <c r="C13" s="8"/>
      <c r="D13" s="38">
        <f>D.3建设投资分年计划表!D13</f>
        <v>2408.1821113962</v>
      </c>
      <c r="E13" s="8" t="s">
        <v>162</v>
      </c>
      <c r="F13" s="13">
        <f>SUM(F14:F14)</f>
        <v>144.490926683772</v>
      </c>
    </row>
    <row r="14" ht="16.5" customHeight="1" spans="1:6">
      <c r="A14" s="8">
        <v>1</v>
      </c>
      <c r="B14" s="12" t="s">
        <v>181</v>
      </c>
      <c r="C14" s="8"/>
      <c r="D14" s="38">
        <f>D.3建设投资分年计划表!D14</f>
        <v>2408.1821113962</v>
      </c>
      <c r="E14" s="70">
        <v>0.06</v>
      </c>
      <c r="F14" s="13">
        <f>D14*E14</f>
        <v>144.490926683772</v>
      </c>
    </row>
    <row r="15" ht="16.5" customHeight="1" spans="1:6">
      <c r="A15" s="8" t="s">
        <v>137</v>
      </c>
      <c r="B15" s="8" t="s">
        <v>138</v>
      </c>
      <c r="C15" s="8"/>
      <c r="D15" s="38">
        <f>D.3建设投资分年计划表!D15</f>
        <v>1344.15560556981</v>
      </c>
      <c r="E15" s="8" t="s">
        <v>162</v>
      </c>
      <c r="F15" s="13">
        <f>F16</f>
        <v>0</v>
      </c>
    </row>
    <row r="16" ht="16.5" customHeight="1" spans="1:6">
      <c r="A16" s="8">
        <v>1</v>
      </c>
      <c r="B16" s="8" t="s">
        <v>139</v>
      </c>
      <c r="C16" s="8"/>
      <c r="D16" s="38">
        <f>D.3建设投资分年计划表!D16</f>
        <v>1344.15560556981</v>
      </c>
      <c r="E16" s="70">
        <v>0</v>
      </c>
      <c r="F16" s="13">
        <f>D16*E16</f>
        <v>0</v>
      </c>
    </row>
    <row r="17" ht="16.5" customHeight="1" spans="1:6">
      <c r="A17" s="8"/>
      <c r="B17" s="8" t="s">
        <v>459</v>
      </c>
      <c r="C17" s="4"/>
      <c r="D17" s="8"/>
      <c r="E17" s="8"/>
      <c r="F17" s="13">
        <f>F3+F13+F15</f>
        <v>2589.55182668377</v>
      </c>
    </row>
  </sheetData>
  <mergeCells count="2">
    <mergeCell ref="A1:F1"/>
    <mergeCell ref="B17:C17"/>
  </mergeCells>
  <pageMargins left="0.75" right="0.75" top="1" bottom="1" header="0.5" footer="0.5"/>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FF00"/>
  </sheetPr>
  <dimension ref="A1:D22"/>
  <sheetViews>
    <sheetView zoomScale="70" zoomScaleNormal="70" workbookViewId="0">
      <selection activeCell="H25" sqref="H25"/>
    </sheetView>
  </sheetViews>
  <sheetFormatPr defaultColWidth="8.89090909090909" defaultRowHeight="28.05" customHeight="1" outlineLevelCol="3"/>
  <cols>
    <col min="2" max="2" width="67.5545454545454" style="1" customWidth="1"/>
    <col min="3" max="3" width="20.3363636363636" style="1" customWidth="1"/>
    <col min="4" max="4" width="14.3363636363636" style="1" customWidth="1"/>
  </cols>
  <sheetData>
    <row r="1" ht="31.8" customHeight="1" spans="1:4">
      <c r="A1" s="69" t="s">
        <v>460</v>
      </c>
      <c r="B1" s="3"/>
      <c r="C1" s="4"/>
      <c r="D1" s="26" t="s">
        <v>461</v>
      </c>
    </row>
    <row r="2" ht="16.5" customHeight="1" spans="1:3">
      <c r="A2" s="5" t="s">
        <v>1</v>
      </c>
      <c r="B2" s="5" t="s">
        <v>144</v>
      </c>
      <c r="C2" s="5" t="s">
        <v>357</v>
      </c>
    </row>
    <row r="3" ht="16.5" customHeight="1" spans="1:3">
      <c r="A3" s="12">
        <f>E.1项目运营期费用!B4</f>
        <v>1</v>
      </c>
      <c r="B3" s="12" t="str">
        <f>E.1项目运营期费用!C4</f>
        <v>场地租金</v>
      </c>
      <c r="C3" s="70">
        <v>0.09</v>
      </c>
    </row>
    <row r="4" ht="27.6" customHeight="1" spans="1:3">
      <c r="A4" s="12">
        <f>E.1项目运营期费用!B5</f>
        <v>2</v>
      </c>
      <c r="B4" s="12" t="str">
        <f>E.1项目运营期费用!C5</f>
        <v>场地日常维护（停机坪/起降场/交通枢纽/飞行营地/指挥中心等）</v>
      </c>
      <c r="C4" s="70">
        <v>0.06</v>
      </c>
    </row>
    <row r="5" ht="16.5" customHeight="1" spans="1:3">
      <c r="A5" s="12">
        <f>E.1项目运营期费用!B6</f>
        <v>3</v>
      </c>
      <c r="B5" s="12" t="str">
        <f>E.1项目运营期费用!C6</f>
        <v>消防设施年检</v>
      </c>
      <c r="C5" s="70">
        <v>0.06</v>
      </c>
    </row>
    <row r="6" ht="16.5" customHeight="1" spans="1:3">
      <c r="A6" s="12">
        <f>E.1项目运营期费用!B7</f>
        <v>4</v>
      </c>
      <c r="B6" s="12" t="str">
        <f>E.1项目运营期费用!C7</f>
        <v>防鸟措施（驱鸟器维护）</v>
      </c>
      <c r="C6" s="70">
        <v>0.06</v>
      </c>
    </row>
    <row r="7" ht="16.5" customHeight="1" spans="1:3">
      <c r="A7" s="12">
        <f>E.1项目运营期费用!B8</f>
        <v>5</v>
      </c>
      <c r="B7" s="12" t="str">
        <f>E.1项目运营期费用!C8</f>
        <v>飞行器能耗</v>
      </c>
      <c r="C7" s="70">
        <v>0.13</v>
      </c>
    </row>
    <row r="8" ht="16.5" customHeight="1" spans="1:3">
      <c r="A8" s="12">
        <f>E.1项目运营期费用!B9</f>
        <v>6</v>
      </c>
      <c r="B8" s="12" t="str">
        <f>E.1项目运营期费用!C9</f>
        <v>核心设备电力能耗</v>
      </c>
      <c r="C8" s="70">
        <v>0.13</v>
      </c>
    </row>
    <row r="9" ht="16.5" customHeight="1" spans="1:4">
      <c r="A9" s="12">
        <f>E.1项目运营期费用!B10</f>
        <v>7</v>
      </c>
      <c r="B9" s="12" t="str">
        <f>E.1项目运营期费用!C10</f>
        <v>水电能耗</v>
      </c>
      <c r="C9" s="70">
        <v>0.09</v>
      </c>
      <c r="D9" s="71"/>
    </row>
    <row r="10" ht="16.5" customHeight="1" spans="1:3">
      <c r="A10" s="12">
        <f>E.1项目运营期费用!B11</f>
        <v>8</v>
      </c>
      <c r="B10" s="12" t="str">
        <f>E.1项目运营期费用!C11</f>
        <v>网络通信费用</v>
      </c>
      <c r="C10" s="70">
        <v>0.09</v>
      </c>
    </row>
    <row r="11" ht="16.5" customHeight="1" spans="1:3">
      <c r="A11" s="12">
        <f>E.1项目运营期费用!B12</f>
        <v>9</v>
      </c>
      <c r="B11" s="12" t="str">
        <f>E.1项目运营期费用!C12</f>
        <v>硬件设备维护</v>
      </c>
      <c r="C11" s="70">
        <v>0.13</v>
      </c>
    </row>
    <row r="12" ht="16.5" customHeight="1" spans="1:3">
      <c r="A12" s="12">
        <f>E.1项目运营期费用!B13</f>
        <v>10</v>
      </c>
      <c r="B12" s="12" t="str">
        <f>E.1项目运营期费用!C13</f>
        <v>备品备件储备</v>
      </c>
      <c r="C12" s="70">
        <v>0.13</v>
      </c>
    </row>
    <row r="13" ht="16.5" customHeight="1" spans="1:3">
      <c r="A13" s="12">
        <f>E.1项目运营期费用!B14</f>
        <v>11</v>
      </c>
      <c r="B13" s="12" t="str">
        <f>E.1项目运营期费用!C14</f>
        <v>软件维护</v>
      </c>
      <c r="C13" s="70">
        <v>0.06</v>
      </c>
    </row>
    <row r="14" ht="16.5" customHeight="1" spans="1:3">
      <c r="A14" s="12">
        <f>E.1项目运营期费用!B15</f>
        <v>12</v>
      </c>
      <c r="B14" s="12" t="str">
        <f>E.1项目运营期费用!C15</f>
        <v>营销及活动</v>
      </c>
      <c r="C14" s="70">
        <v>0.06</v>
      </c>
    </row>
    <row r="15" ht="16.5" customHeight="1" spans="1:3">
      <c r="A15" s="12">
        <f>E.1项目运营期费用!B16</f>
        <v>13</v>
      </c>
      <c r="B15" s="12" t="str">
        <f>E.1项目运营期费用!C16</f>
        <v>人员薪酬</v>
      </c>
      <c r="C15" s="70">
        <v>0</v>
      </c>
    </row>
    <row r="16" ht="16.5" customHeight="1" spans="1:3">
      <c r="A16" s="12">
        <f>E.1项目运营期费用!B17</f>
        <v>14</v>
      </c>
      <c r="B16" s="12" t="str">
        <f>E.1项目运营期费用!C17</f>
        <v>培训与资质认证</v>
      </c>
      <c r="C16" s="70">
        <v>0.06</v>
      </c>
    </row>
    <row r="17" ht="16.5" customHeight="1" spans="1:3">
      <c r="A17" s="12">
        <f>E.1项目运营期费用!B18</f>
        <v>15</v>
      </c>
      <c r="B17" s="12" t="str">
        <f>E.1项目运营期费用!C18</f>
        <v>办公与行政支出</v>
      </c>
      <c r="C17" s="70">
        <v>0.13</v>
      </c>
    </row>
    <row r="18" ht="16.5" customHeight="1" spans="1:3">
      <c r="A18" s="12">
        <f>E.1项目运营期费用!B19</f>
        <v>16</v>
      </c>
      <c r="B18" s="12" t="str">
        <f>E.1项目运营期费用!C19</f>
        <v>空域使用审批费</v>
      </c>
      <c r="C18" s="70">
        <v>0</v>
      </c>
    </row>
    <row r="19" ht="16.5" customHeight="1" spans="1:3">
      <c r="A19" s="12">
        <f>E.1项目运营期费用!B20</f>
        <v>17</v>
      </c>
      <c r="B19" s="12" t="str">
        <f>E.1项目运营期费用!C20</f>
        <v>场地责任险</v>
      </c>
      <c r="C19" s="70">
        <v>0.06</v>
      </c>
    </row>
    <row r="20" ht="16.5" customHeight="1" spans="1:3">
      <c r="A20" s="12">
        <f>E.1项目运营期费用!B21</f>
        <v>18</v>
      </c>
      <c r="B20" s="12" t="str">
        <f>E.1项目运营期费用!C21</f>
        <v>安全演练与应急处置</v>
      </c>
      <c r="C20" s="70">
        <v>0.06</v>
      </c>
    </row>
    <row r="21" ht="16.5" customHeight="1" spans="1:3">
      <c r="A21" s="12">
        <f>E.1项目运营期费用!B22</f>
        <v>19</v>
      </c>
      <c r="B21" s="12" t="str">
        <f>E.1项目运营期费用!C22</f>
        <v>第三方安全评估</v>
      </c>
      <c r="C21" s="70">
        <v>0.06</v>
      </c>
    </row>
    <row r="22" ht="16.5" customHeight="1" spans="1:3">
      <c r="A22" s="12">
        <f>E.1项目运营期费用!B23</f>
        <v>20</v>
      </c>
      <c r="B22" s="12" t="str">
        <f>E.1项目运营期费用!C23</f>
        <v>不可预见支出</v>
      </c>
      <c r="C22" s="70">
        <v>0</v>
      </c>
    </row>
  </sheetData>
  <mergeCells count="1">
    <mergeCell ref="A1:C1"/>
  </mergeCells>
  <pageMargins left="0.75" right="0.75" top="1" bottom="1" header="0.5" footer="0.5"/>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FFFF00"/>
  </sheetPr>
  <dimension ref="A1:D12"/>
  <sheetViews>
    <sheetView workbookViewId="0">
      <selection activeCell="G15" sqref="G15"/>
    </sheetView>
  </sheetViews>
  <sheetFormatPr defaultColWidth="8.89090909090909" defaultRowHeight="28.05" customHeight="1" outlineLevelCol="3"/>
  <cols>
    <col min="2" max="2" width="27.4454545454545" style="1" customWidth="1"/>
    <col min="3" max="3" width="14.7818181818182" style="1" customWidth="1"/>
  </cols>
  <sheetData>
    <row r="1" ht="20" customHeight="1" spans="1:4">
      <c r="A1" s="69" t="s">
        <v>462</v>
      </c>
      <c r="B1" s="3"/>
      <c r="C1" s="4"/>
      <c r="D1" s="26" t="s">
        <v>463</v>
      </c>
    </row>
    <row r="2" ht="16.5" customHeight="1" spans="1:3">
      <c r="A2" s="5" t="s">
        <v>1</v>
      </c>
      <c r="B2" s="5" t="s">
        <v>364</v>
      </c>
      <c r="C2" s="5" t="s">
        <v>357</v>
      </c>
    </row>
    <row r="3" ht="16.5" customHeight="1" spans="1:3">
      <c r="A3" s="12">
        <v>1</v>
      </c>
      <c r="B3" s="12" t="s">
        <v>401</v>
      </c>
      <c r="C3" s="70">
        <v>0.06</v>
      </c>
    </row>
    <row r="4" ht="16.5" customHeight="1" spans="1:3">
      <c r="A4" s="12">
        <v>2</v>
      </c>
      <c r="B4" s="12" t="s">
        <v>380</v>
      </c>
      <c r="C4" s="70">
        <v>0.06</v>
      </c>
    </row>
    <row r="5" ht="16.5" customHeight="1" spans="1:3">
      <c r="A5" s="12">
        <v>3</v>
      </c>
      <c r="B5" s="12" t="s">
        <v>381</v>
      </c>
      <c r="C5" s="70">
        <v>0.06</v>
      </c>
    </row>
    <row r="6" ht="16.5" customHeight="1" spans="1:3">
      <c r="A6" s="12">
        <v>4</v>
      </c>
      <c r="B6" s="12" t="s">
        <v>384</v>
      </c>
      <c r="C6" s="70">
        <v>0.06</v>
      </c>
    </row>
    <row r="7" ht="16.5" customHeight="1" spans="1:3">
      <c r="A7" s="12">
        <v>5</v>
      </c>
      <c r="B7" s="12" t="s">
        <v>385</v>
      </c>
      <c r="C7" s="70">
        <v>0.06</v>
      </c>
    </row>
    <row r="8" ht="16.5" customHeight="1" spans="1:3">
      <c r="A8" s="12">
        <v>6</v>
      </c>
      <c r="B8" s="12" t="s">
        <v>386</v>
      </c>
      <c r="C8" s="70">
        <v>0.09</v>
      </c>
    </row>
    <row r="9" ht="16.5" customHeight="1" spans="1:3">
      <c r="A9" s="12">
        <v>7</v>
      </c>
      <c r="B9" s="12" t="s">
        <v>387</v>
      </c>
      <c r="C9" s="70">
        <v>0.09</v>
      </c>
    </row>
    <row r="10" ht="16.5" customHeight="1" spans="1:3">
      <c r="A10" s="12">
        <v>8</v>
      </c>
      <c r="B10" s="12" t="s">
        <v>388</v>
      </c>
      <c r="C10" s="70">
        <v>0.06</v>
      </c>
    </row>
    <row r="11" ht="16.5" customHeight="1" spans="1:3">
      <c r="A11" s="12">
        <v>9</v>
      </c>
      <c r="B11" s="12" t="s">
        <v>389</v>
      </c>
      <c r="C11" s="70">
        <v>0.06</v>
      </c>
    </row>
    <row r="12" ht="16.5" customHeight="1" spans="1:3">
      <c r="A12" s="12">
        <v>10</v>
      </c>
      <c r="B12" s="12" t="s">
        <v>464</v>
      </c>
      <c r="C12" s="70">
        <v>0.06</v>
      </c>
    </row>
  </sheetData>
  <mergeCells count="1">
    <mergeCell ref="A1:C1"/>
  </mergeCells>
  <pageMargins left="0.75" right="0.75" top="1" bottom="1" header="0.5" footer="0.5"/>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C000"/>
  </sheetPr>
  <dimension ref="A1:AA31"/>
  <sheetViews>
    <sheetView zoomScale="70" zoomScaleNormal="70" workbookViewId="0">
      <pane xSplit="3" ySplit="2" topLeftCell="D3" activePane="bottomRight" state="frozen"/>
      <selection/>
      <selection pane="topRight"/>
      <selection pane="bottomLeft"/>
      <selection pane="bottomRight" activeCell="C29" sqref="C29"/>
    </sheetView>
  </sheetViews>
  <sheetFormatPr defaultColWidth="8.89090909090909" defaultRowHeight="28.05" customHeight="1"/>
  <cols>
    <col min="2" max="2" width="36.7818181818182" style="1" customWidth="1"/>
    <col min="3" max="3" width="14.2181818181818" style="1" customWidth="1"/>
    <col min="4" max="4" width="13.1090909090909" style="1" customWidth="1"/>
    <col min="5" max="7" width="11.8909090909091" style="1" customWidth="1"/>
    <col min="8" max="8" width="13" style="1" customWidth="1"/>
    <col min="9" max="27" width="10.9090909090909" style="1" customWidth="1"/>
  </cols>
  <sheetData>
    <row r="1" ht="22.5" customHeight="1" spans="1:8">
      <c r="A1" s="59" t="s">
        <v>465</v>
      </c>
      <c r="B1" s="3"/>
      <c r="C1" s="3"/>
      <c r="D1" s="3"/>
      <c r="E1" s="3"/>
      <c r="F1" s="3"/>
      <c r="G1" s="3"/>
      <c r="H1" s="4"/>
    </row>
    <row r="2" ht="16.5" customHeight="1" spans="1:27">
      <c r="A2" s="60" t="s">
        <v>1</v>
      </c>
      <c r="B2" s="60" t="s">
        <v>184</v>
      </c>
      <c r="C2" s="60" t="s">
        <v>81</v>
      </c>
      <c r="D2" s="60">
        <v>2025</v>
      </c>
      <c r="E2" s="60">
        <v>2026</v>
      </c>
      <c r="F2" s="60">
        <v>2027</v>
      </c>
      <c r="G2" s="60">
        <v>2028</v>
      </c>
      <c r="H2" s="60">
        <v>2029</v>
      </c>
      <c r="I2" s="60">
        <v>2030</v>
      </c>
      <c r="J2" s="60">
        <v>2031</v>
      </c>
      <c r="K2" s="60">
        <v>2032</v>
      </c>
      <c r="L2" s="60">
        <v>2033</v>
      </c>
      <c r="M2" s="60">
        <v>2034</v>
      </c>
      <c r="N2" s="60">
        <v>2035</v>
      </c>
      <c r="O2" s="60">
        <v>2036</v>
      </c>
      <c r="P2" s="60">
        <v>2037</v>
      </c>
      <c r="Q2" s="60">
        <v>2038</v>
      </c>
      <c r="R2" s="60">
        <v>2039</v>
      </c>
      <c r="S2" s="60">
        <v>2040</v>
      </c>
      <c r="T2" s="60">
        <v>2041</v>
      </c>
      <c r="U2" s="60">
        <v>2042</v>
      </c>
      <c r="V2" s="60">
        <v>2043</v>
      </c>
      <c r="W2" s="60">
        <v>2044</v>
      </c>
      <c r="X2" s="60">
        <v>2045</v>
      </c>
      <c r="Y2" s="60">
        <v>2046</v>
      </c>
      <c r="Z2" s="60">
        <v>2047</v>
      </c>
      <c r="AA2" s="60">
        <v>2048</v>
      </c>
    </row>
    <row r="3" ht="16.5" customHeight="1" spans="1:27">
      <c r="A3" s="61">
        <v>1</v>
      </c>
      <c r="B3" s="61" t="s">
        <v>466</v>
      </c>
      <c r="C3" s="62">
        <f t="shared" ref="C3:C23" si="0">(SUM(D3:AA3))</f>
        <v>71921.410746533</v>
      </c>
      <c r="D3" s="62">
        <f t="shared" ref="D3:AA3" si="1">SUM(D4:D7)</f>
        <v>0</v>
      </c>
      <c r="E3" s="62">
        <f t="shared" si="1"/>
        <v>0</v>
      </c>
      <c r="F3" s="62">
        <f t="shared" si="1"/>
        <v>798.758490566038</v>
      </c>
      <c r="G3" s="62">
        <f t="shared" si="1"/>
        <v>2071.55660377358</v>
      </c>
      <c r="H3" s="62">
        <f t="shared" si="1"/>
        <v>3060.93396226415</v>
      </c>
      <c r="I3" s="62">
        <f t="shared" si="1"/>
        <v>3091.54330188679</v>
      </c>
      <c r="J3" s="62">
        <f t="shared" si="1"/>
        <v>3122.45873490566</v>
      </c>
      <c r="K3" s="62">
        <f t="shared" si="1"/>
        <v>3153.68332225472</v>
      </c>
      <c r="L3" s="62">
        <f t="shared" si="1"/>
        <v>3185.22015547726</v>
      </c>
      <c r="M3" s="62">
        <f t="shared" si="1"/>
        <v>3217.07235703204</v>
      </c>
      <c r="N3" s="62">
        <f t="shared" si="1"/>
        <v>3249.24308060236</v>
      </c>
      <c r="O3" s="62">
        <f t="shared" si="1"/>
        <v>3281.73551140838</v>
      </c>
      <c r="P3" s="62">
        <f t="shared" si="1"/>
        <v>3314.55286652246</v>
      </c>
      <c r="Q3" s="62">
        <f t="shared" si="1"/>
        <v>3347.69839518769</v>
      </c>
      <c r="R3" s="62">
        <f t="shared" si="1"/>
        <v>3381.17537913956</v>
      </c>
      <c r="S3" s="62">
        <f t="shared" si="1"/>
        <v>3414.98713293096</v>
      </c>
      <c r="T3" s="62">
        <f t="shared" si="1"/>
        <v>3449.13700426027</v>
      </c>
      <c r="U3" s="62">
        <f t="shared" si="1"/>
        <v>3483.62837430287</v>
      </c>
      <c r="V3" s="62">
        <f t="shared" si="1"/>
        <v>3518.46465804591</v>
      </c>
      <c r="W3" s="62">
        <f t="shared" si="1"/>
        <v>3553.64930462637</v>
      </c>
      <c r="X3" s="62">
        <f t="shared" si="1"/>
        <v>3589.18579767263</v>
      </c>
      <c r="Y3" s="62">
        <f t="shared" si="1"/>
        <v>3625.07765564935</v>
      </c>
      <c r="Z3" s="62">
        <f t="shared" si="1"/>
        <v>3661.32843220584</v>
      </c>
      <c r="AA3" s="62">
        <f t="shared" si="1"/>
        <v>5350.32022581809</v>
      </c>
    </row>
    <row r="4" ht="16.5" customHeight="1" spans="1:27">
      <c r="A4" s="61">
        <v>1.1</v>
      </c>
      <c r="B4" s="61" t="s">
        <v>467</v>
      </c>
      <c r="C4" s="62">
        <f t="shared" si="0"/>
        <v>70269.0322372428</v>
      </c>
      <c r="D4" s="62">
        <f>(F项目收入!D25)</f>
        <v>0</v>
      </c>
      <c r="E4" s="62">
        <f>(F项目收入!E25)</f>
        <v>0</v>
      </c>
      <c r="F4" s="62">
        <f>(F项目收入!F25)</f>
        <v>798.758490566038</v>
      </c>
      <c r="G4" s="62">
        <f>(F项目收入!G25)</f>
        <v>2071.55660377358</v>
      </c>
      <c r="H4" s="62">
        <f>(F项目收入!H25)</f>
        <v>3060.93396226415</v>
      </c>
      <c r="I4" s="62">
        <f>(F项目收入!I25)</f>
        <v>3091.54330188679</v>
      </c>
      <c r="J4" s="62">
        <f>(F项目收入!J25)</f>
        <v>3122.45873490566</v>
      </c>
      <c r="K4" s="62">
        <f>(F项目收入!K25)</f>
        <v>3153.68332225472</v>
      </c>
      <c r="L4" s="62">
        <f>(F项目收入!L25)</f>
        <v>3185.22015547726</v>
      </c>
      <c r="M4" s="62">
        <f>(F项目收入!M25)</f>
        <v>3217.07235703204</v>
      </c>
      <c r="N4" s="62">
        <f>(F项目收入!N25)</f>
        <v>3249.24308060236</v>
      </c>
      <c r="O4" s="62">
        <f>(F项目收入!O25)</f>
        <v>3281.73551140838</v>
      </c>
      <c r="P4" s="62">
        <f>(F项目收入!P25)</f>
        <v>3314.55286652246</v>
      </c>
      <c r="Q4" s="62">
        <f>(F项目收入!Q25)</f>
        <v>3347.69839518769</v>
      </c>
      <c r="R4" s="62">
        <f>(F项目收入!R25)</f>
        <v>3381.17537913956</v>
      </c>
      <c r="S4" s="62">
        <f>(F项目收入!S25)</f>
        <v>3414.98713293096</v>
      </c>
      <c r="T4" s="62">
        <f>(F项目收入!T25)</f>
        <v>3449.13700426027</v>
      </c>
      <c r="U4" s="62">
        <f>(F项目收入!U25)</f>
        <v>3483.62837430287</v>
      </c>
      <c r="V4" s="62">
        <f>(F项目收入!V25)</f>
        <v>3518.46465804591</v>
      </c>
      <c r="W4" s="62">
        <f>(F项目收入!W25)</f>
        <v>3553.64930462637</v>
      </c>
      <c r="X4" s="62">
        <f>(F项目收入!X25)</f>
        <v>3589.18579767263</v>
      </c>
      <c r="Y4" s="62">
        <f>(F项目收入!Y25)</f>
        <v>3625.07765564935</v>
      </c>
      <c r="Z4" s="62">
        <f>(F项目收入!Z25)</f>
        <v>3661.32843220584</v>
      </c>
      <c r="AA4" s="62">
        <f>F项目收入!AA25</f>
        <v>3697.9417165279</v>
      </c>
    </row>
    <row r="5" ht="16.5" customHeight="1" spans="1:27">
      <c r="A5" s="61">
        <v>1.2</v>
      </c>
      <c r="B5" s="61" t="s">
        <v>368</v>
      </c>
      <c r="C5" s="62">
        <f t="shared" si="0"/>
        <v>0</v>
      </c>
      <c r="D5" s="62">
        <f>(F项目收入!D23)</f>
        <v>0</v>
      </c>
      <c r="E5" s="62">
        <f>(F项目收入!E23)</f>
        <v>0</v>
      </c>
      <c r="F5" s="62">
        <f>(F项目收入!F23)</f>
        <v>0</v>
      </c>
      <c r="G5" s="62">
        <f>(F项目收入!G23)</f>
        <v>0</v>
      </c>
      <c r="H5" s="62">
        <f>(F项目收入!H23)</f>
        <v>0</v>
      </c>
      <c r="I5" s="62">
        <f>(F项目收入!I23)</f>
        <v>0</v>
      </c>
      <c r="J5" s="62">
        <f>(F项目收入!J23)</f>
        <v>0</v>
      </c>
      <c r="K5" s="62">
        <f>(F项目收入!K23)</f>
        <v>0</v>
      </c>
      <c r="L5" s="62">
        <f>(F项目收入!L23)</f>
        <v>0</v>
      </c>
      <c r="M5" s="62">
        <f>(F项目收入!M23)</f>
        <v>0</v>
      </c>
      <c r="N5" s="62">
        <f>(F项目收入!N23)</f>
        <v>0</v>
      </c>
      <c r="O5" s="62">
        <f>(F项目收入!O23)</f>
        <v>0</v>
      </c>
      <c r="P5" s="62">
        <f>(F项目收入!P23)</f>
        <v>0</v>
      </c>
      <c r="Q5" s="62">
        <f>(F项目收入!Q23)</f>
        <v>0</v>
      </c>
      <c r="R5" s="62">
        <f>(F项目收入!R23)</f>
        <v>0</v>
      </c>
      <c r="S5" s="62">
        <f>(F项目收入!S23)</f>
        <v>0</v>
      </c>
      <c r="T5" s="62">
        <f>(F项目收入!T23)</f>
        <v>0</v>
      </c>
      <c r="U5" s="62">
        <f>(F项目收入!U23)</f>
        <v>0</v>
      </c>
      <c r="V5" s="62">
        <f>(F项目收入!V23)</f>
        <v>0</v>
      </c>
      <c r="W5" s="62">
        <f>(F项目收入!W23)</f>
        <v>0</v>
      </c>
      <c r="X5" s="62">
        <f>(F项目收入!X23)</f>
        <v>0</v>
      </c>
      <c r="Y5" s="62">
        <f>(F项目收入!Y23)</f>
        <v>0</v>
      </c>
      <c r="Z5" s="62">
        <f>(F项目收入!Z23)</f>
        <v>0</v>
      </c>
      <c r="AA5" s="62">
        <v>0</v>
      </c>
    </row>
    <row r="6" ht="16.5" customHeight="1" spans="1:27">
      <c r="A6" s="61">
        <v>1.3</v>
      </c>
      <c r="B6" s="61" t="s">
        <v>468</v>
      </c>
      <c r="C6" s="62">
        <f t="shared" si="0"/>
        <v>1110.08027659702</v>
      </c>
      <c r="D6" s="62" t="s">
        <v>162</v>
      </c>
      <c r="E6" s="62" t="s">
        <v>162</v>
      </c>
      <c r="F6" s="62" t="s">
        <v>162</v>
      </c>
      <c r="G6" s="62" t="s">
        <v>162</v>
      </c>
      <c r="H6" s="62" t="s">
        <v>162</v>
      </c>
      <c r="I6" s="62" t="s">
        <v>162</v>
      </c>
      <c r="J6" s="62" t="s">
        <v>162</v>
      </c>
      <c r="K6" s="62" t="s">
        <v>162</v>
      </c>
      <c r="L6" s="62" t="s">
        <v>162</v>
      </c>
      <c r="M6" s="62" t="s">
        <v>162</v>
      </c>
      <c r="N6" s="62" t="s">
        <v>162</v>
      </c>
      <c r="O6" s="62" t="s">
        <v>162</v>
      </c>
      <c r="P6" s="62" t="s">
        <v>162</v>
      </c>
      <c r="Q6" s="62" t="s">
        <v>162</v>
      </c>
      <c r="R6" s="62" t="s">
        <v>162</v>
      </c>
      <c r="S6" s="62" t="s">
        <v>162</v>
      </c>
      <c r="T6" s="62" t="s">
        <v>162</v>
      </c>
      <c r="U6" s="62" t="s">
        <v>162</v>
      </c>
      <c r="V6" s="62" t="s">
        <v>162</v>
      </c>
      <c r="W6" s="62" t="s">
        <v>162</v>
      </c>
      <c r="X6" s="62" t="s">
        <v>162</v>
      </c>
      <c r="Y6" s="62" t="s">
        <v>162</v>
      </c>
      <c r="Z6" s="62" t="s">
        <v>162</v>
      </c>
      <c r="AA6" s="62">
        <f>E.2固定资产折旧费估算表!C6*A财务假设!$D$12</f>
        <v>1110.08027659702</v>
      </c>
    </row>
    <row r="7" ht="16.5" customHeight="1" spans="1:27">
      <c r="A7" s="61">
        <v>1.4</v>
      </c>
      <c r="B7" s="61" t="s">
        <v>469</v>
      </c>
      <c r="C7" s="62">
        <f t="shared" si="0"/>
        <v>542.298232693175</v>
      </c>
      <c r="D7" s="62" t="s">
        <v>162</v>
      </c>
      <c r="E7" s="62" t="s">
        <v>162</v>
      </c>
      <c r="F7" s="62" t="s">
        <v>162</v>
      </c>
      <c r="G7" s="62" t="s">
        <v>162</v>
      </c>
      <c r="H7" s="62" t="s">
        <v>162</v>
      </c>
      <c r="I7" s="62" t="s">
        <v>162</v>
      </c>
      <c r="J7" s="62" t="s">
        <v>162</v>
      </c>
      <c r="K7" s="62" t="s">
        <v>162</v>
      </c>
      <c r="L7" s="62" t="s">
        <v>162</v>
      </c>
      <c r="M7" s="62" t="s">
        <v>162</v>
      </c>
      <c r="N7" s="62" t="s">
        <v>162</v>
      </c>
      <c r="O7" s="62" t="s">
        <v>162</v>
      </c>
      <c r="P7" s="62" t="s">
        <v>162</v>
      </c>
      <c r="Q7" s="62" t="s">
        <v>162</v>
      </c>
      <c r="R7" s="62" t="s">
        <v>162</v>
      </c>
      <c r="S7" s="62" t="s">
        <v>162</v>
      </c>
      <c r="T7" s="62" t="s">
        <v>162</v>
      </c>
      <c r="U7" s="62" t="s">
        <v>162</v>
      </c>
      <c r="V7" s="62" t="s">
        <v>162</v>
      </c>
      <c r="W7" s="62" t="s">
        <v>162</v>
      </c>
      <c r="X7" s="62" t="s">
        <v>162</v>
      </c>
      <c r="Y7" s="62" t="s">
        <v>162</v>
      </c>
      <c r="Z7" s="62" t="s">
        <v>162</v>
      </c>
      <c r="AA7" s="62">
        <f>D.4流动资金估算表!AB13</f>
        <v>542.298232693175</v>
      </c>
    </row>
    <row r="8" ht="16.5" customHeight="1" spans="1:27">
      <c r="A8" s="61">
        <v>2</v>
      </c>
      <c r="B8" s="61" t="s">
        <v>470</v>
      </c>
      <c r="C8" s="62">
        <f t="shared" si="0"/>
        <v>42883.3372901453</v>
      </c>
      <c r="D8" s="62">
        <f t="shared" ref="D8:AA8" si="2">SUM(D9:D14)</f>
        <v>1862.88206098348</v>
      </c>
      <c r="E8" s="62">
        <f t="shared" si="2"/>
        <v>10556.3316789064</v>
      </c>
      <c r="F8" s="62">
        <f t="shared" si="2"/>
        <v>13603.2045460759</v>
      </c>
      <c r="G8" s="62">
        <f t="shared" si="2"/>
        <v>1332.40882313739</v>
      </c>
      <c r="H8" s="62">
        <f t="shared" si="2"/>
        <v>793.257602916602</v>
      </c>
      <c r="I8" s="62">
        <f t="shared" si="2"/>
        <v>676.15229325431</v>
      </c>
      <c r="J8" s="62">
        <f t="shared" si="2"/>
        <v>686.273837865625</v>
      </c>
      <c r="K8" s="62">
        <f t="shared" si="2"/>
        <v>696.547002859233</v>
      </c>
      <c r="L8" s="62">
        <f t="shared" si="2"/>
        <v>706.974060513003</v>
      </c>
      <c r="M8" s="62">
        <f t="shared" si="2"/>
        <v>717.557317168688</v>
      </c>
      <c r="N8" s="62">
        <f t="shared" si="2"/>
        <v>728.299113742689</v>
      </c>
      <c r="O8" s="62">
        <f t="shared" si="2"/>
        <v>739.201826244464</v>
      </c>
      <c r="P8" s="62">
        <f t="shared" si="2"/>
        <v>750.267866302721</v>
      </c>
      <c r="Q8" s="62">
        <f t="shared" si="2"/>
        <v>761.499681699499</v>
      </c>
      <c r="R8" s="62">
        <f t="shared" si="2"/>
        <v>772.89975691225</v>
      </c>
      <c r="S8" s="62">
        <f t="shared" si="2"/>
        <v>784.470613664066</v>
      </c>
      <c r="T8" s="62">
        <f t="shared" si="2"/>
        <v>796.214811482141</v>
      </c>
      <c r="U8" s="62">
        <f t="shared" si="2"/>
        <v>808.134948264616</v>
      </c>
      <c r="V8" s="62">
        <f t="shared" si="2"/>
        <v>820.233660855934</v>
      </c>
      <c r="W8" s="62">
        <f t="shared" si="2"/>
        <v>832.513625630792</v>
      </c>
      <c r="X8" s="62">
        <f t="shared" si="2"/>
        <v>845.040388948004</v>
      </c>
      <c r="Y8" s="62">
        <f t="shared" si="2"/>
        <v>858.242549647943</v>
      </c>
      <c r="Z8" s="62">
        <f t="shared" si="2"/>
        <v>870.879250853454</v>
      </c>
      <c r="AA8" s="62">
        <f t="shared" si="2"/>
        <v>883.849972216052</v>
      </c>
    </row>
    <row r="9" ht="16.5" customHeight="1" spans="1:27">
      <c r="A9" s="61">
        <v>2.1</v>
      </c>
      <c r="B9" s="61" t="s">
        <v>146</v>
      </c>
      <c r="C9" s="62">
        <f t="shared" si="0"/>
        <v>25881.3015570977</v>
      </c>
      <c r="D9" s="62">
        <f>(E.4建设投资税后金额表!I17)</f>
        <v>1862.88206098348</v>
      </c>
      <c r="E9" s="62">
        <f>(E.4建设投资税后金额表!J17)</f>
        <v>10556.3316789064</v>
      </c>
      <c r="F9" s="62">
        <f>(E.4建设投资税后金额表!K17)</f>
        <v>12958.5978017253</v>
      </c>
      <c r="G9" s="62">
        <f>(E.4建设投资税后金额表!L17)</f>
        <v>503.490015482537</v>
      </c>
      <c r="H9" s="62">
        <f>(E.4建设投资税后金额表!M17)</f>
        <v>0</v>
      </c>
      <c r="I9" s="62">
        <f>(E.4建设投资税后金额表!N17)</f>
        <v>0</v>
      </c>
      <c r="J9" s="62">
        <f>(E.4建设投资税后金额表!O17)</f>
        <v>0</v>
      </c>
      <c r="K9" s="62">
        <f>(E.4建设投资税后金额表!P17)</f>
        <v>0</v>
      </c>
      <c r="L9" s="62">
        <f>(E.4建设投资税后金额表!Q17)</f>
        <v>0</v>
      </c>
      <c r="M9" s="62">
        <f>(E.4建设投资税后金额表!R17)</f>
        <v>0</v>
      </c>
      <c r="N9" s="62">
        <f>(E.4建设投资税后金额表!S17)</f>
        <v>0</v>
      </c>
      <c r="O9" s="62">
        <f>(E.4建设投资税后金额表!T17)</f>
        <v>0</v>
      </c>
      <c r="P9" s="62">
        <f>(E.4建设投资税后金额表!U17)</f>
        <v>0</v>
      </c>
      <c r="Q9" s="62">
        <f>(E.4建设投资税后金额表!V17)</f>
        <v>0</v>
      </c>
      <c r="R9" s="62">
        <f>(E.4建设投资税后金额表!W17)</f>
        <v>0</v>
      </c>
      <c r="S9" s="62">
        <f>(E.4建设投资税后金额表!X17)</f>
        <v>0</v>
      </c>
      <c r="T9" s="62">
        <f>(E.4建设投资税后金额表!Y17)</f>
        <v>0</v>
      </c>
      <c r="U9" s="62">
        <f>(E.4建设投资税后金额表!Z17)</f>
        <v>0</v>
      </c>
      <c r="V9" s="62">
        <f>(E.4建设投资税后金额表!AA17)</f>
        <v>0</v>
      </c>
      <c r="W9" s="62">
        <f>(E.4建设投资税后金额表!AB17)</f>
        <v>0</v>
      </c>
      <c r="X9" s="62">
        <f>(E.4建设投资税后金额表!AC17)</f>
        <v>0</v>
      </c>
      <c r="Y9" s="62">
        <f>(E.4建设投资税后金额表!AD17)</f>
        <v>0</v>
      </c>
      <c r="Z9" s="62">
        <f>(E.4建设投资税后金额表!AE17)</f>
        <v>0</v>
      </c>
      <c r="AA9" s="62">
        <f>E.4建设投资税后金额表!AF17</f>
        <v>0</v>
      </c>
    </row>
    <row r="10" ht="16.5" customHeight="1" spans="1:27">
      <c r="A10" s="61">
        <v>2.2</v>
      </c>
      <c r="B10" s="61" t="s">
        <v>147</v>
      </c>
      <c r="C10" s="62">
        <f t="shared" si="0"/>
        <v>542.298232693175</v>
      </c>
      <c r="D10" s="62">
        <f>D.2项目总投资使用计划与资金筹措表!D6</f>
        <v>0</v>
      </c>
      <c r="E10" s="62">
        <f>D.2项目总投资使用计划与资金筹措表!E6</f>
        <v>0</v>
      </c>
      <c r="F10" s="62">
        <f>D.2项目总投资使用计划与资金筹措表!F6</f>
        <v>136.188501271955</v>
      </c>
      <c r="G10" s="62">
        <f>D.2项目总投资使用计划与资金筹措表!G6</f>
        <v>177.121266634357</v>
      </c>
      <c r="H10" s="62">
        <f>D.2项目总投资使用计划与资金筹措表!H6</f>
        <v>131.675458353803</v>
      </c>
      <c r="I10" s="62">
        <f>D.2项目总投资使用计划与资金筹措表!I6</f>
        <v>4.64687762306841</v>
      </c>
      <c r="J10" s="62">
        <f>D.2项目总投资使用计划与资金筹措表!J6</f>
        <v>4.69630209991453</v>
      </c>
      <c r="K10" s="62">
        <f>D.2项目总投资使用计划与资金筹措表!K6</f>
        <v>4.74626515703795</v>
      </c>
      <c r="L10" s="62">
        <f>D.2项目总投资使用计划与资金筹措表!L6</f>
        <v>4.79677284527503</v>
      </c>
      <c r="M10" s="62">
        <f>D.2项目总投资使用计划与资金筹措表!M6</f>
        <v>4.84783128594381</v>
      </c>
      <c r="N10" s="62">
        <f>D.2项目总投资使用计划与资金筹措表!N6</f>
        <v>4.8994466717038</v>
      </c>
      <c r="O10" s="62">
        <f>D.2项目总投资使用计划与资金筹措表!O6</f>
        <v>4.95162526741348</v>
      </c>
      <c r="P10" s="62">
        <f>D.2项目总投资使用计划与资金筹措表!P6</f>
        <v>5.00437341101531</v>
      </c>
      <c r="Q10" s="62">
        <f>D.2项目总投资使用计划与资金筹措表!Q6</f>
        <v>5.05769751441778</v>
      </c>
      <c r="R10" s="62">
        <f>D.2项目总投资使用计划与资金筹措表!R6</f>
        <v>5.11160406439279</v>
      </c>
      <c r="S10" s="62">
        <f>D.2项目总投资使用计划与资金筹措表!S6</f>
        <v>5.16609962349219</v>
      </c>
      <c r="T10" s="62">
        <f>D.2项目总投资使用计划与资金筹措表!T6</f>
        <v>5.22119083095669</v>
      </c>
      <c r="U10" s="62">
        <f>D.2项目总投资使用计划与资金筹措表!U6</f>
        <v>5.27688440366518</v>
      </c>
      <c r="V10" s="62">
        <f>D.2项目总投资使用计划与资金筹措表!V6</f>
        <v>5.33318713706763</v>
      </c>
      <c r="W10" s="62">
        <f>D.2项目总投资使用计划与资金筹措表!W6</f>
        <v>5.39010590614373</v>
      </c>
      <c r="X10" s="62">
        <f>D.2项目总投资使用计划与资金筹措表!X6</f>
        <v>5.45172752748636</v>
      </c>
      <c r="Y10" s="62">
        <f>D.2项目总投资使用计划与资金筹措表!Y6</f>
        <v>5.54189615611733</v>
      </c>
      <c r="Z10" s="62">
        <f>D.2项目总投资使用计划与资金筹措表!Z6</f>
        <v>5.55375787675075</v>
      </c>
      <c r="AA10" s="62">
        <f>D.2项目总投资使用计划与资金筹措表!AA6</f>
        <v>5.61936103119751</v>
      </c>
    </row>
    <row r="11" ht="16.5" customHeight="1" spans="1:27">
      <c r="A11" s="61">
        <v>2.3</v>
      </c>
      <c r="B11" s="61" t="s">
        <v>471</v>
      </c>
      <c r="C11" s="62">
        <f t="shared" si="0"/>
        <v>16459.7375003544</v>
      </c>
      <c r="D11" s="62">
        <f>E总成本费用估算表!C11</f>
        <v>0</v>
      </c>
      <c r="E11" s="62">
        <f>E总成本费用估算表!D11</f>
        <v>0</v>
      </c>
      <c r="F11" s="62">
        <f>E总成本费用估算表!E11</f>
        <v>508.418243078672</v>
      </c>
      <c r="G11" s="62">
        <f>E总成本费用估算表!F11</f>
        <v>651.797541020492</v>
      </c>
      <c r="H11" s="62">
        <f>E总成本费用估算表!G11</f>
        <v>661.582144562799</v>
      </c>
      <c r="I11" s="62">
        <f>E总成本费用估算表!H11</f>
        <v>671.505415631241</v>
      </c>
      <c r="J11" s="62">
        <f>E总成本费用估算表!I11</f>
        <v>681.57753576571</v>
      </c>
      <c r="K11" s="62">
        <f>E总成本费用估算表!J11</f>
        <v>691.800737702195</v>
      </c>
      <c r="L11" s="62">
        <f>E总成本费用估算表!K11</f>
        <v>702.177287667728</v>
      </c>
      <c r="M11" s="62">
        <f>E总成本费用估算表!L11</f>
        <v>712.709485882744</v>
      </c>
      <c r="N11" s="62">
        <f>E总成本费用估算表!M11</f>
        <v>723.399667070986</v>
      </c>
      <c r="O11" s="62">
        <f>E总成本费用估算表!N11</f>
        <v>734.25020097705</v>
      </c>
      <c r="P11" s="62">
        <f>E总成本费用估算表!O11</f>
        <v>745.263492891706</v>
      </c>
      <c r="Q11" s="62">
        <f>E总成本费用估算表!P11</f>
        <v>756.441984185081</v>
      </c>
      <c r="R11" s="62">
        <f>E总成本费用估算表!Q11</f>
        <v>767.788152847858</v>
      </c>
      <c r="S11" s="62">
        <f>E总成本费用估算表!R11</f>
        <v>779.304514040574</v>
      </c>
      <c r="T11" s="62">
        <f>E总成本费用估算表!S11</f>
        <v>790.993620651184</v>
      </c>
      <c r="U11" s="62">
        <f>E总成本费用估算表!T11</f>
        <v>802.858063860951</v>
      </c>
      <c r="V11" s="62">
        <f>E总成本费用估算表!U11</f>
        <v>814.900473718866</v>
      </c>
      <c r="W11" s="62">
        <f>E总成本费用估算表!V11</f>
        <v>827.123519724648</v>
      </c>
      <c r="X11" s="62">
        <f>E总成本费用估算表!W11</f>
        <v>839.588661420518</v>
      </c>
      <c r="Y11" s="62">
        <f>E总成本费用估算表!X11</f>
        <v>852.700653491826</v>
      </c>
      <c r="Z11" s="62">
        <f>E总成本费用估算表!Y11</f>
        <v>865.325492976703</v>
      </c>
      <c r="AA11" s="62">
        <f>E总成本费用估算表!Z11</f>
        <v>878.230611184854</v>
      </c>
    </row>
    <row r="12" ht="16.5" customHeight="1" spans="1:27">
      <c r="A12" s="61">
        <v>2.4</v>
      </c>
      <c r="B12" s="61" t="s">
        <v>472</v>
      </c>
      <c r="C12" s="62">
        <f t="shared" si="0"/>
        <v>0</v>
      </c>
      <c r="D12" s="62">
        <f>(G.税金及附加测算表!D30)</f>
        <v>0</v>
      </c>
      <c r="E12" s="62">
        <f>(G.税金及附加测算表!E30)</f>
        <v>0</v>
      </c>
      <c r="F12" s="62">
        <f>(G.税金及附加测算表!F30)</f>
        <v>0</v>
      </c>
      <c r="G12" s="62">
        <f>(G.税金及附加测算表!G30)</f>
        <v>0</v>
      </c>
      <c r="H12" s="62">
        <f>(G.税金及附加测算表!H30)</f>
        <v>0</v>
      </c>
      <c r="I12" s="62">
        <f>(G.税金及附加测算表!I30)</f>
        <v>0</v>
      </c>
      <c r="J12" s="62">
        <f>(G.税金及附加测算表!J30)</f>
        <v>0</v>
      </c>
      <c r="K12" s="62">
        <f>(G.税金及附加测算表!K30)</f>
        <v>0</v>
      </c>
      <c r="L12" s="62">
        <f>(G.税金及附加测算表!L30)</f>
        <v>0</v>
      </c>
      <c r="M12" s="62">
        <f>(G.税金及附加测算表!M30)</f>
        <v>0</v>
      </c>
      <c r="N12" s="62">
        <f>(G.税金及附加测算表!N30)</f>
        <v>0</v>
      </c>
      <c r="O12" s="62">
        <f>(G.税金及附加测算表!O30)</f>
        <v>0</v>
      </c>
      <c r="P12" s="62">
        <f>(G.税金及附加测算表!P30)</f>
        <v>0</v>
      </c>
      <c r="Q12" s="62">
        <f>(G.税金及附加测算表!Q30)</f>
        <v>0</v>
      </c>
      <c r="R12" s="62">
        <f>(G.税金及附加测算表!R30)</f>
        <v>0</v>
      </c>
      <c r="S12" s="62">
        <f>(G.税金及附加测算表!S30)</f>
        <v>0</v>
      </c>
      <c r="T12" s="62">
        <f>(G.税金及附加测算表!T30)</f>
        <v>0</v>
      </c>
      <c r="U12" s="62">
        <f>(G.税金及附加测算表!U30)</f>
        <v>0</v>
      </c>
      <c r="V12" s="62">
        <f>(G.税金及附加测算表!V30)</f>
        <v>0</v>
      </c>
      <c r="W12" s="62">
        <f>(G.税金及附加测算表!W30)</f>
        <v>0</v>
      </c>
      <c r="X12" s="62">
        <f>(G.税金及附加测算表!X30)</f>
        <v>0</v>
      </c>
      <c r="Y12" s="62">
        <f>(G.税金及附加测算表!Y30)</f>
        <v>0</v>
      </c>
      <c r="Z12" s="62">
        <f>(G.税金及附加测算表!Z30)</f>
        <v>0</v>
      </c>
      <c r="AA12" s="62">
        <f>G.税金及附加测算表!AA30</f>
        <v>0</v>
      </c>
    </row>
    <row r="13" ht="16.5" customHeight="1" spans="1:27">
      <c r="A13" s="61">
        <v>2.5</v>
      </c>
      <c r="B13" s="61" t="s">
        <v>473</v>
      </c>
      <c r="C13" s="62">
        <f t="shared" si="0"/>
        <v>0</v>
      </c>
      <c r="D13" s="62">
        <f>(G.税金及附加测算表!D29)</f>
        <v>0</v>
      </c>
      <c r="E13" s="62">
        <f>(G.税金及附加测算表!E29)</f>
        <v>0</v>
      </c>
      <c r="F13" s="62">
        <f>(G.税金及附加测算表!F29)</f>
        <v>0</v>
      </c>
      <c r="G13" s="62">
        <f>(G.税金及附加测算表!G29)</f>
        <v>0</v>
      </c>
      <c r="H13" s="62">
        <f>(G.税金及附加测算表!H29)</f>
        <v>0</v>
      </c>
      <c r="I13" s="62">
        <f>(G.税金及附加测算表!I29)</f>
        <v>0</v>
      </c>
      <c r="J13" s="62">
        <f>(G.税金及附加测算表!J29)</f>
        <v>0</v>
      </c>
      <c r="K13" s="62">
        <f>(G.税金及附加测算表!K29)</f>
        <v>0</v>
      </c>
      <c r="L13" s="62">
        <f>(G.税金及附加测算表!L29)</f>
        <v>0</v>
      </c>
      <c r="M13" s="62">
        <f>(G.税金及附加测算表!M29)</f>
        <v>0</v>
      </c>
      <c r="N13" s="62">
        <f>(G.税金及附加测算表!N29)</f>
        <v>0</v>
      </c>
      <c r="O13" s="62">
        <f>(G.税金及附加测算表!O29)</f>
        <v>0</v>
      </c>
      <c r="P13" s="62">
        <f>(G.税金及附加测算表!P29)</f>
        <v>0</v>
      </c>
      <c r="Q13" s="62">
        <f>(G.税金及附加测算表!Q29)</f>
        <v>0</v>
      </c>
      <c r="R13" s="62">
        <f>(G.税金及附加测算表!R29)</f>
        <v>0</v>
      </c>
      <c r="S13" s="62">
        <f>(G.税金及附加测算表!S29)</f>
        <v>0</v>
      </c>
      <c r="T13" s="62">
        <f>(G.税金及附加测算表!T29)</f>
        <v>0</v>
      </c>
      <c r="U13" s="62">
        <f>(G.税金及附加测算表!U29)</f>
        <v>0</v>
      </c>
      <c r="V13" s="62">
        <f>(G.税金及附加测算表!V29)</f>
        <v>0</v>
      </c>
      <c r="W13" s="62">
        <f>(G.税金及附加测算表!W29)</f>
        <v>0</v>
      </c>
      <c r="X13" s="62">
        <f>(G.税金及附加测算表!X29)</f>
        <v>0</v>
      </c>
      <c r="Y13" s="62">
        <f>(G.税金及附加测算表!Y29)</f>
        <v>0</v>
      </c>
      <c r="Z13" s="62">
        <f>(G.税金及附加测算表!Z29)</f>
        <v>0</v>
      </c>
      <c r="AA13" s="62">
        <f>G.税金及附加测算表!AA29</f>
        <v>0</v>
      </c>
    </row>
    <row r="14" ht="16.5" customHeight="1" spans="1:27">
      <c r="A14" s="61">
        <v>2.6</v>
      </c>
      <c r="B14" s="61" t="s">
        <v>474</v>
      </c>
      <c r="C14" s="62">
        <f t="shared" si="0"/>
        <v>0</v>
      </c>
      <c r="D14" s="62">
        <v>0</v>
      </c>
      <c r="E14" s="62">
        <v>0</v>
      </c>
      <c r="F14" s="62">
        <v>0</v>
      </c>
      <c r="G14" s="62">
        <v>0</v>
      </c>
      <c r="H14" s="62">
        <v>0</v>
      </c>
      <c r="I14" s="62">
        <v>0</v>
      </c>
      <c r="J14" s="62">
        <v>0</v>
      </c>
      <c r="K14" s="62">
        <v>0</v>
      </c>
      <c r="L14" s="62">
        <v>0</v>
      </c>
      <c r="M14" s="62">
        <v>0</v>
      </c>
      <c r="N14" s="62">
        <v>0</v>
      </c>
      <c r="O14" s="62">
        <v>0</v>
      </c>
      <c r="P14" s="62">
        <v>0</v>
      </c>
      <c r="Q14" s="62">
        <v>0</v>
      </c>
      <c r="R14" s="62">
        <v>0</v>
      </c>
      <c r="S14" s="62">
        <v>0</v>
      </c>
      <c r="T14" s="62">
        <v>0</v>
      </c>
      <c r="U14" s="62">
        <v>0</v>
      </c>
      <c r="V14" s="62">
        <v>0</v>
      </c>
      <c r="W14" s="62">
        <v>0</v>
      </c>
      <c r="X14" s="62">
        <v>0</v>
      </c>
      <c r="Y14" s="62">
        <v>0</v>
      </c>
      <c r="Z14" s="62">
        <v>0</v>
      </c>
      <c r="AA14" s="62">
        <v>0</v>
      </c>
    </row>
    <row r="15" ht="16.5" customHeight="1" spans="1:27">
      <c r="A15" s="61">
        <v>3</v>
      </c>
      <c r="B15" s="61" t="s">
        <v>475</v>
      </c>
      <c r="C15" s="62">
        <f t="shared" si="0"/>
        <v>29038.0734563877</v>
      </c>
      <c r="D15" s="62">
        <f t="shared" ref="D15:AA15" si="3">D3-D8</f>
        <v>-1862.88206098348</v>
      </c>
      <c r="E15" s="62">
        <f t="shared" si="3"/>
        <v>-10556.3316789064</v>
      </c>
      <c r="F15" s="62">
        <f t="shared" si="3"/>
        <v>-12804.4460555099</v>
      </c>
      <c r="G15" s="62">
        <f t="shared" si="3"/>
        <v>739.147780636199</v>
      </c>
      <c r="H15" s="62">
        <f t="shared" si="3"/>
        <v>2267.67635934755</v>
      </c>
      <c r="I15" s="62">
        <f t="shared" si="3"/>
        <v>2415.39100863248</v>
      </c>
      <c r="J15" s="62">
        <f t="shared" si="3"/>
        <v>2436.18489704004</v>
      </c>
      <c r="K15" s="62">
        <f t="shared" si="3"/>
        <v>2457.13631939548</v>
      </c>
      <c r="L15" s="62">
        <f t="shared" si="3"/>
        <v>2478.24609496426</v>
      </c>
      <c r="M15" s="62">
        <f t="shared" si="3"/>
        <v>2499.51503986335</v>
      </c>
      <c r="N15" s="62">
        <f t="shared" si="3"/>
        <v>2520.94396685967</v>
      </c>
      <c r="O15" s="62">
        <f t="shared" si="3"/>
        <v>2542.53368516392</v>
      </c>
      <c r="P15" s="62">
        <f t="shared" si="3"/>
        <v>2564.28500021974</v>
      </c>
      <c r="Q15" s="62">
        <f t="shared" si="3"/>
        <v>2586.19871348819</v>
      </c>
      <c r="R15" s="62">
        <f t="shared" si="3"/>
        <v>2608.27562222731</v>
      </c>
      <c r="S15" s="62">
        <f t="shared" si="3"/>
        <v>2630.5165192669</v>
      </c>
      <c r="T15" s="62">
        <f t="shared" si="3"/>
        <v>2652.92219277813</v>
      </c>
      <c r="U15" s="62">
        <f t="shared" si="3"/>
        <v>2675.49342603826</v>
      </c>
      <c r="V15" s="62">
        <f t="shared" si="3"/>
        <v>2698.23099718997</v>
      </c>
      <c r="W15" s="62">
        <f t="shared" si="3"/>
        <v>2721.13567899558</v>
      </c>
      <c r="X15" s="62">
        <f t="shared" si="3"/>
        <v>2744.14540872462</v>
      </c>
      <c r="Y15" s="62">
        <f t="shared" si="3"/>
        <v>2766.83510600141</v>
      </c>
      <c r="Z15" s="62">
        <f t="shared" si="3"/>
        <v>2790.44918135239</v>
      </c>
      <c r="AA15" s="62">
        <f t="shared" si="3"/>
        <v>4466.47025360204</v>
      </c>
    </row>
    <row r="16" ht="16.5" customHeight="1" spans="1:27">
      <c r="A16" s="61">
        <v>4</v>
      </c>
      <c r="B16" s="61" t="s">
        <v>476</v>
      </c>
      <c r="C16" s="62">
        <f t="shared" si="0"/>
        <v>-23272.7271998491</v>
      </c>
      <c r="D16" s="62">
        <f>D15</f>
        <v>-1862.88206098348</v>
      </c>
      <c r="E16" s="62">
        <f t="shared" ref="E16:AA16" si="4">E15+D16</f>
        <v>-12419.2137398899</v>
      </c>
      <c r="F16" s="62">
        <f t="shared" si="4"/>
        <v>-25223.6597953998</v>
      </c>
      <c r="G16" s="62">
        <f t="shared" si="4"/>
        <v>-24484.5120147636</v>
      </c>
      <c r="H16" s="62">
        <f t="shared" si="4"/>
        <v>-22216.835655416</v>
      </c>
      <c r="I16" s="62">
        <f t="shared" si="4"/>
        <v>-19801.4446467835</v>
      </c>
      <c r="J16" s="62">
        <f t="shared" si="4"/>
        <v>-17365.2597497435</v>
      </c>
      <c r="K16" s="62">
        <f t="shared" si="4"/>
        <v>-14908.123430348</v>
      </c>
      <c r="L16" s="62">
        <f t="shared" si="4"/>
        <v>-12429.8773353838</v>
      </c>
      <c r="M16" s="62">
        <f t="shared" si="4"/>
        <v>-9930.36229552041</v>
      </c>
      <c r="N16" s="62">
        <f t="shared" si="4"/>
        <v>-7409.41832866074</v>
      </c>
      <c r="O16" s="62">
        <f t="shared" si="4"/>
        <v>-4866.88464349683</v>
      </c>
      <c r="P16" s="62">
        <f t="shared" si="4"/>
        <v>-2302.59964327708</v>
      </c>
      <c r="Q16" s="62">
        <f t="shared" si="4"/>
        <v>283.599070211107</v>
      </c>
      <c r="R16" s="62">
        <f t="shared" si="4"/>
        <v>2891.87469243842</v>
      </c>
      <c r="S16" s="62">
        <f t="shared" si="4"/>
        <v>5522.39121170532</v>
      </c>
      <c r="T16" s="62">
        <f t="shared" si="4"/>
        <v>8175.31340448345</v>
      </c>
      <c r="U16" s="62">
        <f t="shared" si="4"/>
        <v>10850.8068305217</v>
      </c>
      <c r="V16" s="62">
        <f t="shared" si="4"/>
        <v>13549.0378277117</v>
      </c>
      <c r="W16" s="62">
        <f t="shared" si="4"/>
        <v>16270.1735067073</v>
      </c>
      <c r="X16" s="62">
        <f t="shared" si="4"/>
        <v>19014.3189154319</v>
      </c>
      <c r="Y16" s="62">
        <f t="shared" si="4"/>
        <v>21781.1540214333</v>
      </c>
      <c r="Z16" s="62">
        <f t="shared" si="4"/>
        <v>24571.6032027857</v>
      </c>
      <c r="AA16" s="62">
        <f t="shared" si="4"/>
        <v>29038.0734563877</v>
      </c>
    </row>
    <row r="17" s="36" customFormat="1" ht="16.5" customHeight="1" spans="1:27">
      <c r="A17" s="61">
        <v>5</v>
      </c>
      <c r="B17" s="61" t="s">
        <v>477</v>
      </c>
      <c r="C17" s="62">
        <f t="shared" si="0"/>
        <v>7259.52774774694</v>
      </c>
      <c r="D17" s="62">
        <f>'b利润与利润分配表（损益和利润分配表）'!D25*A财务假设!$D$9</f>
        <v>2.32963333333333</v>
      </c>
      <c r="E17" s="62">
        <f>'b利润与利润分配表（损益和利润分配表）'!E25*A财务假设!$D$9</f>
        <v>29.2069180416667</v>
      </c>
      <c r="F17" s="62">
        <f>'b利润与利润分配表（损益和利润分配表）'!F25*A财务假设!$D$9</f>
        <v>20.284259787067</v>
      </c>
      <c r="G17" s="62">
        <f>'b利润与利润分配表（损益和利润分配表）'!G25*A财务假设!$D$9</f>
        <v>346.448137095165</v>
      </c>
      <c r="H17" s="62">
        <f>'b利润与利润分配表（损益和利润分配表）'!H25*A财务假设!$D$9</f>
        <v>291.660951566724</v>
      </c>
      <c r="I17" s="62">
        <f>'b利润与利润分配表（损益和利润分配表）'!I25*A财务假设!$D$9</f>
        <v>296.832468705274</v>
      </c>
      <c r="J17" s="62">
        <f>'b利润与利润分配表（损益和利润分配表）'!J25*A财务假设!$D$9</f>
        <v>302.043296926374</v>
      </c>
      <c r="K17" s="62">
        <f>'b利润与利润分配表（损益和利润分配表）'!K25*A财务假设!$D$9</f>
        <v>307.293643279517</v>
      </c>
      <c r="L17" s="62">
        <f>'b利润与利润分配表（损益和利润分配表）'!L25*A财务假设!$D$9</f>
        <v>312.58371409377</v>
      </c>
      <c r="M17" s="62">
        <f>'b利润与利润分配表（损益和利润分配表）'!M25*A财务假设!$D$9</f>
        <v>317.913714928709</v>
      </c>
      <c r="N17" s="62">
        <f>'b利润与利润分配表（损益和利润分配表）'!N25*A财务假设!$D$9</f>
        <v>323.283850524229</v>
      </c>
      <c r="O17" s="62">
        <f>'b利润与利润分配表（损益和利润分配表）'!O25*A财务假设!$D$9</f>
        <v>328.694324749219</v>
      </c>
      <c r="P17" s="62">
        <f>'b利润与利润分配表（损益和利润分配表）'!P25*A财务假设!$D$9</f>
        <v>334.145340549075</v>
      </c>
      <c r="Q17" s="62">
        <f>'b利润与利润分配表（损益和利润分配表）'!Q25*A财务假设!$D$9</f>
        <v>339.637099892038</v>
      </c>
      <c r="R17" s="62">
        <f>'b利润与利润分配表（损益和利润分配表）'!R25*A财务假设!$D$9</f>
        <v>345.169803714312</v>
      </c>
      <c r="S17" s="62">
        <f>'b利润与利润分配表（损益和利润分配表）'!S25*A财务假设!$D$9</f>
        <v>350.743651863983</v>
      </c>
      <c r="T17" s="62">
        <f>'b利润与利润分配表（损益和利润分配表）'!T25*A财务假设!$D$9</f>
        <v>356.358843043658</v>
      </c>
      <c r="U17" s="62">
        <f>'b利润与利润分配表（损益和利润分配表）'!U25*A财务假设!$D$9</f>
        <v>362.015574751867</v>
      </c>
      <c r="V17" s="62">
        <f>'b利润与利润分配表（损益和利润分配表）'!V25*A财务假设!$D$9</f>
        <v>367.714043223146</v>
      </c>
      <c r="W17" s="62">
        <f>'b利润与利润分配表（损益和利润分配表）'!W25*A财务假设!$D$9</f>
        <v>373.454443366816</v>
      </c>
      <c r="X17" s="62">
        <f>'b利润与利润分配表（损益和利润分配表）'!X25*A财务假设!$D$9</f>
        <v>379.222281204413</v>
      </c>
      <c r="Y17" s="62">
        <f>'b利润与利润分配表（损益和利润分配表）'!Y25*A财务假设!$D$9</f>
        <v>384.917247680767</v>
      </c>
      <c r="Z17" s="62">
        <f>'b利润与利润分配表（损益和利润分配表）'!Z25*A财务假设!$D$9</f>
        <v>390.823731948671</v>
      </c>
      <c r="AA17" s="62">
        <f>'b利润与利润分配表（损益和利润分配表）'!AA25*A财务假设!$D$9</f>
        <v>396.750773477147</v>
      </c>
    </row>
    <row r="18" ht="16.5" customHeight="1" spans="1:27">
      <c r="A18" s="61">
        <v>6</v>
      </c>
      <c r="B18" s="61" t="s">
        <v>478</v>
      </c>
      <c r="C18" s="62">
        <f t="shared" si="0"/>
        <v>21778.5457086408</v>
      </c>
      <c r="D18" s="62">
        <f t="shared" ref="D18:AA18" si="5">D15-D17</f>
        <v>-1865.21169431681</v>
      </c>
      <c r="E18" s="62">
        <f t="shared" si="5"/>
        <v>-10585.5385969481</v>
      </c>
      <c r="F18" s="62">
        <f t="shared" si="5"/>
        <v>-12824.730315297</v>
      </c>
      <c r="G18" s="62">
        <f t="shared" si="5"/>
        <v>392.699643541033</v>
      </c>
      <c r="H18" s="62">
        <f t="shared" si="5"/>
        <v>1976.01540778082</v>
      </c>
      <c r="I18" s="62">
        <f t="shared" si="5"/>
        <v>2118.55853992721</v>
      </c>
      <c r="J18" s="62">
        <f t="shared" si="5"/>
        <v>2134.14160011366</v>
      </c>
      <c r="K18" s="62">
        <f t="shared" si="5"/>
        <v>2149.84267611597</v>
      </c>
      <c r="L18" s="62">
        <f t="shared" si="5"/>
        <v>2165.66238087049</v>
      </c>
      <c r="M18" s="62">
        <f t="shared" si="5"/>
        <v>2181.60132493464</v>
      </c>
      <c r="N18" s="62">
        <f t="shared" si="5"/>
        <v>2197.66011633544</v>
      </c>
      <c r="O18" s="62">
        <f t="shared" si="5"/>
        <v>2213.8393604147</v>
      </c>
      <c r="P18" s="62">
        <f t="shared" si="5"/>
        <v>2230.13965967067</v>
      </c>
      <c r="Q18" s="62">
        <f t="shared" si="5"/>
        <v>2246.56161359615</v>
      </c>
      <c r="R18" s="62">
        <f t="shared" si="5"/>
        <v>2263.105818513</v>
      </c>
      <c r="S18" s="62">
        <f t="shared" si="5"/>
        <v>2279.77286740291</v>
      </c>
      <c r="T18" s="62">
        <f t="shared" si="5"/>
        <v>2296.56334973447</v>
      </c>
      <c r="U18" s="62">
        <f t="shared" si="5"/>
        <v>2313.47785128639</v>
      </c>
      <c r="V18" s="62">
        <f t="shared" si="5"/>
        <v>2330.51695396683</v>
      </c>
      <c r="W18" s="62">
        <f t="shared" si="5"/>
        <v>2347.68123562876</v>
      </c>
      <c r="X18" s="62">
        <f t="shared" si="5"/>
        <v>2364.92312752021</v>
      </c>
      <c r="Y18" s="62">
        <f t="shared" si="5"/>
        <v>2381.91785832064</v>
      </c>
      <c r="Z18" s="62">
        <f t="shared" si="5"/>
        <v>2399.62544940372</v>
      </c>
      <c r="AA18" s="62">
        <f t="shared" si="5"/>
        <v>4069.7194801249</v>
      </c>
    </row>
    <row r="19" ht="16.5" customHeight="1" spans="1:27">
      <c r="A19" s="61">
        <v>7</v>
      </c>
      <c r="B19" s="61" t="s">
        <v>479</v>
      </c>
      <c r="C19" s="62">
        <f t="shared" si="0"/>
        <v>-100087.633043133</v>
      </c>
      <c r="D19" s="62">
        <f>D18</f>
        <v>-1865.21169431681</v>
      </c>
      <c r="E19" s="62">
        <f t="shared" ref="E19:AA19" si="6">E18+D19</f>
        <v>-12450.7502912649</v>
      </c>
      <c r="F19" s="62">
        <f t="shared" si="6"/>
        <v>-25275.4806065618</v>
      </c>
      <c r="G19" s="62">
        <f t="shared" si="6"/>
        <v>-24882.7809630208</v>
      </c>
      <c r="H19" s="62">
        <f t="shared" si="6"/>
        <v>-22906.76555524</v>
      </c>
      <c r="I19" s="62">
        <f t="shared" si="6"/>
        <v>-20788.2070153128</v>
      </c>
      <c r="J19" s="62">
        <f t="shared" si="6"/>
        <v>-18654.0654151991</v>
      </c>
      <c r="K19" s="62">
        <f t="shared" si="6"/>
        <v>-16504.2227390831</v>
      </c>
      <c r="L19" s="62">
        <f t="shared" si="6"/>
        <v>-14338.5603582126</v>
      </c>
      <c r="M19" s="62">
        <f t="shared" si="6"/>
        <v>-12156.959033278</v>
      </c>
      <c r="N19" s="62">
        <f t="shared" si="6"/>
        <v>-9959.29891694257</v>
      </c>
      <c r="O19" s="62">
        <f t="shared" si="6"/>
        <v>-7745.45955652787</v>
      </c>
      <c r="P19" s="62">
        <f t="shared" si="6"/>
        <v>-5515.3198968572</v>
      </c>
      <c r="Q19" s="62">
        <f t="shared" si="6"/>
        <v>-3268.75828326105</v>
      </c>
      <c r="R19" s="62">
        <f t="shared" si="6"/>
        <v>-1005.65246474805</v>
      </c>
      <c r="S19" s="62">
        <f t="shared" si="6"/>
        <v>1274.12040265487</v>
      </c>
      <c r="T19" s="62">
        <f t="shared" si="6"/>
        <v>3570.68375238934</v>
      </c>
      <c r="U19" s="62">
        <f t="shared" si="6"/>
        <v>5884.16160367573</v>
      </c>
      <c r="V19" s="62">
        <f t="shared" si="6"/>
        <v>8214.67855764256</v>
      </c>
      <c r="W19" s="62">
        <f t="shared" si="6"/>
        <v>10562.3597932713</v>
      </c>
      <c r="X19" s="62">
        <f t="shared" si="6"/>
        <v>12927.2829207915</v>
      </c>
      <c r="Y19" s="62">
        <f t="shared" si="6"/>
        <v>15309.2007791122</v>
      </c>
      <c r="Z19" s="62">
        <f t="shared" si="6"/>
        <v>17708.8262285159</v>
      </c>
      <c r="AA19" s="62">
        <f t="shared" si="6"/>
        <v>21778.5457086408</v>
      </c>
    </row>
    <row r="20" ht="16.5" customHeight="1" spans="1:27">
      <c r="A20" s="61">
        <v>8</v>
      </c>
      <c r="B20" s="61" t="s">
        <v>480</v>
      </c>
      <c r="C20" s="62">
        <f t="shared" si="0"/>
        <v>12323.5777692178</v>
      </c>
      <c r="D20" s="62">
        <f>D15/(1+A财务假设!$D$14)^(D2-$D$2)</f>
        <v>-1862.88206098348</v>
      </c>
      <c r="E20" s="62">
        <f>E15/(1+A财务假设!$D$14)^(E2-$D$2)</f>
        <v>-10248.8657076761</v>
      </c>
      <c r="F20" s="62">
        <f>F15/(1+A财务假设!$D$14)^(F2-$D$2)</f>
        <v>-12069.4184706475</v>
      </c>
      <c r="G20" s="62">
        <f>G15/(1+A财务假设!$D$14)^(G2-$D$2)</f>
        <v>676.424926478616</v>
      </c>
      <c r="H20" s="62">
        <f>H15/(1+A财务假设!$D$14)^(H2-$D$2)</f>
        <v>2014.8010741449</v>
      </c>
      <c r="I20" s="62">
        <f>I15/(1+A财务假设!$D$14)^(I2-$D$2)</f>
        <v>2083.53750176891</v>
      </c>
      <c r="J20" s="62">
        <f>J15/(1+A财务假设!$D$14)^(J2-$D$2)</f>
        <v>2040.26649764152</v>
      </c>
      <c r="K20" s="62">
        <f>K15/(1+A财务假设!$D$14)^(K2-$D$2)</f>
        <v>1997.87668351392</v>
      </c>
      <c r="L20" s="62">
        <f>L15/(1+A财务假设!$D$14)^(L2-$D$2)</f>
        <v>1956.35035226724</v>
      </c>
      <c r="M20" s="62">
        <f>M15/(1+A财务假设!$D$14)^(M2-$D$2)</f>
        <v>1915.67014929582</v>
      </c>
      <c r="N20" s="62">
        <f>N15/(1+A财务假设!$D$14)^(N2-$D$2)</f>
        <v>1875.81906553589</v>
      </c>
      <c r="O20" s="62">
        <f>O15/(1+A财务假设!$D$14)^(O2-$D$2)</f>
        <v>1836.78043063147</v>
      </c>
      <c r="P20" s="62">
        <f>P15/(1+A财务假设!$D$14)^(P2-$D$2)</f>
        <v>1798.53790623476</v>
      </c>
      <c r="Q20" s="62">
        <f>Q15/(1+A财务假设!$D$14)^(Q2-$D$2)</f>
        <v>1761.07547943841</v>
      </c>
      <c r="R20" s="62">
        <f>R15/(1+A财务假设!$D$14)^(R2-$D$2)</f>
        <v>1724.37745633711</v>
      </c>
      <c r="S20" s="62">
        <f>S15/(1+A财务假设!$D$14)^(S2-$D$2)</f>
        <v>1688.42845571589</v>
      </c>
      <c r="T20" s="62">
        <f>T15/(1+A财务假设!$D$14)^(T2-$D$2)</f>
        <v>1653.21340286266</v>
      </c>
      <c r="U20" s="62">
        <f>U15/(1+A财务假设!$D$14)^(U2-$D$2)</f>
        <v>1618.71752350272</v>
      </c>
      <c r="V20" s="62">
        <f>V15/(1+A财务假设!$D$14)^(V2-$D$2)</f>
        <v>1584.92633785249</v>
      </c>
      <c r="W20" s="62">
        <f>W15/(1+A财务假设!$D$14)^(W2-$D$2)</f>
        <v>1551.82565479056</v>
      </c>
      <c r="X20" s="62">
        <f>X15/(1+A财务假设!$D$14)^(X2-$D$2)</f>
        <v>1519.36677877257</v>
      </c>
      <c r="Y20" s="62">
        <f>Y15/(1+A财务假设!$D$14)^(Y2-$D$2)</f>
        <v>1487.31020779083</v>
      </c>
      <c r="Z20" s="62">
        <f>Z15/(1+A财务假设!$D$14)^(Z2-$D$2)</f>
        <v>1456.31450184176</v>
      </c>
      <c r="AA20" s="62">
        <f>AA15/(1+A财务假设!$D$14)^(AA2-$D$2)</f>
        <v>2263.12362210684</v>
      </c>
    </row>
    <row r="21" ht="16.5" customHeight="1" spans="1:27">
      <c r="A21" s="61">
        <v>9</v>
      </c>
      <c r="B21" s="61" t="s">
        <v>481</v>
      </c>
      <c r="C21" s="62">
        <f t="shared" si="0"/>
        <v>-140072.676286937</v>
      </c>
      <c r="D21" s="62">
        <f>D20</f>
        <v>-1862.88206098348</v>
      </c>
      <c r="E21" s="62">
        <f t="shared" ref="E21:AA21" si="7">E20+D21</f>
        <v>-12111.7477686596</v>
      </c>
      <c r="F21" s="62">
        <f t="shared" si="7"/>
        <v>-24181.1662393071</v>
      </c>
      <c r="G21" s="62">
        <f t="shared" si="7"/>
        <v>-23504.7413128284</v>
      </c>
      <c r="H21" s="62">
        <f t="shared" si="7"/>
        <v>-21489.9402386835</v>
      </c>
      <c r="I21" s="62">
        <f t="shared" si="7"/>
        <v>-19406.4027369146</v>
      </c>
      <c r="J21" s="62">
        <f t="shared" si="7"/>
        <v>-17366.1362392731</v>
      </c>
      <c r="K21" s="62">
        <f t="shared" si="7"/>
        <v>-15368.2595557592</v>
      </c>
      <c r="L21" s="62">
        <f t="shared" si="7"/>
        <v>-13411.909203492</v>
      </c>
      <c r="M21" s="62">
        <f t="shared" si="7"/>
        <v>-11496.2390541961</v>
      </c>
      <c r="N21" s="62">
        <f t="shared" si="7"/>
        <v>-9620.41998866025</v>
      </c>
      <c r="O21" s="62">
        <f t="shared" si="7"/>
        <v>-7783.63955802878</v>
      </c>
      <c r="P21" s="62">
        <f t="shared" si="7"/>
        <v>-5985.10165179402</v>
      </c>
      <c r="Q21" s="62">
        <f t="shared" si="7"/>
        <v>-4224.0261723556</v>
      </c>
      <c r="R21" s="62">
        <f t="shared" si="7"/>
        <v>-2499.64871601849</v>
      </c>
      <c r="S21" s="62">
        <f t="shared" si="7"/>
        <v>-811.220260302606</v>
      </c>
      <c r="T21" s="62">
        <f t="shared" si="7"/>
        <v>841.993142560056</v>
      </c>
      <c r="U21" s="62">
        <f t="shared" si="7"/>
        <v>2460.71066606277</v>
      </c>
      <c r="V21" s="62">
        <f t="shared" si="7"/>
        <v>4045.63700391527</v>
      </c>
      <c r="W21" s="62">
        <f t="shared" si="7"/>
        <v>5597.46265870582</v>
      </c>
      <c r="X21" s="62">
        <f t="shared" si="7"/>
        <v>7116.82943747839</v>
      </c>
      <c r="Y21" s="62">
        <f t="shared" si="7"/>
        <v>8604.13964526922</v>
      </c>
      <c r="Z21" s="62">
        <f t="shared" si="7"/>
        <v>10060.454147111</v>
      </c>
      <c r="AA21" s="62">
        <f t="shared" si="7"/>
        <v>12323.5777692178</v>
      </c>
    </row>
    <row r="22" ht="16.5" customHeight="1" spans="1:27">
      <c r="A22" s="61">
        <v>10</v>
      </c>
      <c r="B22" s="61" t="s">
        <v>482</v>
      </c>
      <c r="C22" s="62">
        <f t="shared" si="0"/>
        <v>7359.39303421005</v>
      </c>
      <c r="D22" s="62">
        <f>D18/(1+A财务假设!$D$14)^(D2-$D$2)</f>
        <v>-1865.21169431681</v>
      </c>
      <c r="E22" s="62">
        <f>E18/(1+A财务假设!$D$14)^(E2-$D$2)</f>
        <v>-10277.2219387845</v>
      </c>
      <c r="F22" s="62">
        <f>F18/(1+A财务假设!$D$14)^(F2-$D$2)</f>
        <v>-12088.5383309426</v>
      </c>
      <c r="G22" s="62">
        <f>G18/(1+A财务假设!$D$14)^(G2-$D$2)</f>
        <v>359.375803417535</v>
      </c>
      <c r="H22" s="62">
        <f>H18/(1+A财务假设!$D$14)^(H2-$D$2)</f>
        <v>1755.6640962951</v>
      </c>
      <c r="I22" s="62">
        <f>I18/(1+A财务假设!$D$14)^(I2-$D$2)</f>
        <v>1827.4872067733</v>
      </c>
      <c r="J22" s="62">
        <f>J18/(1+A财务假设!$D$14)^(J2-$D$2)</f>
        <v>1787.30999162885</v>
      </c>
      <c r="K22" s="62">
        <f>K18/(1+A财务假设!$D$14)^(K2-$D$2)</f>
        <v>1748.01883067357</v>
      </c>
      <c r="L22" s="62">
        <f>L18/(1+A财务假设!$D$14)^(L2-$D$2)</f>
        <v>1709.59388186547</v>
      </c>
      <c r="M22" s="62">
        <f>M18/(1+A财务假设!$D$14)^(M2-$D$2)</f>
        <v>1672.01575873293</v>
      </c>
      <c r="N22" s="62">
        <f>N18/(1+A财务假设!$D$14)^(N2-$D$2)</f>
        <v>1635.26551957643</v>
      </c>
      <c r="O22" s="62">
        <f>O18/(1+A财务假设!$D$14)^(O2-$D$2)</f>
        <v>1599.32465693537</v>
      </c>
      <c r="P22" s="62">
        <f>P18/(1+A财务假设!$D$14)^(P2-$D$2)</f>
        <v>1564.17508731341</v>
      </c>
      <c r="Q22" s="62">
        <f>Q18/(1+A财务假设!$D$14)^(Q2-$D$2)</f>
        <v>1529.79914115553</v>
      </c>
      <c r="R22" s="62">
        <f>R18/(1+A财务假设!$D$14)^(R2-$D$2)</f>
        <v>1496.17955307066</v>
      </c>
      <c r="S22" s="62">
        <f>S18/(1+A财务假设!$D$14)^(S2-$D$2)</f>
        <v>1463.29945229343</v>
      </c>
      <c r="T22" s="62">
        <f>T18/(1+A财务假设!$D$14)^(T2-$D$2)</f>
        <v>1431.14235337912</v>
      </c>
      <c r="U22" s="62">
        <f>U18/(1+A财务假设!$D$14)^(U2-$D$2)</f>
        <v>1399.69214712589</v>
      </c>
      <c r="V22" s="62">
        <f>V18/(1+A财务假设!$D$14)^(V2-$D$2)</f>
        <v>1368.93309171844</v>
      </c>
      <c r="W22" s="62">
        <f>W18/(1+A财务假设!$D$14)^(W2-$D$2)</f>
        <v>1338.84980408763</v>
      </c>
      <c r="X22" s="62">
        <f>X18/(1+A财务假设!$D$14)^(X2-$D$2)</f>
        <v>1309.40059622246</v>
      </c>
      <c r="Y22" s="62">
        <f>Y18/(1+A财务假设!$D$14)^(Y2-$D$2)</f>
        <v>1280.39822001513</v>
      </c>
      <c r="Z22" s="62">
        <f>Z18/(1+A财务假设!$D$14)^(Z2-$D$2)</f>
        <v>1252.3465269708</v>
      </c>
      <c r="AA22" s="62">
        <f>AA18/(1+A财务假设!$D$14)^(AA2-$D$2)</f>
        <v>2062.09327900287</v>
      </c>
    </row>
    <row r="23" ht="16.5" customHeight="1" spans="1:27">
      <c r="A23" s="61">
        <v>11</v>
      </c>
      <c r="B23" s="61" t="s">
        <v>483</v>
      </c>
      <c r="C23" s="62">
        <f t="shared" si="0"/>
        <v>-198170.224526817</v>
      </c>
      <c r="D23" s="62">
        <f>D22</f>
        <v>-1865.21169431681</v>
      </c>
      <c r="E23" s="62">
        <f t="shared" ref="E23:AA23" si="8">E22+D23</f>
        <v>-12142.4336331013</v>
      </c>
      <c r="F23" s="62">
        <f t="shared" si="8"/>
        <v>-24230.9719640439</v>
      </c>
      <c r="G23" s="62">
        <f t="shared" si="8"/>
        <v>-23871.5961606264</v>
      </c>
      <c r="H23" s="62">
        <f t="shared" si="8"/>
        <v>-22115.9320643313</v>
      </c>
      <c r="I23" s="62">
        <f t="shared" si="8"/>
        <v>-20288.444857558</v>
      </c>
      <c r="J23" s="62">
        <f t="shared" si="8"/>
        <v>-18501.1348659291</v>
      </c>
      <c r="K23" s="62">
        <f t="shared" si="8"/>
        <v>-16753.1160352555</v>
      </c>
      <c r="L23" s="62">
        <f t="shared" si="8"/>
        <v>-15043.5221533901</v>
      </c>
      <c r="M23" s="62">
        <f t="shared" si="8"/>
        <v>-13371.5063946571</v>
      </c>
      <c r="N23" s="62">
        <f t="shared" si="8"/>
        <v>-11736.2408750807</v>
      </c>
      <c r="O23" s="62">
        <f t="shared" si="8"/>
        <v>-10136.9162181453</v>
      </c>
      <c r="P23" s="62">
        <f t="shared" si="8"/>
        <v>-8572.74113083192</v>
      </c>
      <c r="Q23" s="62">
        <f t="shared" si="8"/>
        <v>-7042.94198967639</v>
      </c>
      <c r="R23" s="62">
        <f t="shared" si="8"/>
        <v>-5546.76243660572</v>
      </c>
      <c r="S23" s="62">
        <f t="shared" si="8"/>
        <v>-4083.46298431229</v>
      </c>
      <c r="T23" s="62">
        <f t="shared" si="8"/>
        <v>-2652.32063093317</v>
      </c>
      <c r="U23" s="62">
        <f t="shared" si="8"/>
        <v>-1252.62848380728</v>
      </c>
      <c r="V23" s="62">
        <f t="shared" si="8"/>
        <v>116.304607911162</v>
      </c>
      <c r="W23" s="62">
        <f t="shared" si="8"/>
        <v>1455.1544119988</v>
      </c>
      <c r="X23" s="62">
        <f t="shared" si="8"/>
        <v>2764.55500822125</v>
      </c>
      <c r="Y23" s="62">
        <f t="shared" si="8"/>
        <v>4044.95322823638</v>
      </c>
      <c r="Z23" s="62">
        <f t="shared" si="8"/>
        <v>5297.29975520718</v>
      </c>
      <c r="AA23" s="62">
        <f t="shared" si="8"/>
        <v>7359.39303421005</v>
      </c>
    </row>
    <row r="24" ht="37.95" customHeight="1" spans="1:27">
      <c r="A24" s="8" t="s">
        <v>484</v>
      </c>
      <c r="B24" s="63" t="s">
        <v>485</v>
      </c>
      <c r="C24" s="8"/>
      <c r="D24" s="58">
        <f>(IRR(D15:AA15))</f>
        <v>0.0700476436559605</v>
      </c>
      <c r="E24" s="3"/>
      <c r="F24" s="3"/>
      <c r="G24" s="3"/>
      <c r="H24" s="3"/>
      <c r="I24" s="3"/>
      <c r="J24" s="3"/>
      <c r="K24" s="3"/>
      <c r="L24" s="3"/>
      <c r="M24" s="3"/>
      <c r="N24" s="3"/>
      <c r="O24" s="3"/>
      <c r="P24" s="3"/>
      <c r="Q24" s="3"/>
      <c r="R24" s="3"/>
      <c r="S24" s="3"/>
      <c r="T24" s="3"/>
      <c r="U24" s="3"/>
      <c r="V24" s="3"/>
      <c r="W24" s="3"/>
      <c r="X24" s="3"/>
      <c r="Y24" s="3"/>
      <c r="Z24" s="3"/>
      <c r="AA24" s="4"/>
    </row>
    <row r="25" ht="34.95" customHeight="1" spans="1:27">
      <c r="A25" s="8" t="s">
        <v>486</v>
      </c>
      <c r="B25" s="63" t="s">
        <v>487</v>
      </c>
      <c r="C25" s="8"/>
      <c r="D25" s="58">
        <f>(IRR(D18:AA18))</f>
        <v>0.0548621894709733</v>
      </c>
      <c r="E25" s="3"/>
      <c r="F25" s="3"/>
      <c r="G25" s="3"/>
      <c r="H25" s="3"/>
      <c r="I25" s="3"/>
      <c r="J25" s="3"/>
      <c r="K25" s="3"/>
      <c r="L25" s="3"/>
      <c r="M25" s="3"/>
      <c r="N25" s="3"/>
      <c r="O25" s="3"/>
      <c r="P25" s="3"/>
      <c r="Q25" s="3"/>
      <c r="R25" s="3"/>
      <c r="S25" s="3"/>
      <c r="T25" s="3"/>
      <c r="U25" s="3"/>
      <c r="V25" s="3"/>
      <c r="W25" s="3"/>
      <c r="X25" s="3"/>
      <c r="Y25" s="3"/>
      <c r="Z25" s="3"/>
      <c r="AA25" s="4"/>
    </row>
    <row r="26" ht="34.05" customHeight="1" spans="1:27">
      <c r="A26" s="8" t="s">
        <v>488</v>
      </c>
      <c r="B26" s="63" t="s">
        <v>489</v>
      </c>
      <c r="C26" s="64" t="s">
        <v>490</v>
      </c>
      <c r="D26" s="65">
        <f>(NPV(A财务假设!$D$3,D15:AA15))</f>
        <v>4905.95016777545</v>
      </c>
      <c r="E26" s="3"/>
      <c r="F26" s="3"/>
      <c r="G26" s="3"/>
      <c r="H26" s="3"/>
      <c r="I26" s="3"/>
      <c r="J26" s="3"/>
      <c r="K26" s="3"/>
      <c r="L26" s="3"/>
      <c r="M26" s="3"/>
      <c r="N26" s="3"/>
      <c r="O26" s="3"/>
      <c r="P26" s="3"/>
      <c r="Q26" s="3"/>
      <c r="R26" s="3"/>
      <c r="S26" s="3"/>
      <c r="T26" s="3"/>
      <c r="U26" s="3"/>
      <c r="V26" s="3"/>
      <c r="W26" s="3"/>
      <c r="X26" s="3"/>
      <c r="Y26" s="3"/>
      <c r="Z26" s="3"/>
      <c r="AA26" s="4"/>
    </row>
    <row r="27" ht="34.05" customHeight="1" spans="1:27">
      <c r="A27" s="8" t="s">
        <v>491</v>
      </c>
      <c r="B27" s="63" t="s">
        <v>492</v>
      </c>
      <c r="C27" s="64" t="s">
        <v>490</v>
      </c>
      <c r="D27" s="65">
        <f>(NPV(A财务假设!$D$4,D18:AA18))</f>
        <v>7145.04178078645</v>
      </c>
      <c r="E27" s="3"/>
      <c r="F27" s="3"/>
      <c r="G27" s="3"/>
      <c r="H27" s="3"/>
      <c r="I27" s="3"/>
      <c r="J27" s="3"/>
      <c r="K27" s="3"/>
      <c r="L27" s="3"/>
      <c r="M27" s="3"/>
      <c r="N27" s="3"/>
      <c r="O27" s="3"/>
      <c r="P27" s="3"/>
      <c r="Q27" s="3"/>
      <c r="R27" s="3"/>
      <c r="S27" s="3"/>
      <c r="T27" s="3"/>
      <c r="U27" s="3"/>
      <c r="V27" s="3"/>
      <c r="W27" s="3"/>
      <c r="X27" s="3"/>
      <c r="Y27" s="3"/>
      <c r="Z27" s="3"/>
      <c r="AA27" s="4"/>
    </row>
    <row r="28" ht="37.05" customHeight="1" spans="1:8">
      <c r="A28" s="8" t="s">
        <v>493</v>
      </c>
      <c r="B28" s="63" t="s">
        <v>494</v>
      </c>
      <c r="C28" s="66">
        <f>Q2+P16/Q15-$D$2</f>
        <v>12.1096586541212</v>
      </c>
      <c r="D28" s="67" t="s">
        <v>495</v>
      </c>
      <c r="E28" s="3"/>
      <c r="F28" s="3"/>
      <c r="G28" s="3"/>
      <c r="H28" s="39"/>
    </row>
    <row r="29" ht="37.05" customHeight="1" spans="1:8">
      <c r="A29" s="8" t="s">
        <v>496</v>
      </c>
      <c r="B29" s="63" t="s">
        <v>497</v>
      </c>
      <c r="C29" s="66" t="e">
        <f>#REF!+#REF!/#REF!-$D$2</f>
        <v>#REF!</v>
      </c>
      <c r="D29" s="68" t="s">
        <v>498</v>
      </c>
      <c r="E29" s="3"/>
      <c r="F29" s="3"/>
      <c r="G29" s="3"/>
      <c r="H29" s="8"/>
    </row>
    <row r="30" ht="34.05" customHeight="1" spans="1:8">
      <c r="A30" s="8" t="s">
        <v>499</v>
      </c>
      <c r="B30" s="63" t="s">
        <v>500</v>
      </c>
      <c r="C30" s="66" t="e">
        <f>#REF!+#REF!/#REF!-$D$2</f>
        <v>#REF!</v>
      </c>
      <c r="D30" s="68" t="s">
        <v>501</v>
      </c>
      <c r="E30" s="3"/>
      <c r="F30" s="3"/>
      <c r="G30" s="3"/>
      <c r="H30" s="8"/>
    </row>
    <row r="31" ht="34.95" customHeight="1" spans="1:8">
      <c r="A31" s="8" t="s">
        <v>502</v>
      </c>
      <c r="B31" s="63" t="s">
        <v>503</v>
      </c>
      <c r="C31" s="66" t="e">
        <f>#REF!+#REF!/#REF!-$D$2</f>
        <v>#REF!</v>
      </c>
      <c r="D31" s="68" t="s">
        <v>504</v>
      </c>
      <c r="E31" s="3"/>
      <c r="F31" s="3"/>
      <c r="G31" s="3"/>
      <c r="H31" s="8"/>
    </row>
  </sheetData>
  <mergeCells count="9">
    <mergeCell ref="A1:H1"/>
    <mergeCell ref="D24:AA24"/>
    <mergeCell ref="D25:AA25"/>
    <mergeCell ref="D26:AA26"/>
    <mergeCell ref="D27:AA27"/>
    <mergeCell ref="D28:G28"/>
    <mergeCell ref="D29:G29"/>
    <mergeCell ref="D30:G30"/>
    <mergeCell ref="D31:G31"/>
  </mergeCells>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rgb="FFFFC000"/>
  </sheetPr>
  <dimension ref="A1:AA23"/>
  <sheetViews>
    <sheetView zoomScale="70" zoomScaleNormal="70" workbookViewId="0">
      <pane xSplit="3" ySplit="2" topLeftCell="D3" activePane="bottomRight" state="frozen"/>
      <selection/>
      <selection pane="topRight"/>
      <selection pane="bottomLeft"/>
      <selection pane="bottomRight" activeCell="Z20" sqref="Z20"/>
    </sheetView>
  </sheetViews>
  <sheetFormatPr defaultColWidth="8.89090909090909" defaultRowHeight="28.05" customHeight="1"/>
  <cols>
    <col min="2" max="2" width="29.6636363636364" style="1" customWidth="1"/>
    <col min="3" max="3" width="17.1090909090909" style="1" customWidth="1"/>
    <col min="4" max="6" width="11.5545454545455" style="1" customWidth="1"/>
    <col min="7" max="7" width="10.5545454545455" style="1" customWidth="1"/>
    <col min="8" max="8" width="11.8909090909091" style="1" customWidth="1"/>
    <col min="25" max="27" width="10.3909090909091" style="1" customWidth="1"/>
  </cols>
  <sheetData>
    <row r="1" customHeight="1" spans="1:8">
      <c r="A1" s="56" t="s">
        <v>505</v>
      </c>
      <c r="B1" s="3"/>
      <c r="C1" s="3"/>
      <c r="D1" s="3"/>
      <c r="E1" s="3"/>
      <c r="F1" s="3"/>
      <c r="G1" s="3"/>
      <c r="H1" s="57"/>
    </row>
    <row r="2" customHeight="1" spans="1:27">
      <c r="A2" s="5" t="s">
        <v>1</v>
      </c>
      <c r="B2" s="5" t="s">
        <v>184</v>
      </c>
      <c r="C2" s="5" t="s">
        <v>81</v>
      </c>
      <c r="D2" s="33">
        <v>2025</v>
      </c>
      <c r="E2" s="33">
        <v>2026</v>
      </c>
      <c r="F2" s="33">
        <v>2027</v>
      </c>
      <c r="G2" s="33">
        <v>2028</v>
      </c>
      <c r="H2" s="33">
        <v>2029</v>
      </c>
      <c r="I2" s="33">
        <v>2030</v>
      </c>
      <c r="J2" s="33">
        <v>2031</v>
      </c>
      <c r="K2" s="33">
        <v>2032</v>
      </c>
      <c r="L2" s="33">
        <v>2033</v>
      </c>
      <c r="M2" s="33">
        <v>2034</v>
      </c>
      <c r="N2" s="33">
        <v>2035</v>
      </c>
      <c r="O2" s="33">
        <v>2036</v>
      </c>
      <c r="P2" s="33">
        <v>2037</v>
      </c>
      <c r="Q2" s="33">
        <v>2038</v>
      </c>
      <c r="R2" s="33">
        <v>2039</v>
      </c>
      <c r="S2" s="33">
        <v>2040</v>
      </c>
      <c r="T2" s="33">
        <v>2041</v>
      </c>
      <c r="U2" s="33">
        <v>2042</v>
      </c>
      <c r="V2" s="33">
        <v>2043</v>
      </c>
      <c r="W2" s="33">
        <v>2044</v>
      </c>
      <c r="X2" s="33">
        <v>2045</v>
      </c>
      <c r="Y2" s="33">
        <v>2046</v>
      </c>
      <c r="Z2" s="33">
        <v>2047</v>
      </c>
      <c r="AA2" s="33">
        <v>2048</v>
      </c>
    </row>
    <row r="3" customHeight="1" spans="1:27">
      <c r="A3" s="8">
        <v>1</v>
      </c>
      <c r="B3" s="8" t="s">
        <v>466</v>
      </c>
      <c r="C3" s="13">
        <f t="shared" ref="C3:C17" si="0">(SUM(D3:AA3))</f>
        <v>71921.410746533</v>
      </c>
      <c r="D3" s="13">
        <f t="shared" ref="D3:AA3" si="1">SUM(D4:D7)</f>
        <v>0</v>
      </c>
      <c r="E3" s="13">
        <f t="shared" si="1"/>
        <v>0</v>
      </c>
      <c r="F3" s="13">
        <f t="shared" si="1"/>
        <v>798.758490566038</v>
      </c>
      <c r="G3" s="13">
        <f t="shared" si="1"/>
        <v>2071.55660377358</v>
      </c>
      <c r="H3" s="13">
        <f t="shared" si="1"/>
        <v>3060.93396226415</v>
      </c>
      <c r="I3" s="13">
        <f t="shared" si="1"/>
        <v>3091.54330188679</v>
      </c>
      <c r="J3" s="13">
        <f t="shared" si="1"/>
        <v>3122.45873490566</v>
      </c>
      <c r="K3" s="13">
        <f t="shared" si="1"/>
        <v>3153.68332225472</v>
      </c>
      <c r="L3" s="13">
        <f t="shared" si="1"/>
        <v>3185.22015547726</v>
      </c>
      <c r="M3" s="13">
        <f t="shared" si="1"/>
        <v>3217.07235703204</v>
      </c>
      <c r="N3" s="13">
        <f t="shared" si="1"/>
        <v>3249.24308060236</v>
      </c>
      <c r="O3" s="13">
        <f t="shared" si="1"/>
        <v>3281.73551140838</v>
      </c>
      <c r="P3" s="13">
        <f t="shared" si="1"/>
        <v>3314.55286652246</v>
      </c>
      <c r="Q3" s="13">
        <f t="shared" si="1"/>
        <v>3347.69839518769</v>
      </c>
      <c r="R3" s="13">
        <f t="shared" si="1"/>
        <v>3381.17537913956</v>
      </c>
      <c r="S3" s="13">
        <f t="shared" si="1"/>
        <v>3414.98713293096</v>
      </c>
      <c r="T3" s="13">
        <f t="shared" si="1"/>
        <v>3449.13700426027</v>
      </c>
      <c r="U3" s="13">
        <f t="shared" si="1"/>
        <v>3483.62837430287</v>
      </c>
      <c r="V3" s="13">
        <f t="shared" si="1"/>
        <v>3518.46465804591</v>
      </c>
      <c r="W3" s="13">
        <f t="shared" si="1"/>
        <v>3553.64930462637</v>
      </c>
      <c r="X3" s="13">
        <f t="shared" si="1"/>
        <v>3589.18579767263</v>
      </c>
      <c r="Y3" s="13">
        <f t="shared" si="1"/>
        <v>3625.07765564935</v>
      </c>
      <c r="Z3" s="13">
        <f t="shared" si="1"/>
        <v>3661.32843220584</v>
      </c>
      <c r="AA3" s="13">
        <f t="shared" si="1"/>
        <v>5350.32022581809</v>
      </c>
    </row>
    <row r="4" customHeight="1" spans="1:27">
      <c r="A4" s="8">
        <v>1.1</v>
      </c>
      <c r="B4" s="8" t="s">
        <v>467</v>
      </c>
      <c r="C4" s="13">
        <f t="shared" si="0"/>
        <v>70269.0322372428</v>
      </c>
      <c r="D4" s="13">
        <f>(F项目收入!D25)</f>
        <v>0</v>
      </c>
      <c r="E4" s="13">
        <f>(F项目收入!E25)</f>
        <v>0</v>
      </c>
      <c r="F4" s="13">
        <f>(F项目收入!F25)</f>
        <v>798.758490566038</v>
      </c>
      <c r="G4" s="13">
        <f>(F项目收入!G25)</f>
        <v>2071.55660377358</v>
      </c>
      <c r="H4" s="13">
        <f>(F项目收入!H25)</f>
        <v>3060.93396226415</v>
      </c>
      <c r="I4" s="13">
        <f>(F项目收入!I25)</f>
        <v>3091.54330188679</v>
      </c>
      <c r="J4" s="13">
        <f>(F项目收入!J25)</f>
        <v>3122.45873490566</v>
      </c>
      <c r="K4" s="13">
        <f>(F项目收入!K25)</f>
        <v>3153.68332225472</v>
      </c>
      <c r="L4" s="13">
        <f>(F项目收入!L25)</f>
        <v>3185.22015547726</v>
      </c>
      <c r="M4" s="13">
        <f>(F项目收入!M25)</f>
        <v>3217.07235703204</v>
      </c>
      <c r="N4" s="13">
        <f>(F项目收入!N25)</f>
        <v>3249.24308060236</v>
      </c>
      <c r="O4" s="13">
        <f>(F项目收入!O25)</f>
        <v>3281.73551140838</v>
      </c>
      <c r="P4" s="13">
        <f>(F项目收入!P25)</f>
        <v>3314.55286652246</v>
      </c>
      <c r="Q4" s="13">
        <f>(F项目收入!Q25)</f>
        <v>3347.69839518769</v>
      </c>
      <c r="R4" s="13">
        <f>(F项目收入!R25)</f>
        <v>3381.17537913956</v>
      </c>
      <c r="S4" s="13">
        <f>(F项目收入!S25)</f>
        <v>3414.98713293096</v>
      </c>
      <c r="T4" s="13">
        <f>(F项目收入!T25)</f>
        <v>3449.13700426027</v>
      </c>
      <c r="U4" s="13">
        <f>(F项目收入!U25)</f>
        <v>3483.62837430287</v>
      </c>
      <c r="V4" s="13">
        <f>(F项目收入!V25)</f>
        <v>3518.46465804591</v>
      </c>
      <c r="W4" s="13">
        <f>(F项目收入!W25)</f>
        <v>3553.64930462637</v>
      </c>
      <c r="X4" s="13">
        <f>(F项目收入!X25)</f>
        <v>3589.18579767263</v>
      </c>
      <c r="Y4" s="13">
        <f>(F项目收入!Y25)</f>
        <v>3625.07765564935</v>
      </c>
      <c r="Z4" s="13">
        <f>(F项目收入!Z25)</f>
        <v>3661.32843220584</v>
      </c>
      <c r="AA4" s="13">
        <f>F项目收入!AA25</f>
        <v>3697.9417165279</v>
      </c>
    </row>
    <row r="5" customHeight="1" spans="1:27">
      <c r="A5" s="8">
        <v>1.2</v>
      </c>
      <c r="B5" s="8" t="s">
        <v>368</v>
      </c>
      <c r="C5" s="13">
        <f t="shared" si="0"/>
        <v>0</v>
      </c>
      <c r="D5" s="13">
        <f>(F项目收入!D23)</f>
        <v>0</v>
      </c>
      <c r="E5" s="13">
        <f>(F项目收入!E23)</f>
        <v>0</v>
      </c>
      <c r="F5" s="13">
        <f>(F项目收入!F23)</f>
        <v>0</v>
      </c>
      <c r="G5" s="13">
        <f>(F项目收入!G23)</f>
        <v>0</v>
      </c>
      <c r="H5" s="13">
        <f>(F项目收入!H23)</f>
        <v>0</v>
      </c>
      <c r="I5" s="13">
        <f>(F项目收入!I23)</f>
        <v>0</v>
      </c>
      <c r="J5" s="13">
        <f>(F项目收入!J23)</f>
        <v>0</v>
      </c>
      <c r="K5" s="13">
        <f>(F项目收入!K23)</f>
        <v>0</v>
      </c>
      <c r="L5" s="13">
        <f>(F项目收入!L23)</f>
        <v>0</v>
      </c>
      <c r="M5" s="13">
        <f>(F项目收入!M23)</f>
        <v>0</v>
      </c>
      <c r="N5" s="13">
        <f>(F项目收入!N23)</f>
        <v>0</v>
      </c>
      <c r="O5" s="13">
        <f>(F项目收入!O23)</f>
        <v>0</v>
      </c>
      <c r="P5" s="13">
        <f>(F项目收入!P23)</f>
        <v>0</v>
      </c>
      <c r="Q5" s="13">
        <f>(F项目收入!Q23)</f>
        <v>0</v>
      </c>
      <c r="R5" s="13">
        <f>(F项目收入!R23)</f>
        <v>0</v>
      </c>
      <c r="S5" s="13">
        <f>(F项目收入!S23)</f>
        <v>0</v>
      </c>
      <c r="T5" s="13">
        <f>(F项目收入!T23)</f>
        <v>0</v>
      </c>
      <c r="U5" s="13">
        <f>(F项目收入!U23)</f>
        <v>0</v>
      </c>
      <c r="V5" s="13">
        <f>(F项目收入!V23)</f>
        <v>0</v>
      </c>
      <c r="W5" s="13">
        <f>(F项目收入!W23)</f>
        <v>0</v>
      </c>
      <c r="X5" s="13">
        <f>(F项目收入!X23)</f>
        <v>0</v>
      </c>
      <c r="Y5" s="13">
        <f>(F项目收入!Y23)</f>
        <v>0</v>
      </c>
      <c r="Z5" s="13">
        <f>(F项目收入!Z23)</f>
        <v>0</v>
      </c>
      <c r="AA5" s="13">
        <v>0</v>
      </c>
    </row>
    <row r="6" customHeight="1" spans="1:27">
      <c r="A6" s="8">
        <v>1.3</v>
      </c>
      <c r="B6" s="8" t="s">
        <v>468</v>
      </c>
      <c r="C6" s="13">
        <f t="shared" si="0"/>
        <v>1110.08027659702</v>
      </c>
      <c r="D6" s="13" t="s">
        <v>162</v>
      </c>
      <c r="E6" s="13" t="s">
        <v>162</v>
      </c>
      <c r="F6" s="13" t="s">
        <v>162</v>
      </c>
      <c r="G6" s="13" t="s">
        <v>162</v>
      </c>
      <c r="H6" s="13" t="s">
        <v>162</v>
      </c>
      <c r="I6" s="13" t="s">
        <v>162</v>
      </c>
      <c r="J6" s="13" t="s">
        <v>162</v>
      </c>
      <c r="K6" s="13" t="s">
        <v>162</v>
      </c>
      <c r="L6" s="13" t="s">
        <v>162</v>
      </c>
      <c r="M6" s="13" t="s">
        <v>162</v>
      </c>
      <c r="N6" s="13" t="s">
        <v>162</v>
      </c>
      <c r="O6" s="13" t="s">
        <v>162</v>
      </c>
      <c r="P6" s="13" t="s">
        <v>162</v>
      </c>
      <c r="Q6" s="13" t="s">
        <v>162</v>
      </c>
      <c r="R6" s="13" t="s">
        <v>162</v>
      </c>
      <c r="S6" s="13" t="s">
        <v>162</v>
      </c>
      <c r="T6" s="13" t="s">
        <v>162</v>
      </c>
      <c r="U6" s="13" t="s">
        <v>162</v>
      </c>
      <c r="V6" s="13" t="s">
        <v>162</v>
      </c>
      <c r="W6" s="13" t="s">
        <v>162</v>
      </c>
      <c r="X6" s="13" t="s">
        <v>162</v>
      </c>
      <c r="Y6" s="13" t="s">
        <v>162</v>
      </c>
      <c r="Z6" s="13" t="s">
        <v>162</v>
      </c>
      <c r="AA6" s="13">
        <f>E.2固定资产折旧费估算表!C6*A财务假设!$D$12</f>
        <v>1110.08027659702</v>
      </c>
    </row>
    <row r="7" customHeight="1" spans="1:27">
      <c r="A7" s="8">
        <v>1.4</v>
      </c>
      <c r="B7" s="8" t="s">
        <v>469</v>
      </c>
      <c r="C7" s="13">
        <f t="shared" si="0"/>
        <v>542.298232693175</v>
      </c>
      <c r="D7" s="13" t="s">
        <v>162</v>
      </c>
      <c r="E7" s="13" t="s">
        <v>162</v>
      </c>
      <c r="F7" s="13" t="s">
        <v>162</v>
      </c>
      <c r="G7" s="13" t="s">
        <v>162</v>
      </c>
      <c r="H7" s="13" t="s">
        <v>162</v>
      </c>
      <c r="I7" s="13" t="s">
        <v>162</v>
      </c>
      <c r="J7" s="13" t="s">
        <v>162</v>
      </c>
      <c r="K7" s="13" t="s">
        <v>162</v>
      </c>
      <c r="L7" s="13" t="s">
        <v>162</v>
      </c>
      <c r="M7" s="13" t="s">
        <v>162</v>
      </c>
      <c r="N7" s="13" t="s">
        <v>162</v>
      </c>
      <c r="O7" s="13" t="s">
        <v>162</v>
      </c>
      <c r="P7" s="13" t="s">
        <v>162</v>
      </c>
      <c r="Q7" s="13" t="s">
        <v>162</v>
      </c>
      <c r="R7" s="13" t="s">
        <v>162</v>
      </c>
      <c r="S7" s="13" t="s">
        <v>162</v>
      </c>
      <c r="T7" s="13" t="s">
        <v>162</v>
      </c>
      <c r="U7" s="13" t="s">
        <v>162</v>
      </c>
      <c r="V7" s="13" t="s">
        <v>162</v>
      </c>
      <c r="W7" s="13" t="s">
        <v>162</v>
      </c>
      <c r="X7" s="13" t="s">
        <v>162</v>
      </c>
      <c r="Y7" s="13" t="s">
        <v>162</v>
      </c>
      <c r="Z7" s="13" t="s">
        <v>162</v>
      </c>
      <c r="AA7" s="13">
        <f>D.4流动资金估算表!AB13</f>
        <v>542.298232693175</v>
      </c>
    </row>
    <row r="8" customHeight="1" spans="1:27">
      <c r="A8" s="8">
        <v>2</v>
      </c>
      <c r="B8" s="8" t="s">
        <v>470</v>
      </c>
      <c r="C8" s="13">
        <f t="shared" si="0"/>
        <v>62777.8531310939</v>
      </c>
      <c r="D8" s="13">
        <f t="shared" ref="D8:AA8" si="2">SUM(D9:D16)</f>
        <v>873.745607853119</v>
      </c>
      <c r="E8" s="13">
        <f t="shared" si="2"/>
        <v>113.752054445467</v>
      </c>
      <c r="F8" s="13">
        <f t="shared" si="2"/>
        <v>6643.67857823136</v>
      </c>
      <c r="G8" s="13">
        <f t="shared" si="2"/>
        <v>-5014.82687235121</v>
      </c>
      <c r="H8" s="13">
        <f t="shared" si="2"/>
        <v>1549.04160948333</v>
      </c>
      <c r="I8" s="13">
        <f t="shared" si="2"/>
        <v>1437.10781695958</v>
      </c>
      <c r="J8" s="13">
        <f t="shared" si="2"/>
        <v>1452.440189792</v>
      </c>
      <c r="K8" s="13">
        <f t="shared" si="2"/>
        <v>1467.96370113875</v>
      </c>
      <c r="L8" s="13">
        <f t="shared" si="2"/>
        <v>1483.68082960677</v>
      </c>
      <c r="M8" s="13">
        <f t="shared" si="2"/>
        <v>1499.5940870974</v>
      </c>
      <c r="N8" s="13">
        <f t="shared" si="2"/>
        <v>1515.70601926692</v>
      </c>
      <c r="O8" s="13">
        <f t="shared" si="2"/>
        <v>1532.01920599368</v>
      </c>
      <c r="P8" s="13">
        <f t="shared" si="2"/>
        <v>1548.5362618518</v>
      </c>
      <c r="Q8" s="13">
        <f t="shared" si="2"/>
        <v>1565.25983659154</v>
      </c>
      <c r="R8" s="13">
        <f t="shared" si="2"/>
        <v>1582.19261562656</v>
      </c>
      <c r="S8" s="13">
        <f t="shared" si="2"/>
        <v>1599.33732052805</v>
      </c>
      <c r="T8" s="13">
        <f t="shared" si="2"/>
        <v>1616.6967095258</v>
      </c>
      <c r="U8" s="13">
        <f t="shared" si="2"/>
        <v>1634.27357801648</v>
      </c>
      <c r="V8" s="13">
        <f t="shared" si="2"/>
        <v>1652.07075907908</v>
      </c>
      <c r="W8" s="13">
        <f t="shared" si="2"/>
        <v>1670.09112399761</v>
      </c>
      <c r="X8" s="13">
        <f t="shared" si="2"/>
        <v>2865.50562098575</v>
      </c>
      <c r="Y8" s="13">
        <f t="shared" si="2"/>
        <v>13299.5097098704</v>
      </c>
      <c r="Z8" s="13">
        <f t="shared" si="2"/>
        <v>10243.5576604605</v>
      </c>
      <c r="AA8" s="13">
        <f t="shared" si="2"/>
        <v>8946.9191070432</v>
      </c>
    </row>
    <row r="9" customHeight="1" spans="1:27">
      <c r="A9" s="8">
        <v>2.1</v>
      </c>
      <c r="B9" s="8" t="s">
        <v>149</v>
      </c>
      <c r="C9" s="13">
        <f t="shared" si="0"/>
        <v>750.247282992537</v>
      </c>
      <c r="D9" s="13">
        <f>D.2项目总投资使用计划与资金筹措表!D8</f>
        <v>872.730407853119</v>
      </c>
      <c r="E9" s="13">
        <f>D.2项目总投资使用计划与资金筹措表!E8</f>
        <v>77.8270489454667</v>
      </c>
      <c r="F9" s="13">
        <f>D.2项目总投资使用计划与资金筹措表!F8</f>
        <v>5855.10768425269</v>
      </c>
      <c r="G9" s="13">
        <f>D.2项目总投资使用计划与资金筹措表!G8</f>
        <v>-6284.4063228456</v>
      </c>
      <c r="H9" s="13">
        <f>D.2项目总投资使用计划与资金筹措表!H8</f>
        <v>131.675458353803</v>
      </c>
      <c r="I9" s="13">
        <f>D.2项目总投资使用计划与资金筹措表!I8</f>
        <v>4.64687762306841</v>
      </c>
      <c r="J9" s="13">
        <f>D.2项目总投资使用计划与资金筹措表!J8</f>
        <v>4.69630209991453</v>
      </c>
      <c r="K9" s="13">
        <f>D.2项目总投资使用计划与资金筹措表!K8</f>
        <v>4.74626515703795</v>
      </c>
      <c r="L9" s="13">
        <f>D.2项目总投资使用计划与资金筹措表!L8</f>
        <v>4.79677284527503</v>
      </c>
      <c r="M9" s="13">
        <f>D.2项目总投资使用计划与资金筹措表!M8</f>
        <v>4.84783128594381</v>
      </c>
      <c r="N9" s="13">
        <f>D.2项目总投资使用计划与资金筹措表!N8</f>
        <v>4.8994466717038</v>
      </c>
      <c r="O9" s="13">
        <f>D.2项目总投资使用计划与资金筹措表!O8</f>
        <v>4.95162526741348</v>
      </c>
      <c r="P9" s="13">
        <f>D.2项目总投资使用计划与资金筹措表!P8</f>
        <v>5.00437341101531</v>
      </c>
      <c r="Q9" s="13">
        <f>D.2项目总投资使用计划与资金筹措表!Q8</f>
        <v>5.05769751441778</v>
      </c>
      <c r="R9" s="13">
        <f>D.2项目总投资使用计划与资金筹措表!R8</f>
        <v>5.11160406439279</v>
      </c>
      <c r="S9" s="13">
        <f>D.2项目总投资使用计划与资金筹措表!S8</f>
        <v>5.16609962349219</v>
      </c>
      <c r="T9" s="13">
        <f>D.2项目总投资使用计划与资金筹措表!T8</f>
        <v>5.22119083095669</v>
      </c>
      <c r="U9" s="13">
        <f>D.2项目总投资使用计划与资金筹措表!U8</f>
        <v>5.27688440366518</v>
      </c>
      <c r="V9" s="13">
        <f>D.2项目总投资使用计划与资金筹措表!V8</f>
        <v>5.33318713706763</v>
      </c>
      <c r="W9" s="13">
        <f>D.2项目总投资使用计划与资金筹措表!W8</f>
        <v>5.39010590614373</v>
      </c>
      <c r="X9" s="13">
        <f>D.2项目总投资使用计划与资金筹措表!X8</f>
        <v>5.45172752748636</v>
      </c>
      <c r="Y9" s="13">
        <f>D.2项目总投资使用计划与资金筹措表!Y8</f>
        <v>5.54189615611733</v>
      </c>
      <c r="Z9" s="13">
        <f>D.2项目总投资使用计划与资金筹措表!Z8</f>
        <v>5.55375787675075</v>
      </c>
      <c r="AA9" s="13">
        <f>D.2项目总投资使用计划与资金筹措表!AA8</f>
        <v>5.61936103119751</v>
      </c>
    </row>
    <row r="10" customHeight="1" spans="1:27">
      <c r="A10" s="8">
        <v>2.2</v>
      </c>
      <c r="B10" s="8" t="s">
        <v>506</v>
      </c>
      <c r="C10" s="13">
        <f t="shared" si="0"/>
        <v>29000</v>
      </c>
      <c r="D10" s="13">
        <f>(c借款还本付息计划表!D42)</f>
        <v>0</v>
      </c>
      <c r="E10" s="13">
        <f>(c借款还本付息计划表!E42)</f>
        <v>0</v>
      </c>
      <c r="F10" s="13">
        <f>(c借款还本付息计划表!F42)</f>
        <v>0</v>
      </c>
      <c r="G10" s="13">
        <f>(c借款还本付息计划表!G42)</f>
        <v>0</v>
      </c>
      <c r="H10" s="13">
        <f>(c借款还本付息计划表!H42)</f>
        <v>0</v>
      </c>
      <c r="I10" s="13">
        <f>(c借款还本付息计划表!I42)</f>
        <v>0</v>
      </c>
      <c r="J10" s="13">
        <f>(c借款还本付息计划表!J42)</f>
        <v>0</v>
      </c>
      <c r="K10" s="13">
        <f>(c借款还本付息计划表!K42)</f>
        <v>0</v>
      </c>
      <c r="L10" s="13">
        <f>(c借款还本付息计划表!L42)</f>
        <v>0</v>
      </c>
      <c r="M10" s="13">
        <f>(c借款还本付息计划表!M42)</f>
        <v>0</v>
      </c>
      <c r="N10" s="13">
        <f>(c借款还本付息计划表!N42)</f>
        <v>0</v>
      </c>
      <c r="O10" s="13">
        <f>(c借款还本付息计划表!O42)</f>
        <v>0</v>
      </c>
      <c r="P10" s="13">
        <f>(c借款还本付息计划表!P42)</f>
        <v>0</v>
      </c>
      <c r="Q10" s="13">
        <f>(c借款还本付息计划表!Q42)</f>
        <v>0</v>
      </c>
      <c r="R10" s="13">
        <f>(c借款还本付息计划表!R42)</f>
        <v>0</v>
      </c>
      <c r="S10" s="13">
        <f>(c借款还本付息计划表!S42)</f>
        <v>0</v>
      </c>
      <c r="T10" s="13">
        <f>(c借款还本付息计划表!T42)</f>
        <v>0</v>
      </c>
      <c r="U10" s="13">
        <f>(c借款还本付息计划表!U42)</f>
        <v>0</v>
      </c>
      <c r="V10" s="13">
        <f>(c借款还本付息计划表!V42)</f>
        <v>0</v>
      </c>
      <c r="W10" s="13">
        <f>(c借款还本付息计划表!W42)</f>
        <v>0</v>
      </c>
      <c r="X10" s="13">
        <f>(c借款还本付息计划表!X42)</f>
        <v>1175</v>
      </c>
      <c r="Y10" s="13">
        <f>(c借款还本付息计划表!Y42)</f>
        <v>11590</v>
      </c>
      <c r="Z10" s="13">
        <f>(c借款还本付息计划表!Z42)</f>
        <v>8705</v>
      </c>
      <c r="AA10" s="13">
        <f>(c借款还本付息计划表!AA42)</f>
        <v>7530</v>
      </c>
    </row>
    <row r="11" customHeight="1" spans="1:27">
      <c r="A11" s="8">
        <v>2.3</v>
      </c>
      <c r="B11" s="8" t="s">
        <v>507</v>
      </c>
      <c r="C11" s="13">
        <f t="shared" si="0"/>
        <v>12323.1208</v>
      </c>
      <c r="D11" s="13">
        <f>(c借款还本付息计划表!D43+c借款还本付息计划表!D45+c借款还本付息计划表!D46)</f>
        <v>1.0152</v>
      </c>
      <c r="E11" s="13">
        <f>(c借款还本付息计划表!E43+c借款还本付息计划表!E45+c借款还本付息计划表!E46)</f>
        <v>34.9250055</v>
      </c>
      <c r="F11" s="13">
        <f>(c借款还本付息计划表!F43+c借款还本付息计划表!F45+c借款还本付息计划表!F46)</f>
        <v>278.1526509</v>
      </c>
      <c r="G11" s="13">
        <f>(c借款还本付息计划表!G43+c借款还本付息计划表!G45+c借款还本付息计划表!G46)</f>
        <v>461.6926782</v>
      </c>
      <c r="H11" s="13">
        <f>(c借款还本付息计划表!H43+c借款还本付息计划表!H45+c借款还本付息计划表!H46)</f>
        <v>614.83074</v>
      </c>
      <c r="I11" s="13">
        <f>(c借款还本付息计划表!I43+c借款还本付息计划表!I45+c借款还本付息计划表!I46)</f>
        <v>614.83074</v>
      </c>
      <c r="J11" s="13">
        <f>(c借款还本付息计划表!J43+c借款还本付息计划表!J45+c借款还本付息计划表!J46)</f>
        <v>614.83074</v>
      </c>
      <c r="K11" s="13">
        <f>(c借款还本付息计划表!K43+c借款还本付息计划表!K45+c借款还本付息计划表!K46)</f>
        <v>614.83074</v>
      </c>
      <c r="L11" s="13">
        <f>(c借款还本付息计划表!L43+c借款还本付息计划表!L45+c借款还本付息计划表!L46)</f>
        <v>614.83074</v>
      </c>
      <c r="M11" s="13">
        <f>(c借款还本付息计划表!M43+c借款还本付息计划表!M45+c借款还本付息计划表!M46)</f>
        <v>614.83074</v>
      </c>
      <c r="N11" s="13">
        <f>(c借款还本付息计划表!N43+c借款还本付息计划表!N45+c借款还本付息计划表!N46)</f>
        <v>614.83074</v>
      </c>
      <c r="O11" s="13">
        <f>(c借款还本付息计划表!O43+c借款还本付息计划表!O45+c借款还本付息计划表!O46)</f>
        <v>614.83074</v>
      </c>
      <c r="P11" s="13">
        <f>(c借款还本付息计划表!P43+c借款还本付息计划表!P45+c借款还本付息计划表!P46)</f>
        <v>614.83074</v>
      </c>
      <c r="Q11" s="13">
        <f>(c借款还本付息计划表!Q43+c借款还本付息计划表!Q45+c借款还本付息计划表!Q46)</f>
        <v>614.83074</v>
      </c>
      <c r="R11" s="13">
        <f>(c借款还本付息计划表!R43+c借款还本付息计划表!R45+c借款还本付息计划表!R46)</f>
        <v>614.83074</v>
      </c>
      <c r="S11" s="13">
        <f>(c借款还本付息计划表!S43+c借款还本付息计划表!S45+c借款还本付息计划表!S46)</f>
        <v>614.83074</v>
      </c>
      <c r="T11" s="13">
        <f>(c借款还本付息计划表!T43+c借款还本付息计划表!T45+c借款还本付息计划表!T46)</f>
        <v>614.83074</v>
      </c>
      <c r="U11" s="13">
        <f>(c借款还本付息计划表!U43+c借款还本付息计划表!U45+c借款还本付息计划表!U46)</f>
        <v>614.83074</v>
      </c>
      <c r="V11" s="13">
        <f>(c借款还本付息计划表!V43+c借款还本付息计划表!V45+c借款还本付息计划表!V46)</f>
        <v>614.83074</v>
      </c>
      <c r="W11" s="13">
        <f>(c借款还本付息计划表!W43+c借款还本付息计划表!W45+c借款还本付息计划表!W46)</f>
        <v>614.83074</v>
      </c>
      <c r="X11" s="13">
        <f>(c借款还本付息计划表!X43+c借款还本付息计划表!X45+c借款还本付息计划表!X46)</f>
        <v>614.88949</v>
      </c>
      <c r="Y11" s="13">
        <f>(c借款还本付息计划表!Y43+c借款还本付息计划表!Y45+c借款还本付息计划表!Y46)</f>
        <v>590.4989945</v>
      </c>
      <c r="Z11" s="13">
        <f>(c借款还本付息计划表!Z43+c借款还本付息计划表!Z45+c借款还本付息计划表!Z46)</f>
        <v>344.6344591</v>
      </c>
      <c r="AA11" s="13">
        <f>(c借款还本付息计划表!AA43+c借款还本付息计划表!AA45+c借款还本付息计划表!AA46)</f>
        <v>160.0204818</v>
      </c>
    </row>
    <row r="12" customHeight="1" spans="1:27">
      <c r="A12" s="8">
        <v>2.4</v>
      </c>
      <c r="B12" s="8" t="s">
        <v>471</v>
      </c>
      <c r="C12" s="13">
        <f t="shared" si="0"/>
        <v>16459.7375003544</v>
      </c>
      <c r="D12" s="13">
        <f>E总成本费用估算表!C11</f>
        <v>0</v>
      </c>
      <c r="E12" s="13">
        <f>E总成本费用估算表!D11</f>
        <v>0</v>
      </c>
      <c r="F12" s="13">
        <f>E总成本费用估算表!E11</f>
        <v>508.418243078672</v>
      </c>
      <c r="G12" s="13">
        <f>E总成本费用估算表!F11</f>
        <v>651.797541020492</v>
      </c>
      <c r="H12" s="13">
        <f>E总成本费用估算表!G11</f>
        <v>661.582144562799</v>
      </c>
      <c r="I12" s="13">
        <f>E总成本费用估算表!H11</f>
        <v>671.505415631241</v>
      </c>
      <c r="J12" s="13">
        <f>E总成本费用估算表!I11</f>
        <v>681.57753576571</v>
      </c>
      <c r="K12" s="13">
        <f>E总成本费用估算表!J11</f>
        <v>691.800737702195</v>
      </c>
      <c r="L12" s="13">
        <f>E总成本费用估算表!K11</f>
        <v>702.177287667728</v>
      </c>
      <c r="M12" s="13">
        <f>E总成本费用估算表!L11</f>
        <v>712.709485882744</v>
      </c>
      <c r="N12" s="13">
        <f>E总成本费用估算表!M11</f>
        <v>723.399667070986</v>
      </c>
      <c r="O12" s="13">
        <f>E总成本费用估算表!N11</f>
        <v>734.25020097705</v>
      </c>
      <c r="P12" s="13">
        <f>E总成本费用估算表!O11</f>
        <v>745.263492891706</v>
      </c>
      <c r="Q12" s="13">
        <f>E总成本费用估算表!P11</f>
        <v>756.441984185081</v>
      </c>
      <c r="R12" s="13">
        <f>E总成本费用估算表!Q11</f>
        <v>767.788152847858</v>
      </c>
      <c r="S12" s="13">
        <f>E总成本费用估算表!R11</f>
        <v>779.304514040574</v>
      </c>
      <c r="T12" s="13">
        <f>E总成本费用估算表!S11</f>
        <v>790.993620651184</v>
      </c>
      <c r="U12" s="13">
        <f>E总成本费用估算表!T11</f>
        <v>802.858063860951</v>
      </c>
      <c r="V12" s="13">
        <f>E总成本费用估算表!U11</f>
        <v>814.900473718866</v>
      </c>
      <c r="W12" s="13">
        <f>E总成本费用估算表!V11</f>
        <v>827.123519724648</v>
      </c>
      <c r="X12" s="13">
        <f>E总成本费用估算表!W11</f>
        <v>839.588661420518</v>
      </c>
      <c r="Y12" s="13">
        <f>E总成本费用估算表!X11</f>
        <v>852.700653491826</v>
      </c>
      <c r="Z12" s="13">
        <f>E总成本费用估算表!Y11</f>
        <v>865.325492976703</v>
      </c>
      <c r="AA12" s="13">
        <f>E总成本费用估算表!Z11</f>
        <v>878.230611184854</v>
      </c>
    </row>
    <row r="13" customHeight="1" spans="1:27">
      <c r="A13" s="8">
        <v>2.5</v>
      </c>
      <c r="B13" s="8" t="s">
        <v>472</v>
      </c>
      <c r="C13" s="13">
        <f t="shared" si="0"/>
        <v>0</v>
      </c>
      <c r="D13" s="40">
        <f>(G.税金及附加测算表!D30)</f>
        <v>0</v>
      </c>
      <c r="E13" s="40">
        <f>(G.税金及附加测算表!E30)</f>
        <v>0</v>
      </c>
      <c r="F13" s="40">
        <f>(G.税金及附加测算表!F30)</f>
        <v>0</v>
      </c>
      <c r="G13" s="40">
        <f>(G.税金及附加测算表!G30)</f>
        <v>0</v>
      </c>
      <c r="H13" s="40">
        <f>(G.税金及附加测算表!H30)</f>
        <v>0</v>
      </c>
      <c r="I13" s="40">
        <f>(G.税金及附加测算表!I30)</f>
        <v>0</v>
      </c>
      <c r="J13" s="40">
        <f>(G.税金及附加测算表!J30)</f>
        <v>0</v>
      </c>
      <c r="K13" s="40">
        <f>(G.税金及附加测算表!K30)</f>
        <v>0</v>
      </c>
      <c r="L13" s="40">
        <f>(G.税金及附加测算表!L30)</f>
        <v>0</v>
      </c>
      <c r="M13" s="40">
        <f>(G.税金及附加测算表!M30)</f>
        <v>0</v>
      </c>
      <c r="N13" s="40">
        <f>(G.税金及附加测算表!N30)</f>
        <v>0</v>
      </c>
      <c r="O13" s="40">
        <f>(G.税金及附加测算表!O30)</f>
        <v>0</v>
      </c>
      <c r="P13" s="40">
        <f>(G.税金及附加测算表!P30)</f>
        <v>0</v>
      </c>
      <c r="Q13" s="40">
        <f>(G.税金及附加测算表!Q30)</f>
        <v>0</v>
      </c>
      <c r="R13" s="40">
        <f>(G.税金及附加测算表!R30)</f>
        <v>0</v>
      </c>
      <c r="S13" s="40">
        <f>(G.税金及附加测算表!S30)</f>
        <v>0</v>
      </c>
      <c r="T13" s="40">
        <f>(G.税金及附加测算表!T30)</f>
        <v>0</v>
      </c>
      <c r="U13" s="40">
        <f>(G.税金及附加测算表!U30)</f>
        <v>0</v>
      </c>
      <c r="V13" s="40">
        <f>(G.税金及附加测算表!V30)</f>
        <v>0</v>
      </c>
      <c r="W13" s="40">
        <f>(G.税金及附加测算表!W30)</f>
        <v>0</v>
      </c>
      <c r="X13" s="40">
        <f>(G.税金及附加测算表!X30)</f>
        <v>0</v>
      </c>
      <c r="Y13" s="40">
        <f>(G.税金及附加测算表!Y30)</f>
        <v>0</v>
      </c>
      <c r="Z13" s="40">
        <f>(G.税金及附加测算表!Z30)</f>
        <v>0</v>
      </c>
      <c r="AA13" s="40">
        <f>G.税金及附加测算表!AA30</f>
        <v>0</v>
      </c>
    </row>
    <row r="14" customHeight="1" spans="1:27">
      <c r="A14" s="8">
        <v>2.6</v>
      </c>
      <c r="B14" s="8" t="s">
        <v>473</v>
      </c>
      <c r="C14" s="13">
        <f t="shared" si="0"/>
        <v>0</v>
      </c>
      <c r="D14" s="40">
        <f>(G.税金及附加测算表!D29)</f>
        <v>0</v>
      </c>
      <c r="E14" s="40">
        <f>(G.税金及附加测算表!E29)</f>
        <v>0</v>
      </c>
      <c r="F14" s="40">
        <f>(G.税金及附加测算表!F29)</f>
        <v>0</v>
      </c>
      <c r="G14" s="40">
        <f>(G.税金及附加测算表!G29)</f>
        <v>0</v>
      </c>
      <c r="H14" s="40">
        <f>(G.税金及附加测算表!H29)</f>
        <v>0</v>
      </c>
      <c r="I14" s="40">
        <f>(G.税金及附加测算表!I29)</f>
        <v>0</v>
      </c>
      <c r="J14" s="40">
        <f>(G.税金及附加测算表!J29)</f>
        <v>0</v>
      </c>
      <c r="K14" s="40">
        <f>(G.税金及附加测算表!K29)</f>
        <v>0</v>
      </c>
      <c r="L14" s="40">
        <f>(G.税金及附加测算表!L29)</f>
        <v>0</v>
      </c>
      <c r="M14" s="40">
        <f>(G.税金及附加测算表!M29)</f>
        <v>0</v>
      </c>
      <c r="N14" s="40">
        <f>(G.税金及附加测算表!N29)</f>
        <v>0</v>
      </c>
      <c r="O14" s="40">
        <f>(G.税金及附加测算表!O29)</f>
        <v>0</v>
      </c>
      <c r="P14" s="40">
        <f>(G.税金及附加测算表!P29)</f>
        <v>0</v>
      </c>
      <c r="Q14" s="40">
        <f>(G.税金及附加测算表!Q29)</f>
        <v>0</v>
      </c>
      <c r="R14" s="40">
        <f>(G.税金及附加测算表!R29)</f>
        <v>0</v>
      </c>
      <c r="S14" s="40">
        <f>(G.税金及附加测算表!S29)</f>
        <v>0</v>
      </c>
      <c r="T14" s="40">
        <f>(G.税金及附加测算表!T29)</f>
        <v>0</v>
      </c>
      <c r="U14" s="40">
        <f>(G.税金及附加测算表!U29)</f>
        <v>0</v>
      </c>
      <c r="V14" s="40">
        <f>(G.税金及附加测算表!V29)</f>
        <v>0</v>
      </c>
      <c r="W14" s="40">
        <f>(G.税金及附加测算表!W29)</f>
        <v>0</v>
      </c>
      <c r="X14" s="40">
        <f>(G.税金及附加测算表!X29)</f>
        <v>0</v>
      </c>
      <c r="Y14" s="40">
        <f>(G.税金及附加测算表!Y29)</f>
        <v>0</v>
      </c>
      <c r="Z14" s="40">
        <f>(G.税金及附加测算表!Z29)</f>
        <v>0</v>
      </c>
      <c r="AA14" s="40">
        <f>G.税金及附加测算表!AA29</f>
        <v>0</v>
      </c>
    </row>
    <row r="15" customHeight="1" spans="1:27">
      <c r="A15" s="8">
        <v>2.7</v>
      </c>
      <c r="B15" s="8" t="s">
        <v>508</v>
      </c>
      <c r="C15" s="13">
        <f t="shared" si="0"/>
        <v>4178.74754774694</v>
      </c>
      <c r="D15" s="13">
        <f>'b利润与利润分配表（损益和利润分配表）'!D11</f>
        <v>0</v>
      </c>
      <c r="E15" s="13">
        <f>'b利润与利润分配表（损益和利润分配表）'!E11</f>
        <v>0</v>
      </c>
      <c r="F15" s="13">
        <f>'b利润与利润分配表（损益和利润分配表）'!F11</f>
        <v>0</v>
      </c>
      <c r="G15" s="13">
        <f>'b利润与利润分配表（损益和利润分配表）'!G11</f>
        <v>153.089231273899</v>
      </c>
      <c r="H15" s="13">
        <f>'b利润与利润分配表（损益和利润分配表）'!H11</f>
        <v>137.953266566724</v>
      </c>
      <c r="I15" s="13">
        <f>'b利润与利润分配表（损益和利润分配表）'!I11</f>
        <v>143.124783705274</v>
      </c>
      <c r="J15" s="13">
        <f>'b利润与利润分配表（损益和利润分配表）'!J11</f>
        <v>148.335611926374</v>
      </c>
      <c r="K15" s="13">
        <f>'b利润与利润分配表（损益和利润分配表）'!K11</f>
        <v>153.585958279517</v>
      </c>
      <c r="L15" s="13">
        <f>'b利润与利润分配表（损益和利润分配表）'!L11</f>
        <v>158.87602909377</v>
      </c>
      <c r="M15" s="13">
        <f>'b利润与利润分配表（损益和利润分配表）'!M11</f>
        <v>164.206029928709</v>
      </c>
      <c r="N15" s="13">
        <f>'b利润与利润分配表（损益和利润分配表）'!N11</f>
        <v>169.576165524229</v>
      </c>
      <c r="O15" s="13">
        <f>'b利润与利润分配表（损益和利润分配表）'!O11</f>
        <v>174.986639749219</v>
      </c>
      <c r="P15" s="13">
        <f>'b利润与利润分配表（损益和利润分配表）'!P11</f>
        <v>180.437655549075</v>
      </c>
      <c r="Q15" s="13">
        <f>'b利润与利润分配表（损益和利润分配表）'!Q11</f>
        <v>185.929414892038</v>
      </c>
      <c r="R15" s="13">
        <f>'b利润与利润分配表（损益和利润分配表）'!R11</f>
        <v>191.462118714312</v>
      </c>
      <c r="S15" s="13">
        <f>'b利润与利润分配表（损益和利润分配表）'!S11</f>
        <v>197.035966863983</v>
      </c>
      <c r="T15" s="13">
        <f>'b利润与利润分配表（损益和利润分配表）'!T11</f>
        <v>202.651158043658</v>
      </c>
      <c r="U15" s="13">
        <f>'b利润与利润分配表（损益和利润分配表）'!U11</f>
        <v>208.307889751867</v>
      </c>
      <c r="V15" s="13">
        <f>'b利润与利润分配表（损益和利润分配表）'!V11</f>
        <v>214.006358223146</v>
      </c>
      <c r="W15" s="13">
        <f>'b利润与利润分配表（损益和利润分配表）'!W11</f>
        <v>219.746758366816</v>
      </c>
      <c r="X15" s="13">
        <f>'b利润与利润分配表（损益和利润分配表）'!X11</f>
        <v>227.575742037746</v>
      </c>
      <c r="Y15" s="13">
        <f>'b利润与利润分配表（损益和利润分配表）'!Y11</f>
        <v>257.768165722434</v>
      </c>
      <c r="Z15" s="13">
        <f>'b利润与利润分配表（损益和利润分配表）'!Z11</f>
        <v>320.043950507004</v>
      </c>
      <c r="AA15" s="13">
        <f>'b利润与利润分配表（损益和利润分配表）'!AA11</f>
        <v>370.048653027147</v>
      </c>
    </row>
    <row r="16" customHeight="1" spans="1:27">
      <c r="A16" s="8">
        <v>2.8</v>
      </c>
      <c r="B16" s="8" t="s">
        <v>474</v>
      </c>
      <c r="C16" s="13">
        <f t="shared" si="0"/>
        <v>66</v>
      </c>
      <c r="D16" s="38">
        <v>0</v>
      </c>
      <c r="E16" s="38">
        <v>1</v>
      </c>
      <c r="F16" s="38">
        <v>2</v>
      </c>
      <c r="G16" s="38">
        <v>3</v>
      </c>
      <c r="H16" s="38">
        <v>3</v>
      </c>
      <c r="I16" s="38">
        <v>3</v>
      </c>
      <c r="J16" s="38">
        <v>3</v>
      </c>
      <c r="K16" s="38">
        <v>3</v>
      </c>
      <c r="L16" s="38">
        <v>3</v>
      </c>
      <c r="M16" s="38">
        <v>3</v>
      </c>
      <c r="N16" s="38">
        <v>3</v>
      </c>
      <c r="O16" s="38">
        <v>3</v>
      </c>
      <c r="P16" s="38">
        <v>3</v>
      </c>
      <c r="Q16" s="38">
        <v>3</v>
      </c>
      <c r="R16" s="38">
        <v>3</v>
      </c>
      <c r="S16" s="38">
        <v>3</v>
      </c>
      <c r="T16" s="38">
        <v>3</v>
      </c>
      <c r="U16" s="38">
        <v>3</v>
      </c>
      <c r="V16" s="38">
        <v>3</v>
      </c>
      <c r="W16" s="38">
        <v>3</v>
      </c>
      <c r="X16" s="38">
        <v>3</v>
      </c>
      <c r="Y16" s="38">
        <v>3</v>
      </c>
      <c r="Z16" s="38">
        <v>3</v>
      </c>
      <c r="AA16" s="38">
        <v>3</v>
      </c>
    </row>
    <row r="17" customHeight="1" spans="1:27">
      <c r="A17" s="8">
        <v>3</v>
      </c>
      <c r="B17" s="8" t="s">
        <v>509</v>
      </c>
      <c r="C17" s="13">
        <f t="shared" si="0"/>
        <v>9143.55761543913</v>
      </c>
      <c r="D17" s="13">
        <f t="shared" ref="D17:AA17" si="3">D3-D8</f>
        <v>-873.745607853119</v>
      </c>
      <c r="E17" s="13">
        <f t="shared" si="3"/>
        <v>-113.752054445467</v>
      </c>
      <c r="F17" s="13">
        <f t="shared" si="3"/>
        <v>-5844.92008766532</v>
      </c>
      <c r="G17" s="13">
        <f t="shared" si="3"/>
        <v>7086.38347612479</v>
      </c>
      <c r="H17" s="13">
        <f t="shared" si="3"/>
        <v>1511.89235278082</v>
      </c>
      <c r="I17" s="13">
        <f t="shared" si="3"/>
        <v>1654.43548492721</v>
      </c>
      <c r="J17" s="13">
        <f t="shared" si="3"/>
        <v>1670.01854511366</v>
      </c>
      <c r="K17" s="13">
        <f t="shared" si="3"/>
        <v>1685.71962111597</v>
      </c>
      <c r="L17" s="13">
        <f t="shared" si="3"/>
        <v>1701.53932587049</v>
      </c>
      <c r="M17" s="13">
        <f t="shared" si="3"/>
        <v>1717.47826993464</v>
      </c>
      <c r="N17" s="13">
        <f t="shared" si="3"/>
        <v>1733.53706133544</v>
      </c>
      <c r="O17" s="13">
        <f t="shared" si="3"/>
        <v>1749.7163054147</v>
      </c>
      <c r="P17" s="13">
        <f t="shared" si="3"/>
        <v>1766.01660467067</v>
      </c>
      <c r="Q17" s="13">
        <f t="shared" si="3"/>
        <v>1782.43855859615</v>
      </c>
      <c r="R17" s="13">
        <f t="shared" si="3"/>
        <v>1798.982763513</v>
      </c>
      <c r="S17" s="13">
        <f t="shared" si="3"/>
        <v>1815.64981240291</v>
      </c>
      <c r="T17" s="13">
        <f t="shared" si="3"/>
        <v>1832.44029473447</v>
      </c>
      <c r="U17" s="13">
        <f t="shared" si="3"/>
        <v>1849.35479628639</v>
      </c>
      <c r="V17" s="13">
        <f t="shared" si="3"/>
        <v>1866.39389896683</v>
      </c>
      <c r="W17" s="13">
        <f t="shared" si="3"/>
        <v>1883.55818062876</v>
      </c>
      <c r="X17" s="13">
        <f t="shared" si="3"/>
        <v>723.680176686875</v>
      </c>
      <c r="Y17" s="13">
        <f t="shared" si="3"/>
        <v>-9674.43205422103</v>
      </c>
      <c r="Z17" s="13">
        <f t="shared" si="3"/>
        <v>-6582.22922825461</v>
      </c>
      <c r="AA17" s="13">
        <f t="shared" si="3"/>
        <v>-3596.5988812251</v>
      </c>
    </row>
    <row r="18" customHeight="1" spans="1:27">
      <c r="A18" s="8" t="s">
        <v>484</v>
      </c>
      <c r="B18" s="41" t="s">
        <v>510</v>
      </c>
      <c r="C18" s="8"/>
      <c r="D18" s="58">
        <f>(IRR(D17:AA17))</f>
        <v>0.415787046882026</v>
      </c>
      <c r="E18" s="3"/>
      <c r="F18" s="3"/>
      <c r="G18" s="3"/>
      <c r="H18" s="3"/>
      <c r="I18" s="3"/>
      <c r="J18" s="3"/>
      <c r="K18" s="3"/>
      <c r="L18" s="3"/>
      <c r="M18" s="3"/>
      <c r="N18" s="3"/>
      <c r="O18" s="3"/>
      <c r="P18" s="3"/>
      <c r="Q18" s="3"/>
      <c r="R18" s="3"/>
      <c r="S18" s="3"/>
      <c r="T18" s="3"/>
      <c r="U18" s="3"/>
      <c r="V18" s="3"/>
      <c r="W18" s="3"/>
      <c r="X18" s="3"/>
      <c r="Y18" s="3"/>
      <c r="Z18" s="3"/>
      <c r="AA18" s="4"/>
    </row>
    <row r="20" customHeight="1" spans="2:3">
      <c r="B20" s="48"/>
      <c r="C20" s="46"/>
    </row>
    <row r="21" customHeight="1" spans="3:3">
      <c r="C21" s="46"/>
    </row>
    <row r="23" customHeight="1" spans="3:3">
      <c r="C23" s="46"/>
    </row>
  </sheetData>
  <mergeCells count="2">
    <mergeCell ref="A1:G1"/>
    <mergeCell ref="D18:AA18"/>
  </mergeCells>
  <pageMargins left="0.75" right="0.75" top="1" bottom="1" header="0.5" footer="0.5"/>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FFC000"/>
  </sheetPr>
  <dimension ref="A1:AA28"/>
  <sheetViews>
    <sheetView zoomScale="85" zoomScaleNormal="85" workbookViewId="0">
      <pane xSplit="3" ySplit="2" topLeftCell="D7" activePane="bottomRight" state="frozen"/>
      <selection/>
      <selection pane="topRight"/>
      <selection pane="bottomLeft"/>
      <selection pane="bottomRight" activeCell="C27" sqref="C27:AA27"/>
    </sheetView>
  </sheetViews>
  <sheetFormatPr defaultColWidth="8.89090909090909" defaultRowHeight="28.05" customHeight="1"/>
  <cols>
    <col min="1" max="1" width="8.89090909090909" style="48" customWidth="1"/>
    <col min="2" max="2" width="27.7818181818182" style="48" customWidth="1"/>
    <col min="3" max="3" width="13.2181818181818" style="48" customWidth="1"/>
    <col min="4" max="4" width="6.55454545454545" style="48" customWidth="1"/>
    <col min="5" max="5" width="8.21818181818182" style="48" customWidth="1"/>
    <col min="6" max="8" width="11.8909090909091" style="48" customWidth="1"/>
    <col min="9" max="16384" width="8.89090909090909" style="48" customWidth="1"/>
  </cols>
  <sheetData>
    <row r="1" ht="17.5" customHeight="1" spans="1:16">
      <c r="A1" s="49" t="s">
        <v>511</v>
      </c>
      <c r="B1" s="3"/>
      <c r="C1" s="3"/>
      <c r="D1" s="3"/>
      <c r="E1" s="3"/>
      <c r="F1" s="3"/>
      <c r="G1" s="3"/>
      <c r="H1" s="4"/>
      <c r="I1"/>
      <c r="J1"/>
      <c r="K1"/>
      <c r="L1"/>
      <c r="M1"/>
      <c r="N1"/>
      <c r="O1"/>
      <c r="P1"/>
    </row>
    <row r="2" ht="14" customHeight="1" spans="1:27">
      <c r="A2" s="50" t="s">
        <v>1</v>
      </c>
      <c r="B2" s="50" t="s">
        <v>184</v>
      </c>
      <c r="C2" s="50" t="s">
        <v>81</v>
      </c>
      <c r="D2" s="50">
        <v>2025</v>
      </c>
      <c r="E2" s="50">
        <v>2026</v>
      </c>
      <c r="F2" s="50">
        <v>2027</v>
      </c>
      <c r="G2" s="50">
        <v>2028</v>
      </c>
      <c r="H2" s="50">
        <v>2029</v>
      </c>
      <c r="I2" s="50">
        <v>2030</v>
      </c>
      <c r="J2" s="50">
        <v>2031</v>
      </c>
      <c r="K2" s="50">
        <v>2032</v>
      </c>
      <c r="L2" s="50">
        <v>2033</v>
      </c>
      <c r="M2" s="50">
        <v>2034</v>
      </c>
      <c r="N2" s="50">
        <v>2035</v>
      </c>
      <c r="O2" s="50">
        <v>2036</v>
      </c>
      <c r="P2" s="50">
        <v>2037</v>
      </c>
      <c r="Q2" s="50">
        <v>2038</v>
      </c>
      <c r="R2" s="50">
        <v>2039</v>
      </c>
      <c r="S2" s="50">
        <v>2040</v>
      </c>
      <c r="T2" s="50">
        <v>2041</v>
      </c>
      <c r="U2" s="50">
        <v>2042</v>
      </c>
      <c r="V2" s="50">
        <v>2043</v>
      </c>
      <c r="W2" s="50">
        <v>2044</v>
      </c>
      <c r="X2" s="50">
        <v>2045</v>
      </c>
      <c r="Y2" s="50">
        <v>2046</v>
      </c>
      <c r="Z2" s="50">
        <v>2047</v>
      </c>
      <c r="AA2" s="50">
        <v>2048</v>
      </c>
    </row>
    <row r="3" ht="21.6" customHeight="1" spans="1:27">
      <c r="A3" s="51">
        <v>1</v>
      </c>
      <c r="B3" s="51" t="s">
        <v>512</v>
      </c>
      <c r="C3" s="52">
        <f t="shared" ref="C3:C26" si="0">(SUM(D3:AA3))</f>
        <v>70269.0322372428</v>
      </c>
      <c r="D3" s="52">
        <f>(F项目收入!D25)</f>
        <v>0</v>
      </c>
      <c r="E3" s="52">
        <f>(F项目收入!E25)</f>
        <v>0</v>
      </c>
      <c r="F3" s="52">
        <f>(F项目收入!F25)</f>
        <v>798.758490566038</v>
      </c>
      <c r="G3" s="52">
        <f>(F项目收入!G25)</f>
        <v>2071.55660377358</v>
      </c>
      <c r="H3" s="52">
        <f>(F项目收入!H25)</f>
        <v>3060.93396226415</v>
      </c>
      <c r="I3" s="52">
        <f>(F项目收入!I25)</f>
        <v>3091.54330188679</v>
      </c>
      <c r="J3" s="52">
        <f>(F项目收入!J25)</f>
        <v>3122.45873490566</v>
      </c>
      <c r="K3" s="52">
        <f>(F项目收入!K25)</f>
        <v>3153.68332225472</v>
      </c>
      <c r="L3" s="52">
        <f>(F项目收入!L25)</f>
        <v>3185.22015547726</v>
      </c>
      <c r="M3" s="52">
        <f>(F项目收入!M25)</f>
        <v>3217.07235703204</v>
      </c>
      <c r="N3" s="52">
        <f>(F项目收入!N25)</f>
        <v>3249.24308060236</v>
      </c>
      <c r="O3" s="52">
        <f>(F项目收入!O25)</f>
        <v>3281.73551140838</v>
      </c>
      <c r="P3" s="52">
        <f>(F项目收入!P25)</f>
        <v>3314.55286652246</v>
      </c>
      <c r="Q3" s="52">
        <f>(F项目收入!Q25)</f>
        <v>3347.69839518769</v>
      </c>
      <c r="R3" s="52">
        <f>(F项目收入!R25)</f>
        <v>3381.17537913956</v>
      </c>
      <c r="S3" s="52">
        <f>(F项目收入!S25)</f>
        <v>3414.98713293096</v>
      </c>
      <c r="T3" s="52">
        <f>(F项目收入!T25)</f>
        <v>3449.13700426027</v>
      </c>
      <c r="U3" s="52">
        <f>(F项目收入!U25)</f>
        <v>3483.62837430287</v>
      </c>
      <c r="V3" s="52">
        <f>(F项目收入!V25)</f>
        <v>3518.46465804591</v>
      </c>
      <c r="W3" s="52">
        <f>F项目收入!W25</f>
        <v>3553.64930462637</v>
      </c>
      <c r="X3" s="52">
        <f>F项目收入!X25</f>
        <v>3589.18579767263</v>
      </c>
      <c r="Y3" s="52">
        <f>F项目收入!Y25</f>
        <v>3625.07765564935</v>
      </c>
      <c r="Z3" s="52">
        <f>F项目收入!Z25</f>
        <v>3661.32843220584</v>
      </c>
      <c r="AA3" s="52">
        <f>F项目收入!AA25</f>
        <v>3697.9417165279</v>
      </c>
    </row>
    <row r="4" ht="21.45" customHeight="1" spans="1:27">
      <c r="A4" s="51">
        <v>2</v>
      </c>
      <c r="B4" s="51" t="s">
        <v>472</v>
      </c>
      <c r="C4" s="52">
        <f t="shared" si="0"/>
        <v>0</v>
      </c>
      <c r="D4" s="52">
        <f>(G.税金及附加测算表!D30)</f>
        <v>0</v>
      </c>
      <c r="E4" s="52">
        <f>(G.税金及附加测算表!E30)</f>
        <v>0</v>
      </c>
      <c r="F4" s="52">
        <f>(G.税金及附加测算表!F30)</f>
        <v>0</v>
      </c>
      <c r="G4" s="52">
        <f>(G.税金及附加测算表!G30)</f>
        <v>0</v>
      </c>
      <c r="H4" s="52">
        <f>(G.税金及附加测算表!H30)</f>
        <v>0</v>
      </c>
      <c r="I4" s="52">
        <f>(G.税金及附加测算表!I30)</f>
        <v>0</v>
      </c>
      <c r="J4" s="52">
        <f>(G.税金及附加测算表!J30)</f>
        <v>0</v>
      </c>
      <c r="K4" s="52">
        <f>(G.税金及附加测算表!K30)</f>
        <v>0</v>
      </c>
      <c r="L4" s="52">
        <f>(G.税金及附加测算表!L30)</f>
        <v>0</v>
      </c>
      <c r="M4" s="52">
        <f>(G.税金及附加测算表!M30)</f>
        <v>0</v>
      </c>
      <c r="N4" s="52">
        <f>(G.税金及附加测算表!N30)</f>
        <v>0</v>
      </c>
      <c r="O4" s="52">
        <f>(G.税金及附加测算表!O30)</f>
        <v>0</v>
      </c>
      <c r="P4" s="52">
        <f>(G.税金及附加测算表!P30)</f>
        <v>0</v>
      </c>
      <c r="Q4" s="52">
        <f>(G.税金及附加测算表!Q30)</f>
        <v>0</v>
      </c>
      <c r="R4" s="52">
        <f>(G.税金及附加测算表!R30)</f>
        <v>0</v>
      </c>
      <c r="S4" s="52">
        <f>(G.税金及附加测算表!S30)</f>
        <v>0</v>
      </c>
      <c r="T4" s="52">
        <f>(G.税金及附加测算表!T30)</f>
        <v>0</v>
      </c>
      <c r="U4" s="52">
        <f>(G.税金及附加测算表!U30)</f>
        <v>0</v>
      </c>
      <c r="V4" s="52">
        <f>(G.税金及附加测算表!V30)</f>
        <v>0</v>
      </c>
      <c r="W4" s="52">
        <f>G.税金及附加测算表!W30</f>
        <v>0</v>
      </c>
      <c r="X4" s="52">
        <f>G.税金及附加测算表!X30</f>
        <v>0</v>
      </c>
      <c r="Y4" s="52">
        <f>G.税金及附加测算表!Y30</f>
        <v>0</v>
      </c>
      <c r="Z4" s="52">
        <f>G.税金及附加测算表!Z30</f>
        <v>0</v>
      </c>
      <c r="AA4" s="52">
        <f>G.税金及附加测算表!AA30</f>
        <v>0</v>
      </c>
    </row>
    <row r="5" ht="21.45" customHeight="1" spans="1:27">
      <c r="A5" s="51">
        <v>3</v>
      </c>
      <c r="B5" s="51" t="s">
        <v>513</v>
      </c>
      <c r="C5" s="52">
        <f t="shared" si="0"/>
        <v>53554.042046255</v>
      </c>
      <c r="D5" s="52">
        <f>E总成本费用估算表!C15</f>
        <v>0</v>
      </c>
      <c r="E5" s="52">
        <f>E总成本费用估算表!D15</f>
        <v>0</v>
      </c>
      <c r="F5" s="52">
        <f>E总成本费用估算表!E15</f>
        <v>1057.2894356511</v>
      </c>
      <c r="G5" s="52">
        <f>E总成本费用估算表!F15</f>
        <v>1200.66873359292</v>
      </c>
      <c r="H5" s="52">
        <f>E总成本费用估算表!G15</f>
        <v>2509.12089599726</v>
      </c>
      <c r="I5" s="52">
        <f>E总成本费用估算表!H15</f>
        <v>2519.0441670657</v>
      </c>
      <c r="J5" s="52">
        <f>E总成本费用估算表!I15</f>
        <v>2529.11628720017</v>
      </c>
      <c r="K5" s="52">
        <f>E总成本费用估算表!J15</f>
        <v>2539.33948913665</v>
      </c>
      <c r="L5" s="52">
        <f>E总成本费用估算表!K15</f>
        <v>2549.71603910218</v>
      </c>
      <c r="M5" s="52">
        <f>E总成本费用估算表!L15</f>
        <v>2560.2482373172</v>
      </c>
      <c r="N5" s="52">
        <f>E总成本费用估算表!M15</f>
        <v>2570.93841850544</v>
      </c>
      <c r="O5" s="52">
        <f>E总成本费用估算表!N15</f>
        <v>2581.78895241151</v>
      </c>
      <c r="P5" s="52">
        <f>E总成本费用估算表!O15</f>
        <v>2592.80224432616</v>
      </c>
      <c r="Q5" s="52">
        <f>E总成本费用估算表!P15</f>
        <v>2603.98073561954</v>
      </c>
      <c r="R5" s="52">
        <f>E总成本费用估算表!Q15</f>
        <v>2615.32690428231</v>
      </c>
      <c r="S5" s="52">
        <f>E总成本费用估算表!R15</f>
        <v>2626.84326547503</v>
      </c>
      <c r="T5" s="52">
        <f>E总成本费用估算表!S15</f>
        <v>2638.53237208564</v>
      </c>
      <c r="U5" s="52">
        <f>E总成本费用估算表!T15</f>
        <v>2650.39681529541</v>
      </c>
      <c r="V5" s="52">
        <f>E总成本费用估算表!U15</f>
        <v>2662.43922515332</v>
      </c>
      <c r="W5" s="52">
        <f>E总成本费用估算表!V15</f>
        <v>2674.6622711591</v>
      </c>
      <c r="X5" s="52">
        <f>E总成本费用估算表!W15</f>
        <v>2678.88282952164</v>
      </c>
      <c r="Y5" s="52">
        <f>E总成本费用估算表!X15</f>
        <v>2594.00499275961</v>
      </c>
      <c r="Z5" s="52">
        <f>E总成本费用估算表!Y15</f>
        <v>2381.15263017783</v>
      </c>
      <c r="AA5" s="52">
        <f>E总成本费用估算表!Z15</f>
        <v>2217.74710441931</v>
      </c>
    </row>
    <row r="6" ht="21.6" customHeight="1" spans="1:27">
      <c r="A6" s="51">
        <v>4</v>
      </c>
      <c r="B6" s="51" t="s">
        <v>368</v>
      </c>
      <c r="C6" s="52">
        <f t="shared" si="0"/>
        <v>0</v>
      </c>
      <c r="D6" s="52">
        <f>(F项目收入!D23)</f>
        <v>0</v>
      </c>
      <c r="E6" s="52">
        <f>(F项目收入!E23)</f>
        <v>0</v>
      </c>
      <c r="F6" s="52">
        <f>(F项目收入!F23)</f>
        <v>0</v>
      </c>
      <c r="G6" s="52">
        <f>(F项目收入!G23)</f>
        <v>0</v>
      </c>
      <c r="H6" s="52">
        <f>(F项目收入!H23)</f>
        <v>0</v>
      </c>
      <c r="I6" s="52">
        <f>(F项目收入!I23)</f>
        <v>0</v>
      </c>
      <c r="J6" s="52">
        <f>(F项目收入!J23)</f>
        <v>0</v>
      </c>
      <c r="K6" s="52">
        <f>(F项目收入!K23)</f>
        <v>0</v>
      </c>
      <c r="L6" s="52">
        <f>(F项目收入!L23)</f>
        <v>0</v>
      </c>
      <c r="M6" s="52">
        <f>(F项目收入!M23)</f>
        <v>0</v>
      </c>
      <c r="N6" s="52">
        <f>(F项目收入!N23)</f>
        <v>0</v>
      </c>
      <c r="O6" s="52">
        <f>(F项目收入!O23)</f>
        <v>0</v>
      </c>
      <c r="P6" s="52">
        <f>(F项目收入!P23)</f>
        <v>0</v>
      </c>
      <c r="Q6" s="52">
        <f>(F项目收入!Q23)</f>
        <v>0</v>
      </c>
      <c r="R6" s="52">
        <f>(F项目收入!R23)</f>
        <v>0</v>
      </c>
      <c r="S6" s="52">
        <f>(F项目收入!S23)</f>
        <v>0</v>
      </c>
      <c r="T6" s="52">
        <f>(F项目收入!T23)</f>
        <v>0</v>
      </c>
      <c r="U6" s="52">
        <f>(F项目收入!U23)</f>
        <v>0</v>
      </c>
      <c r="V6" s="52">
        <f>(F项目收入!V23)</f>
        <v>0</v>
      </c>
      <c r="W6" s="52">
        <v>0</v>
      </c>
      <c r="X6" s="52">
        <v>0</v>
      </c>
      <c r="Y6" s="52">
        <v>0</v>
      </c>
      <c r="Z6" s="52">
        <v>0</v>
      </c>
      <c r="AA6" s="52">
        <v>0</v>
      </c>
    </row>
    <row r="7" ht="21.45" customHeight="1" spans="1:27">
      <c r="A7" s="51">
        <v>5</v>
      </c>
      <c r="B7" s="51" t="s">
        <v>514</v>
      </c>
      <c r="C7" s="52">
        <f t="shared" si="0"/>
        <v>16714.9901909878</v>
      </c>
      <c r="D7" s="52">
        <f t="shared" ref="D7:AA7" si="1">D3-D4-D5+D6</f>
        <v>0</v>
      </c>
      <c r="E7" s="52">
        <f t="shared" si="1"/>
        <v>0</v>
      </c>
      <c r="F7" s="52">
        <f t="shared" si="1"/>
        <v>-258.530945085065</v>
      </c>
      <c r="G7" s="52">
        <f t="shared" si="1"/>
        <v>870.887870180662</v>
      </c>
      <c r="H7" s="52">
        <f t="shared" si="1"/>
        <v>551.813066266895</v>
      </c>
      <c r="I7" s="52">
        <f t="shared" si="1"/>
        <v>572.499134821095</v>
      </c>
      <c r="J7" s="52">
        <f t="shared" si="1"/>
        <v>593.342447705495</v>
      </c>
      <c r="K7" s="52">
        <f t="shared" si="1"/>
        <v>614.343833118066</v>
      </c>
      <c r="L7" s="52">
        <f t="shared" si="1"/>
        <v>635.50411637508</v>
      </c>
      <c r="M7" s="52">
        <f t="shared" si="1"/>
        <v>656.824119714835</v>
      </c>
      <c r="N7" s="52">
        <f t="shared" si="1"/>
        <v>678.304662096917</v>
      </c>
      <c r="O7" s="52">
        <f t="shared" si="1"/>
        <v>699.946558996876</v>
      </c>
      <c r="P7" s="52">
        <f t="shared" si="1"/>
        <v>721.750622196302</v>
      </c>
      <c r="Q7" s="52">
        <f t="shared" si="1"/>
        <v>743.717659568152</v>
      </c>
      <c r="R7" s="52">
        <f t="shared" si="1"/>
        <v>765.848474857247</v>
      </c>
      <c r="S7" s="52">
        <f t="shared" si="1"/>
        <v>788.143867455934</v>
      </c>
      <c r="T7" s="52">
        <f t="shared" si="1"/>
        <v>810.604632174633</v>
      </c>
      <c r="U7" s="52">
        <f t="shared" si="1"/>
        <v>833.231559007467</v>
      </c>
      <c r="V7" s="52">
        <f t="shared" si="1"/>
        <v>856.025432892584</v>
      </c>
      <c r="W7" s="52">
        <f t="shared" si="1"/>
        <v>878.987033467263</v>
      </c>
      <c r="X7" s="52">
        <f t="shared" si="1"/>
        <v>910.302968150984</v>
      </c>
      <c r="Y7" s="52">
        <f t="shared" si="1"/>
        <v>1031.07266288974</v>
      </c>
      <c r="Z7" s="52">
        <f t="shared" si="1"/>
        <v>1280.17580202802</v>
      </c>
      <c r="AA7" s="52">
        <f t="shared" si="1"/>
        <v>1480.19461210859</v>
      </c>
    </row>
    <row r="8" ht="21.6" customHeight="1" spans="1:27">
      <c r="A8" s="51">
        <v>6</v>
      </c>
      <c r="B8" s="51" t="s">
        <v>515</v>
      </c>
      <c r="C8" s="52">
        <f t="shared" si="0"/>
        <v>258.530945085065</v>
      </c>
      <c r="D8" s="52">
        <v>0</v>
      </c>
      <c r="E8" s="52">
        <f>IF(E7&lt;0,0,IF(D9&lt;0,IF((E7+D9)&lt;0,E7,-D9),0))</f>
        <v>0</v>
      </c>
      <c r="F8" s="52">
        <f>IF(F7&lt;0,0,IF(E9&lt;0,IF((F7+E9)&lt;0,F7,-E9),0))</f>
        <v>0</v>
      </c>
      <c r="G8" s="52">
        <f>IF(G7&lt;0,0,IF(F9&lt;0,IF((G7+F9)&lt;0,G7,-F9),0))</f>
        <v>258.530945085065</v>
      </c>
      <c r="H8" s="52">
        <f>IF(H7&lt;0,0,IF(G9&lt;0,IF((H7+G9)&lt;0,H7,-G9),0))</f>
        <v>0</v>
      </c>
      <c r="I8" s="52">
        <f>IF(H7&lt;0,0,IF(G9&lt;0,IF((I7+H9)&lt;0,I7,-H9),0))</f>
        <v>0</v>
      </c>
      <c r="J8" s="52">
        <f>IF(H7&lt;0,0,IF(G9&lt;0,IF((J7+I9)&lt;0,J7,-I9),0))</f>
        <v>0</v>
      </c>
      <c r="K8" s="52">
        <f>IF(H7&lt;0,0,IF(G9&lt;0,IF((K7+J9)&lt;0,K7,-J9),0))</f>
        <v>0</v>
      </c>
      <c r="L8" s="52">
        <f>IF(H7&lt;0,0,IF(G9&lt;0,IF((L7+K9)&lt;0,L7,-K9),0))</f>
        <v>0</v>
      </c>
      <c r="M8" s="52">
        <f>IF(H7&lt;0,0,IF(G9&lt;0,IF((M7+L9)&lt;0,M7,-L9),0))</f>
        <v>0</v>
      </c>
      <c r="N8" s="52">
        <f>IF(H7&lt;0,0,IF(G9&lt;0,IF((N7+M9)&lt;0,N7,-M9),0))</f>
        <v>0</v>
      </c>
      <c r="O8" s="52">
        <f>IF(H7&lt;0,0,IF(G9&lt;0,IF((O7+N9)&lt;0,O7,-N9),0))</f>
        <v>0</v>
      </c>
      <c r="P8" s="52">
        <f>IF(H7&lt;0,0,IF(G9&lt;0,IF((P7+O9)&lt;0,P7,-O9),0))</f>
        <v>0</v>
      </c>
      <c r="Q8" s="52">
        <f>IF(H7&lt;0,0,IF(G9&lt;0,IF((Q7+P9)&lt;0,Q7,-P9),0))</f>
        <v>0</v>
      </c>
      <c r="R8" s="52">
        <f>IF(H7&lt;0,0,IF(G9&lt;0,IF((R7+Q9)&lt;0,R7,-Q9),0))</f>
        <v>0</v>
      </c>
      <c r="S8" s="52">
        <f>IF(H7&lt;0,0,IF(G9&lt;0,IF((S7+R9)&lt;0,S7,-R9),0))</f>
        <v>0</v>
      </c>
      <c r="T8" s="52">
        <f>IF(H7&lt;0,0,IF(G9&lt;0,IF((T7+S9)&lt;0,T7,-S9),0))</f>
        <v>0</v>
      </c>
      <c r="U8" s="52">
        <f>IF(H7&lt;0,0,IF(G9&lt;0,IF((U7+T9)&lt;0,U7,-T9),0))</f>
        <v>0</v>
      </c>
      <c r="V8" s="52">
        <f>IF(H7&lt;0,0,IF(G9&lt;0,IF((V7+U9)&lt;0,V7,-U9),0))</f>
        <v>0</v>
      </c>
      <c r="W8" s="52">
        <f>IF(H7&lt;0,0,IF(G9&lt;0,IF((W7+V9)&lt;0,W7,-V9),0))</f>
        <v>0</v>
      </c>
      <c r="X8" s="52">
        <f>IF(H7&lt;0,0,IF(G9&lt;0,IF((X7+W9)&lt;0,X7,-W9),0))</f>
        <v>0</v>
      </c>
      <c r="Y8" s="52">
        <f>IF(H7&lt;0,0,IF(G9&lt;0,IF((Y7+X9)&lt;0,Y7,-X9),0))</f>
        <v>0</v>
      </c>
      <c r="Z8" s="52">
        <f>IF(H7&lt;0,0,IF(G9&lt;0,IF((Z7+Y9)&lt;0,Z7,-Y9),0))</f>
        <v>0</v>
      </c>
      <c r="AA8" s="52">
        <f>IF(H7&lt;0,0,IF(G9&lt;0,IF((AA7+Z9)&lt;0,AA7,-Z9),0))</f>
        <v>0</v>
      </c>
    </row>
    <row r="9" ht="21.6" customHeight="1" spans="1:27">
      <c r="A9" s="51"/>
      <c r="B9" s="51" t="s">
        <v>516</v>
      </c>
      <c r="C9" s="52">
        <f t="shared" si="0"/>
        <v>-258.530945085065</v>
      </c>
      <c r="D9" s="52">
        <f>IF(D7&lt;0,D7,0)</f>
        <v>0</v>
      </c>
      <c r="E9" s="52">
        <f>IF(E7&lt;0,E7+D9,D9+E8)</f>
        <v>0</v>
      </c>
      <c r="F9" s="52">
        <f>IF(F7&lt;0,F7+E9,E9+F8)</f>
        <v>-258.530945085065</v>
      </c>
      <c r="G9" s="52">
        <f>IF(G7&lt;0,G7+F9,F9+G8)</f>
        <v>0</v>
      </c>
      <c r="H9" s="52">
        <f>IF(H7&lt;0,H7+G9,G9+H8)</f>
        <v>0</v>
      </c>
      <c r="I9" s="52">
        <f>IF(H7&lt;0,I7+H9,H9+I8)</f>
        <v>0</v>
      </c>
      <c r="J9" s="52">
        <f>IF(H7&lt;0,J7+I9,I9+J8)</f>
        <v>0</v>
      </c>
      <c r="K9" s="52">
        <f>IF(H7&lt;0,K7+J9,J9+K8)</f>
        <v>0</v>
      </c>
      <c r="L9" s="52">
        <f>IF(H7&lt;0,L7+K9,K9+L8)</f>
        <v>0</v>
      </c>
      <c r="M9" s="52">
        <f>IF(H7&lt;0,M7+L9,L9+M8)</f>
        <v>0</v>
      </c>
      <c r="N9" s="52">
        <f>IF(H7&lt;0,N7+M9,M9+N8)</f>
        <v>0</v>
      </c>
      <c r="O9" s="52">
        <f>IF(H7&lt;0,O7+N9,N9+O8)</f>
        <v>0</v>
      </c>
      <c r="P9" s="52">
        <f>IF(H7&lt;0,P7+O9,O9+P8)</f>
        <v>0</v>
      </c>
      <c r="Q9" s="52">
        <f>IF(H7&lt;0,Q7+P9,P9+Q8)</f>
        <v>0</v>
      </c>
      <c r="R9" s="52">
        <f>IF(H7&lt;0,R7+Q9,Q9+R8)</f>
        <v>0</v>
      </c>
      <c r="S9" s="52">
        <f>IF(H7&lt;0,S7+R9,R9+S8)</f>
        <v>0</v>
      </c>
      <c r="T9" s="52">
        <f>IF(H7&lt;0,T7+S9,S9+T8)</f>
        <v>0</v>
      </c>
      <c r="U9" s="52">
        <f>IF(H7&lt;0,U7+T9,T9+U8)</f>
        <v>0</v>
      </c>
      <c r="V9" s="52">
        <f>IF(H7&lt;0,V7+U9,U9+V8)</f>
        <v>0</v>
      </c>
      <c r="W9" s="52">
        <f>IF(H7&lt;0,W7+V9,V9+W8)</f>
        <v>0</v>
      </c>
      <c r="X9" s="52">
        <f>IF(H7&lt;0,X7+W9,W9+X8)</f>
        <v>0</v>
      </c>
      <c r="Y9" s="52">
        <f>IF(H7&lt;0,Y7+X9,X9+Y8)</f>
        <v>0</v>
      </c>
      <c r="Z9" s="52">
        <f>IF(H7&lt;0,Z7+Y9,Y9+Z8)</f>
        <v>0</v>
      </c>
      <c r="AA9" s="52">
        <f>IF(H7&lt;0,AA7+Z9,Z9+AA8)</f>
        <v>0</v>
      </c>
    </row>
    <row r="10" ht="21.6" customHeight="1" spans="1:27">
      <c r="A10" s="51">
        <v>7</v>
      </c>
      <c r="B10" s="51" t="s">
        <v>517</v>
      </c>
      <c r="C10" s="52">
        <f t="shared" si="0"/>
        <v>16714.9901909878</v>
      </c>
      <c r="D10" s="52">
        <f>IF(D9&lt;0,0,(D7-D8))</f>
        <v>0</v>
      </c>
      <c r="E10" s="52">
        <f>IF(E9&lt;0,0,(E7-E8))</f>
        <v>0</v>
      </c>
      <c r="F10" s="52">
        <f>IF(F9&lt;0,0,(F7-F8))</f>
        <v>0</v>
      </c>
      <c r="G10" s="52">
        <f>IF(G9&lt;0,0,(G7-G8))</f>
        <v>612.356925095597</v>
      </c>
      <c r="H10" s="52">
        <f>IF(H9&lt;0,0,(H7-H8))</f>
        <v>551.813066266895</v>
      </c>
      <c r="I10" s="52">
        <f>IF(H9&lt;0,0,(I7-I8))</f>
        <v>572.499134821095</v>
      </c>
      <c r="J10" s="52">
        <f>IF(H9&lt;0,0,(J7-J8))</f>
        <v>593.342447705495</v>
      </c>
      <c r="K10" s="52">
        <f>IF(H9&lt;0,0,(K7-K8))</f>
        <v>614.343833118066</v>
      </c>
      <c r="L10" s="52">
        <f>IF(H9&lt;0,0,(L7-L8))</f>
        <v>635.50411637508</v>
      </c>
      <c r="M10" s="52">
        <f>IF(H9&lt;0,0,(M7-M8))</f>
        <v>656.824119714835</v>
      </c>
      <c r="N10" s="52">
        <f>IF(H9&lt;0,0,(N7-N8))</f>
        <v>678.304662096917</v>
      </c>
      <c r="O10" s="52">
        <f>IF(H9&lt;0,0,(O7-O8))</f>
        <v>699.946558996876</v>
      </c>
      <c r="P10" s="52">
        <f>IF(H9&lt;0,0,(P7-P8))</f>
        <v>721.750622196302</v>
      </c>
      <c r="Q10" s="52">
        <f>IF(H9&lt;0,0,(Q7-Q8))</f>
        <v>743.717659568152</v>
      </c>
      <c r="R10" s="52">
        <f>IF(H9&lt;0,0,(R7-R8))</f>
        <v>765.848474857247</v>
      </c>
      <c r="S10" s="52">
        <f>IF(H9&lt;0,0,(S7-S8))</f>
        <v>788.143867455934</v>
      </c>
      <c r="T10" s="52">
        <f>IF(H9&lt;0,0,(T7-T8))</f>
        <v>810.604632174633</v>
      </c>
      <c r="U10" s="52">
        <f>IF(H9&lt;0,0,(U7-U8))</f>
        <v>833.231559007467</v>
      </c>
      <c r="V10" s="52">
        <f>IF(H9&lt;0,0,(V7-V8))</f>
        <v>856.025432892584</v>
      </c>
      <c r="W10" s="52">
        <f>IF(H9&lt;0,0,(W7-W8))</f>
        <v>878.987033467263</v>
      </c>
      <c r="X10" s="52">
        <f>IF(H9&lt;0,0,(X7-X8))</f>
        <v>910.302968150984</v>
      </c>
      <c r="Y10" s="52">
        <f>IF(H9&lt;0,0,(Y7-Y8))</f>
        <v>1031.07266288974</v>
      </c>
      <c r="Z10" s="52">
        <f>IF(H9&lt;0,0,(Z7-Z8))</f>
        <v>1280.17580202802</v>
      </c>
      <c r="AA10" s="52">
        <f>IF(H9&lt;0,0,(AA7-AA8))</f>
        <v>1480.19461210859</v>
      </c>
    </row>
    <row r="11" ht="21.6" customHeight="1" spans="1:27">
      <c r="A11" s="51">
        <v>8</v>
      </c>
      <c r="B11" s="53" t="s">
        <v>508</v>
      </c>
      <c r="C11" s="52">
        <f t="shared" si="0"/>
        <v>4178.74754774694</v>
      </c>
      <c r="D11" s="52">
        <f>D10*A财务假设!$D$9</f>
        <v>0</v>
      </c>
      <c r="E11" s="52">
        <f>E10*A财务假设!$D$9</f>
        <v>0</v>
      </c>
      <c r="F11" s="52">
        <f>F10*A财务假设!$D$9</f>
        <v>0</v>
      </c>
      <c r="G11" s="52">
        <f>G10*A财务假设!$D$9</f>
        <v>153.089231273899</v>
      </c>
      <c r="H11" s="52">
        <f>H10*A财务假设!$D$9</f>
        <v>137.953266566724</v>
      </c>
      <c r="I11" s="52">
        <f>I10*A财务假设!$D$9</f>
        <v>143.124783705274</v>
      </c>
      <c r="J11" s="52">
        <f>J10*A财务假设!$D$9</f>
        <v>148.335611926374</v>
      </c>
      <c r="K11" s="52">
        <f>K10*A财务假设!$D$9</f>
        <v>153.585958279517</v>
      </c>
      <c r="L11" s="52">
        <f>L10*A财务假设!$D$9</f>
        <v>158.87602909377</v>
      </c>
      <c r="M11" s="52">
        <f>M10*A财务假设!$D$9</f>
        <v>164.206029928709</v>
      </c>
      <c r="N11" s="52">
        <f>N10*A财务假设!$D$9</f>
        <v>169.576165524229</v>
      </c>
      <c r="O11" s="52">
        <f>O10*A财务假设!$D$9</f>
        <v>174.986639749219</v>
      </c>
      <c r="P11" s="52">
        <f>P10*A财务假设!$D$9</f>
        <v>180.437655549075</v>
      </c>
      <c r="Q11" s="52">
        <f>Q10*A财务假设!$D$9</f>
        <v>185.929414892038</v>
      </c>
      <c r="R11" s="52">
        <f>R10*A财务假设!$D$9</f>
        <v>191.462118714312</v>
      </c>
      <c r="S11" s="52">
        <f>S10*A财务假设!$D$9</f>
        <v>197.035966863983</v>
      </c>
      <c r="T11" s="52">
        <f>T10*A财务假设!$D$9</f>
        <v>202.651158043658</v>
      </c>
      <c r="U11" s="52">
        <f>U10*A财务假设!$D$9</f>
        <v>208.307889751867</v>
      </c>
      <c r="V11" s="52">
        <f>V10*A财务假设!$D$9</f>
        <v>214.006358223146</v>
      </c>
      <c r="W11" s="52">
        <f>W10*A财务假设!$D$9</f>
        <v>219.746758366816</v>
      </c>
      <c r="X11" s="52">
        <f>X10*A财务假设!$D$9</f>
        <v>227.575742037746</v>
      </c>
      <c r="Y11" s="52">
        <f>Y10*A财务假设!$D$9</f>
        <v>257.768165722434</v>
      </c>
      <c r="Z11" s="52">
        <f>Z10*A财务假设!$D$9</f>
        <v>320.043950507004</v>
      </c>
      <c r="AA11" s="52">
        <f>AA10*A财务假设!$D$9</f>
        <v>370.048653027147</v>
      </c>
    </row>
    <row r="12" ht="21.6" customHeight="1" spans="1:27">
      <c r="A12" s="51">
        <v>9</v>
      </c>
      <c r="B12" s="51" t="s">
        <v>518</v>
      </c>
      <c r="C12" s="52">
        <f t="shared" si="0"/>
        <v>12536.2426432408</v>
      </c>
      <c r="D12" s="52">
        <f t="shared" ref="D12:AA12" si="2">D7-D11</f>
        <v>0</v>
      </c>
      <c r="E12" s="52">
        <f t="shared" si="2"/>
        <v>0</v>
      </c>
      <c r="F12" s="52">
        <f t="shared" si="2"/>
        <v>-258.530945085065</v>
      </c>
      <c r="G12" s="52">
        <f t="shared" si="2"/>
        <v>717.798638906763</v>
      </c>
      <c r="H12" s="52">
        <f t="shared" si="2"/>
        <v>413.859799700171</v>
      </c>
      <c r="I12" s="52">
        <f t="shared" si="2"/>
        <v>429.374351115821</v>
      </c>
      <c r="J12" s="52">
        <f t="shared" si="2"/>
        <v>445.006835779121</v>
      </c>
      <c r="K12" s="52">
        <f t="shared" si="2"/>
        <v>460.75787483855</v>
      </c>
      <c r="L12" s="52">
        <f t="shared" si="2"/>
        <v>476.62808728131</v>
      </c>
      <c r="M12" s="52">
        <f t="shared" si="2"/>
        <v>492.618089786127</v>
      </c>
      <c r="N12" s="52">
        <f t="shared" si="2"/>
        <v>508.728496572688</v>
      </c>
      <c r="O12" s="52">
        <f t="shared" si="2"/>
        <v>524.959919247657</v>
      </c>
      <c r="P12" s="52">
        <f t="shared" si="2"/>
        <v>541.312966647226</v>
      </c>
      <c r="Q12" s="52">
        <f t="shared" si="2"/>
        <v>557.788244676114</v>
      </c>
      <c r="R12" s="52">
        <f t="shared" si="2"/>
        <v>574.386356142935</v>
      </c>
      <c r="S12" s="52">
        <f t="shared" si="2"/>
        <v>591.10790059195</v>
      </c>
      <c r="T12" s="52">
        <f t="shared" si="2"/>
        <v>607.953474130975</v>
      </c>
      <c r="U12" s="52">
        <f t="shared" si="2"/>
        <v>624.9236692556</v>
      </c>
      <c r="V12" s="52">
        <f t="shared" si="2"/>
        <v>642.019074669438</v>
      </c>
      <c r="W12" s="52">
        <f t="shared" si="2"/>
        <v>659.240275100447</v>
      </c>
      <c r="X12" s="52">
        <f t="shared" si="2"/>
        <v>682.727226113238</v>
      </c>
      <c r="Y12" s="52">
        <f t="shared" si="2"/>
        <v>773.304497167302</v>
      </c>
      <c r="Z12" s="52">
        <f t="shared" si="2"/>
        <v>960.131851521013</v>
      </c>
      <c r="AA12" s="52">
        <f t="shared" si="2"/>
        <v>1110.14595908144</v>
      </c>
    </row>
    <row r="13" ht="21.6" customHeight="1" spans="1:27">
      <c r="A13" s="51">
        <v>10</v>
      </c>
      <c r="B13" s="51" t="s">
        <v>519</v>
      </c>
      <c r="C13" s="52">
        <f t="shared" si="0"/>
        <v>0</v>
      </c>
      <c r="D13" s="52">
        <v>0</v>
      </c>
      <c r="E13" s="52">
        <v>0</v>
      </c>
      <c r="F13" s="52">
        <v>0</v>
      </c>
      <c r="G13" s="52">
        <v>0</v>
      </c>
      <c r="H13" s="52">
        <v>0</v>
      </c>
      <c r="I13" s="52">
        <v>0</v>
      </c>
      <c r="J13" s="52">
        <v>0</v>
      </c>
      <c r="K13" s="52">
        <v>0</v>
      </c>
      <c r="L13" s="52">
        <v>0</v>
      </c>
      <c r="M13" s="52">
        <v>0</v>
      </c>
      <c r="N13" s="52">
        <v>0</v>
      </c>
      <c r="O13" s="52">
        <v>0</v>
      </c>
      <c r="P13" s="52">
        <v>0</v>
      </c>
      <c r="Q13" s="52">
        <v>0</v>
      </c>
      <c r="R13" s="52">
        <v>0</v>
      </c>
      <c r="S13" s="52">
        <v>0</v>
      </c>
      <c r="T13" s="52">
        <v>0</v>
      </c>
      <c r="U13" s="52">
        <v>0</v>
      </c>
      <c r="V13" s="52">
        <v>0</v>
      </c>
      <c r="W13" s="52">
        <v>0</v>
      </c>
      <c r="X13" s="52">
        <v>0</v>
      </c>
      <c r="Y13" s="52">
        <v>0</v>
      </c>
      <c r="Z13" s="52">
        <v>0</v>
      </c>
      <c r="AA13" s="52">
        <v>0</v>
      </c>
    </row>
    <row r="14" ht="21.6" customHeight="1" spans="1:27">
      <c r="A14" s="51">
        <v>11</v>
      </c>
      <c r="B14" s="51" t="s">
        <v>520</v>
      </c>
      <c r="C14" s="52">
        <f t="shared" si="0"/>
        <v>12536.2426432408</v>
      </c>
      <c r="D14" s="52">
        <f t="shared" ref="D14:AA14" si="3">SUM(D12:D13)</f>
        <v>0</v>
      </c>
      <c r="E14" s="52">
        <f t="shared" si="3"/>
        <v>0</v>
      </c>
      <c r="F14" s="52">
        <f t="shared" si="3"/>
        <v>-258.530945085065</v>
      </c>
      <c r="G14" s="52">
        <f t="shared" si="3"/>
        <v>717.798638906763</v>
      </c>
      <c r="H14" s="52">
        <f t="shared" si="3"/>
        <v>413.859799700171</v>
      </c>
      <c r="I14" s="52">
        <f t="shared" si="3"/>
        <v>429.374351115821</v>
      </c>
      <c r="J14" s="52">
        <f t="shared" si="3"/>
        <v>445.006835779121</v>
      </c>
      <c r="K14" s="52">
        <f t="shared" si="3"/>
        <v>460.75787483855</v>
      </c>
      <c r="L14" s="52">
        <f t="shared" si="3"/>
        <v>476.62808728131</v>
      </c>
      <c r="M14" s="52">
        <f t="shared" si="3"/>
        <v>492.618089786127</v>
      </c>
      <c r="N14" s="52">
        <f t="shared" si="3"/>
        <v>508.728496572688</v>
      </c>
      <c r="O14" s="52">
        <f t="shared" si="3"/>
        <v>524.959919247657</v>
      </c>
      <c r="P14" s="52">
        <f t="shared" si="3"/>
        <v>541.312966647226</v>
      </c>
      <c r="Q14" s="52">
        <f t="shared" si="3"/>
        <v>557.788244676114</v>
      </c>
      <c r="R14" s="52">
        <f t="shared" si="3"/>
        <v>574.386356142935</v>
      </c>
      <c r="S14" s="52">
        <f t="shared" si="3"/>
        <v>591.10790059195</v>
      </c>
      <c r="T14" s="52">
        <f t="shared" si="3"/>
        <v>607.953474130975</v>
      </c>
      <c r="U14" s="52">
        <f t="shared" si="3"/>
        <v>624.9236692556</v>
      </c>
      <c r="V14" s="52">
        <f t="shared" si="3"/>
        <v>642.019074669438</v>
      </c>
      <c r="W14" s="52">
        <f t="shared" si="3"/>
        <v>659.240275100447</v>
      </c>
      <c r="X14" s="52">
        <f t="shared" si="3"/>
        <v>682.727226113238</v>
      </c>
      <c r="Y14" s="52">
        <f t="shared" si="3"/>
        <v>773.304497167302</v>
      </c>
      <c r="Z14" s="52">
        <f t="shared" si="3"/>
        <v>960.131851521013</v>
      </c>
      <c r="AA14" s="52">
        <f t="shared" si="3"/>
        <v>1110.14595908144</v>
      </c>
    </row>
    <row r="15" ht="21.6" customHeight="1" spans="1:27">
      <c r="A15" s="51">
        <v>12</v>
      </c>
      <c r="B15" s="51" t="s">
        <v>521</v>
      </c>
      <c r="C15" s="52">
        <f t="shared" si="0"/>
        <v>1253.62426432408</v>
      </c>
      <c r="D15" s="52">
        <f>D12*A财务假设!$D$10</f>
        <v>0</v>
      </c>
      <c r="E15" s="52">
        <f>E12*A财务假设!$D$10</f>
        <v>0</v>
      </c>
      <c r="F15" s="52">
        <f>F12*A财务假设!$D$10</f>
        <v>-25.8530945085065</v>
      </c>
      <c r="G15" s="52">
        <f>G12*A财务假设!$D$10</f>
        <v>71.7798638906763</v>
      </c>
      <c r="H15" s="52">
        <f>H12*A财务假设!$D$10</f>
        <v>41.3859799700171</v>
      </c>
      <c r="I15" s="52">
        <f>I12*A财务假设!$D$10</f>
        <v>42.9374351115821</v>
      </c>
      <c r="J15" s="52">
        <f>J12*A财务假设!$D$10</f>
        <v>44.5006835779121</v>
      </c>
      <c r="K15" s="52">
        <f>K12*A财务假设!$D$10</f>
        <v>46.075787483855</v>
      </c>
      <c r="L15" s="52">
        <f>L12*A财务假设!$D$10</f>
        <v>47.662808728131</v>
      </c>
      <c r="M15" s="52">
        <f>M12*A财务假设!$D$10</f>
        <v>49.2618089786127</v>
      </c>
      <c r="N15" s="52">
        <f>N12*A财务假设!$D$10</f>
        <v>50.8728496572688</v>
      </c>
      <c r="O15" s="52">
        <f>O12*A财务假设!$D$10</f>
        <v>52.4959919247657</v>
      </c>
      <c r="P15" s="52">
        <f>P12*A财务假设!$D$10</f>
        <v>54.1312966647226</v>
      </c>
      <c r="Q15" s="52">
        <f>Q12*A财务假设!$D$10</f>
        <v>55.7788244676114</v>
      </c>
      <c r="R15" s="52">
        <f>R12*A财务假设!$D$10</f>
        <v>57.4386356142936</v>
      </c>
      <c r="S15" s="52">
        <f>S12*A财务假设!$D$10</f>
        <v>59.110790059195</v>
      </c>
      <c r="T15" s="52">
        <f>T12*A财务假设!$D$10</f>
        <v>60.7953474130975</v>
      </c>
      <c r="U15" s="52">
        <f>U12*A财务假设!$D$10</f>
        <v>62.49236692556</v>
      </c>
      <c r="V15" s="52">
        <f>V12*A财务假设!$D$10</f>
        <v>64.2019074669438</v>
      </c>
      <c r="W15" s="52">
        <f>W12*A财务假设!$D$10</f>
        <v>65.9240275100447</v>
      </c>
      <c r="X15" s="52">
        <f>X12*A财务假设!$D$10</f>
        <v>68.2727226113238</v>
      </c>
      <c r="Y15" s="52">
        <f>Y12*A财务假设!$D$10</f>
        <v>77.3304497167302</v>
      </c>
      <c r="Z15" s="52">
        <f>Z12*A财务假设!$D$10</f>
        <v>96.0131851521013</v>
      </c>
      <c r="AA15" s="52">
        <f>AA12*A财务假设!$D$10</f>
        <v>111.014595908144</v>
      </c>
    </row>
    <row r="16" ht="21.6" customHeight="1" spans="1:27">
      <c r="A16" s="51">
        <v>13</v>
      </c>
      <c r="B16" s="51" t="s">
        <v>522</v>
      </c>
      <c r="C16" s="52">
        <f t="shared" si="0"/>
        <v>11282.6183789167</v>
      </c>
      <c r="D16" s="52">
        <f t="shared" ref="D16:AA16" si="4">D14-D15</f>
        <v>0</v>
      </c>
      <c r="E16" s="52">
        <f t="shared" si="4"/>
        <v>0</v>
      </c>
      <c r="F16" s="52">
        <f t="shared" si="4"/>
        <v>-232.677850576559</v>
      </c>
      <c r="G16" s="52">
        <f t="shared" si="4"/>
        <v>646.018775016086</v>
      </c>
      <c r="H16" s="52">
        <f t="shared" si="4"/>
        <v>372.473819730154</v>
      </c>
      <c r="I16" s="52">
        <f t="shared" si="4"/>
        <v>386.436916004239</v>
      </c>
      <c r="J16" s="52">
        <f t="shared" si="4"/>
        <v>400.506152201209</v>
      </c>
      <c r="K16" s="52">
        <f t="shared" si="4"/>
        <v>414.682087354695</v>
      </c>
      <c r="L16" s="52">
        <f t="shared" si="4"/>
        <v>428.965278553179</v>
      </c>
      <c r="M16" s="52">
        <f t="shared" si="4"/>
        <v>443.356280807514</v>
      </c>
      <c r="N16" s="52">
        <f t="shared" si="4"/>
        <v>457.855646915419</v>
      </c>
      <c r="O16" s="52">
        <f t="shared" si="4"/>
        <v>472.463927322891</v>
      </c>
      <c r="P16" s="52">
        <f t="shared" si="4"/>
        <v>487.181669982504</v>
      </c>
      <c r="Q16" s="52">
        <f t="shared" si="4"/>
        <v>502.009420208503</v>
      </c>
      <c r="R16" s="52">
        <f t="shared" si="4"/>
        <v>516.947720528642</v>
      </c>
      <c r="S16" s="52">
        <f t="shared" si="4"/>
        <v>531.997110532755</v>
      </c>
      <c r="T16" s="52">
        <f t="shared" si="4"/>
        <v>547.158126717878</v>
      </c>
      <c r="U16" s="52">
        <f t="shared" si="4"/>
        <v>562.43130233004</v>
      </c>
      <c r="V16" s="52">
        <f t="shared" si="4"/>
        <v>577.817167202494</v>
      </c>
      <c r="W16" s="52">
        <f t="shared" si="4"/>
        <v>593.316247590402</v>
      </c>
      <c r="X16" s="52">
        <f t="shared" si="4"/>
        <v>614.454503501914</v>
      </c>
      <c r="Y16" s="52">
        <f t="shared" si="4"/>
        <v>695.974047450571</v>
      </c>
      <c r="Z16" s="52">
        <f t="shared" si="4"/>
        <v>864.118666368912</v>
      </c>
      <c r="AA16" s="52">
        <f t="shared" si="4"/>
        <v>999.131363173297</v>
      </c>
    </row>
    <row r="17" ht="21.6" customHeight="1" spans="1:27">
      <c r="A17" s="51">
        <v>14</v>
      </c>
      <c r="B17" s="51" t="s">
        <v>523</v>
      </c>
      <c r="C17" s="52">
        <f t="shared" si="0"/>
        <v>0</v>
      </c>
      <c r="D17" s="52">
        <v>0</v>
      </c>
      <c r="E17" s="52">
        <v>0</v>
      </c>
      <c r="F17" s="52">
        <v>0</v>
      </c>
      <c r="G17" s="52">
        <v>0</v>
      </c>
      <c r="H17" s="52">
        <v>0</v>
      </c>
      <c r="I17" s="52">
        <v>0</v>
      </c>
      <c r="J17" s="52">
        <v>0</v>
      </c>
      <c r="K17" s="52">
        <v>0</v>
      </c>
      <c r="L17" s="52">
        <v>0</v>
      </c>
      <c r="M17" s="52">
        <v>0</v>
      </c>
      <c r="N17" s="52">
        <v>0</v>
      </c>
      <c r="O17" s="52">
        <v>0</v>
      </c>
      <c r="P17" s="52">
        <v>0</v>
      </c>
      <c r="Q17" s="52">
        <v>0</v>
      </c>
      <c r="R17" s="52">
        <v>0</v>
      </c>
      <c r="S17" s="52">
        <v>0</v>
      </c>
      <c r="T17" s="52">
        <v>0</v>
      </c>
      <c r="U17" s="52">
        <v>0</v>
      </c>
      <c r="V17" s="52">
        <v>0</v>
      </c>
      <c r="W17" s="52">
        <v>0</v>
      </c>
      <c r="X17" s="52">
        <v>0</v>
      </c>
      <c r="Y17" s="52">
        <v>0</v>
      </c>
      <c r="Z17" s="52">
        <v>0</v>
      </c>
      <c r="AA17" s="52">
        <v>0</v>
      </c>
    </row>
    <row r="18" ht="21.6" customHeight="1" spans="1:27">
      <c r="A18" s="51">
        <v>15</v>
      </c>
      <c r="B18" s="51" t="s">
        <v>524</v>
      </c>
      <c r="C18" s="52">
        <f t="shared" si="0"/>
        <v>564.130918945837</v>
      </c>
      <c r="D18" s="52">
        <f>D16*A财务假设!$D$11</f>
        <v>0</v>
      </c>
      <c r="E18" s="52">
        <f>E16*A财务假设!$D$11</f>
        <v>0</v>
      </c>
      <c r="F18" s="52">
        <f>F16*A财务假设!$D$11</f>
        <v>-11.6338925288279</v>
      </c>
      <c r="G18" s="52">
        <f>G16*A财务假设!$D$11</f>
        <v>32.3009387508043</v>
      </c>
      <c r="H18" s="52">
        <f>H16*A财务假设!$D$11</f>
        <v>18.6236909865077</v>
      </c>
      <c r="I18" s="52">
        <f>I16*A财务假设!$D$11</f>
        <v>19.321845800212</v>
      </c>
      <c r="J18" s="52">
        <f>J16*A财务假设!$D$11</f>
        <v>20.0253076100604</v>
      </c>
      <c r="K18" s="52">
        <f>K16*A财务假设!$D$11</f>
        <v>20.7341043677347</v>
      </c>
      <c r="L18" s="52">
        <f>L16*A财务假设!$D$11</f>
        <v>21.448263927659</v>
      </c>
      <c r="M18" s="52">
        <f>M16*A财务假设!$D$11</f>
        <v>22.1678140403757</v>
      </c>
      <c r="N18" s="52">
        <f>N16*A财务假设!$D$11</f>
        <v>22.892782345771</v>
      </c>
      <c r="O18" s="52">
        <f>O16*A财务假设!$D$11</f>
        <v>23.6231963661446</v>
      </c>
      <c r="P18" s="52">
        <f>P16*A财务假设!$D$11</f>
        <v>24.3590834991252</v>
      </c>
      <c r="Q18" s="52">
        <f>Q16*A财务假设!$D$11</f>
        <v>25.1004710104251</v>
      </c>
      <c r="R18" s="52">
        <f>R16*A财务假设!$D$11</f>
        <v>25.8473860264321</v>
      </c>
      <c r="S18" s="52">
        <f>S16*A财务假设!$D$11</f>
        <v>26.5998555266378</v>
      </c>
      <c r="T18" s="52">
        <f>T16*A财务假设!$D$11</f>
        <v>27.3579063358939</v>
      </c>
      <c r="U18" s="52">
        <f>U16*A财务假设!$D$11</f>
        <v>28.121565116502</v>
      </c>
      <c r="V18" s="52">
        <f>V16*A财务假设!$D$11</f>
        <v>28.8908583601247</v>
      </c>
      <c r="W18" s="52">
        <f>W16*A财务假设!$D$11</f>
        <v>29.6658123795201</v>
      </c>
      <c r="X18" s="52">
        <f>X16*A财务假设!$D$11</f>
        <v>30.7227251750957</v>
      </c>
      <c r="Y18" s="52">
        <f>Y16*A财务假设!$D$11</f>
        <v>34.7987023725286</v>
      </c>
      <c r="Z18" s="52">
        <f>Z16*A财务假设!$D$11</f>
        <v>43.2059333184456</v>
      </c>
      <c r="AA18" s="52">
        <f>AA16*A财务假设!$D$11</f>
        <v>49.9565681586649</v>
      </c>
    </row>
    <row r="19" ht="21.6" customHeight="1" spans="1:27">
      <c r="A19" s="51">
        <v>16</v>
      </c>
      <c r="B19" s="51" t="s">
        <v>525</v>
      </c>
      <c r="C19" s="52">
        <f t="shared" si="0"/>
        <v>10718.4874599709</v>
      </c>
      <c r="D19" s="52">
        <f t="shared" ref="D19:AA19" si="5">D16-D17-D18</f>
        <v>0</v>
      </c>
      <c r="E19" s="52">
        <f t="shared" si="5"/>
        <v>0</v>
      </c>
      <c r="F19" s="52">
        <f t="shared" si="5"/>
        <v>-221.043958047731</v>
      </c>
      <c r="G19" s="52">
        <f t="shared" si="5"/>
        <v>613.717836265282</v>
      </c>
      <c r="H19" s="52">
        <f t="shared" si="5"/>
        <v>353.850128743646</v>
      </c>
      <c r="I19" s="52">
        <f t="shared" si="5"/>
        <v>367.115070204027</v>
      </c>
      <c r="J19" s="52">
        <f t="shared" si="5"/>
        <v>380.480844591148</v>
      </c>
      <c r="K19" s="52">
        <f t="shared" si="5"/>
        <v>393.94798298696</v>
      </c>
      <c r="L19" s="52">
        <f t="shared" si="5"/>
        <v>407.51701462552</v>
      </c>
      <c r="M19" s="52">
        <f t="shared" si="5"/>
        <v>421.188466767138</v>
      </c>
      <c r="N19" s="52">
        <f t="shared" si="5"/>
        <v>434.962864569648</v>
      </c>
      <c r="O19" s="52">
        <f t="shared" si="5"/>
        <v>448.840730956747</v>
      </c>
      <c r="P19" s="52">
        <f t="shared" si="5"/>
        <v>462.822586483378</v>
      </c>
      <c r="Q19" s="52">
        <f t="shared" si="5"/>
        <v>476.908949198078</v>
      </c>
      <c r="R19" s="52">
        <f t="shared" si="5"/>
        <v>491.10033450221</v>
      </c>
      <c r="S19" s="52">
        <f t="shared" si="5"/>
        <v>505.397255006117</v>
      </c>
      <c r="T19" s="52">
        <f t="shared" si="5"/>
        <v>519.800220381984</v>
      </c>
      <c r="U19" s="52">
        <f t="shared" si="5"/>
        <v>534.309737213538</v>
      </c>
      <c r="V19" s="52">
        <f t="shared" si="5"/>
        <v>548.926308842369</v>
      </c>
      <c r="W19" s="52">
        <f t="shared" si="5"/>
        <v>563.650435210882</v>
      </c>
      <c r="X19" s="52">
        <f t="shared" si="5"/>
        <v>583.731778326819</v>
      </c>
      <c r="Y19" s="52">
        <f t="shared" si="5"/>
        <v>661.175345078043</v>
      </c>
      <c r="Z19" s="52">
        <f t="shared" si="5"/>
        <v>820.912733050466</v>
      </c>
      <c r="AA19" s="52">
        <f t="shared" si="5"/>
        <v>949.174795014633</v>
      </c>
    </row>
    <row r="20" ht="21.6" customHeight="1" spans="1:27">
      <c r="A20" s="51">
        <v>17</v>
      </c>
      <c r="B20" s="51" t="s">
        <v>526</v>
      </c>
      <c r="C20" s="52">
        <f t="shared" si="0"/>
        <v>0</v>
      </c>
      <c r="D20" s="52">
        <v>0</v>
      </c>
      <c r="E20" s="52">
        <v>0</v>
      </c>
      <c r="F20" s="52">
        <v>0</v>
      </c>
      <c r="G20" s="52">
        <v>0</v>
      </c>
      <c r="H20" s="52">
        <v>0</v>
      </c>
      <c r="I20" s="52">
        <v>0</v>
      </c>
      <c r="J20" s="52">
        <v>0</v>
      </c>
      <c r="K20" s="52">
        <v>0</v>
      </c>
      <c r="L20" s="52">
        <v>0</v>
      </c>
      <c r="M20" s="52">
        <v>0</v>
      </c>
      <c r="N20" s="52">
        <v>0</v>
      </c>
      <c r="O20" s="52">
        <v>0</v>
      </c>
      <c r="P20" s="52">
        <v>0</v>
      </c>
      <c r="Q20" s="52">
        <v>0</v>
      </c>
      <c r="R20" s="52">
        <v>0</v>
      </c>
      <c r="S20" s="52">
        <v>0</v>
      </c>
      <c r="T20" s="52">
        <v>0</v>
      </c>
      <c r="U20" s="52">
        <v>0</v>
      </c>
      <c r="V20" s="52">
        <v>0</v>
      </c>
      <c r="W20" s="52">
        <v>0</v>
      </c>
      <c r="X20" s="52">
        <v>0</v>
      </c>
      <c r="Y20" s="52">
        <v>0</v>
      </c>
      <c r="Z20" s="52">
        <v>0</v>
      </c>
      <c r="AA20" s="52">
        <v>0</v>
      </c>
    </row>
    <row r="21" ht="21.6" customHeight="1" spans="1:27">
      <c r="A21" s="51">
        <v>17.1</v>
      </c>
      <c r="B21" s="51" t="s">
        <v>527</v>
      </c>
      <c r="C21" s="52">
        <f t="shared" si="0"/>
        <v>0</v>
      </c>
      <c r="D21" s="52">
        <v>0</v>
      </c>
      <c r="E21" s="52">
        <v>0</v>
      </c>
      <c r="F21" s="52">
        <v>0</v>
      </c>
      <c r="G21" s="52">
        <v>0</v>
      </c>
      <c r="H21" s="52">
        <v>0</v>
      </c>
      <c r="I21" s="52">
        <v>0</v>
      </c>
      <c r="J21" s="52">
        <v>0</v>
      </c>
      <c r="K21" s="52">
        <v>0</v>
      </c>
      <c r="L21" s="52">
        <v>0</v>
      </c>
      <c r="M21" s="52">
        <v>0</v>
      </c>
      <c r="N21" s="52">
        <v>0</v>
      </c>
      <c r="O21" s="52">
        <v>0</v>
      </c>
      <c r="P21" s="52">
        <v>0</v>
      </c>
      <c r="Q21" s="52">
        <v>0</v>
      </c>
      <c r="R21" s="52">
        <v>0</v>
      </c>
      <c r="S21" s="52">
        <v>0</v>
      </c>
      <c r="T21" s="52">
        <v>0</v>
      </c>
      <c r="U21" s="52">
        <v>0</v>
      </c>
      <c r="V21" s="52">
        <v>0</v>
      </c>
      <c r="W21" s="52">
        <v>0</v>
      </c>
      <c r="X21" s="52">
        <v>0</v>
      </c>
      <c r="Y21" s="52">
        <v>0</v>
      </c>
      <c r="Z21" s="52">
        <v>0</v>
      </c>
      <c r="AA21" s="52">
        <v>0</v>
      </c>
    </row>
    <row r="22" ht="21.6" customHeight="1" spans="1:27">
      <c r="A22" s="51">
        <v>18</v>
      </c>
      <c r="B22" s="51" t="s">
        <v>528</v>
      </c>
      <c r="C22" s="52">
        <f t="shared" si="0"/>
        <v>10718.4874599709</v>
      </c>
      <c r="D22" s="52">
        <f t="shared" ref="D22:AA22" si="6">D16-D17-D18-D20</f>
        <v>0</v>
      </c>
      <c r="E22" s="52">
        <f t="shared" si="6"/>
        <v>0</v>
      </c>
      <c r="F22" s="52">
        <f t="shared" si="6"/>
        <v>-221.043958047731</v>
      </c>
      <c r="G22" s="52">
        <f t="shared" si="6"/>
        <v>613.717836265282</v>
      </c>
      <c r="H22" s="52">
        <f t="shared" si="6"/>
        <v>353.850128743646</v>
      </c>
      <c r="I22" s="52">
        <f t="shared" si="6"/>
        <v>367.115070204027</v>
      </c>
      <c r="J22" s="52">
        <f t="shared" si="6"/>
        <v>380.480844591148</v>
      </c>
      <c r="K22" s="52">
        <f t="shared" si="6"/>
        <v>393.94798298696</v>
      </c>
      <c r="L22" s="52">
        <f t="shared" si="6"/>
        <v>407.51701462552</v>
      </c>
      <c r="M22" s="52">
        <f t="shared" si="6"/>
        <v>421.188466767138</v>
      </c>
      <c r="N22" s="52">
        <f t="shared" si="6"/>
        <v>434.962864569648</v>
      </c>
      <c r="O22" s="52">
        <f t="shared" si="6"/>
        <v>448.840730956747</v>
      </c>
      <c r="P22" s="52">
        <f t="shared" si="6"/>
        <v>462.822586483378</v>
      </c>
      <c r="Q22" s="52">
        <f t="shared" si="6"/>
        <v>476.908949198078</v>
      </c>
      <c r="R22" s="52">
        <f t="shared" si="6"/>
        <v>491.10033450221</v>
      </c>
      <c r="S22" s="52">
        <f t="shared" si="6"/>
        <v>505.397255006117</v>
      </c>
      <c r="T22" s="52">
        <f t="shared" si="6"/>
        <v>519.800220381984</v>
      </c>
      <c r="U22" s="52">
        <f t="shared" si="6"/>
        <v>534.309737213538</v>
      </c>
      <c r="V22" s="52">
        <f t="shared" si="6"/>
        <v>548.926308842369</v>
      </c>
      <c r="W22" s="52">
        <f t="shared" si="6"/>
        <v>563.650435210882</v>
      </c>
      <c r="X22" s="52">
        <f t="shared" si="6"/>
        <v>583.731778326819</v>
      </c>
      <c r="Y22" s="52">
        <f t="shared" si="6"/>
        <v>661.175345078043</v>
      </c>
      <c r="Z22" s="52">
        <f t="shared" si="6"/>
        <v>820.912733050466</v>
      </c>
      <c r="AA22" s="52">
        <f t="shared" si="6"/>
        <v>949.174795014633</v>
      </c>
    </row>
    <row r="23" ht="21.6" customHeight="1" spans="1:27">
      <c r="A23" s="51">
        <v>18.1</v>
      </c>
      <c r="B23" s="51" t="s">
        <v>529</v>
      </c>
      <c r="C23" s="52">
        <f t="shared" si="0"/>
        <v>0</v>
      </c>
      <c r="D23" s="52">
        <v>0</v>
      </c>
      <c r="E23" s="52">
        <v>0</v>
      </c>
      <c r="F23" s="52">
        <v>0</v>
      </c>
      <c r="G23" s="52">
        <v>0</v>
      </c>
      <c r="H23" s="52">
        <v>0</v>
      </c>
      <c r="I23" s="52">
        <v>0</v>
      </c>
      <c r="J23" s="52">
        <v>0</v>
      </c>
      <c r="K23" s="52">
        <v>0</v>
      </c>
      <c r="L23" s="52">
        <v>0</v>
      </c>
      <c r="M23" s="52">
        <v>0</v>
      </c>
      <c r="N23" s="52">
        <v>0</v>
      </c>
      <c r="O23" s="52">
        <v>0</v>
      </c>
      <c r="P23" s="52">
        <v>0</v>
      </c>
      <c r="Q23" s="52">
        <v>0</v>
      </c>
      <c r="R23" s="52">
        <v>0</v>
      </c>
      <c r="S23" s="52">
        <v>0</v>
      </c>
      <c r="T23" s="52">
        <v>0</v>
      </c>
      <c r="U23" s="52">
        <v>0</v>
      </c>
      <c r="V23" s="52">
        <v>0</v>
      </c>
      <c r="W23" s="52">
        <v>0</v>
      </c>
      <c r="X23" s="52">
        <v>0</v>
      </c>
      <c r="Y23" s="52">
        <v>0</v>
      </c>
      <c r="Z23" s="52">
        <v>0</v>
      </c>
      <c r="AA23" s="52">
        <v>0</v>
      </c>
    </row>
    <row r="24" ht="21.6" customHeight="1" spans="1:27">
      <c r="A24" s="51">
        <v>18.2</v>
      </c>
      <c r="B24" s="51" t="s">
        <v>530</v>
      </c>
      <c r="C24" s="52">
        <f t="shared" si="0"/>
        <v>101564.85762999</v>
      </c>
      <c r="D24" s="52">
        <f>D22</f>
        <v>0</v>
      </c>
      <c r="E24" s="52">
        <f t="shared" ref="E24:AA24" si="7">E22+D24</f>
        <v>0</v>
      </c>
      <c r="F24" s="52">
        <f t="shared" si="7"/>
        <v>-221.043958047731</v>
      </c>
      <c r="G24" s="52">
        <f t="shared" si="7"/>
        <v>392.673878217551</v>
      </c>
      <c r="H24" s="52">
        <f t="shared" si="7"/>
        <v>746.524006961198</v>
      </c>
      <c r="I24" s="52">
        <f t="shared" si="7"/>
        <v>1113.63907716522</v>
      </c>
      <c r="J24" s="52">
        <f t="shared" si="7"/>
        <v>1494.11992175637</v>
      </c>
      <c r="K24" s="52">
        <f t="shared" si="7"/>
        <v>1888.06790474333</v>
      </c>
      <c r="L24" s="52">
        <f t="shared" si="7"/>
        <v>2295.58491936885</v>
      </c>
      <c r="M24" s="52">
        <f t="shared" si="7"/>
        <v>2716.77338613599</v>
      </c>
      <c r="N24" s="52">
        <f t="shared" si="7"/>
        <v>3151.73625070564</v>
      </c>
      <c r="O24" s="52">
        <f t="shared" si="7"/>
        <v>3600.57698166239</v>
      </c>
      <c r="P24" s="52">
        <f t="shared" si="7"/>
        <v>4063.39956814577</v>
      </c>
      <c r="Q24" s="52">
        <f t="shared" si="7"/>
        <v>4540.30851734384</v>
      </c>
      <c r="R24" s="52">
        <f t="shared" si="7"/>
        <v>5031.40885184605</v>
      </c>
      <c r="S24" s="52">
        <f t="shared" si="7"/>
        <v>5536.80610685217</v>
      </c>
      <c r="T24" s="52">
        <f t="shared" si="7"/>
        <v>6056.60632723415</v>
      </c>
      <c r="U24" s="52">
        <f t="shared" si="7"/>
        <v>6590.91606444769</v>
      </c>
      <c r="V24" s="52">
        <f t="shared" si="7"/>
        <v>7139.84237329006</v>
      </c>
      <c r="W24" s="52">
        <f t="shared" si="7"/>
        <v>7703.49280850094</v>
      </c>
      <c r="X24" s="52">
        <f t="shared" si="7"/>
        <v>8287.22458682776</v>
      </c>
      <c r="Y24" s="52">
        <f t="shared" si="7"/>
        <v>8948.39993190581</v>
      </c>
      <c r="Z24" s="52">
        <f t="shared" si="7"/>
        <v>9769.31266495627</v>
      </c>
      <c r="AA24" s="52">
        <f t="shared" si="7"/>
        <v>10718.4874599709</v>
      </c>
    </row>
    <row r="25" ht="28" customHeight="1" spans="1:27">
      <c r="A25" s="51">
        <v>19</v>
      </c>
      <c r="B25" s="53" t="s">
        <v>531</v>
      </c>
      <c r="C25" s="52">
        <f t="shared" si="0"/>
        <v>29038.1109909878</v>
      </c>
      <c r="D25" s="54">
        <f>(D7+c借款还本付息计划表!D46+c借款还本付息计划表!D47+c借款还本付息计划表!D45)</f>
        <v>9.31853333333333</v>
      </c>
      <c r="E25" s="54">
        <f>(E7+c借款还本付息计划表!E46+c借款还本付息计划表!E47+c借款还本付息计划表!E45)</f>
        <v>116.827672166667</v>
      </c>
      <c r="F25" s="54">
        <f>(F7+c借款还本付息计划表!F46+c借款还本付息计划表!F47+c借款还本付息计划表!F45)</f>
        <v>81.137039148268</v>
      </c>
      <c r="G25" s="54">
        <f>(G7+c借款还本付息计划表!G46+c借款还本付息计划表!G47+c借款还本付息计划表!G45)</f>
        <v>1385.79254838066</v>
      </c>
      <c r="H25" s="52">
        <f>(H7+E总成本费用估算表!G14)</f>
        <v>1166.64380626689</v>
      </c>
      <c r="I25" s="52">
        <f>(I7+E总成本费用估算表!H14)</f>
        <v>1187.3298748211</v>
      </c>
      <c r="J25" s="52">
        <f>(J7+E总成本费用估算表!I14)</f>
        <v>1208.17318770549</v>
      </c>
      <c r="K25" s="52">
        <f>(K7+E总成本费用估算表!J14)</f>
        <v>1229.17457311807</v>
      </c>
      <c r="L25" s="52">
        <f>(L7+E总成本费用估算表!K14)</f>
        <v>1250.33485637508</v>
      </c>
      <c r="M25" s="52">
        <f>(M7+E总成本费用估算表!L14)</f>
        <v>1271.65485971484</v>
      </c>
      <c r="N25" s="52">
        <f>(N7+E总成本费用估算表!M14)</f>
        <v>1293.13540209692</v>
      </c>
      <c r="O25" s="52">
        <f>(O7+E总成本费用估算表!N14)</f>
        <v>1314.77729899688</v>
      </c>
      <c r="P25" s="52">
        <f>(P7+E总成本费用估算表!O14)</f>
        <v>1336.5813621963</v>
      </c>
      <c r="Q25" s="52">
        <f>(Q7+E总成本费用估算表!P14)</f>
        <v>1358.54839956815</v>
      </c>
      <c r="R25" s="52">
        <f>(R7+E总成本费用估算表!Q14)</f>
        <v>1380.67921485725</v>
      </c>
      <c r="S25" s="52">
        <f>(S7+E总成本费用估算表!R14)</f>
        <v>1402.97460745593</v>
      </c>
      <c r="T25" s="52">
        <f>(T7+E总成本费用估算表!S14)</f>
        <v>1425.43537217463</v>
      </c>
      <c r="U25" s="52">
        <f>(U7+E总成本费用估算表!T14)</f>
        <v>1448.06229900747</v>
      </c>
      <c r="V25" s="52">
        <f>(V7+E总成本费用估算表!U14)</f>
        <v>1470.85617289258</v>
      </c>
      <c r="W25" s="52">
        <f>(W7+E总成本费用估算表!V14)</f>
        <v>1493.81777346726</v>
      </c>
      <c r="X25" s="52">
        <f>(X7+E总成本费用估算表!W14)</f>
        <v>1516.88912481765</v>
      </c>
      <c r="Y25" s="52">
        <f>(Y7+E总成本费用估算表!X14)</f>
        <v>1539.66899072307</v>
      </c>
      <c r="Z25" s="52">
        <f>(Z7+E总成本费用估算表!Y14)</f>
        <v>1563.29492779468</v>
      </c>
      <c r="AA25" s="52">
        <f>AA7+E总成本费用估算表!Z14</f>
        <v>1587.00309390859</v>
      </c>
    </row>
    <row r="26" ht="28" customHeight="1" spans="1:27">
      <c r="A26" s="51">
        <v>20</v>
      </c>
      <c r="B26" s="53" t="s">
        <v>532</v>
      </c>
      <c r="C26" s="52">
        <f t="shared" si="0"/>
        <v>54790.0136048217</v>
      </c>
      <c r="D26" s="52">
        <f>D25+E总成本费用估算表!C12+E总成本费用估算表!C13</f>
        <v>9.31853333333333</v>
      </c>
      <c r="E26" s="52">
        <f>E25+E总成本费用估算表!D12+E总成本费用估算表!D13</f>
        <v>116.827672166667</v>
      </c>
      <c r="F26" s="52">
        <f>F25+E总成本费用估算表!E12+E总成本费用估算表!E13</f>
        <v>630.008231720699</v>
      </c>
      <c r="G26" s="52">
        <f>G25+E总成本费用估算表!F12+E总成本费用估算表!F13</f>
        <v>1934.66374095309</v>
      </c>
      <c r="H26" s="52">
        <f>H25+E总成本费用估算表!G12+E总成本费用估算表!G13</f>
        <v>2399.35181770135</v>
      </c>
      <c r="I26" s="52">
        <f>I25+E总成本费用估算表!H12+E总成本费用估算表!H13</f>
        <v>2420.03788625555</v>
      </c>
      <c r="J26" s="52">
        <f>J25+E总成本费用估算表!I12+E总成本费用估算表!I13</f>
        <v>2440.88119913995</v>
      </c>
      <c r="K26" s="52">
        <f>K25+E总成本费用估算表!J12+E总成本费用估算表!J13</f>
        <v>2461.88258455252</v>
      </c>
      <c r="L26" s="52">
        <f>L25+E总成本费用估算表!K12+E总成本费用估算表!K13</f>
        <v>2483.04286780954</v>
      </c>
      <c r="M26" s="52">
        <f>M25+E总成本费用估算表!L12+E总成本费用估算表!L13</f>
        <v>2504.36287114929</v>
      </c>
      <c r="N26" s="52">
        <f>N25+E总成本费用估算表!M12+E总成本费用估算表!M13</f>
        <v>2525.84341353137</v>
      </c>
      <c r="O26" s="52">
        <f>O25+E总成本费用估算表!N12+E总成本费用估算表!N13</f>
        <v>2547.48531043133</v>
      </c>
      <c r="P26" s="52">
        <f>P25+E总成本费用估算表!O12+E总成本费用估算表!O13</f>
        <v>2569.28937363076</v>
      </c>
      <c r="Q26" s="52">
        <f>Q25+E总成本费用估算表!P12+E总成本费用估算表!P13</f>
        <v>2591.25641100261</v>
      </c>
      <c r="R26" s="52">
        <f>R25+E总成本费用估算表!Q12+E总成本费用估算表!Q13</f>
        <v>2613.3872262917</v>
      </c>
      <c r="S26" s="52">
        <f>S25+E总成本费用估算表!R12+E总成本费用估算表!R13</f>
        <v>2635.68261889039</v>
      </c>
      <c r="T26" s="52">
        <f>T25+E总成本费用估算表!S12+E总成本费用估算表!S13</f>
        <v>2658.14338360909</v>
      </c>
      <c r="U26" s="52">
        <f>U25+E总成本费用估算表!T12+E总成本费用估算表!T13</f>
        <v>2680.77031044192</v>
      </c>
      <c r="V26" s="52">
        <f>V25+E总成本费用估算表!U12+E总成本费用估算表!U13</f>
        <v>2703.56418432704</v>
      </c>
      <c r="W26" s="52">
        <f>W25+E总成本费用估算表!V12+E总成本费用估算表!V13</f>
        <v>2726.52578490172</v>
      </c>
      <c r="X26" s="52">
        <f>X25+E总成本费用估算表!W12+E总成本费用估算表!W13</f>
        <v>2749.59713625211</v>
      </c>
      <c r="Y26" s="52">
        <f>Y25+E总成本费用估算表!X12+E总成本费用估算表!X13</f>
        <v>2772.37700215752</v>
      </c>
      <c r="Z26" s="52">
        <f>Z25+E总成本费用估算表!Y12+E总成本费用估算表!Y13</f>
        <v>2796.00293922914</v>
      </c>
      <c r="AA26" s="52">
        <f>AA25+E总成本费用估算表!Z12+E总成本费用估算表!Z13</f>
        <v>2819.71110534304</v>
      </c>
    </row>
    <row r="27" ht="21.6" customHeight="1" spans="1:27">
      <c r="A27" s="51">
        <v>21</v>
      </c>
      <c r="B27" s="53" t="s">
        <v>533</v>
      </c>
      <c r="C27" s="55">
        <f>((C26-C11)/c借款还本付息计划表!C41)</f>
        <v>1.2255730835208</v>
      </c>
      <c r="D27" s="3"/>
      <c r="E27" s="3"/>
      <c r="F27" s="3"/>
      <c r="G27" s="3"/>
      <c r="H27" s="3"/>
      <c r="I27" s="3"/>
      <c r="J27" s="3"/>
      <c r="K27" s="3"/>
      <c r="L27" s="3"/>
      <c r="M27" s="3"/>
      <c r="N27" s="3"/>
      <c r="O27" s="3"/>
      <c r="P27" s="3"/>
      <c r="Q27" s="3"/>
      <c r="R27" s="3"/>
      <c r="S27" s="3"/>
      <c r="T27" s="3"/>
      <c r="U27" s="3"/>
      <c r="V27" s="3"/>
      <c r="W27" s="3"/>
      <c r="X27" s="3"/>
      <c r="Y27" s="3"/>
      <c r="Z27" s="3"/>
      <c r="AA27" s="4"/>
    </row>
    <row r="28" ht="14" customHeight="1" spans="9:16">
      <c r="I28"/>
      <c r="J28"/>
      <c r="K28"/>
      <c r="L28"/>
      <c r="M28"/>
      <c r="N28"/>
      <c r="O28"/>
      <c r="P28"/>
    </row>
  </sheetData>
  <mergeCells count="2">
    <mergeCell ref="A1:H1"/>
    <mergeCell ref="C27:AA27"/>
  </mergeCells>
  <pageMargins left="0.75" right="0.75" top="1" bottom="1" header="0.5" footer="0.5"/>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FFC000"/>
  </sheetPr>
  <dimension ref="A1:AA55"/>
  <sheetViews>
    <sheetView tabSelected="1" zoomScale="70" zoomScaleNormal="70" workbookViewId="0">
      <pane xSplit="2" ySplit="2" topLeftCell="C3" activePane="bottomRight" state="frozen"/>
      <selection/>
      <selection pane="topRight"/>
      <selection pane="bottomLeft"/>
      <selection pane="bottomRight" activeCell="F48" sqref="F48"/>
    </sheetView>
  </sheetViews>
  <sheetFormatPr defaultColWidth="8.89090909090909" defaultRowHeight="28.05" customHeight="1"/>
  <cols>
    <col min="1" max="1" width="10.3363636363636" style="1" customWidth="1"/>
    <col min="2" max="2" width="22.2181818181818" style="1" customWidth="1"/>
    <col min="3" max="3" width="18.1090909090909" style="1" customWidth="1"/>
    <col min="4" max="4" width="12.1090909090909" style="1" customWidth="1"/>
    <col min="5" max="27" width="11.2181818181818" style="1" customWidth="1"/>
    <col min="28" max="28" width="17.7818181818182" style="1" customWidth="1"/>
  </cols>
  <sheetData>
    <row r="1" ht="14" customHeight="1"/>
    <row r="2" ht="16.5" customHeight="1" spans="1:27">
      <c r="A2" s="43" t="s">
        <v>1</v>
      </c>
      <c r="B2" s="43" t="s">
        <v>184</v>
      </c>
      <c r="C2" s="43" t="s">
        <v>81</v>
      </c>
      <c r="D2" s="43">
        <v>2025</v>
      </c>
      <c r="E2" s="43">
        <v>2026</v>
      </c>
      <c r="F2" s="43">
        <v>2027</v>
      </c>
      <c r="G2" s="43">
        <v>2028</v>
      </c>
      <c r="H2" s="43">
        <v>2029</v>
      </c>
      <c r="I2" s="43">
        <v>2030</v>
      </c>
      <c r="J2" s="43">
        <v>2031</v>
      </c>
      <c r="K2" s="43">
        <v>2032</v>
      </c>
      <c r="L2" s="43">
        <v>2033</v>
      </c>
      <c r="M2" s="43">
        <v>2034</v>
      </c>
      <c r="N2" s="43">
        <v>2035</v>
      </c>
      <c r="O2" s="43">
        <v>2036</v>
      </c>
      <c r="P2" s="43">
        <v>2037</v>
      </c>
      <c r="Q2" s="43">
        <v>2038</v>
      </c>
      <c r="R2" s="43">
        <v>2039</v>
      </c>
      <c r="S2" s="43">
        <v>2040</v>
      </c>
      <c r="T2" s="43">
        <v>2041</v>
      </c>
      <c r="U2" s="43">
        <v>2042</v>
      </c>
      <c r="V2" s="43">
        <v>2043</v>
      </c>
      <c r="W2" s="43">
        <v>2044</v>
      </c>
      <c r="X2" s="43">
        <v>2045</v>
      </c>
      <c r="Y2" s="43">
        <v>2046</v>
      </c>
      <c r="Z2" s="43">
        <v>2047</v>
      </c>
      <c r="AA2" s="43">
        <v>2048</v>
      </c>
    </row>
    <row r="3" ht="16.5" customHeight="1" spans="1:27">
      <c r="A3" s="44">
        <v>1</v>
      </c>
      <c r="B3" s="44" t="s">
        <v>72</v>
      </c>
      <c r="C3"/>
      <c r="D3"/>
      <c r="E3"/>
      <c r="F3"/>
      <c r="G3"/>
      <c r="H3"/>
      <c r="I3"/>
      <c r="J3"/>
      <c r="K3"/>
      <c r="L3"/>
      <c r="M3"/>
      <c r="N3"/>
      <c r="O3"/>
      <c r="P3"/>
      <c r="Q3"/>
      <c r="R3"/>
      <c r="S3"/>
      <c r="T3"/>
      <c r="U3"/>
      <c r="V3"/>
      <c r="W3"/>
      <c r="X3"/>
      <c r="Y3"/>
      <c r="Z3"/>
      <c r="AA3"/>
    </row>
    <row r="4" ht="16.5" customHeight="1" spans="1:27">
      <c r="A4" s="44" t="s">
        <v>340</v>
      </c>
      <c r="B4" s="44" t="s">
        <v>534</v>
      </c>
      <c r="C4" s="45">
        <v>0</v>
      </c>
      <c r="D4" s="45">
        <f t="shared" ref="D4:X4" si="0">(C8)</f>
        <v>0</v>
      </c>
      <c r="E4" s="45">
        <f t="shared" si="0"/>
        <v>1175</v>
      </c>
      <c r="F4" s="45">
        <f t="shared" si="0"/>
        <v>1175</v>
      </c>
      <c r="G4" s="45">
        <f t="shared" si="0"/>
        <v>1175</v>
      </c>
      <c r="H4" s="45">
        <f t="shared" si="0"/>
        <v>1175</v>
      </c>
      <c r="I4" s="45">
        <f t="shared" si="0"/>
        <v>1175</v>
      </c>
      <c r="J4" s="45">
        <f t="shared" si="0"/>
        <v>1175</v>
      </c>
      <c r="K4" s="45">
        <f t="shared" si="0"/>
        <v>1175</v>
      </c>
      <c r="L4" s="45">
        <f t="shared" si="0"/>
        <v>1175</v>
      </c>
      <c r="M4" s="45">
        <f t="shared" si="0"/>
        <v>1175</v>
      </c>
      <c r="N4" s="45">
        <f t="shared" si="0"/>
        <v>1175</v>
      </c>
      <c r="O4" s="45">
        <f t="shared" si="0"/>
        <v>1175</v>
      </c>
      <c r="P4" s="45">
        <f t="shared" si="0"/>
        <v>1175</v>
      </c>
      <c r="Q4" s="45">
        <f t="shared" si="0"/>
        <v>1175</v>
      </c>
      <c r="R4" s="45">
        <f t="shared" si="0"/>
        <v>1175</v>
      </c>
      <c r="S4" s="45">
        <f t="shared" si="0"/>
        <v>1175</v>
      </c>
      <c r="T4" s="45">
        <f t="shared" si="0"/>
        <v>1175</v>
      </c>
      <c r="U4" s="45">
        <f t="shared" si="0"/>
        <v>1175</v>
      </c>
      <c r="V4" s="45">
        <f t="shared" si="0"/>
        <v>1175</v>
      </c>
      <c r="W4" s="45">
        <f t="shared" si="0"/>
        <v>1175</v>
      </c>
      <c r="X4" s="45">
        <f t="shared" si="0"/>
        <v>1175</v>
      </c>
      <c r="Y4" s="45">
        <v>0</v>
      </c>
      <c r="Z4" s="45">
        <v>0</v>
      </c>
      <c r="AA4" s="45">
        <v>0</v>
      </c>
    </row>
    <row r="5" ht="16.5" customHeight="1" spans="1:27">
      <c r="A5" s="44" t="s">
        <v>348</v>
      </c>
      <c r="B5" s="44" t="s">
        <v>535</v>
      </c>
      <c r="C5" s="45">
        <f>(SUM(D5:X5))</f>
        <v>1673.2</v>
      </c>
      <c r="D5" s="45">
        <f t="shared" ref="D5:X5" si="1">(D6+D7)</f>
        <v>0</v>
      </c>
      <c r="E5" s="45">
        <f t="shared" si="1"/>
        <v>24.91</v>
      </c>
      <c r="F5" s="45">
        <f t="shared" si="1"/>
        <v>24.91</v>
      </c>
      <c r="G5" s="45">
        <f t="shared" si="1"/>
        <v>24.91</v>
      </c>
      <c r="H5" s="45">
        <f t="shared" si="1"/>
        <v>24.91</v>
      </c>
      <c r="I5" s="45">
        <f t="shared" si="1"/>
        <v>24.91</v>
      </c>
      <c r="J5" s="45">
        <f t="shared" si="1"/>
        <v>24.91</v>
      </c>
      <c r="K5" s="45">
        <f t="shared" si="1"/>
        <v>24.91</v>
      </c>
      <c r="L5" s="45">
        <f t="shared" si="1"/>
        <v>24.91</v>
      </c>
      <c r="M5" s="45">
        <f t="shared" si="1"/>
        <v>24.91</v>
      </c>
      <c r="N5" s="45">
        <f t="shared" si="1"/>
        <v>24.91</v>
      </c>
      <c r="O5" s="45">
        <f t="shared" si="1"/>
        <v>24.91</v>
      </c>
      <c r="P5" s="45">
        <f t="shared" si="1"/>
        <v>24.91</v>
      </c>
      <c r="Q5" s="45">
        <f t="shared" si="1"/>
        <v>24.91</v>
      </c>
      <c r="R5" s="45">
        <f t="shared" si="1"/>
        <v>24.91</v>
      </c>
      <c r="S5" s="45">
        <f t="shared" si="1"/>
        <v>24.91</v>
      </c>
      <c r="T5" s="45">
        <f t="shared" si="1"/>
        <v>24.91</v>
      </c>
      <c r="U5" s="45">
        <f t="shared" si="1"/>
        <v>24.91</v>
      </c>
      <c r="V5" s="45">
        <f t="shared" si="1"/>
        <v>24.91</v>
      </c>
      <c r="W5" s="45">
        <f t="shared" si="1"/>
        <v>24.91</v>
      </c>
      <c r="X5" s="45">
        <f t="shared" si="1"/>
        <v>1199.91</v>
      </c>
      <c r="Y5" s="45">
        <v>0</v>
      </c>
      <c r="Z5" s="45">
        <v>0</v>
      </c>
      <c r="AA5" s="45">
        <v>0</v>
      </c>
    </row>
    <row r="6" ht="16.5" customHeight="1" spans="1:27">
      <c r="A6" s="44" t="s">
        <v>193</v>
      </c>
      <c r="B6" s="44" t="s">
        <v>536</v>
      </c>
      <c r="C6" s="45">
        <f>(SUM(D6:X6))</f>
        <v>1175</v>
      </c>
      <c r="D6" s="45">
        <v>0</v>
      </c>
      <c r="E6" s="45">
        <v>0</v>
      </c>
      <c r="F6" s="45">
        <v>0</v>
      </c>
      <c r="G6" s="45">
        <v>0</v>
      </c>
      <c r="H6" s="45">
        <v>0</v>
      </c>
      <c r="I6" s="45">
        <v>0</v>
      </c>
      <c r="J6" s="45">
        <v>0</v>
      </c>
      <c r="K6" s="45">
        <v>0</v>
      </c>
      <c r="L6" s="45">
        <v>0</v>
      </c>
      <c r="M6" s="45">
        <v>0</v>
      </c>
      <c r="N6" s="45">
        <v>0</v>
      </c>
      <c r="O6" s="45">
        <v>0</v>
      </c>
      <c r="P6" s="45">
        <v>0</v>
      </c>
      <c r="Q6" s="45">
        <v>0</v>
      </c>
      <c r="R6" s="45">
        <v>0</v>
      </c>
      <c r="S6" s="45">
        <v>0</v>
      </c>
      <c r="T6" s="45">
        <v>0</v>
      </c>
      <c r="U6" s="45">
        <v>0</v>
      </c>
      <c r="V6" s="45">
        <v>0</v>
      </c>
      <c r="W6" s="45">
        <v>0</v>
      </c>
      <c r="X6" s="45">
        <f>(C.1项目融资信息!$D$4)</f>
        <v>1175</v>
      </c>
      <c r="Y6" s="45">
        <v>0</v>
      </c>
      <c r="Z6" s="45">
        <v>0</v>
      </c>
      <c r="AA6" s="45">
        <v>0</v>
      </c>
    </row>
    <row r="7" ht="16.5" customHeight="1" spans="1:27">
      <c r="A7" s="44" t="s">
        <v>196</v>
      </c>
      <c r="B7" s="44" t="s">
        <v>537</v>
      </c>
      <c r="C7" s="45">
        <f>(SUM(D7:X7))</f>
        <v>498.2</v>
      </c>
      <c r="D7" s="45">
        <v>0</v>
      </c>
      <c r="E7" s="45">
        <f>((E8+E6)*C.1项目融资信息!$H$4)</f>
        <v>24.91</v>
      </c>
      <c r="F7" s="45">
        <f>((F8+F6)*C.1项目融资信息!$H$4)</f>
        <v>24.91</v>
      </c>
      <c r="G7" s="45">
        <f>((G8+G6)*C.1项目融资信息!$H$4)</f>
        <v>24.91</v>
      </c>
      <c r="H7" s="45">
        <f>((H8+H6)*C.1项目融资信息!$H$4)</f>
        <v>24.91</v>
      </c>
      <c r="I7" s="45">
        <f>((I8+I6)*C.1项目融资信息!$H$4)</f>
        <v>24.91</v>
      </c>
      <c r="J7" s="45">
        <f>((J8+J6)*C.1项目融资信息!$H$4)</f>
        <v>24.91</v>
      </c>
      <c r="K7" s="45">
        <f>((K8+K6)*C.1项目融资信息!$H$4)</f>
        <v>24.91</v>
      </c>
      <c r="L7" s="45">
        <f>((L8+L6)*C.1项目融资信息!$H$4)</f>
        <v>24.91</v>
      </c>
      <c r="M7" s="45">
        <f>((M8+M6)*C.1项目融资信息!$H$4)</f>
        <v>24.91</v>
      </c>
      <c r="N7" s="45">
        <f>((N8+N6)*C.1项目融资信息!$H$4)</f>
        <v>24.91</v>
      </c>
      <c r="O7" s="45">
        <f>((O8+O6)*C.1项目融资信息!$H$4)</f>
        <v>24.91</v>
      </c>
      <c r="P7" s="45">
        <f>((P8+P6)*C.1项目融资信息!$H$4)</f>
        <v>24.91</v>
      </c>
      <c r="Q7" s="45">
        <f>((Q8+Q6)*C.1项目融资信息!$H$4)</f>
        <v>24.91</v>
      </c>
      <c r="R7" s="45">
        <f>((R8+R6)*C.1项目融资信息!$H$4)</f>
        <v>24.91</v>
      </c>
      <c r="S7" s="45">
        <f>((S8+S6)*C.1项目融资信息!$H$4)</f>
        <v>24.91</v>
      </c>
      <c r="T7" s="45">
        <f>((T8+T6)*C.1项目融资信息!$H$4)</f>
        <v>24.91</v>
      </c>
      <c r="U7" s="45">
        <f>((U8+U6)*C.1项目融资信息!$H$4)</f>
        <v>24.91</v>
      </c>
      <c r="V7" s="45">
        <f>((V8+V6)*C.1项目融资信息!$H$4)</f>
        <v>24.91</v>
      </c>
      <c r="W7" s="45">
        <f>((W8+W6)*C.1项目融资信息!$H$4)</f>
        <v>24.91</v>
      </c>
      <c r="X7" s="45">
        <f>((X8+X6)*C.1项目融资信息!$H$4)</f>
        <v>24.91</v>
      </c>
      <c r="Y7" s="45">
        <v>0</v>
      </c>
      <c r="Z7" s="45">
        <v>0</v>
      </c>
      <c r="AA7" s="45">
        <v>0</v>
      </c>
    </row>
    <row r="8" ht="16.5" customHeight="1" spans="1:27">
      <c r="A8" s="44" t="s">
        <v>538</v>
      </c>
      <c r="B8" s="44" t="s">
        <v>539</v>
      </c>
      <c r="C8" s="45">
        <v>0</v>
      </c>
      <c r="D8" s="45">
        <f>(D4+C.2项目每年借款信息!$C$3-D6)</f>
        <v>1175</v>
      </c>
      <c r="E8" s="45">
        <f>(E4+C.2项目每年借款信息!$D$3-E6)</f>
        <v>1175</v>
      </c>
      <c r="F8" s="45">
        <f>(F4+C.2项目每年借款信息!$E$3-F6)</f>
        <v>1175</v>
      </c>
      <c r="G8" s="45">
        <f>(G4+C.2项目每年借款信息!$F$3-G6)</f>
        <v>1175</v>
      </c>
      <c r="H8" s="45">
        <f>(H4+C.2项目每年借款信息!$G$3-H6)</f>
        <v>1175</v>
      </c>
      <c r="I8" s="45">
        <f>(I4+C.2项目每年借款信息!$H$3-I6)</f>
        <v>1175</v>
      </c>
      <c r="J8" s="45">
        <f>(J4+C.2项目每年借款信息!$I$3-J6)</f>
        <v>1175</v>
      </c>
      <c r="K8" s="45">
        <f>(K4+C.2项目每年借款信息!$J$3-K6)</f>
        <v>1175</v>
      </c>
      <c r="L8" s="45">
        <f>(L4+C.2项目每年借款信息!$K$3-L6)</f>
        <v>1175</v>
      </c>
      <c r="M8" s="45">
        <f>(M4+C.2项目每年借款信息!$L$3-M6)</f>
        <v>1175</v>
      </c>
      <c r="N8" s="45">
        <f>(N4+C.2项目每年借款信息!$M$3-N6)</f>
        <v>1175</v>
      </c>
      <c r="O8" s="45">
        <f>(O4+C.2项目每年借款信息!$N$3-O6)</f>
        <v>1175</v>
      </c>
      <c r="P8" s="45">
        <f>(P4+C.2项目每年借款信息!$O$3-P6)</f>
        <v>1175</v>
      </c>
      <c r="Q8" s="45">
        <f>(Q4+C.2项目每年借款信息!$P$3-Q6)</f>
        <v>1175</v>
      </c>
      <c r="R8" s="45">
        <f>(R4+C.2项目每年借款信息!$Q$3-R6)</f>
        <v>1175</v>
      </c>
      <c r="S8" s="45">
        <f>(S4+C.2项目每年借款信息!$R$3-S6)</f>
        <v>1175</v>
      </c>
      <c r="T8" s="45">
        <f>(T4+C.2项目每年借款信息!$S$3-T6)</f>
        <v>1175</v>
      </c>
      <c r="U8" s="45">
        <f>(U4+C.2项目每年借款信息!$T$3-U6)</f>
        <v>1175</v>
      </c>
      <c r="V8" s="45">
        <f>(V4+C.2项目每年借款信息!$U$3-V6)</f>
        <v>1175</v>
      </c>
      <c r="W8" s="45">
        <f>(W4+C.2项目每年借款信息!$V$3-W6)</f>
        <v>1175</v>
      </c>
      <c r="X8" s="45">
        <f>(X4+C.2项目每年借款信息!$W$3-X6)</f>
        <v>0</v>
      </c>
      <c r="Y8" s="45">
        <v>0</v>
      </c>
      <c r="Z8" s="45">
        <v>0</v>
      </c>
      <c r="AA8" s="45">
        <v>0</v>
      </c>
    </row>
    <row r="9" ht="16.5" customHeight="1" spans="1:27">
      <c r="A9" s="44" t="s">
        <v>540</v>
      </c>
      <c r="B9" s="44" t="s">
        <v>541</v>
      </c>
      <c r="C9" s="45">
        <f>(SUM(D9:X9))</f>
        <v>0.08366</v>
      </c>
      <c r="D9" s="45">
        <f>(D5*A财务假设!$D$18)</f>
        <v>0</v>
      </c>
      <c r="E9" s="45">
        <f>(E5*A财务假设!$D$18)</f>
        <v>0.0012455</v>
      </c>
      <c r="F9" s="45">
        <f>(F5*A财务假设!$D$18)</f>
        <v>0.0012455</v>
      </c>
      <c r="G9" s="45">
        <f>(G5*A财务假设!$D$18)</f>
        <v>0.0012455</v>
      </c>
      <c r="H9" s="45">
        <f>(H5*A财务假设!$D$18)</f>
        <v>0.0012455</v>
      </c>
      <c r="I9" s="45">
        <f>(I5*A财务假设!$D$18)</f>
        <v>0.0012455</v>
      </c>
      <c r="J9" s="45">
        <f>(J5*A财务假设!$D$18)</f>
        <v>0.0012455</v>
      </c>
      <c r="K9" s="45">
        <f>(K5*A财务假设!$D$18)</f>
        <v>0.0012455</v>
      </c>
      <c r="L9" s="45">
        <f>(L5*A财务假设!$D$18)</f>
        <v>0.0012455</v>
      </c>
      <c r="M9" s="45">
        <f>(M5*A财务假设!$D$18)</f>
        <v>0.0012455</v>
      </c>
      <c r="N9" s="45">
        <f>(N5*A财务假设!$D$18)</f>
        <v>0.0012455</v>
      </c>
      <c r="O9" s="45">
        <f>(O5*A财务假设!$D$18)</f>
        <v>0.0012455</v>
      </c>
      <c r="P9" s="45">
        <f>(P5*A财务假设!$D$18)</f>
        <v>0.0012455</v>
      </c>
      <c r="Q9" s="45">
        <f>(Q5*A财务假设!$D$18)</f>
        <v>0.0012455</v>
      </c>
      <c r="R9" s="45">
        <f>(R5*A财务假设!$D$18)</f>
        <v>0.0012455</v>
      </c>
      <c r="S9" s="45">
        <f>(S5*A财务假设!$D$18)</f>
        <v>0.0012455</v>
      </c>
      <c r="T9" s="45">
        <f>(T5*A财务假设!$D$18)</f>
        <v>0.0012455</v>
      </c>
      <c r="U9" s="45">
        <f>(U5*A财务假设!$D$18)</f>
        <v>0.0012455</v>
      </c>
      <c r="V9" s="45">
        <f>(V5*A财务假设!$D$18)</f>
        <v>0.0012455</v>
      </c>
      <c r="W9" s="45">
        <f>(W5*A财务假设!$D$18)</f>
        <v>0.0012455</v>
      </c>
      <c r="X9" s="45">
        <f>(X5*A财务假设!$D$18)</f>
        <v>0.0599955</v>
      </c>
      <c r="Y9" s="45">
        <v>0</v>
      </c>
      <c r="Z9" s="45">
        <v>0</v>
      </c>
      <c r="AA9" s="45">
        <v>0</v>
      </c>
    </row>
    <row r="10" ht="16.5" customHeight="1" spans="1:27">
      <c r="A10" s="44" t="s">
        <v>542</v>
      </c>
      <c r="B10" s="44" t="s">
        <v>543</v>
      </c>
      <c r="C10" s="45">
        <f>(SUM(D10:X10))</f>
        <v>1.0152</v>
      </c>
      <c r="D10" s="45">
        <f>(C.2项目每年借款信息!$C$3*(A财务假设!$D$16+A财务假设!$D$17))</f>
        <v>1.0152</v>
      </c>
      <c r="E10" s="45">
        <f>(C.2项目每年借款信息!$D$3*(A财务假设!$D$16+A财务假设!$D$17))</f>
        <v>0</v>
      </c>
      <c r="F10" s="45">
        <f>(C.2项目每年借款信息!$E$3*(A财务假设!$D$16+A财务假设!$D$17))</f>
        <v>0</v>
      </c>
      <c r="G10" s="45">
        <f>(C.2项目每年借款信息!$F$3*(A财务假设!$D$16+A财务假设!$D$17))</f>
        <v>0</v>
      </c>
      <c r="H10" s="45">
        <f>(C.2项目每年借款信息!$G$3*(A财务假设!$D$16+A财务假设!$D$17))</f>
        <v>0</v>
      </c>
      <c r="I10" s="45">
        <f>(C.2项目每年借款信息!$H$3*(A财务假设!$D$16+A财务假设!$D$17))</f>
        <v>0</v>
      </c>
      <c r="J10" s="45">
        <f>(C.2项目每年借款信息!$I$3*(A财务假设!$D$16+A财务假设!$D$17))</f>
        <v>0</v>
      </c>
      <c r="K10" s="45">
        <f>(C.2项目每年借款信息!$J$3*(A财务假设!$D$16+A财务假设!$D$17))</f>
        <v>0</v>
      </c>
      <c r="L10" s="45">
        <f>(C.2项目每年借款信息!$K$3*(A财务假设!$D$16+A财务假设!$D$17))</f>
        <v>0</v>
      </c>
      <c r="M10" s="45">
        <f>(C.2项目每年借款信息!$L$3*(A财务假设!$D$16+A财务假设!$D$17))</f>
        <v>0</v>
      </c>
      <c r="N10" s="45">
        <f>(C.2项目每年借款信息!$M$3*(A财务假设!$D$16+A财务假设!$D$17))</f>
        <v>0</v>
      </c>
      <c r="O10" s="45">
        <f>(C.2项目每年借款信息!$N$3*(A财务假设!$D$16+A财务假设!$D$17))</f>
        <v>0</v>
      </c>
      <c r="P10" s="45">
        <f>(C.2项目每年借款信息!$O$3*(A财务假设!$D$16+A财务假设!$D$17))</f>
        <v>0</v>
      </c>
      <c r="Q10" s="45">
        <f>(C.2项目每年借款信息!$P$3*(A财务假设!$D$16+A财务假设!$D$17))</f>
        <v>0</v>
      </c>
      <c r="R10" s="45">
        <f>(C.2项目每年借款信息!$Q$3*(A财务假设!$D$16+A财务假设!$D$17))</f>
        <v>0</v>
      </c>
      <c r="S10" s="45">
        <f>(C.2项目每年借款信息!$R$3*(A财务假设!$D$16+A财务假设!$D$17))</f>
        <v>0</v>
      </c>
      <c r="T10" s="45">
        <f>(C.2项目每年借款信息!$S$3*(A财务假设!$D$16+A财务假设!$D$17))</f>
        <v>0</v>
      </c>
      <c r="U10" s="45">
        <f>(C.2项目每年借款信息!$T$3*(A财务假设!$D$16+A财务假设!$D$17))</f>
        <v>0</v>
      </c>
      <c r="V10" s="45">
        <f>(C.2项目每年借款信息!$U$3*(A财务假设!$D$16+A财务假设!$D$17))</f>
        <v>0</v>
      </c>
      <c r="W10" s="45">
        <f>(C.2项目每年借款信息!$V$3*(A财务假设!$D$16+A财务假设!$D$17))</f>
        <v>0</v>
      </c>
      <c r="X10" s="45">
        <f>(C.2项目每年借款信息!$W$3*(A财务假设!$D$16+A财务假设!$D$17))</f>
        <v>0</v>
      </c>
      <c r="Y10" s="45">
        <v>0</v>
      </c>
      <c r="Z10" s="45">
        <v>0</v>
      </c>
      <c r="AA10" s="45">
        <v>0</v>
      </c>
    </row>
    <row r="11" ht="16.5" customHeight="1" spans="1:27">
      <c r="A11" s="44" t="s">
        <v>544</v>
      </c>
      <c r="B11" s="44" t="s">
        <v>545</v>
      </c>
      <c r="C11" s="45">
        <v>0</v>
      </c>
      <c r="D11" s="45">
        <f>(IF(($D$2-YEAR(C.1项目融资信息!$E$4))=0,(12-MONTH(C.1项目融资信息!$E$4)+1)*C.1项目融资信息!$D$4*C.1项目融资信息!$H$4/12,C.1项目融资信息!$D$4*C.1项目融资信息!$H$4))</f>
        <v>8.30333333333333</v>
      </c>
      <c r="E11" s="45">
        <f>(IF(($E$2-YEAR(C.1项目融资信息!$E$4))=0,(12-MONTH(C.1项目融资信息!$E$4)+1)*C.1项目融资信息!$D$4*C.1项目融资信息!$H$4/12,C.1项目融资信息!$D$4*C.1项目融资信息!$H$4))</f>
        <v>24.91</v>
      </c>
      <c r="F11" s="45">
        <f>(IF(($F$2-YEAR(C.1项目融资信息!$E$4))=0,(12-MONTH(C.1项目融资信息!$E$4)+1)*C.1项目融资信息!$D$4*C.1项目融资信息!$H$4/12,C.1项目融资信息!$D$4*C.1项目融资信息!$H$4))</f>
        <v>24.91</v>
      </c>
      <c r="G11" s="45">
        <f>(IF(($G$2-YEAR(C.1项目融资信息!$E$4))=0,(12-MONTH(C.1项目融资信息!$E$4)+1)*C.1项目融资信息!$D$4*C.1项目融资信息!$H$4/12,C.1项目融资信息!$D$4*C.1项目融资信息!$H$4))</f>
        <v>24.91</v>
      </c>
      <c r="H11" s="45">
        <f>(IF(($H$2-YEAR(C.1项目融资信息!$E$4))=0,(12-MONTH(C.1项目融资信息!$E$4)+1)*C.1项目融资信息!$D$4*C.1项目融资信息!$H$4/12,C.1项目融资信息!$D$4*C.1项目融资信息!$H$4))</f>
        <v>24.91</v>
      </c>
      <c r="I11" s="45">
        <f>(IF(($I$2-YEAR(C.1项目融资信息!$E$4))=0,(12-MONTH(C.1项目融资信息!$E$4)+1)*C.1项目融资信息!$D$4*C.1项目融资信息!$H$4/12,C.1项目融资信息!$D$4*C.1项目融资信息!$H$4))</f>
        <v>24.91</v>
      </c>
      <c r="J11" s="45">
        <f>(IF(($J$2-YEAR(C.1项目融资信息!$E$4))=0,(12-MONTH(C.1项目融资信息!$E$4)+1)*C.1项目融资信息!$D$4*C.1项目融资信息!$H$4/12,C.1项目融资信息!$D$4*C.1项目融资信息!$H$4))</f>
        <v>24.91</v>
      </c>
      <c r="K11" s="45">
        <f>(IF(($K$2-YEAR(C.1项目融资信息!$E$4))=0,(12-MONTH(C.1项目融资信息!$E$4)+1)*C.1项目融资信息!$D$4*C.1项目融资信息!$H$4/12,C.1项目融资信息!$D$4*C.1项目融资信息!$H$4))</f>
        <v>24.91</v>
      </c>
      <c r="L11" s="45">
        <f>(IF(($L$2-YEAR(C.1项目融资信息!$E$4))=0,(12-MONTH(C.1项目融资信息!$E$4)+1)*C.1项目融资信息!$D$4*C.1项目融资信息!$H$4/12,C.1项目融资信息!$D$4*C.1项目融资信息!$H$4))</f>
        <v>24.91</v>
      </c>
      <c r="M11" s="45">
        <f>(IF(($M$2-YEAR(C.1项目融资信息!$E$4))=0,(12-MONTH(C.1项目融资信息!$E$4)+1)*C.1项目融资信息!$D$4*C.1项目融资信息!$H$4/12,C.1项目融资信息!$D$4*C.1项目融资信息!$H$4))</f>
        <v>24.91</v>
      </c>
      <c r="N11" s="45">
        <f>(IF(($N$2-YEAR(C.1项目融资信息!$E$4))=0,(12-MONTH(C.1项目融资信息!$E$4)+1)*C.1项目融资信息!$D$4*C.1项目融资信息!$H$4/12,C.1项目融资信息!$D$4*C.1项目融资信息!$H$4))</f>
        <v>24.91</v>
      </c>
      <c r="O11" s="45">
        <f>(IF(($O$2-YEAR(C.1项目融资信息!$E$4))=0,(12-MONTH(C.1项目融资信息!$E$4)+1)*C.1项目融资信息!$D$4*C.1项目融资信息!$H$4/12,C.1项目融资信息!$D$4*C.1项目融资信息!$H$4))</f>
        <v>24.91</v>
      </c>
      <c r="P11" s="45">
        <f>(IF(($P$2-YEAR(C.1项目融资信息!$E$4))=0,(12-MONTH(C.1项目融资信息!$E$4)+1)*C.1项目融资信息!$D$4*C.1项目融资信息!$H$4/12,C.1项目融资信息!$D$4*C.1项目融资信息!$H$4))</f>
        <v>24.91</v>
      </c>
      <c r="Q11" s="45">
        <f>(IF(($Q$2-YEAR(C.1项目融资信息!$E$4))=0,(12-MONTH(C.1项目融资信息!$E$4)+1)*C.1项目融资信息!$D$4*C.1项目融资信息!$H$4/12,C.1项目融资信息!$D$4*C.1项目融资信息!$H$4))</f>
        <v>24.91</v>
      </c>
      <c r="R11" s="45">
        <f>(IF(($R$2-YEAR(C.1项目融资信息!$E$4))=0,(12-MONTH(C.1项目融资信息!$E$4)+1)*C.1项目融资信息!$D$4*C.1项目融资信息!$H$4/12,C.1项目融资信息!$D$4*C.1项目融资信息!$H$4))</f>
        <v>24.91</v>
      </c>
      <c r="S11" s="45">
        <f>(IF(($S$2-YEAR(C.1项目融资信息!$E$4))=0,(12-MONTH(C.1项目融资信息!$E$4)+1)*C.1项目融资信息!$D$4*C.1项目融资信息!$H$4/12,C.1项目融资信息!$D$4*C.1项目融资信息!$H$4))</f>
        <v>24.91</v>
      </c>
      <c r="T11" s="45">
        <f>(IF(($T$2-YEAR(C.1项目融资信息!$E$4))=0,(12-MONTH(C.1项目融资信息!$E$4)+1)*C.1项目融资信息!$D$4*C.1项目融资信息!$H$4/12,C.1项目融资信息!$D$4*C.1项目融资信息!$H$4))</f>
        <v>24.91</v>
      </c>
      <c r="U11" s="45">
        <f>(IF(($U$2-YEAR(C.1项目融资信息!$E$4))=0,(12-MONTH(C.1项目融资信息!$E$4)+1)*C.1项目融资信息!$D$4*C.1项目融资信息!$H$4/12,C.1项目融资信息!$D$4*C.1项目融资信息!$H$4))</f>
        <v>24.91</v>
      </c>
      <c r="V11" s="45">
        <f>(IF(($V$2-YEAR(C.1项目融资信息!$E$4))=0,(12-MONTH(C.1项目融资信息!$E$4)+1)*C.1项目融资信息!$D$4*C.1项目融资信息!$H$4/12,C.1项目融资信息!$D$4*C.1项目融资信息!$H$4))</f>
        <v>24.91</v>
      </c>
      <c r="W11" s="45">
        <f>(IF(($W$2-YEAR(C.1项目融资信息!$E$4))=0,(12-MONTH(C.1项目融资信息!$E$4)+1)*C.1项目融资信息!$D$4*C.1项目融资信息!$H$4/12,C.1项目融资信息!$D$4*C.1项目融资信息!$H$4))</f>
        <v>24.91</v>
      </c>
      <c r="X11" s="45">
        <f>(MONTH(C.1项目融资信息!$E$4)-1)*C.1项目融资信息!$D$4*C.1项目融资信息!$H$4/12</f>
        <v>16.6066666666667</v>
      </c>
      <c r="Y11" s="45">
        <v>0</v>
      </c>
      <c r="Z11" s="45">
        <v>0</v>
      </c>
      <c r="AA11" s="45">
        <v>0</v>
      </c>
    </row>
    <row r="12" ht="16.5" customHeight="1" spans="1:27">
      <c r="A12" s="44">
        <v>2</v>
      </c>
      <c r="B12" s="44" t="s">
        <v>76</v>
      </c>
      <c r="C12" s="46"/>
      <c r="D12" s="46"/>
      <c r="E12" s="46"/>
      <c r="F12" s="46"/>
      <c r="G12" s="46"/>
      <c r="H12" s="46"/>
      <c r="I12" s="46"/>
      <c r="J12" s="46"/>
      <c r="K12" s="46"/>
      <c r="L12" s="46"/>
      <c r="M12" s="46"/>
      <c r="N12" s="46"/>
      <c r="O12" s="46"/>
      <c r="P12" s="46"/>
      <c r="Q12" s="46"/>
      <c r="R12" s="46"/>
      <c r="S12" s="46"/>
      <c r="T12" s="46"/>
      <c r="U12" s="46"/>
      <c r="V12" s="46"/>
      <c r="W12" s="46"/>
      <c r="X12" s="46"/>
      <c r="Y12" s="46"/>
      <c r="Z12" s="46"/>
      <c r="AA12" s="46"/>
    </row>
    <row r="13" ht="16.5" customHeight="1" spans="1:27">
      <c r="A13" s="44" t="s">
        <v>352</v>
      </c>
      <c r="B13" s="44" t="s">
        <v>534</v>
      </c>
      <c r="C13" s="45">
        <v>0</v>
      </c>
      <c r="D13" s="45">
        <v>0</v>
      </c>
      <c r="E13" s="45">
        <f t="shared" ref="E13:Y13" si="2">(D17)</f>
        <v>0</v>
      </c>
      <c r="F13" s="45">
        <f t="shared" si="2"/>
        <v>11590</v>
      </c>
      <c r="G13" s="45">
        <f t="shared" si="2"/>
        <v>11590</v>
      </c>
      <c r="H13" s="45">
        <f t="shared" si="2"/>
        <v>11590</v>
      </c>
      <c r="I13" s="45">
        <f t="shared" si="2"/>
        <v>11590</v>
      </c>
      <c r="J13" s="45">
        <f t="shared" si="2"/>
        <v>11590</v>
      </c>
      <c r="K13" s="45">
        <f t="shared" si="2"/>
        <v>11590</v>
      </c>
      <c r="L13" s="45">
        <f t="shared" si="2"/>
        <v>11590</v>
      </c>
      <c r="M13" s="45">
        <f t="shared" si="2"/>
        <v>11590</v>
      </c>
      <c r="N13" s="45">
        <f t="shared" si="2"/>
        <v>11590</v>
      </c>
      <c r="O13" s="45">
        <f t="shared" si="2"/>
        <v>11590</v>
      </c>
      <c r="P13" s="45">
        <f t="shared" si="2"/>
        <v>11590</v>
      </c>
      <c r="Q13" s="45">
        <f t="shared" si="2"/>
        <v>11590</v>
      </c>
      <c r="R13" s="45">
        <f t="shared" si="2"/>
        <v>11590</v>
      </c>
      <c r="S13" s="45">
        <f t="shared" si="2"/>
        <v>11590</v>
      </c>
      <c r="T13" s="45">
        <f t="shared" si="2"/>
        <v>11590</v>
      </c>
      <c r="U13" s="45">
        <f t="shared" si="2"/>
        <v>11590</v>
      </c>
      <c r="V13" s="45">
        <f t="shared" si="2"/>
        <v>11590</v>
      </c>
      <c r="W13" s="45">
        <f t="shared" si="2"/>
        <v>11590</v>
      </c>
      <c r="X13" s="45">
        <f t="shared" si="2"/>
        <v>11590</v>
      </c>
      <c r="Y13" s="45">
        <f t="shared" si="2"/>
        <v>11590</v>
      </c>
      <c r="Z13" s="45">
        <v>0</v>
      </c>
      <c r="AA13" s="45">
        <v>0</v>
      </c>
    </row>
    <row r="14" ht="16.5" customHeight="1" spans="1:27">
      <c r="A14" s="44" t="s">
        <v>353</v>
      </c>
      <c r="B14" s="44" t="s">
        <v>535</v>
      </c>
      <c r="C14" s="45">
        <f>(SUM(E14:Y14))</f>
        <v>16504.16</v>
      </c>
      <c r="D14" s="45">
        <v>0</v>
      </c>
      <c r="E14" s="45">
        <f t="shared" ref="E14:Y14" si="3">(E15+E16)</f>
        <v>0</v>
      </c>
      <c r="F14" s="45">
        <f t="shared" si="3"/>
        <v>245.708</v>
      </c>
      <c r="G14" s="45">
        <f t="shared" si="3"/>
        <v>245.708</v>
      </c>
      <c r="H14" s="45">
        <f t="shared" si="3"/>
        <v>245.708</v>
      </c>
      <c r="I14" s="45">
        <f t="shared" si="3"/>
        <v>245.708</v>
      </c>
      <c r="J14" s="45">
        <f t="shared" si="3"/>
        <v>245.708</v>
      </c>
      <c r="K14" s="45">
        <f t="shared" si="3"/>
        <v>245.708</v>
      </c>
      <c r="L14" s="45">
        <f t="shared" si="3"/>
        <v>245.708</v>
      </c>
      <c r="M14" s="45">
        <f t="shared" si="3"/>
        <v>245.708</v>
      </c>
      <c r="N14" s="45">
        <f t="shared" si="3"/>
        <v>245.708</v>
      </c>
      <c r="O14" s="45">
        <f t="shared" si="3"/>
        <v>245.708</v>
      </c>
      <c r="P14" s="45">
        <f t="shared" si="3"/>
        <v>245.708</v>
      </c>
      <c r="Q14" s="45">
        <f t="shared" si="3"/>
        <v>245.708</v>
      </c>
      <c r="R14" s="45">
        <f t="shared" si="3"/>
        <v>245.708</v>
      </c>
      <c r="S14" s="45">
        <f t="shared" si="3"/>
        <v>245.708</v>
      </c>
      <c r="T14" s="45">
        <f t="shared" si="3"/>
        <v>245.708</v>
      </c>
      <c r="U14" s="45">
        <f t="shared" si="3"/>
        <v>245.708</v>
      </c>
      <c r="V14" s="45">
        <f t="shared" si="3"/>
        <v>245.708</v>
      </c>
      <c r="W14" s="45">
        <f t="shared" si="3"/>
        <v>245.708</v>
      </c>
      <c r="X14" s="45">
        <f t="shared" si="3"/>
        <v>245.708</v>
      </c>
      <c r="Y14" s="45">
        <f t="shared" si="3"/>
        <v>11835.708</v>
      </c>
      <c r="Z14" s="45">
        <v>0</v>
      </c>
      <c r="AA14" s="45">
        <v>0</v>
      </c>
    </row>
    <row r="15" ht="16.5" customHeight="1" spans="1:27">
      <c r="A15" s="44" t="s">
        <v>157</v>
      </c>
      <c r="B15" s="44" t="s">
        <v>536</v>
      </c>
      <c r="C15" s="45">
        <f>(SUM(E15:Y15))</f>
        <v>11590</v>
      </c>
      <c r="D15" s="45">
        <v>0</v>
      </c>
      <c r="E15" s="45">
        <v>0</v>
      </c>
      <c r="F15" s="45">
        <v>0</v>
      </c>
      <c r="G15" s="45">
        <v>0</v>
      </c>
      <c r="H15" s="45">
        <v>0</v>
      </c>
      <c r="I15" s="45">
        <v>0</v>
      </c>
      <c r="J15" s="45">
        <v>0</v>
      </c>
      <c r="K15" s="45">
        <v>0</v>
      </c>
      <c r="L15" s="45">
        <v>0</v>
      </c>
      <c r="M15" s="45">
        <v>0</v>
      </c>
      <c r="N15" s="45">
        <v>0</v>
      </c>
      <c r="O15" s="45">
        <v>0</v>
      </c>
      <c r="P15" s="45">
        <v>0</v>
      </c>
      <c r="Q15" s="45">
        <v>0</v>
      </c>
      <c r="R15" s="45">
        <v>0</v>
      </c>
      <c r="S15" s="45">
        <v>0</v>
      </c>
      <c r="T15" s="45">
        <v>0</v>
      </c>
      <c r="U15" s="45">
        <v>0</v>
      </c>
      <c r="V15" s="45">
        <v>0</v>
      </c>
      <c r="W15" s="45">
        <v>0</v>
      </c>
      <c r="X15" s="45">
        <v>0</v>
      </c>
      <c r="Y15" s="45">
        <f>(C.1项目融资信息!$D$5)</f>
        <v>11590</v>
      </c>
      <c r="Z15" s="45">
        <v>0</v>
      </c>
      <c r="AA15" s="45">
        <v>0</v>
      </c>
    </row>
    <row r="16" ht="16.5" customHeight="1" spans="1:27">
      <c r="A16" s="44" t="s">
        <v>158</v>
      </c>
      <c r="B16" s="44" t="s">
        <v>537</v>
      </c>
      <c r="C16" s="45">
        <f>(SUM(E16:Y16))</f>
        <v>4914.16</v>
      </c>
      <c r="D16" s="45">
        <v>0</v>
      </c>
      <c r="E16" s="45">
        <v>0</v>
      </c>
      <c r="F16" s="45">
        <f>((F17+F15)*C.1项目融资信息!$H$5)</f>
        <v>245.708</v>
      </c>
      <c r="G16" s="45">
        <f>((G17+G15)*C.1项目融资信息!$H$5)</f>
        <v>245.708</v>
      </c>
      <c r="H16" s="45">
        <f>((H17+H15)*C.1项目融资信息!$H$5)</f>
        <v>245.708</v>
      </c>
      <c r="I16" s="45">
        <f>((I17+I15)*C.1项目融资信息!$H$5)</f>
        <v>245.708</v>
      </c>
      <c r="J16" s="45">
        <f>((J17+J15)*C.1项目融资信息!$H$5)</f>
        <v>245.708</v>
      </c>
      <c r="K16" s="45">
        <f>((K17+K15)*C.1项目融资信息!$H$5)</f>
        <v>245.708</v>
      </c>
      <c r="L16" s="45">
        <f>((L17+L15)*C.1项目融资信息!$H$5)</f>
        <v>245.708</v>
      </c>
      <c r="M16" s="45">
        <f>((M17+M15)*C.1项目融资信息!$H$5)</f>
        <v>245.708</v>
      </c>
      <c r="N16" s="45">
        <f>((N17+N15)*C.1项目融资信息!$H$5)</f>
        <v>245.708</v>
      </c>
      <c r="O16" s="45">
        <f>((O17+O15)*C.1项目融资信息!$H$5)</f>
        <v>245.708</v>
      </c>
      <c r="P16" s="45">
        <f>((P17+P15)*C.1项目融资信息!$H$5)</f>
        <v>245.708</v>
      </c>
      <c r="Q16" s="45">
        <f>((Q17+Q15)*C.1项目融资信息!$H$5)</f>
        <v>245.708</v>
      </c>
      <c r="R16" s="45">
        <f>((R17+R15)*C.1项目融资信息!$H$5)</f>
        <v>245.708</v>
      </c>
      <c r="S16" s="45">
        <f>((S17+S15)*C.1项目融资信息!$H$5)</f>
        <v>245.708</v>
      </c>
      <c r="T16" s="45">
        <f>((T17+T15)*C.1项目融资信息!$H$5)</f>
        <v>245.708</v>
      </c>
      <c r="U16" s="45">
        <f>((U17+U15)*C.1项目融资信息!$H$5)</f>
        <v>245.708</v>
      </c>
      <c r="V16" s="45">
        <f>((V17+V15)*C.1项目融资信息!$H$5)</f>
        <v>245.708</v>
      </c>
      <c r="W16" s="45">
        <f>((W17+W15)*C.1项目融资信息!$H$5)</f>
        <v>245.708</v>
      </c>
      <c r="X16" s="45">
        <f>((X17+X15)*C.1项目融资信息!$H$5)</f>
        <v>245.708</v>
      </c>
      <c r="Y16" s="45">
        <f>((Y17+Y15)*C.1项目融资信息!$H$5)</f>
        <v>245.708</v>
      </c>
      <c r="Z16" s="45">
        <v>0</v>
      </c>
      <c r="AA16" s="45">
        <v>0</v>
      </c>
    </row>
    <row r="17" ht="16.5" customHeight="1" spans="1:27">
      <c r="A17" s="44" t="s">
        <v>546</v>
      </c>
      <c r="B17" s="44" t="s">
        <v>539</v>
      </c>
      <c r="C17" s="45">
        <v>0</v>
      </c>
      <c r="D17" s="45">
        <v>0</v>
      </c>
      <c r="E17" s="45">
        <f>(E13+C.2项目每年借款信息!$D$4-E15)</f>
        <v>11590</v>
      </c>
      <c r="F17" s="45">
        <f>(F13+C.2项目每年借款信息!$E$4-F15)</f>
        <v>11590</v>
      </c>
      <c r="G17" s="45">
        <f>(G13+C.2项目每年借款信息!$F$4-G15)</f>
        <v>11590</v>
      </c>
      <c r="H17" s="45">
        <f>(H13+C.2项目每年借款信息!$G$4-H15)</f>
        <v>11590</v>
      </c>
      <c r="I17" s="45">
        <f>(I13+C.2项目每年借款信息!$H$4-I15)</f>
        <v>11590</v>
      </c>
      <c r="J17" s="45">
        <f>(J13+C.2项目每年借款信息!$I$4-J15)</f>
        <v>11590</v>
      </c>
      <c r="K17" s="45">
        <f>(K13+C.2项目每年借款信息!$J$4-K15)</f>
        <v>11590</v>
      </c>
      <c r="L17" s="45">
        <f>(L13+C.2项目每年借款信息!$K$4-L15)</f>
        <v>11590</v>
      </c>
      <c r="M17" s="45">
        <f>(M13+C.2项目每年借款信息!$L$4-M15)</f>
        <v>11590</v>
      </c>
      <c r="N17" s="45">
        <f>(N13+C.2项目每年借款信息!$M$4-N15)</f>
        <v>11590</v>
      </c>
      <c r="O17" s="45">
        <f>(O13+C.2项目每年借款信息!$N$4-O15)</f>
        <v>11590</v>
      </c>
      <c r="P17" s="45">
        <f>(P13+C.2项目每年借款信息!$O$4-P15)</f>
        <v>11590</v>
      </c>
      <c r="Q17" s="45">
        <f>(Q13+C.2项目每年借款信息!$P$4-Q15)</f>
        <v>11590</v>
      </c>
      <c r="R17" s="45">
        <f>(R13+C.2项目每年借款信息!$Q$4-R15)</f>
        <v>11590</v>
      </c>
      <c r="S17" s="45">
        <f>(S13+C.2项目每年借款信息!$R$4-S15)</f>
        <v>11590</v>
      </c>
      <c r="T17" s="45">
        <f>(T13+C.2项目每年借款信息!$S$4-T15)</f>
        <v>11590</v>
      </c>
      <c r="U17" s="45">
        <f>(U13+C.2项目每年借款信息!$T$4-U15)</f>
        <v>11590</v>
      </c>
      <c r="V17" s="45">
        <f>(V13+C.2项目每年借款信息!$U$4-V15)</f>
        <v>11590</v>
      </c>
      <c r="W17" s="45">
        <f>(W13+C.2项目每年借款信息!$V$4-W15)</f>
        <v>11590</v>
      </c>
      <c r="X17" s="45">
        <f>(X13+C.2项目每年借款信息!$W$4-X15)</f>
        <v>11590</v>
      </c>
      <c r="Y17" s="45">
        <f>(Y13+C.2项目每年借款信息!$X$4-Y15)</f>
        <v>0</v>
      </c>
      <c r="Z17" s="45">
        <v>0</v>
      </c>
      <c r="AA17" s="45">
        <v>0</v>
      </c>
    </row>
    <row r="18" ht="16.5" customHeight="1" spans="1:27">
      <c r="A18" s="44" t="s">
        <v>547</v>
      </c>
      <c r="B18" s="44" t="s">
        <v>541</v>
      </c>
      <c r="C18" s="45">
        <f>(SUM(E18:Y18))</f>
        <v>0.825208</v>
      </c>
      <c r="D18" s="45">
        <v>0</v>
      </c>
      <c r="E18" s="45">
        <f>(E14*A财务假设!$D$18)</f>
        <v>0</v>
      </c>
      <c r="F18" s="45">
        <f>(F14*A财务假设!$D$18)</f>
        <v>0.0122854</v>
      </c>
      <c r="G18" s="45">
        <f>(G14*A财务假设!$D$18)</f>
        <v>0.0122854</v>
      </c>
      <c r="H18" s="45">
        <f>(H14*A财务假设!$D$18)</f>
        <v>0.0122854</v>
      </c>
      <c r="I18" s="45">
        <f>(I14*A财务假设!$D$18)</f>
        <v>0.0122854</v>
      </c>
      <c r="J18" s="45">
        <f>(J14*A财务假设!$D$18)</f>
        <v>0.0122854</v>
      </c>
      <c r="K18" s="45">
        <f>(K14*A财务假设!$D$18)</f>
        <v>0.0122854</v>
      </c>
      <c r="L18" s="45">
        <f>(L14*A财务假设!$D$18)</f>
        <v>0.0122854</v>
      </c>
      <c r="M18" s="45">
        <f>(M14*A财务假设!$D$18)</f>
        <v>0.0122854</v>
      </c>
      <c r="N18" s="45">
        <f>(N14*A财务假设!$D$18)</f>
        <v>0.0122854</v>
      </c>
      <c r="O18" s="45">
        <f>(O14*A财务假设!$D$18)</f>
        <v>0.0122854</v>
      </c>
      <c r="P18" s="45">
        <f>(P14*A财务假设!$D$18)</f>
        <v>0.0122854</v>
      </c>
      <c r="Q18" s="45">
        <f>(Q14*A财务假设!$D$18)</f>
        <v>0.0122854</v>
      </c>
      <c r="R18" s="45">
        <f>(R14*A财务假设!$D$18)</f>
        <v>0.0122854</v>
      </c>
      <c r="S18" s="45">
        <f>(S14*A财务假设!$D$18)</f>
        <v>0.0122854</v>
      </c>
      <c r="T18" s="45">
        <f>(T14*A财务假设!$D$18)</f>
        <v>0.0122854</v>
      </c>
      <c r="U18" s="45">
        <f>(U14*A财务假设!$D$18)</f>
        <v>0.0122854</v>
      </c>
      <c r="V18" s="45">
        <f>(V14*A财务假设!$D$18)</f>
        <v>0.0122854</v>
      </c>
      <c r="W18" s="45">
        <f>(W14*A财务假设!$D$18)</f>
        <v>0.0122854</v>
      </c>
      <c r="X18" s="45">
        <f>(X14*A财务假设!$D$18)</f>
        <v>0.0122854</v>
      </c>
      <c r="Y18" s="45">
        <f>(Y14*A财务假设!$D$18)</f>
        <v>0.5917854</v>
      </c>
      <c r="Z18" s="45">
        <v>0</v>
      </c>
      <c r="AA18" s="45">
        <v>0</v>
      </c>
    </row>
    <row r="19" ht="16.5" customHeight="1" spans="1:27">
      <c r="A19" s="44" t="s">
        <v>548</v>
      </c>
      <c r="B19" s="44" t="s">
        <v>543</v>
      </c>
      <c r="C19" s="45">
        <f>(SUM(E19:Y19))</f>
        <v>10.01376</v>
      </c>
      <c r="D19" s="45">
        <v>0</v>
      </c>
      <c r="E19" s="45">
        <f>(C.2项目每年借款信息!$D$4*(A财务假设!$D$16+A财务假设!$D$17))</f>
        <v>10.01376</v>
      </c>
      <c r="F19" s="45">
        <f>(C.2项目每年借款信息!$E$4*(A财务假设!$D$16+A财务假设!$D$17))</f>
        <v>0</v>
      </c>
      <c r="G19" s="45">
        <f>(C.2项目每年借款信息!$F$4*(A财务假设!$D$16+A财务假设!$D$17))</f>
        <v>0</v>
      </c>
      <c r="H19" s="45">
        <f>(C.2项目每年借款信息!$G$4*(A财务假设!$D$16+A财务假设!$D$17))</f>
        <v>0</v>
      </c>
      <c r="I19" s="45">
        <f>(C.2项目每年借款信息!$H$4*(A财务假设!$D$16+A财务假设!$D$17))</f>
        <v>0</v>
      </c>
      <c r="J19" s="45">
        <f>(C.2项目每年借款信息!$I$4*(A财务假设!$D$16+A财务假设!$D$17))</f>
        <v>0</v>
      </c>
      <c r="K19" s="45">
        <f>(C.2项目每年借款信息!$J$4*(A财务假设!$D$16+A财务假设!$D$17))</f>
        <v>0</v>
      </c>
      <c r="L19" s="45">
        <f>(C.2项目每年借款信息!$K$4*(A财务假设!$D$16+A财务假设!$D$17))</f>
        <v>0</v>
      </c>
      <c r="M19" s="45">
        <f>(C.2项目每年借款信息!$L$4*(A财务假设!$D$16+A财务假设!$D$17))</f>
        <v>0</v>
      </c>
      <c r="N19" s="45">
        <f>(C.2项目每年借款信息!$M$4*(A财务假设!$D$16+A财务假设!$D$17))</f>
        <v>0</v>
      </c>
      <c r="O19" s="45">
        <f>(C.2项目每年借款信息!$N$4*(A财务假设!$D$16+A财务假设!$D$17))</f>
        <v>0</v>
      </c>
      <c r="P19" s="45">
        <f>(C.2项目每年借款信息!$O$4*(A财务假设!$D$16+A财务假设!$D$17))</f>
        <v>0</v>
      </c>
      <c r="Q19" s="45">
        <f>(C.2项目每年借款信息!$P$4*(A财务假设!$D$16+A财务假设!$D$17))</f>
        <v>0</v>
      </c>
      <c r="R19" s="45">
        <f>(C.2项目每年借款信息!$Q$4*(A财务假设!$D$16+A财务假设!$D$17))</f>
        <v>0</v>
      </c>
      <c r="S19" s="45">
        <f>(C.2项目每年借款信息!$R$4*(A财务假设!$D$16+A财务假设!$D$17))</f>
        <v>0</v>
      </c>
      <c r="T19" s="45">
        <f>(C.2项目每年借款信息!$S$4*(A财务假设!$D$16+A财务假设!$D$17))</f>
        <v>0</v>
      </c>
      <c r="U19" s="45">
        <f>(C.2项目每年借款信息!$T$4*(A财务假设!$D$16+A财务假设!$D$17))</f>
        <v>0</v>
      </c>
      <c r="V19" s="45">
        <f>(C.2项目每年借款信息!$U$4*(A财务假设!$D$16+A财务假设!$D$17))</f>
        <v>0</v>
      </c>
      <c r="W19" s="45">
        <f>(C.2项目每年借款信息!$V$4*(A财务假设!$D$16+A财务假设!$D$17))</f>
        <v>0</v>
      </c>
      <c r="X19" s="45">
        <f>(C.2项目每年借款信息!$W$4*(A财务假设!$D$16+A财务假设!$D$17))</f>
        <v>0</v>
      </c>
      <c r="Y19" s="45">
        <f>(C.2项目每年借款信息!$X$4*(A财务假设!$D$16+A财务假设!$D$17))</f>
        <v>0</v>
      </c>
      <c r="Z19" s="45">
        <v>0</v>
      </c>
      <c r="AA19" s="45">
        <v>0</v>
      </c>
    </row>
    <row r="20" ht="16.5" customHeight="1" spans="1:27">
      <c r="A20" s="44" t="s">
        <v>549</v>
      </c>
      <c r="B20" s="44" t="s">
        <v>545</v>
      </c>
      <c r="C20" s="45">
        <v>0</v>
      </c>
      <c r="D20" s="45">
        <v>0</v>
      </c>
      <c r="E20" s="45">
        <f>(IF(($E$2-YEAR(C.1项目融资信息!$E$5))=0,(12-MONTH(C.1项目融资信息!$E$5)+1)*C.1项目融资信息!$D$5*C.1项目融资信息!$H$5/12,C.1项目融资信息!$D$5*C.1项目融资信息!$H$5))</f>
        <v>81.9026666666667</v>
      </c>
      <c r="F20" s="45">
        <f>(IF(($F$2-YEAR(C.1项目融资信息!$E$5))=0,(12-MONTH(C.1项目融资信息!$E$5)+1)*C.1项目融资信息!$D$5*C.1项目融资信息!$H$5/12,C.1项目融资信息!$D$5*C.1项目融资信息!$H$5))</f>
        <v>245.708</v>
      </c>
      <c r="G20" s="45">
        <f>(IF(($G$2-YEAR(C.1项目融资信息!$E$5))=0,(12-MONTH(C.1项目融资信息!$E$5)+1)*C.1项目融资信息!$D$5*C.1项目融资信息!$H$5/12,C.1项目融资信息!$D$5*C.1项目融资信息!$H$5))</f>
        <v>245.708</v>
      </c>
      <c r="H20" s="45">
        <f>(IF(($H$2-YEAR(C.1项目融资信息!$E$5))=0,(12-MONTH(C.1项目融资信息!$E$5)+1)*C.1项目融资信息!$D$5*C.1项目融资信息!$H$5/12,C.1项目融资信息!$D$5*C.1项目融资信息!$H$5))</f>
        <v>245.708</v>
      </c>
      <c r="I20" s="45">
        <f>(IF(($I$2-YEAR(C.1项目融资信息!$E$5))=0,(12-MONTH(C.1项目融资信息!$E$5)+1)*C.1项目融资信息!$D$5*C.1项目融资信息!$H$5/12,C.1项目融资信息!$D$5*C.1项目融资信息!$H$5))</f>
        <v>245.708</v>
      </c>
      <c r="J20" s="45">
        <f>(IF(($J$2-YEAR(C.1项目融资信息!$E$5))=0,(12-MONTH(C.1项目融资信息!$E$5)+1)*C.1项目融资信息!$D$5*C.1项目融资信息!$H$5/12,C.1项目融资信息!$D$5*C.1项目融资信息!$H$5))</f>
        <v>245.708</v>
      </c>
      <c r="K20" s="45">
        <f>(IF(($K$2-YEAR(C.1项目融资信息!$E$5))=0,(12-MONTH(C.1项目融资信息!$E$5)+1)*C.1项目融资信息!$D$5*C.1项目融资信息!$H$5/12,C.1项目融资信息!$D$5*C.1项目融资信息!$H$5))</f>
        <v>245.708</v>
      </c>
      <c r="L20" s="45">
        <f>(IF(($L$2-YEAR(C.1项目融资信息!$E$5))=0,(12-MONTH(C.1项目融资信息!$E$5)+1)*C.1项目融资信息!$D$5*C.1项目融资信息!$H$5/12,C.1项目融资信息!$D$5*C.1项目融资信息!$H$5))</f>
        <v>245.708</v>
      </c>
      <c r="M20" s="45">
        <f>(IF(($M$2-YEAR(C.1项目融资信息!$E$5))=0,(12-MONTH(C.1项目融资信息!$E$5)+1)*C.1项目融资信息!$D$5*C.1项目融资信息!$H$5/12,C.1项目融资信息!$D$5*C.1项目融资信息!$H$5))</f>
        <v>245.708</v>
      </c>
      <c r="N20" s="45">
        <f>(IF(($N$2-YEAR(C.1项目融资信息!$E$5))=0,(12-MONTH(C.1项目融资信息!$E$5)+1)*C.1项目融资信息!$D$5*C.1项目融资信息!$H$5/12,C.1项目融资信息!$D$5*C.1项目融资信息!$H$5))</f>
        <v>245.708</v>
      </c>
      <c r="O20" s="45">
        <f>(IF(($O$2-YEAR(C.1项目融资信息!$E$5))=0,(12-MONTH(C.1项目融资信息!$E$5)+1)*C.1项目融资信息!$D$5*C.1项目融资信息!$H$5/12,C.1项目融资信息!$D$5*C.1项目融资信息!$H$5))</f>
        <v>245.708</v>
      </c>
      <c r="P20" s="45">
        <f>(IF(($P$2-YEAR(C.1项目融资信息!$E$5))=0,(12-MONTH(C.1项目融资信息!$E$5)+1)*C.1项目融资信息!$D$5*C.1项目融资信息!$H$5/12,C.1项目融资信息!$D$5*C.1项目融资信息!$H$5))</f>
        <v>245.708</v>
      </c>
      <c r="Q20" s="45">
        <f>(IF(($Q$2-YEAR(C.1项目融资信息!$E$5))=0,(12-MONTH(C.1项目融资信息!$E$5)+1)*C.1项目融资信息!$D$5*C.1项目融资信息!$H$5/12,C.1项目融资信息!$D$5*C.1项目融资信息!$H$5))</f>
        <v>245.708</v>
      </c>
      <c r="R20" s="45">
        <f>(IF(($R$2-YEAR(C.1项目融资信息!$E$5))=0,(12-MONTH(C.1项目融资信息!$E$5)+1)*C.1项目融资信息!$D$5*C.1项目融资信息!$H$5/12,C.1项目融资信息!$D$5*C.1项目融资信息!$H$5))</f>
        <v>245.708</v>
      </c>
      <c r="S20" s="45">
        <f>(IF(($S$2-YEAR(C.1项目融资信息!$E$5))=0,(12-MONTH(C.1项目融资信息!$E$5)+1)*C.1项目融资信息!$D$5*C.1项目融资信息!$H$5/12,C.1项目融资信息!$D$5*C.1项目融资信息!$H$5))</f>
        <v>245.708</v>
      </c>
      <c r="T20" s="45">
        <f>(IF(($T$2-YEAR(C.1项目融资信息!$E$5))=0,(12-MONTH(C.1项目融资信息!$E$5)+1)*C.1项目融资信息!$D$5*C.1项目融资信息!$H$5/12,C.1项目融资信息!$D$5*C.1项目融资信息!$H$5))</f>
        <v>245.708</v>
      </c>
      <c r="U20" s="45">
        <f>(IF(($U$2-YEAR(C.1项目融资信息!$E$5))=0,(12-MONTH(C.1项目融资信息!$E$5)+1)*C.1项目融资信息!$D$5*C.1项目融资信息!$H$5/12,C.1项目融资信息!$D$5*C.1项目融资信息!$H$5))</f>
        <v>245.708</v>
      </c>
      <c r="V20" s="45">
        <f>(IF(($V$2-YEAR(C.1项目融资信息!$E$5))=0,(12-MONTH(C.1项目融资信息!$E$5)+1)*C.1项目融资信息!$D$5*C.1项目融资信息!$H$5/12,C.1项目融资信息!$D$5*C.1项目融资信息!$H$5))</f>
        <v>245.708</v>
      </c>
      <c r="W20" s="45">
        <f>(IF(($W$2-YEAR(C.1项目融资信息!$E$5))=0,(12-MONTH(C.1项目融资信息!$E$5)+1)*C.1项目融资信息!$D$5*C.1项目融资信息!$H$5/12,C.1项目融资信息!$D$5*C.1项目融资信息!$H$5))</f>
        <v>245.708</v>
      </c>
      <c r="X20" s="45">
        <f>(IF(($X$2-YEAR(C.1项目融资信息!$E$5))=0,(12-MONTH(C.1项目融资信息!$E$5)+1)*C.1项目融资信息!$D$5*C.1项目融资信息!$H$5/12,C.1项目融资信息!$D$5*C.1项目融资信息!$H$5))</f>
        <v>245.708</v>
      </c>
      <c r="Y20" s="45">
        <f>(MONTH(C.1项目融资信息!$E$5)-1)*C.1项目融资信息!$D$5*C.1项目融资信息!$H$5/12</f>
        <v>163.805333333333</v>
      </c>
      <c r="Z20" s="45">
        <v>0</v>
      </c>
      <c r="AA20" s="45">
        <v>0</v>
      </c>
    </row>
    <row r="21" ht="16.5" customHeight="1" spans="1:27">
      <c r="A21" s="44">
        <v>3</v>
      </c>
      <c r="B21" s="44" t="s">
        <v>77</v>
      </c>
      <c r="C21" s="46"/>
      <c r="D21" s="46"/>
      <c r="E21" s="46"/>
      <c r="F21" s="46"/>
      <c r="G21" s="46"/>
      <c r="H21" s="46"/>
      <c r="I21" s="46"/>
      <c r="J21" s="46"/>
      <c r="K21" s="46"/>
      <c r="L21" s="46"/>
      <c r="M21" s="46"/>
      <c r="N21" s="46"/>
      <c r="O21" s="46"/>
      <c r="P21" s="46"/>
      <c r="Q21" s="46"/>
      <c r="R21" s="46"/>
      <c r="S21" s="46"/>
      <c r="T21" s="46"/>
      <c r="U21" s="46"/>
      <c r="V21" s="46"/>
      <c r="W21" s="46"/>
      <c r="X21" s="46"/>
      <c r="Y21" s="46"/>
      <c r="Z21" s="46"/>
      <c r="AA21" s="46"/>
    </row>
    <row r="22" ht="16.5" customHeight="1" spans="1:27">
      <c r="A22" s="44" t="s">
        <v>550</v>
      </c>
      <c r="B22" s="44" t="s">
        <v>534</v>
      </c>
      <c r="C22" s="45">
        <v>0</v>
      </c>
      <c r="D22" s="45">
        <v>0</v>
      </c>
      <c r="E22" s="45">
        <v>0</v>
      </c>
      <c r="F22" s="45">
        <f t="shared" ref="F22:Z22" si="4">(E26)</f>
        <v>0</v>
      </c>
      <c r="G22" s="45">
        <f t="shared" si="4"/>
        <v>8705</v>
      </c>
      <c r="H22" s="45">
        <f t="shared" si="4"/>
        <v>8705</v>
      </c>
      <c r="I22" s="45">
        <f t="shared" si="4"/>
        <v>8705</v>
      </c>
      <c r="J22" s="45">
        <f t="shared" si="4"/>
        <v>8705</v>
      </c>
      <c r="K22" s="45">
        <f t="shared" si="4"/>
        <v>8705</v>
      </c>
      <c r="L22" s="45">
        <f t="shared" si="4"/>
        <v>8705</v>
      </c>
      <c r="M22" s="45">
        <f t="shared" si="4"/>
        <v>8705</v>
      </c>
      <c r="N22" s="45">
        <f t="shared" si="4"/>
        <v>8705</v>
      </c>
      <c r="O22" s="45">
        <f t="shared" si="4"/>
        <v>8705</v>
      </c>
      <c r="P22" s="45">
        <f t="shared" si="4"/>
        <v>8705</v>
      </c>
      <c r="Q22" s="45">
        <f t="shared" si="4"/>
        <v>8705</v>
      </c>
      <c r="R22" s="45">
        <f t="shared" si="4"/>
        <v>8705</v>
      </c>
      <c r="S22" s="45">
        <f t="shared" si="4"/>
        <v>8705</v>
      </c>
      <c r="T22" s="45">
        <f t="shared" si="4"/>
        <v>8705</v>
      </c>
      <c r="U22" s="45">
        <f t="shared" si="4"/>
        <v>8705</v>
      </c>
      <c r="V22" s="45">
        <f t="shared" si="4"/>
        <v>8705</v>
      </c>
      <c r="W22" s="45">
        <f t="shared" si="4"/>
        <v>8705</v>
      </c>
      <c r="X22" s="45">
        <f t="shared" si="4"/>
        <v>8705</v>
      </c>
      <c r="Y22" s="45">
        <f t="shared" si="4"/>
        <v>8705</v>
      </c>
      <c r="Z22" s="45">
        <f t="shared" si="4"/>
        <v>8705</v>
      </c>
      <c r="AA22" s="45">
        <v>0</v>
      </c>
    </row>
    <row r="23" ht="16.5" customHeight="1" spans="1:27">
      <c r="A23" s="44" t="s">
        <v>551</v>
      </c>
      <c r="B23" s="44" t="s">
        <v>535</v>
      </c>
      <c r="C23" s="45">
        <f>(SUM(F23:Z23))</f>
        <v>12395.92</v>
      </c>
      <c r="D23" s="45">
        <v>0</v>
      </c>
      <c r="E23" s="45">
        <v>0</v>
      </c>
      <c r="F23" s="45">
        <f t="shared" ref="F23:Z23" si="5">(F24+F25)</f>
        <v>0</v>
      </c>
      <c r="G23" s="45">
        <f t="shared" si="5"/>
        <v>184.546</v>
      </c>
      <c r="H23" s="45">
        <f t="shared" si="5"/>
        <v>184.546</v>
      </c>
      <c r="I23" s="45">
        <f t="shared" si="5"/>
        <v>184.546</v>
      </c>
      <c r="J23" s="45">
        <f t="shared" si="5"/>
        <v>184.546</v>
      </c>
      <c r="K23" s="45">
        <f t="shared" si="5"/>
        <v>184.546</v>
      </c>
      <c r="L23" s="45">
        <f t="shared" si="5"/>
        <v>184.546</v>
      </c>
      <c r="M23" s="45">
        <f t="shared" si="5"/>
        <v>184.546</v>
      </c>
      <c r="N23" s="45">
        <f t="shared" si="5"/>
        <v>184.546</v>
      </c>
      <c r="O23" s="45">
        <f t="shared" si="5"/>
        <v>184.546</v>
      </c>
      <c r="P23" s="45">
        <f t="shared" si="5"/>
        <v>184.546</v>
      </c>
      <c r="Q23" s="45">
        <f t="shared" si="5"/>
        <v>184.546</v>
      </c>
      <c r="R23" s="45">
        <f t="shared" si="5"/>
        <v>184.546</v>
      </c>
      <c r="S23" s="45">
        <f t="shared" si="5"/>
        <v>184.546</v>
      </c>
      <c r="T23" s="45">
        <f t="shared" si="5"/>
        <v>184.546</v>
      </c>
      <c r="U23" s="45">
        <f t="shared" si="5"/>
        <v>184.546</v>
      </c>
      <c r="V23" s="45">
        <f t="shared" si="5"/>
        <v>184.546</v>
      </c>
      <c r="W23" s="45">
        <f t="shared" si="5"/>
        <v>184.546</v>
      </c>
      <c r="X23" s="45">
        <f t="shared" si="5"/>
        <v>184.546</v>
      </c>
      <c r="Y23" s="45">
        <f t="shared" si="5"/>
        <v>184.546</v>
      </c>
      <c r="Z23" s="45">
        <f t="shared" si="5"/>
        <v>8889.546</v>
      </c>
      <c r="AA23" s="45">
        <v>0</v>
      </c>
    </row>
    <row r="24" ht="16.5" customHeight="1" spans="1:27">
      <c r="A24" s="44" t="s">
        <v>552</v>
      </c>
      <c r="B24" s="44" t="s">
        <v>536</v>
      </c>
      <c r="C24" s="45">
        <f>(SUM(F24:Z24))</f>
        <v>8705</v>
      </c>
      <c r="D24" s="45">
        <v>0</v>
      </c>
      <c r="E24" s="45">
        <v>0</v>
      </c>
      <c r="F24" s="45">
        <v>0</v>
      </c>
      <c r="G24" s="45">
        <v>0</v>
      </c>
      <c r="H24" s="45">
        <v>0</v>
      </c>
      <c r="I24" s="45">
        <v>0</v>
      </c>
      <c r="J24" s="45">
        <v>0</v>
      </c>
      <c r="K24" s="45">
        <v>0</v>
      </c>
      <c r="L24" s="45">
        <v>0</v>
      </c>
      <c r="M24" s="45">
        <v>0</v>
      </c>
      <c r="N24" s="45">
        <v>0</v>
      </c>
      <c r="O24" s="45">
        <v>0</v>
      </c>
      <c r="P24" s="45">
        <v>0</v>
      </c>
      <c r="Q24" s="45">
        <v>0</v>
      </c>
      <c r="R24" s="45">
        <v>0</v>
      </c>
      <c r="S24" s="45">
        <v>0</v>
      </c>
      <c r="T24" s="45">
        <v>0</v>
      </c>
      <c r="U24" s="45">
        <v>0</v>
      </c>
      <c r="V24" s="45">
        <v>0</v>
      </c>
      <c r="W24" s="45">
        <v>0</v>
      </c>
      <c r="X24" s="45">
        <v>0</v>
      </c>
      <c r="Y24" s="45">
        <v>0</v>
      </c>
      <c r="Z24" s="45">
        <f>(C.1项目融资信息!$D$6)</f>
        <v>8705</v>
      </c>
      <c r="AA24" s="45">
        <v>0</v>
      </c>
    </row>
    <row r="25" ht="16.5" customHeight="1" spans="1:27">
      <c r="A25" s="44" t="s">
        <v>553</v>
      </c>
      <c r="B25" s="44" t="s">
        <v>537</v>
      </c>
      <c r="C25" s="45">
        <f>(SUM(F25:Z25))</f>
        <v>3690.92</v>
      </c>
      <c r="D25" s="45">
        <v>0</v>
      </c>
      <c r="E25" s="45">
        <v>0</v>
      </c>
      <c r="F25" s="45">
        <v>0</v>
      </c>
      <c r="G25" s="45">
        <f>((G26+G24)*C.1项目融资信息!$H$6)</f>
        <v>184.546</v>
      </c>
      <c r="H25" s="45">
        <f>((H26+H24)*C.1项目融资信息!$H$6)</f>
        <v>184.546</v>
      </c>
      <c r="I25" s="45">
        <f>((I26+I24)*C.1项目融资信息!$H$6)</f>
        <v>184.546</v>
      </c>
      <c r="J25" s="45">
        <f>((J26+J24)*C.1项目融资信息!$H$6)</f>
        <v>184.546</v>
      </c>
      <c r="K25" s="45">
        <f>((K26+K24)*C.1项目融资信息!$H$6)</f>
        <v>184.546</v>
      </c>
      <c r="L25" s="45">
        <f>((L26+L24)*C.1项目融资信息!$H$6)</f>
        <v>184.546</v>
      </c>
      <c r="M25" s="45">
        <f>((M26+M24)*C.1项目融资信息!$H$6)</f>
        <v>184.546</v>
      </c>
      <c r="N25" s="45">
        <f>((N26+N24)*C.1项目融资信息!$H$6)</f>
        <v>184.546</v>
      </c>
      <c r="O25" s="45">
        <f>((O26+O24)*C.1项目融资信息!$H$6)</f>
        <v>184.546</v>
      </c>
      <c r="P25" s="45">
        <f>((P26+P24)*C.1项目融资信息!$H$6)</f>
        <v>184.546</v>
      </c>
      <c r="Q25" s="45">
        <f>((Q26+Q24)*C.1项目融资信息!$H$6)</f>
        <v>184.546</v>
      </c>
      <c r="R25" s="45">
        <f>((R26+R24)*C.1项目融资信息!$H$6)</f>
        <v>184.546</v>
      </c>
      <c r="S25" s="45">
        <f>((S26+S24)*C.1项目融资信息!$H$6)</f>
        <v>184.546</v>
      </c>
      <c r="T25" s="45">
        <f>((T26+T24)*C.1项目融资信息!$H$6)</f>
        <v>184.546</v>
      </c>
      <c r="U25" s="45">
        <f>((U26+U24)*C.1项目融资信息!$H$6)</f>
        <v>184.546</v>
      </c>
      <c r="V25" s="45">
        <f>((V26+V24)*C.1项目融资信息!$H$6)</f>
        <v>184.546</v>
      </c>
      <c r="W25" s="45">
        <f>((W26+W24)*C.1项目融资信息!$H$6)</f>
        <v>184.546</v>
      </c>
      <c r="X25" s="45">
        <f>((X26+X24)*C.1项目融资信息!$H$6)</f>
        <v>184.546</v>
      </c>
      <c r="Y25" s="45">
        <f>((Y26+Y24)*C.1项目融资信息!$H$6)</f>
        <v>184.546</v>
      </c>
      <c r="Z25" s="45">
        <f>((Z26+Z24)*C.1项目融资信息!$H$6)</f>
        <v>184.546</v>
      </c>
      <c r="AA25" s="45">
        <v>0</v>
      </c>
    </row>
    <row r="26" ht="16.5" customHeight="1" spans="1:27">
      <c r="A26" s="44" t="s">
        <v>554</v>
      </c>
      <c r="B26" s="44" t="s">
        <v>539</v>
      </c>
      <c r="C26" s="45">
        <v>0</v>
      </c>
      <c r="D26" s="45">
        <v>0</v>
      </c>
      <c r="E26" s="45">
        <v>0</v>
      </c>
      <c r="F26" s="45">
        <f>(F22+C.2项目每年借款信息!$E$5-F24)</f>
        <v>8705</v>
      </c>
      <c r="G26" s="45">
        <f>(G22+C.2项目每年借款信息!$F$5-G24)</f>
        <v>8705</v>
      </c>
      <c r="H26" s="45">
        <f>(H22+C.2项目每年借款信息!$G$5-H24)</f>
        <v>8705</v>
      </c>
      <c r="I26" s="45">
        <f>(I22+C.2项目每年借款信息!$H$5-I24)</f>
        <v>8705</v>
      </c>
      <c r="J26" s="45">
        <f>(J22+C.2项目每年借款信息!$I$5-J24)</f>
        <v>8705</v>
      </c>
      <c r="K26" s="45">
        <f>(K22+C.2项目每年借款信息!$J$5-K24)</f>
        <v>8705</v>
      </c>
      <c r="L26" s="45">
        <f>(L22+C.2项目每年借款信息!$K$5-L24)</f>
        <v>8705</v>
      </c>
      <c r="M26" s="45">
        <f>(M22+C.2项目每年借款信息!$L$5-M24)</f>
        <v>8705</v>
      </c>
      <c r="N26" s="45">
        <f>(N22+C.2项目每年借款信息!$M$5-N24)</f>
        <v>8705</v>
      </c>
      <c r="O26" s="45">
        <f>(O22+C.2项目每年借款信息!$N$5-O24)</f>
        <v>8705</v>
      </c>
      <c r="P26" s="45">
        <f>(P22+C.2项目每年借款信息!$O$5-P24)</f>
        <v>8705</v>
      </c>
      <c r="Q26" s="45">
        <f>(Q22+C.2项目每年借款信息!$P$5-Q24)</f>
        <v>8705</v>
      </c>
      <c r="R26" s="45">
        <f>(R22+C.2项目每年借款信息!$Q$5-R24)</f>
        <v>8705</v>
      </c>
      <c r="S26" s="45">
        <f>(S22+C.2项目每年借款信息!$R$5-S24)</f>
        <v>8705</v>
      </c>
      <c r="T26" s="45">
        <f>(T22+C.2项目每年借款信息!$S$5-T24)</f>
        <v>8705</v>
      </c>
      <c r="U26" s="45">
        <f>(U22+C.2项目每年借款信息!$T$5-U24)</f>
        <v>8705</v>
      </c>
      <c r="V26" s="45">
        <f>(V22+C.2项目每年借款信息!$U$5-V24)</f>
        <v>8705</v>
      </c>
      <c r="W26" s="45">
        <f>(W22+C.2项目每年借款信息!$V$5-W24)</f>
        <v>8705</v>
      </c>
      <c r="X26" s="45">
        <f>(X22+C.2项目每年借款信息!$W$5-X24)</f>
        <v>8705</v>
      </c>
      <c r="Y26" s="45">
        <f>(Y22+C.2项目每年借款信息!$X$5-Y24)</f>
        <v>8705</v>
      </c>
      <c r="Z26" s="45">
        <f>(Z22+C.2项目每年借款信息!$Y$5-Z24)</f>
        <v>0</v>
      </c>
      <c r="AA26" s="45">
        <v>0</v>
      </c>
    </row>
    <row r="27" ht="16.5" customHeight="1" spans="1:27">
      <c r="A27" s="44" t="s">
        <v>555</v>
      </c>
      <c r="B27" s="44" t="s">
        <v>541</v>
      </c>
      <c r="C27" s="45">
        <f>(SUM(F27:Z27))</f>
        <v>0.619796</v>
      </c>
      <c r="D27" s="45">
        <v>0</v>
      </c>
      <c r="E27" s="45">
        <v>0</v>
      </c>
      <c r="F27" s="45">
        <f>(F23*A财务假设!$D$18)</f>
        <v>0</v>
      </c>
      <c r="G27" s="45">
        <f>(G23*A财务假设!$D$18)</f>
        <v>0.0092273</v>
      </c>
      <c r="H27" s="45">
        <f>(H23*A财务假设!$D$18)</f>
        <v>0.0092273</v>
      </c>
      <c r="I27" s="45">
        <f>(I23*A财务假设!$D$18)</f>
        <v>0.0092273</v>
      </c>
      <c r="J27" s="45">
        <f>(J23*A财务假设!$D$18)</f>
        <v>0.0092273</v>
      </c>
      <c r="K27" s="45">
        <f>(K23*A财务假设!$D$18)</f>
        <v>0.0092273</v>
      </c>
      <c r="L27" s="45">
        <f>(L23*A财务假设!$D$18)</f>
        <v>0.0092273</v>
      </c>
      <c r="M27" s="45">
        <f>(M23*A财务假设!$D$18)</f>
        <v>0.0092273</v>
      </c>
      <c r="N27" s="45">
        <f>(N23*A财务假设!$D$18)</f>
        <v>0.0092273</v>
      </c>
      <c r="O27" s="45">
        <f>(O23*A财务假设!$D$18)</f>
        <v>0.0092273</v>
      </c>
      <c r="P27" s="45">
        <f>(P23*A财务假设!$D$18)</f>
        <v>0.0092273</v>
      </c>
      <c r="Q27" s="45">
        <f>(Q23*A财务假设!$D$18)</f>
        <v>0.0092273</v>
      </c>
      <c r="R27" s="45">
        <f>(R23*A财务假设!$D$18)</f>
        <v>0.0092273</v>
      </c>
      <c r="S27" s="45">
        <f>(S23*A财务假设!$D$18)</f>
        <v>0.0092273</v>
      </c>
      <c r="T27" s="45">
        <f>(T23*A财务假设!$D$18)</f>
        <v>0.0092273</v>
      </c>
      <c r="U27" s="45">
        <f>(U23*A财务假设!$D$18)</f>
        <v>0.0092273</v>
      </c>
      <c r="V27" s="45">
        <f>(V23*A财务假设!$D$18)</f>
        <v>0.0092273</v>
      </c>
      <c r="W27" s="45">
        <f>(W23*A财务假设!$D$18)</f>
        <v>0.0092273</v>
      </c>
      <c r="X27" s="45">
        <f>(X23*A财务假设!$D$18)</f>
        <v>0.0092273</v>
      </c>
      <c r="Y27" s="45">
        <f>(Y23*A财务假设!$D$18)</f>
        <v>0.0092273</v>
      </c>
      <c r="Z27" s="45">
        <f>(Z23*A财务假设!$D$18)</f>
        <v>0.4444773</v>
      </c>
      <c r="AA27" s="45">
        <v>0</v>
      </c>
    </row>
    <row r="28" ht="16.5" customHeight="1" spans="1:27">
      <c r="A28" s="44" t="s">
        <v>556</v>
      </c>
      <c r="B28" s="44" t="s">
        <v>543</v>
      </c>
      <c r="C28" s="45">
        <f>(SUM(F28:Z28))</f>
        <v>7.52112</v>
      </c>
      <c r="D28" s="45">
        <v>0</v>
      </c>
      <c r="E28" s="45">
        <v>0</v>
      </c>
      <c r="F28" s="45">
        <f>(C.2项目每年借款信息!$E$5*(A财务假设!$D$16+A财务假设!$D$17))</f>
        <v>7.52112</v>
      </c>
      <c r="G28" s="45">
        <f>(C.2项目每年借款信息!$F$5*(A财务假设!$D$16+A财务假设!$D$17))</f>
        <v>0</v>
      </c>
      <c r="H28" s="45">
        <f>(C.2项目每年借款信息!$G$5*(A财务假设!$D$16+A财务假设!$D$17))</f>
        <v>0</v>
      </c>
      <c r="I28" s="45">
        <f>(C.2项目每年借款信息!$H$5*(A财务假设!$D$16+A财务假设!$D$17))</f>
        <v>0</v>
      </c>
      <c r="J28" s="45">
        <f>(C.2项目每年借款信息!$I$5*(A财务假设!$D$16+A财务假设!$D$17))</f>
        <v>0</v>
      </c>
      <c r="K28" s="45">
        <f>(C.2项目每年借款信息!$J$5*(A财务假设!$D$16+A财务假设!$D$17))</f>
        <v>0</v>
      </c>
      <c r="L28" s="45">
        <f>(C.2项目每年借款信息!$K$5*(A财务假设!$D$16+A财务假设!$D$17))</f>
        <v>0</v>
      </c>
      <c r="M28" s="45">
        <f>(C.2项目每年借款信息!$L$5*(A财务假设!$D$16+A财务假设!$D$17))</f>
        <v>0</v>
      </c>
      <c r="N28" s="45">
        <f>(C.2项目每年借款信息!$M$5*(A财务假设!$D$16+A财务假设!$D$17))</f>
        <v>0</v>
      </c>
      <c r="O28" s="45">
        <f>(C.2项目每年借款信息!$N$5*(A财务假设!$D$16+A财务假设!$D$17))</f>
        <v>0</v>
      </c>
      <c r="P28" s="45">
        <f>(C.2项目每年借款信息!$O$5*(A财务假设!$D$16+A财务假设!$D$17))</f>
        <v>0</v>
      </c>
      <c r="Q28" s="45">
        <f>(C.2项目每年借款信息!$P$5*(A财务假设!$D$16+A财务假设!$D$17))</f>
        <v>0</v>
      </c>
      <c r="R28" s="45">
        <f>(C.2项目每年借款信息!$Q$5*(A财务假设!$D$16+A财务假设!$D$17))</f>
        <v>0</v>
      </c>
      <c r="S28" s="45">
        <f>(C.2项目每年借款信息!$R$5*(A财务假设!$D$16+A财务假设!$D$17))</f>
        <v>0</v>
      </c>
      <c r="T28" s="45">
        <f>(C.2项目每年借款信息!$S$5*(A财务假设!$D$16+A财务假设!$D$17))</f>
        <v>0</v>
      </c>
      <c r="U28" s="45">
        <f>(C.2项目每年借款信息!$T$5*(A财务假设!$D$16+A财务假设!$D$17))</f>
        <v>0</v>
      </c>
      <c r="V28" s="45">
        <f>(C.2项目每年借款信息!$U$5*(A财务假设!$D$16+A财务假设!$D$17))</f>
        <v>0</v>
      </c>
      <c r="W28" s="45">
        <f>(C.2项目每年借款信息!$V$5*(A财务假设!$D$16+A财务假设!$D$17))</f>
        <v>0</v>
      </c>
      <c r="X28" s="45">
        <f>(C.2项目每年借款信息!$W$5*(A财务假设!$D$16+A财务假设!$D$17))</f>
        <v>0</v>
      </c>
      <c r="Y28" s="45">
        <f>(C.2项目每年借款信息!$X$5*(A财务假设!$D$16+A财务假设!$D$17))</f>
        <v>0</v>
      </c>
      <c r="Z28" s="45">
        <f>(C.2项目每年借款信息!$Y$5*(A财务假设!$D$16+A财务假设!$D$17))</f>
        <v>0</v>
      </c>
      <c r="AA28" s="45">
        <v>0</v>
      </c>
    </row>
    <row r="29" ht="16.5" customHeight="1" spans="1:27">
      <c r="A29" s="44" t="s">
        <v>557</v>
      </c>
      <c r="B29" s="44" t="s">
        <v>545</v>
      </c>
      <c r="C29" s="45">
        <v>0</v>
      </c>
      <c r="D29" s="45">
        <v>0</v>
      </c>
      <c r="E29" s="45">
        <v>0</v>
      </c>
      <c r="F29" s="45">
        <f>(IF(($F$2-YEAR(C.1项目融资信息!$E$6))=0,(12-MONTH(C.1项目融资信息!$E$6)+1)*C.1项目融资信息!$D$6*C.1项目融资信息!$H$6/12,C.1项目融资信息!$D$6*C.1项目融资信息!$H$6))</f>
        <v>61.5153333333333</v>
      </c>
      <c r="G29" s="45">
        <f>(IF(($G$2-YEAR(C.1项目融资信息!$E$6))=0,(12-MONTH(C.1项目融资信息!$E$6)+1)*C.1项目融资信息!$D$6*C.1项目融资信息!$H$6/12,C.1项目融资信息!$D$6*C.1项目融资信息!$H$6))</f>
        <v>184.546</v>
      </c>
      <c r="H29" s="45">
        <f>(IF(($H$2-YEAR(C.1项目融资信息!$E$6))=0,(12-MONTH(C.1项目融资信息!$E$6)+1)*C.1项目融资信息!$D$6*C.1项目融资信息!$H$6/12,C.1项目融资信息!$D$6*C.1项目融资信息!$H$6))</f>
        <v>184.546</v>
      </c>
      <c r="I29" s="45">
        <f>(IF(($I$2-YEAR(C.1项目融资信息!$E$6))=0,(12-MONTH(C.1项目融资信息!$E$6)+1)*C.1项目融资信息!$D$6*C.1项目融资信息!$H$6/12,C.1项目融资信息!$D$6*C.1项目融资信息!$H$6))</f>
        <v>184.546</v>
      </c>
      <c r="J29" s="45">
        <f>(IF(($J$2-YEAR(C.1项目融资信息!$E$6))=0,(12-MONTH(C.1项目融资信息!$E$6)+1)*C.1项目融资信息!$D$6*C.1项目融资信息!$H$6/12,C.1项目融资信息!$D$6*C.1项目融资信息!$H$6))</f>
        <v>184.546</v>
      </c>
      <c r="K29" s="45">
        <f>(IF(($K$2-YEAR(C.1项目融资信息!$E$6))=0,(12-MONTH(C.1项目融资信息!$E$6)+1)*C.1项目融资信息!$D$6*C.1项目融资信息!$H$6/12,C.1项目融资信息!$D$6*C.1项目融资信息!$H$6))</f>
        <v>184.546</v>
      </c>
      <c r="L29" s="45">
        <f>(IF(($L$2-YEAR(C.1项目融资信息!$E$6))=0,(12-MONTH(C.1项目融资信息!$E$6)+1)*C.1项目融资信息!$D$6*C.1项目融资信息!$H$6/12,C.1项目融资信息!$D$6*C.1项目融资信息!$H$6))</f>
        <v>184.546</v>
      </c>
      <c r="M29" s="45">
        <f>(IF(($M$2-YEAR(C.1项目融资信息!$E$6))=0,(12-MONTH(C.1项目融资信息!$E$6)+1)*C.1项目融资信息!$D$6*C.1项目融资信息!$H$6/12,C.1项目融资信息!$D$6*C.1项目融资信息!$H$6))</f>
        <v>184.546</v>
      </c>
      <c r="N29" s="45">
        <f>(IF(($N$2-YEAR(C.1项目融资信息!$E$6))=0,(12-MONTH(C.1项目融资信息!$E$6)+1)*C.1项目融资信息!$D$6*C.1项目融资信息!$H$6/12,C.1项目融资信息!$D$6*C.1项目融资信息!$H$6))</f>
        <v>184.546</v>
      </c>
      <c r="O29" s="45">
        <f>(IF(($O$2-YEAR(C.1项目融资信息!$E$6))=0,(12-MONTH(C.1项目融资信息!$E$6)+1)*C.1项目融资信息!$D$6*C.1项目融资信息!$H$6/12,C.1项目融资信息!$D$6*C.1项目融资信息!$H$6))</f>
        <v>184.546</v>
      </c>
      <c r="P29" s="45">
        <f>(IF(($P$2-YEAR(C.1项目融资信息!$E$6))=0,(12-MONTH(C.1项目融资信息!$E$6)+1)*C.1项目融资信息!$D$6*C.1项目融资信息!$H$6/12,C.1项目融资信息!$D$6*C.1项目融资信息!$H$6))</f>
        <v>184.546</v>
      </c>
      <c r="Q29" s="45">
        <f>(IF(($Q$2-YEAR(C.1项目融资信息!$E$6))=0,(12-MONTH(C.1项目融资信息!$E$6)+1)*C.1项目融资信息!$D$6*C.1项目融资信息!$H$6/12,C.1项目融资信息!$D$6*C.1项目融资信息!$H$6))</f>
        <v>184.546</v>
      </c>
      <c r="R29" s="45">
        <f>(IF(($R$2-YEAR(C.1项目融资信息!$E$6))=0,(12-MONTH(C.1项目融资信息!$E$6)+1)*C.1项目融资信息!$D$6*C.1项目融资信息!$H$6/12,C.1项目融资信息!$D$6*C.1项目融资信息!$H$6))</f>
        <v>184.546</v>
      </c>
      <c r="S29" s="45">
        <f>(IF(($S$2-YEAR(C.1项目融资信息!$E$6))=0,(12-MONTH(C.1项目融资信息!$E$6)+1)*C.1项目融资信息!$D$6*C.1项目融资信息!$H$6/12,C.1项目融资信息!$D$6*C.1项目融资信息!$H$6))</f>
        <v>184.546</v>
      </c>
      <c r="T29" s="45">
        <f>(IF(($T$2-YEAR(C.1项目融资信息!$E$6))=0,(12-MONTH(C.1项目融资信息!$E$6)+1)*C.1项目融资信息!$D$6*C.1项目融资信息!$H$6/12,C.1项目融资信息!$D$6*C.1项目融资信息!$H$6))</f>
        <v>184.546</v>
      </c>
      <c r="U29" s="45">
        <f>(IF(($U$2-YEAR(C.1项目融资信息!$E$6))=0,(12-MONTH(C.1项目融资信息!$E$6)+1)*C.1项目融资信息!$D$6*C.1项目融资信息!$H$6/12,C.1项目融资信息!$D$6*C.1项目融资信息!$H$6))</f>
        <v>184.546</v>
      </c>
      <c r="V29" s="45">
        <f>(IF(($V$2-YEAR(C.1项目融资信息!$E$6))=0,(12-MONTH(C.1项目融资信息!$E$6)+1)*C.1项目融资信息!$D$6*C.1项目融资信息!$H$6/12,C.1项目融资信息!$D$6*C.1项目融资信息!$H$6))</f>
        <v>184.546</v>
      </c>
      <c r="W29" s="45">
        <f>(IF(($W$2-YEAR(C.1项目融资信息!$E$6))=0,(12-MONTH(C.1项目融资信息!$E$6)+1)*C.1项目融资信息!$D$6*C.1项目融资信息!$H$6/12,C.1项目融资信息!$D$6*C.1项目融资信息!$H$6))</f>
        <v>184.546</v>
      </c>
      <c r="X29" s="45">
        <f>(IF(($X$2-YEAR(C.1项目融资信息!$E$6))=0,(12-MONTH(C.1项目融资信息!$E$6)+1)*C.1项目融资信息!$D$6*C.1项目融资信息!$H$6/12,C.1项目融资信息!$D$6*C.1项目融资信息!$H$6))</f>
        <v>184.546</v>
      </c>
      <c r="Y29" s="45">
        <f>(IF(($Y$2-YEAR(C.1项目融资信息!$E$6))=0,(12-MONTH(C.1项目融资信息!$E$6)+1)*C.1项目融资信息!$D$6*C.1项目融资信息!$H$6/12,C.1项目融资信息!$D$6*C.1项目融资信息!$H$6))</f>
        <v>184.546</v>
      </c>
      <c r="Z29" s="45">
        <f>(MONTH(C.1项目融资信息!$E$6)-1)*C.1项目融资信息!$D$6*C.1项目融资信息!$H$6/12</f>
        <v>123.030666666667</v>
      </c>
      <c r="AA29" s="45">
        <v>0</v>
      </c>
    </row>
    <row r="30" ht="16.5" customHeight="1" spans="1:27">
      <c r="A30" s="44">
        <v>4</v>
      </c>
      <c r="B30" s="44" t="s">
        <v>78</v>
      </c>
      <c r="C30" s="46"/>
      <c r="D30" s="46"/>
      <c r="E30" s="46"/>
      <c r="F30" s="46"/>
      <c r="G30" s="46"/>
      <c r="H30" s="46"/>
      <c r="I30" s="46"/>
      <c r="J30" s="46"/>
      <c r="K30" s="46"/>
      <c r="L30" s="46"/>
      <c r="M30" s="46"/>
      <c r="N30" s="46"/>
      <c r="O30" s="46"/>
      <c r="P30" s="46"/>
      <c r="Q30" s="46"/>
      <c r="R30" s="46"/>
      <c r="S30" s="46"/>
      <c r="T30" s="46"/>
      <c r="U30" s="46"/>
      <c r="V30" s="46"/>
      <c r="W30" s="46"/>
      <c r="X30" s="46"/>
      <c r="Y30" s="46"/>
      <c r="Z30" s="46"/>
      <c r="AA30" s="46"/>
    </row>
    <row r="31" ht="16.5" customHeight="1" spans="1:27">
      <c r="A31" s="44" t="s">
        <v>558</v>
      </c>
      <c r="B31" s="44" t="s">
        <v>534</v>
      </c>
      <c r="C31" s="45">
        <v>0</v>
      </c>
      <c r="D31" s="45">
        <v>0</v>
      </c>
      <c r="E31" s="45">
        <v>0</v>
      </c>
      <c r="F31" s="45">
        <v>0</v>
      </c>
      <c r="G31" s="45">
        <f t="shared" ref="G31:AA31" si="6">(F35)</f>
        <v>0</v>
      </c>
      <c r="H31" s="45">
        <f t="shared" si="6"/>
        <v>7530</v>
      </c>
      <c r="I31" s="45">
        <f t="shared" si="6"/>
        <v>7530</v>
      </c>
      <c r="J31" s="45">
        <f t="shared" si="6"/>
        <v>7530</v>
      </c>
      <c r="K31" s="45">
        <f t="shared" si="6"/>
        <v>7530</v>
      </c>
      <c r="L31" s="45">
        <f t="shared" si="6"/>
        <v>7530</v>
      </c>
      <c r="M31" s="45">
        <f t="shared" si="6"/>
        <v>7530</v>
      </c>
      <c r="N31" s="45">
        <f t="shared" si="6"/>
        <v>7530</v>
      </c>
      <c r="O31" s="45">
        <f t="shared" si="6"/>
        <v>7530</v>
      </c>
      <c r="P31" s="45">
        <f t="shared" si="6"/>
        <v>7530</v>
      </c>
      <c r="Q31" s="45">
        <f t="shared" si="6"/>
        <v>7530</v>
      </c>
      <c r="R31" s="45">
        <f t="shared" si="6"/>
        <v>7530</v>
      </c>
      <c r="S31" s="45">
        <f t="shared" si="6"/>
        <v>7530</v>
      </c>
      <c r="T31" s="45">
        <f t="shared" si="6"/>
        <v>7530</v>
      </c>
      <c r="U31" s="45">
        <f t="shared" si="6"/>
        <v>7530</v>
      </c>
      <c r="V31" s="45">
        <f t="shared" si="6"/>
        <v>7530</v>
      </c>
      <c r="W31" s="45">
        <f t="shared" si="6"/>
        <v>7530</v>
      </c>
      <c r="X31" s="45">
        <f t="shared" si="6"/>
        <v>7530</v>
      </c>
      <c r="Y31" s="45">
        <f t="shared" si="6"/>
        <v>7530</v>
      </c>
      <c r="Z31" s="45">
        <f t="shared" si="6"/>
        <v>7530</v>
      </c>
      <c r="AA31" s="45">
        <f t="shared" si="6"/>
        <v>7530</v>
      </c>
    </row>
    <row r="32" ht="16.5" customHeight="1" spans="1:27">
      <c r="A32" s="44" t="s">
        <v>559</v>
      </c>
      <c r="B32" s="44" t="s">
        <v>535</v>
      </c>
      <c r="C32" s="45">
        <f>(SUM(G32:AA32))</f>
        <v>10722.72</v>
      </c>
      <c r="D32" s="45">
        <v>0</v>
      </c>
      <c r="E32" s="45">
        <v>0</v>
      </c>
      <c r="F32" s="45">
        <v>0</v>
      </c>
      <c r="G32" s="45">
        <f t="shared" ref="G32:AA32" si="7">(G33+G34)</f>
        <v>0</v>
      </c>
      <c r="H32" s="45">
        <f t="shared" si="7"/>
        <v>159.636</v>
      </c>
      <c r="I32" s="45">
        <f t="shared" si="7"/>
        <v>159.636</v>
      </c>
      <c r="J32" s="45">
        <f t="shared" si="7"/>
        <v>159.636</v>
      </c>
      <c r="K32" s="45">
        <f t="shared" si="7"/>
        <v>159.636</v>
      </c>
      <c r="L32" s="45">
        <f t="shared" si="7"/>
        <v>159.636</v>
      </c>
      <c r="M32" s="45">
        <f t="shared" si="7"/>
        <v>159.636</v>
      </c>
      <c r="N32" s="45">
        <f t="shared" si="7"/>
        <v>159.636</v>
      </c>
      <c r="O32" s="45">
        <f t="shared" si="7"/>
        <v>159.636</v>
      </c>
      <c r="P32" s="45">
        <f t="shared" si="7"/>
        <v>159.636</v>
      </c>
      <c r="Q32" s="45">
        <f t="shared" si="7"/>
        <v>159.636</v>
      </c>
      <c r="R32" s="45">
        <f t="shared" si="7"/>
        <v>159.636</v>
      </c>
      <c r="S32" s="45">
        <f t="shared" si="7"/>
        <v>159.636</v>
      </c>
      <c r="T32" s="45">
        <f t="shared" si="7"/>
        <v>159.636</v>
      </c>
      <c r="U32" s="45">
        <f t="shared" si="7"/>
        <v>159.636</v>
      </c>
      <c r="V32" s="45">
        <f t="shared" si="7"/>
        <v>159.636</v>
      </c>
      <c r="W32" s="45">
        <f t="shared" si="7"/>
        <v>159.636</v>
      </c>
      <c r="X32" s="45">
        <f t="shared" si="7"/>
        <v>159.636</v>
      </c>
      <c r="Y32" s="45">
        <f t="shared" si="7"/>
        <v>159.636</v>
      </c>
      <c r="Z32" s="45">
        <f t="shared" si="7"/>
        <v>159.636</v>
      </c>
      <c r="AA32" s="45">
        <f t="shared" si="7"/>
        <v>7689.636</v>
      </c>
    </row>
    <row r="33" ht="16.5" customHeight="1" spans="1:27">
      <c r="A33" s="44" t="s">
        <v>560</v>
      </c>
      <c r="B33" s="44" t="s">
        <v>536</v>
      </c>
      <c r="C33" s="45">
        <f>(SUM(G33:AA33))</f>
        <v>7530</v>
      </c>
      <c r="D33" s="45">
        <v>0</v>
      </c>
      <c r="E33" s="45">
        <v>0</v>
      </c>
      <c r="F33" s="45">
        <v>0</v>
      </c>
      <c r="G33" s="45">
        <v>0</v>
      </c>
      <c r="H33" s="45">
        <v>0</v>
      </c>
      <c r="I33" s="45">
        <v>0</v>
      </c>
      <c r="J33" s="45">
        <v>0</v>
      </c>
      <c r="K33" s="45">
        <v>0</v>
      </c>
      <c r="L33" s="45">
        <v>0</v>
      </c>
      <c r="M33" s="45">
        <v>0</v>
      </c>
      <c r="N33" s="45">
        <v>0</v>
      </c>
      <c r="O33" s="45">
        <v>0</v>
      </c>
      <c r="P33" s="45">
        <v>0</v>
      </c>
      <c r="Q33" s="45">
        <v>0</v>
      </c>
      <c r="R33" s="45">
        <v>0</v>
      </c>
      <c r="S33" s="45">
        <v>0</v>
      </c>
      <c r="T33" s="45">
        <v>0</v>
      </c>
      <c r="U33" s="45">
        <v>0</v>
      </c>
      <c r="V33" s="45">
        <v>0</v>
      </c>
      <c r="W33" s="45">
        <v>0</v>
      </c>
      <c r="X33" s="45">
        <v>0</v>
      </c>
      <c r="Y33" s="45">
        <v>0</v>
      </c>
      <c r="Z33" s="45">
        <v>0</v>
      </c>
      <c r="AA33" s="45">
        <f>(C.1项目融资信息!$D$7)</f>
        <v>7530</v>
      </c>
    </row>
    <row r="34" ht="16.5" customHeight="1" spans="1:27">
      <c r="A34" s="44" t="s">
        <v>561</v>
      </c>
      <c r="B34" s="44" t="s">
        <v>537</v>
      </c>
      <c r="C34" s="45">
        <f>(SUM(G34:AA34))</f>
        <v>3192.72</v>
      </c>
      <c r="D34" s="45">
        <v>0</v>
      </c>
      <c r="E34" s="45">
        <v>0</v>
      </c>
      <c r="F34" s="45">
        <v>0</v>
      </c>
      <c r="G34" s="45">
        <v>0</v>
      </c>
      <c r="H34" s="45">
        <f>((H35+H33)*C.1项目融资信息!$H$7)</f>
        <v>159.636</v>
      </c>
      <c r="I34" s="45">
        <f>((I35+I33)*C.1项目融资信息!$H$7)</f>
        <v>159.636</v>
      </c>
      <c r="J34" s="45">
        <f>((J35+J33)*C.1项目融资信息!$H$7)</f>
        <v>159.636</v>
      </c>
      <c r="K34" s="45">
        <f>((K35+K33)*C.1项目融资信息!$H$7)</f>
        <v>159.636</v>
      </c>
      <c r="L34" s="45">
        <f>((L35+L33)*C.1项目融资信息!$H$7)</f>
        <v>159.636</v>
      </c>
      <c r="M34" s="45">
        <f>((M35+M33)*C.1项目融资信息!$H$7)</f>
        <v>159.636</v>
      </c>
      <c r="N34" s="45">
        <f>((N35+N33)*C.1项目融资信息!$H$7)</f>
        <v>159.636</v>
      </c>
      <c r="O34" s="45">
        <f>((O35+O33)*C.1项目融资信息!$H$7)</f>
        <v>159.636</v>
      </c>
      <c r="P34" s="45">
        <f>((P35+P33)*C.1项目融资信息!$H$7)</f>
        <v>159.636</v>
      </c>
      <c r="Q34" s="45">
        <f>((Q35+Q33)*C.1项目融资信息!$H$7)</f>
        <v>159.636</v>
      </c>
      <c r="R34" s="45">
        <f>((R35+R33)*C.1项目融资信息!$H$7)</f>
        <v>159.636</v>
      </c>
      <c r="S34" s="45">
        <f>((S35+S33)*C.1项目融资信息!$H$7)</f>
        <v>159.636</v>
      </c>
      <c r="T34" s="45">
        <f>((T35+T33)*C.1项目融资信息!$H$7)</f>
        <v>159.636</v>
      </c>
      <c r="U34" s="45">
        <f>((U35+U33)*C.1项目融资信息!$H$7)</f>
        <v>159.636</v>
      </c>
      <c r="V34" s="45">
        <f>((V35+V33)*C.1项目融资信息!$H$7)</f>
        <v>159.636</v>
      </c>
      <c r="W34" s="45">
        <f>((W35+W33)*C.1项目融资信息!$H$7)</f>
        <v>159.636</v>
      </c>
      <c r="X34" s="45">
        <f>((X35+X33)*C.1项目融资信息!$H$7)</f>
        <v>159.636</v>
      </c>
      <c r="Y34" s="45">
        <f>((Y35+Y33)*C.1项目融资信息!$H$7)</f>
        <v>159.636</v>
      </c>
      <c r="Z34" s="45">
        <f>((Z35+Z33)*C.1项目融资信息!$H$7)</f>
        <v>159.636</v>
      </c>
      <c r="AA34" s="45">
        <f>((AA35+AA33)*C.1项目融资信息!$H$7)</f>
        <v>159.636</v>
      </c>
    </row>
    <row r="35" ht="16.5" customHeight="1" spans="1:27">
      <c r="A35" s="44" t="s">
        <v>562</v>
      </c>
      <c r="B35" s="44" t="s">
        <v>539</v>
      </c>
      <c r="C35" s="45">
        <v>0</v>
      </c>
      <c r="D35" s="45">
        <v>0</v>
      </c>
      <c r="E35" s="45">
        <v>0</v>
      </c>
      <c r="F35" s="45">
        <v>0</v>
      </c>
      <c r="G35" s="45">
        <f>(G31+C.2项目每年借款信息!$F$6-G33)</f>
        <v>7530</v>
      </c>
      <c r="H35" s="45">
        <f>(H31+C.2项目每年借款信息!$G$6-H33)</f>
        <v>7530</v>
      </c>
      <c r="I35" s="45">
        <f>(I31+C.2项目每年借款信息!$H$6-I33)</f>
        <v>7530</v>
      </c>
      <c r="J35" s="45">
        <f>(J31+C.2项目每年借款信息!$I$6-J33)</f>
        <v>7530</v>
      </c>
      <c r="K35" s="45">
        <f>(K31+C.2项目每年借款信息!$J$6-K33)</f>
        <v>7530</v>
      </c>
      <c r="L35" s="45">
        <f>(L31+C.2项目每年借款信息!$K$6-L33)</f>
        <v>7530</v>
      </c>
      <c r="M35" s="45">
        <f>(M31+C.2项目每年借款信息!$L$6-M33)</f>
        <v>7530</v>
      </c>
      <c r="N35" s="45">
        <f>(N31+C.2项目每年借款信息!$M$6-N33)</f>
        <v>7530</v>
      </c>
      <c r="O35" s="45">
        <f>(O31+C.2项目每年借款信息!$N$6-O33)</f>
        <v>7530</v>
      </c>
      <c r="P35" s="45">
        <f>(P31+C.2项目每年借款信息!$O$6-P33)</f>
        <v>7530</v>
      </c>
      <c r="Q35" s="45">
        <f>(Q31+C.2项目每年借款信息!$P$6-Q33)</f>
        <v>7530</v>
      </c>
      <c r="R35" s="45">
        <f>(R31+C.2项目每年借款信息!$Q$6-R33)</f>
        <v>7530</v>
      </c>
      <c r="S35" s="45">
        <f>(S31+C.2项目每年借款信息!$R$6-S33)</f>
        <v>7530</v>
      </c>
      <c r="T35" s="45">
        <f>(T31+C.2项目每年借款信息!$S$6-T33)</f>
        <v>7530</v>
      </c>
      <c r="U35" s="45">
        <f>(U31+C.2项目每年借款信息!$T$6-U33)</f>
        <v>7530</v>
      </c>
      <c r="V35" s="45">
        <f>(V31+C.2项目每年借款信息!$U$6-V33)</f>
        <v>7530</v>
      </c>
      <c r="W35" s="45">
        <f>(W31+C.2项目每年借款信息!$V$6-W33)</f>
        <v>7530</v>
      </c>
      <c r="X35" s="45">
        <f>(X31+C.2项目每年借款信息!$W$6-X33)</f>
        <v>7530</v>
      </c>
      <c r="Y35" s="45">
        <f>(Y31+C.2项目每年借款信息!$X$6-Y33)</f>
        <v>7530</v>
      </c>
      <c r="Z35" s="45">
        <f>(Z31+C.2项目每年借款信息!$Y$6-Z33)</f>
        <v>7530</v>
      </c>
      <c r="AA35" s="45">
        <f>(AA31+C.2项目每年借款信息!$Z$6-AA33)</f>
        <v>0</v>
      </c>
    </row>
    <row r="36" ht="16.5" customHeight="1" spans="1:27">
      <c r="A36" s="44" t="s">
        <v>563</v>
      </c>
      <c r="B36" s="44" t="s">
        <v>541</v>
      </c>
      <c r="C36" s="45">
        <f>(SUM(G36:AA36))</f>
        <v>0.536136</v>
      </c>
      <c r="D36" s="45">
        <v>0</v>
      </c>
      <c r="E36" s="45">
        <v>0</v>
      </c>
      <c r="F36" s="45">
        <v>0</v>
      </c>
      <c r="G36" s="45">
        <f>(G32*A财务假设!$D$18)</f>
        <v>0</v>
      </c>
      <c r="H36" s="45">
        <f>(H32*A财务假设!$D$18)</f>
        <v>0.0079818</v>
      </c>
      <c r="I36" s="45">
        <f>(I32*A财务假设!$D$18)</f>
        <v>0.0079818</v>
      </c>
      <c r="J36" s="45">
        <f>(J32*A财务假设!$D$18)</f>
        <v>0.0079818</v>
      </c>
      <c r="K36" s="45">
        <f>(K32*A财务假设!$D$18)</f>
        <v>0.0079818</v>
      </c>
      <c r="L36" s="45">
        <f>(L32*A财务假设!$D$18)</f>
        <v>0.0079818</v>
      </c>
      <c r="M36" s="45">
        <f>(M32*A财务假设!$D$18)</f>
        <v>0.0079818</v>
      </c>
      <c r="N36" s="45">
        <f>(N32*A财务假设!$D$18)</f>
        <v>0.0079818</v>
      </c>
      <c r="O36" s="45">
        <f>(O32*A财务假设!$D$18)</f>
        <v>0.0079818</v>
      </c>
      <c r="P36" s="45">
        <f>(P32*A财务假设!$D$18)</f>
        <v>0.0079818</v>
      </c>
      <c r="Q36" s="45">
        <f>(Q32*A财务假设!$D$18)</f>
        <v>0.0079818</v>
      </c>
      <c r="R36" s="45">
        <f>(R32*A财务假设!$D$18)</f>
        <v>0.0079818</v>
      </c>
      <c r="S36" s="45">
        <f>(S32*A财务假设!$D$18)</f>
        <v>0.0079818</v>
      </c>
      <c r="T36" s="45">
        <f>(T32*A财务假设!$D$18)</f>
        <v>0.0079818</v>
      </c>
      <c r="U36" s="45">
        <f>(U32*A财务假设!$D$18)</f>
        <v>0.0079818</v>
      </c>
      <c r="V36" s="45">
        <f>(V32*A财务假设!$D$18)</f>
        <v>0.0079818</v>
      </c>
      <c r="W36" s="45">
        <f>(W32*A财务假设!$D$18)</f>
        <v>0.0079818</v>
      </c>
      <c r="X36" s="45">
        <f>(X32*A财务假设!$D$18)</f>
        <v>0.0079818</v>
      </c>
      <c r="Y36" s="45">
        <f>(Y32*A财务假设!$D$18)</f>
        <v>0.0079818</v>
      </c>
      <c r="Z36" s="45">
        <f>(Z32*A财务假设!$D$18)</f>
        <v>0.0079818</v>
      </c>
      <c r="AA36" s="45">
        <f>(AA32*A财务假设!$D$18)</f>
        <v>0.3844818</v>
      </c>
    </row>
    <row r="37" ht="16.5" customHeight="1" spans="1:27">
      <c r="A37" s="44" t="s">
        <v>564</v>
      </c>
      <c r="B37" s="44" t="s">
        <v>543</v>
      </c>
      <c r="C37" s="45">
        <f>(SUM(G37:AA37))</f>
        <v>6.50592</v>
      </c>
      <c r="D37" s="45">
        <v>0</v>
      </c>
      <c r="E37" s="45">
        <v>0</v>
      </c>
      <c r="F37" s="45">
        <v>0</v>
      </c>
      <c r="G37" s="45">
        <f>(C.2项目每年借款信息!$F$6*(A财务假设!$D$16+A财务假设!$D$17))</f>
        <v>6.50592</v>
      </c>
      <c r="H37" s="45">
        <f>(C.2项目每年借款信息!$G$6*(A财务假设!$D$16+A财务假设!$D$17))</f>
        <v>0</v>
      </c>
      <c r="I37" s="45">
        <f>(C.2项目每年借款信息!$H$6*(A财务假设!$D$16+A财务假设!$D$17))</f>
        <v>0</v>
      </c>
      <c r="J37" s="45">
        <f>(C.2项目每年借款信息!$I$6*(A财务假设!$D$16+A财务假设!$D$17))</f>
        <v>0</v>
      </c>
      <c r="K37" s="45">
        <f>(C.2项目每年借款信息!$J$6*(A财务假设!$D$16+A财务假设!$D$17))</f>
        <v>0</v>
      </c>
      <c r="L37" s="45">
        <f>(C.2项目每年借款信息!$K$6*(A财务假设!$D$16+A财务假设!$D$17))</f>
        <v>0</v>
      </c>
      <c r="M37" s="45">
        <f>(C.2项目每年借款信息!$L$6*(A财务假设!$D$16+A财务假设!$D$17))</f>
        <v>0</v>
      </c>
      <c r="N37" s="45">
        <f>(C.2项目每年借款信息!$M$6*(A财务假设!$D$16+A财务假设!$D$17))</f>
        <v>0</v>
      </c>
      <c r="O37" s="45">
        <f>(C.2项目每年借款信息!$N$6*(A财务假设!$D$16+A财务假设!$D$17))</f>
        <v>0</v>
      </c>
      <c r="P37" s="45">
        <f>(C.2项目每年借款信息!$O$6*(A财务假设!$D$16+A财务假设!$D$17))</f>
        <v>0</v>
      </c>
      <c r="Q37" s="45">
        <f>(C.2项目每年借款信息!$P$6*(A财务假设!$D$16+A财务假设!$D$17))</f>
        <v>0</v>
      </c>
      <c r="R37" s="45">
        <f>(C.2项目每年借款信息!$Q$6*(A财务假设!$D$16+A财务假设!$D$17))</f>
        <v>0</v>
      </c>
      <c r="S37" s="45">
        <f>(C.2项目每年借款信息!$R$6*(A财务假设!$D$16+A财务假设!$D$17))</f>
        <v>0</v>
      </c>
      <c r="T37" s="45">
        <f>(C.2项目每年借款信息!$S$6*(A财务假设!$D$16+A财务假设!$D$17))</f>
        <v>0</v>
      </c>
      <c r="U37" s="45">
        <f>(C.2项目每年借款信息!$T$6*(A财务假设!$D$16+A财务假设!$D$17))</f>
        <v>0</v>
      </c>
      <c r="V37" s="45">
        <f>(C.2项目每年借款信息!$U$6*(A财务假设!$D$16+A财务假设!$D$17))</f>
        <v>0</v>
      </c>
      <c r="W37" s="45">
        <f>(C.2项目每年借款信息!$V$6*(A财务假设!$D$16+A财务假设!$D$17))</f>
        <v>0</v>
      </c>
      <c r="X37" s="45">
        <f>(C.2项目每年借款信息!$W$6*(A财务假设!$D$16+A财务假设!$D$17))</f>
        <v>0</v>
      </c>
      <c r="Y37" s="45">
        <f>(C.2项目每年借款信息!$X$6*(A财务假设!$D$16+A财务假设!$D$17))</f>
        <v>0</v>
      </c>
      <c r="Z37" s="45">
        <f>(C.2项目每年借款信息!$Y$6*(A财务假设!$D$16+A财务假设!$D$17))</f>
        <v>0</v>
      </c>
      <c r="AA37" s="45">
        <f>(C.2项目每年借款信息!$Z$6*(A财务假设!$D$16+A财务假设!$D$17))</f>
        <v>0</v>
      </c>
    </row>
    <row r="38" ht="16.5" customHeight="1" spans="1:27">
      <c r="A38" s="44" t="s">
        <v>565</v>
      </c>
      <c r="B38" s="44" t="s">
        <v>545</v>
      </c>
      <c r="C38" s="45">
        <v>0</v>
      </c>
      <c r="D38" s="45">
        <v>0</v>
      </c>
      <c r="E38" s="45">
        <v>0</v>
      </c>
      <c r="F38" s="45">
        <v>0</v>
      </c>
      <c r="G38" s="45">
        <f>(IF(($G$2-YEAR(C.1项目融资信息!$E$7))=0,(12-MONTH(C.1项目融资信息!$E$7)+1)*C.1项目融资信息!$D$7*C.1项目融资信息!$H$7/12,C.1项目融资信息!$D$7*C.1项目融资信息!$H$7))</f>
        <v>53.212</v>
      </c>
      <c r="H38" s="45">
        <f>(IF(($H$2-YEAR(C.1项目融资信息!$E$7))=0,(12-MONTH(C.1项目融资信息!$E$7)+1)*C.1项目融资信息!$D$7*C.1项目融资信息!$H$7/12,C.1项目融资信息!$D$7*C.1项目融资信息!$H$7))</f>
        <v>159.636</v>
      </c>
      <c r="I38" s="45">
        <f>(IF(($I$2-YEAR(C.1项目融资信息!$E$7))=0,(12-MONTH(C.1项目融资信息!$E$7)+1)*C.1项目融资信息!$D$7*C.1项目融资信息!$H$7/12,C.1项目融资信息!$D$7*C.1项目融资信息!$H$7))</f>
        <v>159.636</v>
      </c>
      <c r="J38" s="45">
        <f>(IF(($J$2-YEAR(C.1项目融资信息!$E$7))=0,(12-MONTH(C.1项目融资信息!$E$7)+1)*C.1项目融资信息!$D$7*C.1项目融资信息!$H$7/12,C.1项目融资信息!$D$7*C.1项目融资信息!$H$7))</f>
        <v>159.636</v>
      </c>
      <c r="K38" s="45">
        <f>(IF(($K$2-YEAR(C.1项目融资信息!$E$7))=0,(12-MONTH(C.1项目融资信息!$E$7)+1)*C.1项目融资信息!$D$7*C.1项目融资信息!$H$7/12,C.1项目融资信息!$D$7*C.1项目融资信息!$H$7))</f>
        <v>159.636</v>
      </c>
      <c r="L38" s="45">
        <f>(IF(($L$2-YEAR(C.1项目融资信息!$E$7))=0,(12-MONTH(C.1项目融资信息!$E$7)+1)*C.1项目融资信息!$D$7*C.1项目融资信息!$H$7/12,C.1项目融资信息!$D$7*C.1项目融资信息!$H$7))</f>
        <v>159.636</v>
      </c>
      <c r="M38" s="45">
        <f>(IF(($M$2-YEAR(C.1项目融资信息!$E$7))=0,(12-MONTH(C.1项目融资信息!$E$7)+1)*C.1项目融资信息!$D$7*C.1项目融资信息!$H$7/12,C.1项目融资信息!$D$7*C.1项目融资信息!$H$7))</f>
        <v>159.636</v>
      </c>
      <c r="N38" s="45">
        <f>(IF(($N$2-YEAR(C.1项目融资信息!$E$7))=0,(12-MONTH(C.1项目融资信息!$E$7)+1)*C.1项目融资信息!$D$7*C.1项目融资信息!$H$7/12,C.1项目融资信息!$D$7*C.1项目融资信息!$H$7))</f>
        <v>159.636</v>
      </c>
      <c r="O38" s="45">
        <f>(IF(($O$2-YEAR(C.1项目融资信息!$E$7))=0,(12-MONTH(C.1项目融资信息!$E$7)+1)*C.1项目融资信息!$D$7*C.1项目融资信息!$H$7/12,C.1项目融资信息!$D$7*C.1项目融资信息!$H$7))</f>
        <v>159.636</v>
      </c>
      <c r="P38" s="45">
        <f>(IF(($P$2-YEAR(C.1项目融资信息!$E$7))=0,(12-MONTH(C.1项目融资信息!$E$7)+1)*C.1项目融资信息!$D$7*C.1项目融资信息!$H$7/12,C.1项目融资信息!$D$7*C.1项目融资信息!$H$7))</f>
        <v>159.636</v>
      </c>
      <c r="Q38" s="45">
        <f>(IF(($Q$2-YEAR(C.1项目融资信息!$E$7))=0,(12-MONTH(C.1项目融资信息!$E$7)+1)*C.1项目融资信息!$D$7*C.1项目融资信息!$H$7/12,C.1项目融资信息!$D$7*C.1项目融资信息!$H$7))</f>
        <v>159.636</v>
      </c>
      <c r="R38" s="45">
        <f>(IF(($R$2-YEAR(C.1项目融资信息!$E$7))=0,(12-MONTH(C.1项目融资信息!$E$7)+1)*C.1项目融资信息!$D$7*C.1项目融资信息!$H$7/12,C.1项目融资信息!$D$7*C.1项目融资信息!$H$7))</f>
        <v>159.636</v>
      </c>
      <c r="S38" s="45">
        <f>(IF(($S$2-YEAR(C.1项目融资信息!$E$7))=0,(12-MONTH(C.1项目融资信息!$E$7)+1)*C.1项目融资信息!$D$7*C.1项目融资信息!$H$7/12,C.1项目融资信息!$D$7*C.1项目融资信息!$H$7))</f>
        <v>159.636</v>
      </c>
      <c r="T38" s="45">
        <f>(IF(($T$2-YEAR(C.1项目融资信息!$E$7))=0,(12-MONTH(C.1项目融资信息!$E$7)+1)*C.1项目融资信息!$D$7*C.1项目融资信息!$H$7/12,C.1项目融资信息!$D$7*C.1项目融资信息!$H$7))</f>
        <v>159.636</v>
      </c>
      <c r="U38" s="45">
        <f>(IF(($U$2-YEAR(C.1项目融资信息!$E$7))=0,(12-MONTH(C.1项目融资信息!$E$7)+1)*C.1项目融资信息!$D$7*C.1项目融资信息!$H$7/12,C.1项目融资信息!$D$7*C.1项目融资信息!$H$7))</f>
        <v>159.636</v>
      </c>
      <c r="V38" s="45">
        <f>(IF(($V$2-YEAR(C.1项目融资信息!$E$7))=0,(12-MONTH(C.1项目融资信息!$E$7)+1)*C.1项目融资信息!$D$7*C.1项目融资信息!$H$7/12,C.1项目融资信息!$D$7*C.1项目融资信息!$H$7))</f>
        <v>159.636</v>
      </c>
      <c r="W38" s="45">
        <f>(IF(($W$2-YEAR(C.1项目融资信息!$E$7))=0,(12-MONTH(C.1项目融资信息!$E$7)+1)*C.1项目融资信息!$D$7*C.1项目融资信息!$H$7/12,C.1项目融资信息!$D$7*C.1项目融资信息!$H$7))</f>
        <v>159.636</v>
      </c>
      <c r="X38" s="45">
        <f>(IF(($X$2-YEAR(C.1项目融资信息!$E$7))=0,(12-MONTH(C.1项目融资信息!$E$7)+1)*C.1项目融资信息!$D$7*C.1项目融资信息!$H$7/12,C.1项目融资信息!$D$7*C.1项目融资信息!$H$7))</f>
        <v>159.636</v>
      </c>
      <c r="Y38" s="45">
        <f>(IF(($Y$2-YEAR(C.1项目融资信息!$E$7))=0,(12-MONTH(C.1项目融资信息!$E$7)+1)*C.1项目融资信息!$D$7*C.1项目融资信息!$H$7/12,C.1项目融资信息!$D$7*C.1项目融资信息!$H$7))</f>
        <v>159.636</v>
      </c>
      <c r="Z38" s="45">
        <f>(IF(($Z$2-YEAR(C.1项目融资信息!$E$7))=0,(12-MONTH(C.1项目融资信息!$E$7)+1)*C.1项目融资信息!$D$7*C.1项目融资信息!$H$7/12,C.1项目融资信息!$D$7*C.1项目融资信息!$H$7))</f>
        <v>159.636</v>
      </c>
      <c r="AA38" s="45">
        <f>(MONTH(C.1项目融资信息!$E$7)-1)*C.1项目融资信息!$D$7*C.1项目融资信息!$H$7/12</f>
        <v>106.424</v>
      </c>
    </row>
    <row r="39" ht="16.5" customHeight="1" spans="1:27">
      <c r="A39" s="44">
        <v>5</v>
      </c>
      <c r="B39" s="44" t="s">
        <v>566</v>
      </c>
      <c r="C39" s="45">
        <f>(C.1项目融资信息!$D$4+C.1项目融资信息!$D$5+C.1项目融资信息!$D$6+C.1项目融资信息!$D$7)</f>
        <v>29000</v>
      </c>
      <c r="D39" s="46"/>
      <c r="E39" s="46"/>
      <c r="F39" s="46"/>
      <c r="G39" s="46"/>
      <c r="H39" s="46"/>
      <c r="I39" s="46"/>
      <c r="J39" s="46"/>
      <c r="K39" s="46"/>
      <c r="L39" s="46"/>
      <c r="M39" s="46"/>
      <c r="N39" s="46"/>
      <c r="O39" s="46"/>
      <c r="P39" s="46"/>
      <c r="Q39" s="46"/>
      <c r="R39" s="46"/>
      <c r="S39" s="46"/>
      <c r="T39" s="46"/>
      <c r="U39" s="46"/>
      <c r="V39" s="46"/>
      <c r="W39" s="46"/>
      <c r="X39" s="46"/>
      <c r="Y39" s="46"/>
      <c r="Z39" s="46"/>
      <c r="AA39" s="46"/>
    </row>
    <row r="40" ht="16.5" customHeight="1" spans="1:27">
      <c r="A40" s="44" t="s">
        <v>567</v>
      </c>
      <c r="B40" s="44" t="s">
        <v>534</v>
      </c>
      <c r="C40" s="45">
        <v>0</v>
      </c>
      <c r="D40" s="45">
        <f t="shared" ref="D40:AA40" si="8">(D4+D13+D22+D31)</f>
        <v>0</v>
      </c>
      <c r="E40" s="45">
        <f t="shared" si="8"/>
        <v>1175</v>
      </c>
      <c r="F40" s="45">
        <f t="shared" si="8"/>
        <v>12765</v>
      </c>
      <c r="G40" s="45">
        <f t="shared" si="8"/>
        <v>21470</v>
      </c>
      <c r="H40" s="45">
        <f t="shared" si="8"/>
        <v>29000</v>
      </c>
      <c r="I40" s="45">
        <f t="shared" si="8"/>
        <v>29000</v>
      </c>
      <c r="J40" s="45">
        <f t="shared" si="8"/>
        <v>29000</v>
      </c>
      <c r="K40" s="45">
        <f t="shared" si="8"/>
        <v>29000</v>
      </c>
      <c r="L40" s="45">
        <f t="shared" si="8"/>
        <v>29000</v>
      </c>
      <c r="M40" s="45">
        <f t="shared" si="8"/>
        <v>29000</v>
      </c>
      <c r="N40" s="45">
        <f t="shared" si="8"/>
        <v>29000</v>
      </c>
      <c r="O40" s="45">
        <f t="shared" si="8"/>
        <v>29000</v>
      </c>
      <c r="P40" s="45">
        <f t="shared" si="8"/>
        <v>29000</v>
      </c>
      <c r="Q40" s="45">
        <f t="shared" si="8"/>
        <v>29000</v>
      </c>
      <c r="R40" s="45">
        <f t="shared" si="8"/>
        <v>29000</v>
      </c>
      <c r="S40" s="45">
        <f t="shared" si="8"/>
        <v>29000</v>
      </c>
      <c r="T40" s="45">
        <f t="shared" si="8"/>
        <v>29000</v>
      </c>
      <c r="U40" s="45">
        <f t="shared" si="8"/>
        <v>29000</v>
      </c>
      <c r="V40" s="45">
        <f t="shared" si="8"/>
        <v>29000</v>
      </c>
      <c r="W40" s="45">
        <f t="shared" si="8"/>
        <v>29000</v>
      </c>
      <c r="X40" s="45">
        <f t="shared" si="8"/>
        <v>29000</v>
      </c>
      <c r="Y40" s="45">
        <f t="shared" si="8"/>
        <v>27825</v>
      </c>
      <c r="Z40" s="45">
        <f t="shared" si="8"/>
        <v>16235</v>
      </c>
      <c r="AA40" s="45">
        <f t="shared" si="8"/>
        <v>7530</v>
      </c>
    </row>
    <row r="41" ht="16.5" customHeight="1" spans="1:27">
      <c r="A41" s="44" t="s">
        <v>568</v>
      </c>
      <c r="B41" s="44" t="s">
        <v>535</v>
      </c>
      <c r="C41" s="45">
        <f>(SUM(D41:AA41))</f>
        <v>41296</v>
      </c>
      <c r="D41" s="45">
        <f t="shared" ref="D41:AA41" si="9">(D5+D14+D23+D32)</f>
        <v>0</v>
      </c>
      <c r="E41" s="45">
        <f t="shared" si="9"/>
        <v>24.91</v>
      </c>
      <c r="F41" s="45">
        <f t="shared" si="9"/>
        <v>270.618</v>
      </c>
      <c r="G41" s="45">
        <f t="shared" si="9"/>
        <v>455.164</v>
      </c>
      <c r="H41" s="45">
        <f t="shared" si="9"/>
        <v>614.8</v>
      </c>
      <c r="I41" s="45">
        <f t="shared" si="9"/>
        <v>614.8</v>
      </c>
      <c r="J41" s="45">
        <f t="shared" si="9"/>
        <v>614.8</v>
      </c>
      <c r="K41" s="45">
        <f t="shared" si="9"/>
        <v>614.8</v>
      </c>
      <c r="L41" s="45">
        <f t="shared" si="9"/>
        <v>614.8</v>
      </c>
      <c r="M41" s="45">
        <f t="shared" si="9"/>
        <v>614.8</v>
      </c>
      <c r="N41" s="45">
        <f t="shared" si="9"/>
        <v>614.8</v>
      </c>
      <c r="O41" s="45">
        <f t="shared" si="9"/>
        <v>614.8</v>
      </c>
      <c r="P41" s="45">
        <f t="shared" si="9"/>
        <v>614.8</v>
      </c>
      <c r="Q41" s="45">
        <f t="shared" si="9"/>
        <v>614.8</v>
      </c>
      <c r="R41" s="45">
        <f t="shared" si="9"/>
        <v>614.8</v>
      </c>
      <c r="S41" s="45">
        <f t="shared" si="9"/>
        <v>614.8</v>
      </c>
      <c r="T41" s="45">
        <f t="shared" si="9"/>
        <v>614.8</v>
      </c>
      <c r="U41" s="45">
        <f t="shared" si="9"/>
        <v>614.8</v>
      </c>
      <c r="V41" s="45">
        <f t="shared" si="9"/>
        <v>614.8</v>
      </c>
      <c r="W41" s="45">
        <f t="shared" si="9"/>
        <v>614.8</v>
      </c>
      <c r="X41" s="45">
        <f t="shared" si="9"/>
        <v>1789.8</v>
      </c>
      <c r="Y41" s="45">
        <f t="shared" si="9"/>
        <v>12179.89</v>
      </c>
      <c r="Z41" s="45">
        <f t="shared" si="9"/>
        <v>9049.182</v>
      </c>
      <c r="AA41" s="45">
        <f t="shared" si="9"/>
        <v>7689.636</v>
      </c>
    </row>
    <row r="42" ht="16.5" customHeight="1" spans="1:27">
      <c r="A42" s="44" t="s">
        <v>569</v>
      </c>
      <c r="B42" s="44" t="s">
        <v>536</v>
      </c>
      <c r="C42" s="45">
        <f>(SUM(D42:AA42))</f>
        <v>29000</v>
      </c>
      <c r="D42" s="45">
        <f t="shared" ref="D42:AA42" si="10">(D6+D15+D24+D33)</f>
        <v>0</v>
      </c>
      <c r="E42" s="45">
        <f t="shared" si="10"/>
        <v>0</v>
      </c>
      <c r="F42" s="45">
        <f t="shared" si="10"/>
        <v>0</v>
      </c>
      <c r="G42" s="45">
        <f t="shared" si="10"/>
        <v>0</v>
      </c>
      <c r="H42" s="45">
        <f t="shared" si="10"/>
        <v>0</v>
      </c>
      <c r="I42" s="45">
        <f t="shared" si="10"/>
        <v>0</v>
      </c>
      <c r="J42" s="45">
        <f t="shared" si="10"/>
        <v>0</v>
      </c>
      <c r="K42" s="45">
        <f t="shared" si="10"/>
        <v>0</v>
      </c>
      <c r="L42" s="45">
        <f t="shared" si="10"/>
        <v>0</v>
      </c>
      <c r="M42" s="45">
        <f t="shared" si="10"/>
        <v>0</v>
      </c>
      <c r="N42" s="45">
        <f t="shared" si="10"/>
        <v>0</v>
      </c>
      <c r="O42" s="45">
        <f t="shared" si="10"/>
        <v>0</v>
      </c>
      <c r="P42" s="45">
        <f t="shared" si="10"/>
        <v>0</v>
      </c>
      <c r="Q42" s="45">
        <f t="shared" si="10"/>
        <v>0</v>
      </c>
      <c r="R42" s="45">
        <f t="shared" si="10"/>
        <v>0</v>
      </c>
      <c r="S42" s="45">
        <f t="shared" si="10"/>
        <v>0</v>
      </c>
      <c r="T42" s="45">
        <f t="shared" si="10"/>
        <v>0</v>
      </c>
      <c r="U42" s="45">
        <f t="shared" si="10"/>
        <v>0</v>
      </c>
      <c r="V42" s="45">
        <f t="shared" si="10"/>
        <v>0</v>
      </c>
      <c r="W42" s="45">
        <f t="shared" si="10"/>
        <v>0</v>
      </c>
      <c r="X42" s="45">
        <f t="shared" si="10"/>
        <v>1175</v>
      </c>
      <c r="Y42" s="45">
        <f t="shared" si="10"/>
        <v>11590</v>
      </c>
      <c r="Z42" s="45">
        <f t="shared" si="10"/>
        <v>8705</v>
      </c>
      <c r="AA42" s="45">
        <f t="shared" si="10"/>
        <v>7530</v>
      </c>
    </row>
    <row r="43" ht="16.5" customHeight="1" spans="1:27">
      <c r="A43" s="44" t="s">
        <v>570</v>
      </c>
      <c r="B43" s="44" t="s">
        <v>537</v>
      </c>
      <c r="C43" s="45">
        <f>(SUM(D43:AA43))</f>
        <v>12296</v>
      </c>
      <c r="D43" s="45">
        <f t="shared" ref="D43:AA43" si="11">(D7+D16+D25+D34)</f>
        <v>0</v>
      </c>
      <c r="E43" s="45">
        <f t="shared" si="11"/>
        <v>24.91</v>
      </c>
      <c r="F43" s="45">
        <f t="shared" si="11"/>
        <v>270.618</v>
      </c>
      <c r="G43" s="45">
        <f t="shared" si="11"/>
        <v>455.164</v>
      </c>
      <c r="H43" s="45">
        <f t="shared" si="11"/>
        <v>614.8</v>
      </c>
      <c r="I43" s="45">
        <f t="shared" si="11"/>
        <v>614.8</v>
      </c>
      <c r="J43" s="45">
        <f t="shared" si="11"/>
        <v>614.8</v>
      </c>
      <c r="K43" s="45">
        <f t="shared" si="11"/>
        <v>614.8</v>
      </c>
      <c r="L43" s="45">
        <f t="shared" si="11"/>
        <v>614.8</v>
      </c>
      <c r="M43" s="45">
        <f t="shared" si="11"/>
        <v>614.8</v>
      </c>
      <c r="N43" s="45">
        <f t="shared" si="11"/>
        <v>614.8</v>
      </c>
      <c r="O43" s="45">
        <f t="shared" si="11"/>
        <v>614.8</v>
      </c>
      <c r="P43" s="45">
        <f t="shared" si="11"/>
        <v>614.8</v>
      </c>
      <c r="Q43" s="45">
        <f t="shared" si="11"/>
        <v>614.8</v>
      </c>
      <c r="R43" s="45">
        <f t="shared" si="11"/>
        <v>614.8</v>
      </c>
      <c r="S43" s="45">
        <f t="shared" si="11"/>
        <v>614.8</v>
      </c>
      <c r="T43" s="45">
        <f t="shared" si="11"/>
        <v>614.8</v>
      </c>
      <c r="U43" s="45">
        <f t="shared" si="11"/>
        <v>614.8</v>
      </c>
      <c r="V43" s="45">
        <f t="shared" si="11"/>
        <v>614.8</v>
      </c>
      <c r="W43" s="45">
        <f t="shared" si="11"/>
        <v>614.8</v>
      </c>
      <c r="X43" s="45">
        <f t="shared" si="11"/>
        <v>614.8</v>
      </c>
      <c r="Y43" s="45">
        <f t="shared" si="11"/>
        <v>589.89</v>
      </c>
      <c r="Z43" s="45">
        <f t="shared" si="11"/>
        <v>344.182</v>
      </c>
      <c r="AA43" s="45">
        <f t="shared" si="11"/>
        <v>159.636</v>
      </c>
    </row>
    <row r="44" ht="16.5" customHeight="1" spans="1:27">
      <c r="A44" s="44" t="s">
        <v>571</v>
      </c>
      <c r="B44" s="44" t="s">
        <v>539</v>
      </c>
      <c r="C44" s="45">
        <v>0</v>
      </c>
      <c r="D44" s="45">
        <f t="shared" ref="D44:AA44" si="12">(D8+D17+D26+D35)</f>
        <v>1175</v>
      </c>
      <c r="E44" s="45">
        <f t="shared" si="12"/>
        <v>12765</v>
      </c>
      <c r="F44" s="45">
        <f t="shared" si="12"/>
        <v>21470</v>
      </c>
      <c r="G44" s="45">
        <f t="shared" si="12"/>
        <v>29000</v>
      </c>
      <c r="H44" s="45">
        <f t="shared" si="12"/>
        <v>29000</v>
      </c>
      <c r="I44" s="45">
        <f t="shared" si="12"/>
        <v>29000</v>
      </c>
      <c r="J44" s="45">
        <f t="shared" si="12"/>
        <v>29000</v>
      </c>
      <c r="K44" s="45">
        <f t="shared" si="12"/>
        <v>29000</v>
      </c>
      <c r="L44" s="45">
        <f t="shared" si="12"/>
        <v>29000</v>
      </c>
      <c r="M44" s="45">
        <f t="shared" si="12"/>
        <v>29000</v>
      </c>
      <c r="N44" s="45">
        <f t="shared" si="12"/>
        <v>29000</v>
      </c>
      <c r="O44" s="45">
        <f t="shared" si="12"/>
        <v>29000</v>
      </c>
      <c r="P44" s="45">
        <f t="shared" si="12"/>
        <v>29000</v>
      </c>
      <c r="Q44" s="45">
        <f t="shared" si="12"/>
        <v>29000</v>
      </c>
      <c r="R44" s="45">
        <f t="shared" si="12"/>
        <v>29000</v>
      </c>
      <c r="S44" s="45">
        <f t="shared" si="12"/>
        <v>29000</v>
      </c>
      <c r="T44" s="45">
        <f t="shared" si="12"/>
        <v>29000</v>
      </c>
      <c r="U44" s="45">
        <f t="shared" si="12"/>
        <v>29000</v>
      </c>
      <c r="V44" s="45">
        <f t="shared" si="12"/>
        <v>29000</v>
      </c>
      <c r="W44" s="45">
        <f t="shared" si="12"/>
        <v>29000</v>
      </c>
      <c r="X44" s="45">
        <f t="shared" si="12"/>
        <v>27825</v>
      </c>
      <c r="Y44" s="45">
        <f t="shared" si="12"/>
        <v>16235</v>
      </c>
      <c r="Z44" s="45">
        <f t="shared" si="12"/>
        <v>7530</v>
      </c>
      <c r="AA44" s="45">
        <f t="shared" si="12"/>
        <v>0</v>
      </c>
    </row>
    <row r="45" ht="16.5" customHeight="1" spans="1:27">
      <c r="A45" s="44" t="s">
        <v>572</v>
      </c>
      <c r="B45" s="44" t="s">
        <v>541</v>
      </c>
      <c r="C45" s="45">
        <f>(SUM(D45:AA45))</f>
        <v>2.0648</v>
      </c>
      <c r="D45" s="45">
        <f t="shared" ref="D45:AA45" si="13">(D9+D18+D27+D36)</f>
        <v>0</v>
      </c>
      <c r="E45" s="45">
        <f t="shared" si="13"/>
        <v>0.0012455</v>
      </c>
      <c r="F45" s="45">
        <f t="shared" si="13"/>
        <v>0.0135309</v>
      </c>
      <c r="G45" s="45">
        <f t="shared" si="13"/>
        <v>0.0227582</v>
      </c>
      <c r="H45" s="45">
        <f t="shared" si="13"/>
        <v>0.03074</v>
      </c>
      <c r="I45" s="45">
        <f t="shared" si="13"/>
        <v>0.03074</v>
      </c>
      <c r="J45" s="45">
        <f t="shared" si="13"/>
        <v>0.03074</v>
      </c>
      <c r="K45" s="45">
        <f t="shared" si="13"/>
        <v>0.03074</v>
      </c>
      <c r="L45" s="45">
        <f t="shared" si="13"/>
        <v>0.03074</v>
      </c>
      <c r="M45" s="45">
        <f t="shared" si="13"/>
        <v>0.03074</v>
      </c>
      <c r="N45" s="45">
        <f t="shared" si="13"/>
        <v>0.03074</v>
      </c>
      <c r="O45" s="45">
        <f t="shared" si="13"/>
        <v>0.03074</v>
      </c>
      <c r="P45" s="45">
        <f t="shared" si="13"/>
        <v>0.03074</v>
      </c>
      <c r="Q45" s="45">
        <f t="shared" si="13"/>
        <v>0.03074</v>
      </c>
      <c r="R45" s="45">
        <f t="shared" si="13"/>
        <v>0.03074</v>
      </c>
      <c r="S45" s="45">
        <f t="shared" si="13"/>
        <v>0.03074</v>
      </c>
      <c r="T45" s="45">
        <f t="shared" si="13"/>
        <v>0.03074</v>
      </c>
      <c r="U45" s="45">
        <f t="shared" si="13"/>
        <v>0.03074</v>
      </c>
      <c r="V45" s="45">
        <f t="shared" si="13"/>
        <v>0.03074</v>
      </c>
      <c r="W45" s="45">
        <f t="shared" si="13"/>
        <v>0.03074</v>
      </c>
      <c r="X45" s="45">
        <f t="shared" si="13"/>
        <v>0.08949</v>
      </c>
      <c r="Y45" s="45">
        <f t="shared" si="13"/>
        <v>0.6089945</v>
      </c>
      <c r="Z45" s="45">
        <f t="shared" si="13"/>
        <v>0.4524591</v>
      </c>
      <c r="AA45" s="45">
        <f t="shared" si="13"/>
        <v>0.3844818</v>
      </c>
    </row>
    <row r="46" ht="27.6" customHeight="1" spans="1:27">
      <c r="A46" s="44" t="s">
        <v>573</v>
      </c>
      <c r="B46" s="44" t="s">
        <v>543</v>
      </c>
      <c r="C46" s="45">
        <f>(SUM(D46:AA46))</f>
        <v>25.056</v>
      </c>
      <c r="D46" s="45">
        <f t="shared" ref="D46:AA46" si="14">(D10+D19+D28+D37)</f>
        <v>1.0152</v>
      </c>
      <c r="E46" s="45">
        <f t="shared" si="14"/>
        <v>10.01376</v>
      </c>
      <c r="F46" s="45">
        <f t="shared" si="14"/>
        <v>7.52112</v>
      </c>
      <c r="G46" s="45">
        <f t="shared" si="14"/>
        <v>6.50592</v>
      </c>
      <c r="H46" s="45">
        <f t="shared" si="14"/>
        <v>0</v>
      </c>
      <c r="I46" s="45">
        <f t="shared" si="14"/>
        <v>0</v>
      </c>
      <c r="J46" s="45">
        <f t="shared" si="14"/>
        <v>0</v>
      </c>
      <c r="K46" s="45">
        <f t="shared" si="14"/>
        <v>0</v>
      </c>
      <c r="L46" s="45">
        <f t="shared" si="14"/>
        <v>0</v>
      </c>
      <c r="M46" s="45">
        <f t="shared" si="14"/>
        <v>0</v>
      </c>
      <c r="N46" s="45">
        <f t="shared" si="14"/>
        <v>0</v>
      </c>
      <c r="O46" s="45">
        <f t="shared" si="14"/>
        <v>0</v>
      </c>
      <c r="P46" s="45">
        <f t="shared" si="14"/>
        <v>0</v>
      </c>
      <c r="Q46" s="45">
        <f t="shared" si="14"/>
        <v>0</v>
      </c>
      <c r="R46" s="45">
        <f t="shared" si="14"/>
        <v>0</v>
      </c>
      <c r="S46" s="45">
        <f t="shared" si="14"/>
        <v>0</v>
      </c>
      <c r="T46" s="45">
        <f t="shared" si="14"/>
        <v>0</v>
      </c>
      <c r="U46" s="45">
        <f t="shared" si="14"/>
        <v>0</v>
      </c>
      <c r="V46" s="45">
        <f t="shared" si="14"/>
        <v>0</v>
      </c>
      <c r="W46" s="45">
        <f t="shared" si="14"/>
        <v>0</v>
      </c>
      <c r="X46" s="45">
        <f t="shared" si="14"/>
        <v>0</v>
      </c>
      <c r="Y46" s="45">
        <f t="shared" si="14"/>
        <v>0</v>
      </c>
      <c r="Z46" s="45">
        <f t="shared" si="14"/>
        <v>0</v>
      </c>
      <c r="AA46" s="45">
        <f t="shared" si="14"/>
        <v>0</v>
      </c>
    </row>
    <row r="47" ht="27.6" customHeight="1" spans="1:27">
      <c r="A47" s="44" t="s">
        <v>574</v>
      </c>
      <c r="B47" s="44" t="s">
        <v>545</v>
      </c>
      <c r="C47" s="45">
        <v>0</v>
      </c>
      <c r="D47" s="45">
        <f t="shared" ref="D47:AA47" si="15">(D11+D20+D29+D38)</f>
        <v>8.30333333333333</v>
      </c>
      <c r="E47" s="45">
        <f t="shared" si="15"/>
        <v>106.812666666667</v>
      </c>
      <c r="F47" s="45">
        <f t="shared" si="15"/>
        <v>332.133333333333</v>
      </c>
      <c r="G47" s="45">
        <f t="shared" si="15"/>
        <v>508.376</v>
      </c>
      <c r="H47" s="45">
        <f t="shared" si="15"/>
        <v>614.8</v>
      </c>
      <c r="I47" s="45">
        <f t="shared" si="15"/>
        <v>614.8</v>
      </c>
      <c r="J47" s="45">
        <f t="shared" si="15"/>
        <v>614.8</v>
      </c>
      <c r="K47" s="45">
        <f t="shared" si="15"/>
        <v>614.8</v>
      </c>
      <c r="L47" s="45">
        <f t="shared" si="15"/>
        <v>614.8</v>
      </c>
      <c r="M47" s="45">
        <f t="shared" si="15"/>
        <v>614.8</v>
      </c>
      <c r="N47" s="45">
        <f t="shared" si="15"/>
        <v>614.8</v>
      </c>
      <c r="O47" s="45">
        <f t="shared" si="15"/>
        <v>614.8</v>
      </c>
      <c r="P47" s="45">
        <f t="shared" si="15"/>
        <v>614.8</v>
      </c>
      <c r="Q47" s="45">
        <f t="shared" si="15"/>
        <v>614.8</v>
      </c>
      <c r="R47" s="45">
        <f t="shared" si="15"/>
        <v>614.8</v>
      </c>
      <c r="S47" s="45">
        <f t="shared" si="15"/>
        <v>614.8</v>
      </c>
      <c r="T47" s="45">
        <f t="shared" si="15"/>
        <v>614.8</v>
      </c>
      <c r="U47" s="45">
        <f t="shared" si="15"/>
        <v>614.8</v>
      </c>
      <c r="V47" s="45">
        <f t="shared" si="15"/>
        <v>614.8</v>
      </c>
      <c r="W47" s="45">
        <f t="shared" si="15"/>
        <v>614.8</v>
      </c>
      <c r="X47" s="45">
        <f t="shared" si="15"/>
        <v>606.496666666667</v>
      </c>
      <c r="Y47" s="45">
        <f t="shared" si="15"/>
        <v>507.987333333333</v>
      </c>
      <c r="Z47" s="45">
        <f t="shared" si="15"/>
        <v>282.666666666667</v>
      </c>
      <c r="AA47" s="45">
        <f t="shared" si="15"/>
        <v>106.424</v>
      </c>
    </row>
    <row r="48" ht="16.5" customHeight="1" spans="1:27">
      <c r="A48" s="44" t="s">
        <v>575</v>
      </c>
      <c r="B48" s="44" t="s">
        <v>576</v>
      </c>
      <c r="C48" s="44" t="s">
        <v>162</v>
      </c>
      <c r="D48" s="47">
        <f>IF(D43&lt;&gt;0,'b利润与利润分配表（损益和利润分配表）'!D25/D43,0)</f>
        <v>0</v>
      </c>
      <c r="E48" s="47">
        <f>IF(E43&lt;&gt;0,'b利润与利润分配表（损益和利润分配表）'!E25/E43,0)</f>
        <v>4.68999085374014</v>
      </c>
      <c r="F48" s="47">
        <f>IF(F43&lt;&gt;0,'b利润与利润分配表（损益和利润分配表）'!F25/F43,0)</f>
        <v>0.299821294770739</v>
      </c>
      <c r="G48" s="47">
        <f>IF(G43&lt;&gt;0,'b利润与利润分配表（损益和利润分配表）'!G25/G43,0)</f>
        <v>3.04460051405793</v>
      </c>
      <c r="H48" s="47">
        <f>IF(H43&lt;&gt;0,'b利润与利润分配表（损益和利润分配表）'!H25/H43,0)</f>
        <v>1.89759890414264</v>
      </c>
      <c r="I48" s="47">
        <f>IF(I43&lt;&gt;0,'b利润与利润分配表（损益和利润分配表）'!I25/I43,0)</f>
        <v>1.93124573002781</v>
      </c>
      <c r="J48" s="47">
        <f>IF(J43&lt;&gt;0,'b利润与利润分配表（损益和利润分配表）'!J25/J43,0)</f>
        <v>1.96514832092631</v>
      </c>
      <c r="K48" s="47">
        <f>IF(K43&lt;&gt;0,'b利润与利润分配表（损益和利润分配表）'!K25/K43,0)</f>
        <v>1.9993080239396</v>
      </c>
      <c r="L48" s="47">
        <f>IF(L43&lt;&gt;0,'b利润与利润分配表（损益和利润分配表）'!L25/L43,0)</f>
        <v>2.03372618148191</v>
      </c>
      <c r="M48" s="47">
        <f>IF(M43&lt;&gt;0,'b利润与利润分配表（损益和利润分配表）'!M25/M43,0)</f>
        <v>2.06840413096102</v>
      </c>
      <c r="N48" s="47">
        <f>IF(N43&lt;&gt;0,'b利润与利润分配表（损益和利润分配表）'!N25/N43,0)</f>
        <v>2.10334320445172</v>
      </c>
      <c r="O48" s="47">
        <f>IF(O43&lt;&gt;0,'b利润与利润分配表（损益和利润分配表）'!O25/O43,0)</f>
        <v>2.13854472836187</v>
      </c>
      <c r="P48" s="47">
        <f>IF(P43&lt;&gt;0,'b利润与利润分配表（损益和利润分配表）'!P25/P43,0)</f>
        <v>2.17401002309093</v>
      </c>
      <c r="Q48" s="47">
        <f>IF(Q43&lt;&gt;0,'b利润与利润分配表（损益和利润分配表）'!Q25/Q43,0)</f>
        <v>2.20974040268079</v>
      </c>
      <c r="R48" s="47">
        <f>IF(R43&lt;&gt;0,'b利润与利润分配表（损益和利润分配表）'!R25/R43,0)</f>
        <v>2.24573717445876</v>
      </c>
      <c r="S48" s="47">
        <f>IF(S43&lt;&gt;0,'b利润与利润分配表（损益和利润分配表）'!S25/S43,0)</f>
        <v>2.28200163867263</v>
      </c>
      <c r="T48" s="47">
        <f>IF(T43&lt;&gt;0,'b利润与利润分配表（损益和利润分配表）'!T25/T43,0)</f>
        <v>2.31853508811749</v>
      </c>
      <c r="U48" s="47">
        <f>IF(U43&lt;&gt;0,'b利润与利润分配表（损益和利润分配表）'!U25/U43,0)</f>
        <v>2.3553388077545</v>
      </c>
      <c r="V48" s="47">
        <f>IF(V43&lt;&gt;0,'b利润与利润分配表（损益和利润分配表）'!V25/V43,0)</f>
        <v>2.39241407432105</v>
      </c>
      <c r="W48" s="47">
        <f>IF(W43&lt;&gt;0,'b利润与利润分配表（损益和利润分配表）'!W25/W43,0)</f>
        <v>2.42976215593244</v>
      </c>
      <c r="X48" s="47">
        <f>IF(X43&lt;&gt;0,'b利润与利润分配表（损益和利润分配表）'!X25/X43,0)</f>
        <v>2.46728875214322</v>
      </c>
      <c r="Y48" s="47">
        <f>IF(Y43&lt;&gt;0,'b利润与利润分配表（损益和利润分配表）'!Y25/Y43,0)</f>
        <v>2.61009508675019</v>
      </c>
      <c r="Z48" s="47">
        <f>IF(Z43&lt;&gt;0,'b利润与利润分配表（损益和利润分配表）'!Z25/Z43,0)</f>
        <v>4.54205893333958</v>
      </c>
      <c r="AA48" s="47">
        <f>IF(AA43&lt;&gt;0,'b利润与利润分配表（损益和利润分配表）'!AA25/AA43,0)</f>
        <v>9.94138599005606</v>
      </c>
    </row>
    <row r="49" ht="16.5" customHeight="1" spans="1:27">
      <c r="A49" s="15"/>
      <c r="B49" s="44" t="s">
        <v>577</v>
      </c>
      <c r="C49" s="44" t="s">
        <v>162</v>
      </c>
      <c r="D49" s="47">
        <f>(IF(D41&lt;&gt;0,('b利润与利润分配表（损益和利润分配表）'!D26-'b利润与利润分配表（损益和利润分配表）'!D11)/D41,))</f>
        <v>0</v>
      </c>
      <c r="E49" s="47">
        <f>(IF(E41&lt;&gt;0,('b利润与利润分配表（损益和利润分配表）'!E26-'b利润与利润分配表（损益和利润分配表）'!E11)/E41,))</f>
        <v>4.68999085374014</v>
      </c>
      <c r="F49" s="47">
        <f>(IF(F41&lt;&gt;0,('b利润与利润分配表（损益和利润分配表）'!F26-'b利润与利润分配表（损益和利润分配表）'!F11)/F41,))</f>
        <v>2.32803520726891</v>
      </c>
      <c r="G49" s="47">
        <f>(IF(G41&lt;&gt;0,('b利润与利润分配表（损益和利润分配表）'!G26-'b利润与利润分配表（损益和利润分配表）'!G11)/G41,))</f>
        <v>3.91413756289863</v>
      </c>
      <c r="H49" s="47">
        <f>(IF(H41&lt;&gt;0,('b利润与利润分配表（损益和利润分配表）'!H26-'b利润与利润分配表（损益和利润分配表）'!H11)/H41,))</f>
        <v>3.67826699924305</v>
      </c>
      <c r="I49" s="47">
        <f>(IF(I41&lt;&gt;0,('b利润与利润分配表（损益和利润分配表）'!I26-'b利润与利润分配表（损益和利润分配表）'!I11)/I41,))</f>
        <v>3.70350211865692</v>
      </c>
      <c r="J49" s="47">
        <f>(IF(J41&lt;&gt;0,('b利润与利润分配表（损益和利润分配表）'!J26-'b利润与利润分配表（损益和利润分配表）'!J11)/J41,))</f>
        <v>3.7289290618308</v>
      </c>
      <c r="K49" s="47">
        <f>(IF(K41&lt;&gt;0,('b利润与利润分配表（损益和利润分配表）'!K26-'b利润与利润分配表（损益和利润分配表）'!K11)/K41,))</f>
        <v>3.75454883909077</v>
      </c>
      <c r="L49" s="47">
        <f>(IF(L41&lt;&gt;0,('b利润与利润分配表（损益和利润分配表）'!L26-'b利润与利润分配表（损益和利润分配表）'!L11)/L41,))</f>
        <v>3.78036245724751</v>
      </c>
      <c r="M49" s="47">
        <f>(IF(M41&lt;&gt;0,('b利润与利润分配表（损益和利润分配表）'!M26-'b利润与利润分配表（损益和利润分配表）'!M11)/M41,))</f>
        <v>3.80637091935684</v>
      </c>
      <c r="N49" s="47">
        <f>(IF(N41&lt;&gt;0,('b利润与利润分配表（损益和利润分配表）'!N26-'b利润与利润分配表（损益和利润分配表）'!N11)/N41,))</f>
        <v>3.83257522447486</v>
      </c>
      <c r="O49" s="47">
        <f>(IF(O41&lt;&gt;0,('b利润与利润分配表（损益和利润分配表）'!O26-'b利润与利润分配表（损益和利润分配表）'!O11)/O41,))</f>
        <v>3.85897636740747</v>
      </c>
      <c r="P49" s="47">
        <f>(IF(P41&lt;&gt;0,('b利润与利润分配表（损益和利润分配表）'!P26-'b利润与利润分配表（损益和利润分配表）'!P11)/P41,))</f>
        <v>3.88557533845427</v>
      </c>
      <c r="Q49" s="47">
        <f>(IF(Q41&lt;&gt;0,('b利润与利润分配表（损益和利润分配表）'!Q26-'b利润与利润分配表（损益和利润分配表）'!Q11)/Q41,))</f>
        <v>3.91237312314667</v>
      </c>
      <c r="R49" s="47">
        <f>(IF(R41&lt;&gt;0,('b利润与利润分配表（损益和利润分配表）'!R26-'b利润与利润分配表（损益和利润分配表）'!R11)/R41,))</f>
        <v>3.93937070198014</v>
      </c>
      <c r="S49" s="47">
        <f>(IF(S41&lt;&gt;0,('b利润与利润分配表（损益和利润分配表）'!S26-'b利润与利润分配表（损益和利润分配表）'!S11)/S41,))</f>
        <v>3.96656905014054</v>
      </c>
      <c r="T49" s="47">
        <f>(IF(T41&lt;&gt;0,('b利润与利润分配表（损益和利润分配表）'!T26-'b利润与利润分配表（损益和利润分配表）'!T11)/T41,))</f>
        <v>3.99396913722419</v>
      </c>
      <c r="U49" s="47">
        <f>(IF(U41&lt;&gt;0,('b利润与利润分配表（损益和利润分配表）'!U26-'b利润与利润分配表（损益和利润分配表）'!U11)/U41,))</f>
        <v>4.02157192695195</v>
      </c>
      <c r="V49" s="47">
        <f>(IF(V41&lt;&gt;0,('b利润与利润分配表（损益和利润分配表）'!V26-'b利润与利润分配表（损益和利润分配表）'!V11)/V41,))</f>
        <v>4.04937837687686</v>
      </c>
      <c r="W49" s="47">
        <f>(IF(W41&lt;&gt;0,('b利润与利润分配表（损益和利润分配表）'!W26-'b利润与利润分配表（损益和利润分配表）'!W11)/W41,))</f>
        <v>4.0773894380854</v>
      </c>
      <c r="X49" s="47">
        <f>(IF(X41&lt;&gt;0,('b利润与利润分配表（损益和利润分配表）'!X26-'b利润与利润分配表（损益和利润分配表）'!X11)/X41,))</f>
        <v>1.40910794178923</v>
      </c>
      <c r="Y49" s="47">
        <f>(IF(Y41&lt;&gt;0,('b利润与利润分配表（损益和利润分配表）'!Y26-'b利润与利润分配表（损益和利润分配表）'!Y11)/Y41,))</f>
        <v>0.206455792001003</v>
      </c>
      <c r="Z49" s="47">
        <f>(IF(Z41&lt;&gt;0,('b利润与利润分配表（损益和利润分配表）'!Z26-'b利润与利润分配表（损益和利润分配表）'!Z11)/Z41,))</f>
        <v>0.273611359426978</v>
      </c>
      <c r="AA49" s="47">
        <f>(IF(AA41&lt;&gt;0,('b利润与利润分配表（损益和利润分配表）'!AA26-'b利润与利润分配表（损益和利润分配表）'!AA11)/AA41,))</f>
        <v>0.318566763409334</v>
      </c>
    </row>
    <row r="50" ht="14" customHeight="1"/>
    <row r="51" ht="14" customHeight="1"/>
    <row r="52" ht="14" customHeight="1"/>
    <row r="53" ht="14" customHeight="1"/>
    <row r="54" ht="14" customHeight="1"/>
    <row r="55" ht="14" customHeight="1"/>
  </sheetData>
  <mergeCells count="1">
    <mergeCell ref="A48:A49"/>
  </mergeCells>
  <pageMargins left="0.75" right="0.75" top="1" bottom="1" header="0.5" footer="0.5"/>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FFC000"/>
  </sheetPr>
  <dimension ref="A1:AA31"/>
  <sheetViews>
    <sheetView zoomScale="70" zoomScaleNormal="70" workbookViewId="0">
      <pane xSplit="3" ySplit="2" topLeftCell="D3" activePane="bottomRight" state="frozen"/>
      <selection/>
      <selection pane="topRight"/>
      <selection pane="bottomLeft"/>
      <selection pane="bottomRight" activeCell="J9" sqref="J9"/>
    </sheetView>
  </sheetViews>
  <sheetFormatPr defaultColWidth="8.89090909090909" defaultRowHeight="28.05" customHeight="1"/>
  <cols>
    <col min="1" max="1" width="6.66363636363636" style="1" customWidth="1"/>
    <col min="2" max="2" width="21.5545454545455" style="1" customWidth="1"/>
    <col min="3" max="3" width="13" style="1" customWidth="1"/>
    <col min="4" max="4" width="11.5545454545455" style="1" customWidth="1"/>
    <col min="5" max="5" width="13" style="1" customWidth="1"/>
    <col min="6" max="8" width="11.8909090909091" style="1" customWidth="1"/>
    <col min="9" max="10" width="10.5090909090909" style="1" customWidth="1"/>
    <col min="11" max="27" width="11.8181818181818" style="1" customWidth="1"/>
  </cols>
  <sheetData>
    <row r="1" ht="20" customHeight="1" spans="1:8">
      <c r="A1" s="37" t="s">
        <v>578</v>
      </c>
      <c r="B1" s="3"/>
      <c r="C1" s="3"/>
      <c r="D1" s="3"/>
      <c r="E1" s="3"/>
      <c r="F1" s="3"/>
      <c r="G1" s="3"/>
      <c r="H1" s="4"/>
    </row>
    <row r="2" ht="16.5" customHeight="1" spans="1:27">
      <c r="A2" s="5" t="s">
        <v>1</v>
      </c>
      <c r="B2" s="5" t="s">
        <v>184</v>
      </c>
      <c r="C2" s="5" t="s">
        <v>81</v>
      </c>
      <c r="D2" s="33">
        <v>2025</v>
      </c>
      <c r="E2" s="33">
        <v>2026</v>
      </c>
      <c r="F2" s="33">
        <v>2027</v>
      </c>
      <c r="G2" s="33">
        <v>2028</v>
      </c>
      <c r="H2" s="33">
        <v>2029</v>
      </c>
      <c r="I2" s="33">
        <v>2030</v>
      </c>
      <c r="J2" s="33">
        <v>2031</v>
      </c>
      <c r="K2" s="33">
        <v>2032</v>
      </c>
      <c r="L2" s="33">
        <v>2033</v>
      </c>
      <c r="M2" s="33">
        <v>2034</v>
      </c>
      <c r="N2" s="33">
        <v>2035</v>
      </c>
      <c r="O2" s="33">
        <v>2036</v>
      </c>
      <c r="P2" s="33">
        <v>2037</v>
      </c>
      <c r="Q2" s="33">
        <v>2038</v>
      </c>
      <c r="R2" s="33">
        <v>2039</v>
      </c>
      <c r="S2" s="33">
        <v>2040</v>
      </c>
      <c r="T2" s="33">
        <v>2041</v>
      </c>
      <c r="U2" s="33">
        <v>2042</v>
      </c>
      <c r="V2" s="33">
        <v>2043</v>
      </c>
      <c r="W2" s="33">
        <v>2044</v>
      </c>
      <c r="X2" s="33">
        <v>2045</v>
      </c>
      <c r="Y2" s="33">
        <v>2046</v>
      </c>
      <c r="Z2" s="33">
        <v>2047</v>
      </c>
      <c r="AA2" s="33">
        <v>2048</v>
      </c>
    </row>
    <row r="3" ht="16.5" customHeight="1" spans="1:27">
      <c r="A3" s="8">
        <v>1</v>
      </c>
      <c r="B3" s="8" t="s">
        <v>579</v>
      </c>
      <c r="C3" s="13">
        <f t="shared" ref="C3:C31" si="0">(SUM(D3:AA3))</f>
        <v>50402.4703982353</v>
      </c>
      <c r="D3" s="13">
        <f t="shared" ref="D3:AA3" si="1">D4-D9</f>
        <v>0</v>
      </c>
      <c r="E3" s="13">
        <f t="shared" si="1"/>
        <v>0</v>
      </c>
      <c r="F3" s="13">
        <f t="shared" si="1"/>
        <v>267.339943396226</v>
      </c>
      <c r="G3" s="13">
        <f t="shared" si="1"/>
        <v>1265.2740859978</v>
      </c>
      <c r="H3" s="13">
        <f t="shared" si="1"/>
        <v>2301.14468211252</v>
      </c>
      <c r="I3" s="13">
        <f t="shared" si="1"/>
        <v>2316.69979436076</v>
      </c>
      <c r="J3" s="13">
        <f t="shared" si="1"/>
        <v>2332.36789195782</v>
      </c>
      <c r="K3" s="13">
        <f t="shared" si="1"/>
        <v>2348.14946627059</v>
      </c>
      <c r="L3" s="13">
        <f t="shared" si="1"/>
        <v>2364.0450040023</v>
      </c>
      <c r="M3" s="13">
        <f t="shared" si="1"/>
        <v>2380.0549870023</v>
      </c>
      <c r="N3" s="13">
        <f t="shared" si="1"/>
        <v>2396.17989207163</v>
      </c>
      <c r="O3" s="13">
        <f t="shared" si="1"/>
        <v>2412.42019076456</v>
      </c>
      <c r="P3" s="13">
        <f t="shared" si="1"/>
        <v>2428.77634918594</v>
      </c>
      <c r="Q3" s="13">
        <f t="shared" si="1"/>
        <v>2445.24882778417</v>
      </c>
      <c r="R3" s="13">
        <f t="shared" si="1"/>
        <v>2461.8380811399</v>
      </c>
      <c r="S3" s="13">
        <f t="shared" si="1"/>
        <v>2478.54455775029</v>
      </c>
      <c r="T3" s="13">
        <f t="shared" si="1"/>
        <v>2495.3686998087</v>
      </c>
      <c r="U3" s="13">
        <f t="shared" si="1"/>
        <v>2512.31094297983</v>
      </c>
      <c r="V3" s="13">
        <f t="shared" si="1"/>
        <v>2529.3717161702</v>
      </c>
      <c r="W3" s="13">
        <f t="shared" si="1"/>
        <v>2546.55144129381</v>
      </c>
      <c r="X3" s="13">
        <f t="shared" si="1"/>
        <v>2561.74532469967</v>
      </c>
      <c r="Y3" s="13">
        <f t="shared" si="1"/>
        <v>2554.27710467776</v>
      </c>
      <c r="Z3" s="13">
        <f t="shared" si="1"/>
        <v>2515.56424457651</v>
      </c>
      <c r="AA3" s="13">
        <f t="shared" si="1"/>
        <v>2489.19717023205</v>
      </c>
    </row>
    <row r="4" ht="16.5" customHeight="1" spans="1:27">
      <c r="A4" s="8">
        <v>1.1</v>
      </c>
      <c r="B4" s="8" t="s">
        <v>466</v>
      </c>
      <c r="C4" s="13">
        <f t="shared" si="0"/>
        <v>72815.0069851317</v>
      </c>
      <c r="D4" s="13">
        <f t="shared" ref="D4:AA4" si="2">SUM(D5:D8)</f>
        <v>0</v>
      </c>
      <c r="E4" s="13">
        <f t="shared" si="2"/>
        <v>0</v>
      </c>
      <c r="F4" s="13">
        <f t="shared" si="2"/>
        <v>828.914943396226</v>
      </c>
      <c r="G4" s="13">
        <f t="shared" si="2"/>
        <v>2140.4860754717</v>
      </c>
      <c r="H4" s="13">
        <f t="shared" si="2"/>
        <v>3172.06018867924</v>
      </c>
      <c r="I4" s="13">
        <f t="shared" si="2"/>
        <v>3203.78079056604</v>
      </c>
      <c r="J4" s="13">
        <f t="shared" si="2"/>
        <v>3235.8185984717</v>
      </c>
      <c r="K4" s="13">
        <f t="shared" si="2"/>
        <v>3268.17678445642</v>
      </c>
      <c r="L4" s="13">
        <f t="shared" si="2"/>
        <v>3300.85855230098</v>
      </c>
      <c r="M4" s="13">
        <f t="shared" si="2"/>
        <v>3333.86713782399</v>
      </c>
      <c r="N4" s="13">
        <f t="shared" si="2"/>
        <v>3367.20580920223</v>
      </c>
      <c r="O4" s="13">
        <f t="shared" si="2"/>
        <v>3400.87786729425</v>
      </c>
      <c r="P4" s="13">
        <f t="shared" si="2"/>
        <v>3434.88664596719</v>
      </c>
      <c r="Q4" s="13">
        <f t="shared" si="2"/>
        <v>3469.23551242687</v>
      </c>
      <c r="R4" s="13">
        <f t="shared" si="2"/>
        <v>3503.92786755113</v>
      </c>
      <c r="S4" s="13">
        <f t="shared" si="2"/>
        <v>3538.96714622665</v>
      </c>
      <c r="T4" s="13">
        <f t="shared" si="2"/>
        <v>3574.35681768891</v>
      </c>
      <c r="U4" s="13">
        <f t="shared" si="2"/>
        <v>3610.1003858658</v>
      </c>
      <c r="V4" s="13">
        <f t="shared" si="2"/>
        <v>3646.20138972446</v>
      </c>
      <c r="W4" s="13">
        <f t="shared" si="2"/>
        <v>3682.66340362171</v>
      </c>
      <c r="X4" s="13">
        <f t="shared" si="2"/>
        <v>3719.49003765792</v>
      </c>
      <c r="Y4" s="13">
        <f t="shared" si="2"/>
        <v>3756.6849380345</v>
      </c>
      <c r="Z4" s="13">
        <f t="shared" si="2"/>
        <v>3794.25178741484</v>
      </c>
      <c r="AA4" s="13">
        <f t="shared" si="2"/>
        <v>3832.19430528899</v>
      </c>
    </row>
    <row r="5" ht="16.5" customHeight="1" spans="1:27">
      <c r="A5" s="8" t="s">
        <v>342</v>
      </c>
      <c r="B5" s="8" t="s">
        <v>467</v>
      </c>
      <c r="C5" s="13">
        <f t="shared" si="0"/>
        <v>70269.0322372428</v>
      </c>
      <c r="D5" s="40">
        <f>(F项目收入!D25)</f>
        <v>0</v>
      </c>
      <c r="E5" s="40">
        <f>(F项目收入!E25)</f>
        <v>0</v>
      </c>
      <c r="F5" s="40">
        <f>(F项目收入!F25)</f>
        <v>798.758490566038</v>
      </c>
      <c r="G5" s="40">
        <f>(F项目收入!G25)</f>
        <v>2071.55660377358</v>
      </c>
      <c r="H5" s="40">
        <f>(F项目收入!H25)</f>
        <v>3060.93396226415</v>
      </c>
      <c r="I5" s="40">
        <f>(F项目收入!I25)</f>
        <v>3091.54330188679</v>
      </c>
      <c r="J5" s="40">
        <f>(F项目收入!J25)</f>
        <v>3122.45873490566</v>
      </c>
      <c r="K5" s="40">
        <f>(F项目收入!K25)</f>
        <v>3153.68332225472</v>
      </c>
      <c r="L5" s="40">
        <f>(F项目收入!L25)</f>
        <v>3185.22015547726</v>
      </c>
      <c r="M5" s="40">
        <f>(F项目收入!M25)</f>
        <v>3217.07235703204</v>
      </c>
      <c r="N5" s="40">
        <f>(F项目收入!N25)</f>
        <v>3249.24308060236</v>
      </c>
      <c r="O5" s="40">
        <f>(F项目收入!O25)</f>
        <v>3281.73551140838</v>
      </c>
      <c r="P5" s="40">
        <f>(F项目收入!P25)</f>
        <v>3314.55286652246</v>
      </c>
      <c r="Q5" s="40">
        <f>(F项目收入!Q25)</f>
        <v>3347.69839518769</v>
      </c>
      <c r="R5" s="40">
        <f>(F项目收入!R25)</f>
        <v>3381.17537913956</v>
      </c>
      <c r="S5" s="40">
        <f>(F项目收入!S25)</f>
        <v>3414.98713293096</v>
      </c>
      <c r="T5" s="40">
        <f>(F项目收入!T25)</f>
        <v>3449.13700426027</v>
      </c>
      <c r="U5" s="40">
        <f>(F项目收入!U25)</f>
        <v>3483.62837430287</v>
      </c>
      <c r="V5" s="40">
        <f>(F项目收入!V25)</f>
        <v>3518.46465804591</v>
      </c>
      <c r="W5" s="40">
        <f>(F项目收入!W25)</f>
        <v>3553.64930462637</v>
      </c>
      <c r="X5" s="40">
        <f>(F项目收入!X25)</f>
        <v>3589.18579767263</v>
      </c>
      <c r="Y5" s="40">
        <f>(F项目收入!Y25)</f>
        <v>3625.07765564935</v>
      </c>
      <c r="Z5" s="40">
        <f>(F项目收入!Z25)</f>
        <v>3661.32843220584</v>
      </c>
      <c r="AA5" s="40">
        <f>F项目收入!AA25</f>
        <v>3697.9417165279</v>
      </c>
    </row>
    <row r="6" ht="16.5" customHeight="1" spans="1:27">
      <c r="A6" s="8" t="s">
        <v>344</v>
      </c>
      <c r="B6" s="8" t="s">
        <v>580</v>
      </c>
      <c r="C6" s="13">
        <f t="shared" si="0"/>
        <v>2545.97474788894</v>
      </c>
      <c r="D6" s="42">
        <f>(G.税金及附加测算表!D25)</f>
        <v>0</v>
      </c>
      <c r="E6" s="42">
        <f>(G.税金及附加测算表!E25)</f>
        <v>0</v>
      </c>
      <c r="F6" s="42">
        <f>(G.税金及附加测算表!F25)</f>
        <v>30.1564528301887</v>
      </c>
      <c r="G6" s="42">
        <f>(G.税金及附加测算表!G25)</f>
        <v>68.9294716981132</v>
      </c>
      <c r="H6" s="42">
        <f>(G.税金及附加测算表!H25)</f>
        <v>111.126226415094</v>
      </c>
      <c r="I6" s="42">
        <f>(G.税金及附加测算表!I25)</f>
        <v>112.237488679245</v>
      </c>
      <c r="J6" s="42">
        <f>(G.税金及附加测算表!J25)</f>
        <v>113.359863566038</v>
      </c>
      <c r="K6" s="42">
        <f>(G.税金及附加测算表!K25)</f>
        <v>114.493462201698</v>
      </c>
      <c r="L6" s="42">
        <f>(G.税金及附加测算表!L25)</f>
        <v>115.638396823715</v>
      </c>
      <c r="M6" s="42">
        <f>(G.税金及附加测算表!M25)</f>
        <v>116.794780791952</v>
      </c>
      <c r="N6" s="42">
        <f>(G.税金及附加测算表!N25)</f>
        <v>117.962728599872</v>
      </c>
      <c r="O6" s="42">
        <f>(G.税金及附加测算表!O25)</f>
        <v>119.142355885871</v>
      </c>
      <c r="P6" s="42">
        <f>(G.税金及附加测算表!P25)</f>
        <v>120.333779444729</v>
      </c>
      <c r="Q6" s="42">
        <f>(G.税金及附加测算表!Q25)</f>
        <v>121.537117239176</v>
      </c>
      <c r="R6" s="42">
        <f>(G.税金及附加测算表!R25)</f>
        <v>122.752488411568</v>
      </c>
      <c r="S6" s="42">
        <f>(G.税金及附加测算表!S25)</f>
        <v>123.980013295684</v>
      </c>
      <c r="T6" s="42">
        <f>(G.税金及附加测算表!T25)</f>
        <v>125.219813428641</v>
      </c>
      <c r="U6" s="42">
        <f>(G.税金及附加测算表!U25)</f>
        <v>126.472011562927</v>
      </c>
      <c r="V6" s="42">
        <f>(G.税金及附加测算表!V25)</f>
        <v>127.736731678557</v>
      </c>
      <c r="W6" s="42">
        <f>(G.税金及附加测算表!W25)</f>
        <v>129.014098995342</v>
      </c>
      <c r="X6" s="42">
        <f>(G.税金及附加测算表!X25)</f>
        <v>130.304239985295</v>
      </c>
      <c r="Y6" s="42">
        <f>(G.税金及附加测算表!Y25)</f>
        <v>131.607282385148</v>
      </c>
      <c r="Z6" s="42">
        <f>(G.税金及附加测算表!Z25)</f>
        <v>132.923355209</v>
      </c>
      <c r="AA6" s="42">
        <f>G.税金及附加测算表!AA25</f>
        <v>134.25258876109</v>
      </c>
    </row>
    <row r="7" ht="16.5" customHeight="1" spans="1:27">
      <c r="A7" s="8" t="s">
        <v>346</v>
      </c>
      <c r="B7" s="8" t="s">
        <v>368</v>
      </c>
      <c r="C7" s="13">
        <f t="shared" si="0"/>
        <v>0</v>
      </c>
      <c r="D7" s="40">
        <f>(F项目收入!D23)</f>
        <v>0</v>
      </c>
      <c r="E7" s="40">
        <f>(F项目收入!E23)</f>
        <v>0</v>
      </c>
      <c r="F7" s="40">
        <f>(F项目收入!F23)</f>
        <v>0</v>
      </c>
      <c r="G7" s="40">
        <f>(F项目收入!G23)</f>
        <v>0</v>
      </c>
      <c r="H7" s="40">
        <f>(F项目收入!H23)</f>
        <v>0</v>
      </c>
      <c r="I7" s="40">
        <f>(F项目收入!I23)</f>
        <v>0</v>
      </c>
      <c r="J7" s="40">
        <f>(F项目收入!J23)</f>
        <v>0</v>
      </c>
      <c r="K7" s="40">
        <f>(F项目收入!K23)</f>
        <v>0</v>
      </c>
      <c r="L7" s="40">
        <f>(F项目收入!L23)</f>
        <v>0</v>
      </c>
      <c r="M7" s="40">
        <f>(F项目收入!M23)</f>
        <v>0</v>
      </c>
      <c r="N7" s="40">
        <f>(F项目收入!N23)</f>
        <v>0</v>
      </c>
      <c r="O7" s="40">
        <f>(F项目收入!O23)</f>
        <v>0</v>
      </c>
      <c r="P7" s="40">
        <f>(F项目收入!P23)</f>
        <v>0</v>
      </c>
      <c r="Q7" s="40">
        <f>(F项目收入!Q23)</f>
        <v>0</v>
      </c>
      <c r="R7" s="40">
        <f>(F项目收入!R23)</f>
        <v>0</v>
      </c>
      <c r="S7" s="40">
        <f>(F项目收入!S23)</f>
        <v>0</v>
      </c>
      <c r="T7" s="40">
        <f>(F项目收入!T23)</f>
        <v>0</v>
      </c>
      <c r="U7" s="40">
        <f>(F项目收入!U23)</f>
        <v>0</v>
      </c>
      <c r="V7" s="40">
        <f>(F项目收入!V23)</f>
        <v>0</v>
      </c>
      <c r="W7" s="40">
        <f>(F项目收入!W23)</f>
        <v>0</v>
      </c>
      <c r="X7" s="40">
        <f>(F项目收入!X23)</f>
        <v>0</v>
      </c>
      <c r="Y7" s="40">
        <f>(F项目收入!Y23)</f>
        <v>0</v>
      </c>
      <c r="Z7" s="40">
        <f>(F项目收入!Z23)</f>
        <v>0</v>
      </c>
      <c r="AA7" s="40">
        <v>0</v>
      </c>
    </row>
    <row r="8" ht="16.5" customHeight="1" spans="1:27">
      <c r="A8" s="8" t="s">
        <v>581</v>
      </c>
      <c r="B8" s="8" t="s">
        <v>582</v>
      </c>
      <c r="C8" s="13">
        <f t="shared" si="0"/>
        <v>0</v>
      </c>
      <c r="D8" s="38">
        <v>0</v>
      </c>
      <c r="E8" s="38">
        <v>0</v>
      </c>
      <c r="F8" s="38">
        <v>0</v>
      </c>
      <c r="G8" s="38">
        <v>0</v>
      </c>
      <c r="H8" s="38">
        <v>0</v>
      </c>
      <c r="I8" s="38">
        <v>0</v>
      </c>
      <c r="J8" s="38">
        <v>0</v>
      </c>
      <c r="K8" s="38">
        <v>0</v>
      </c>
      <c r="L8" s="38">
        <v>0</v>
      </c>
      <c r="M8" s="38">
        <v>0</v>
      </c>
      <c r="N8" s="38">
        <v>0</v>
      </c>
      <c r="O8" s="38">
        <v>0</v>
      </c>
      <c r="P8" s="38">
        <v>0</v>
      </c>
      <c r="Q8" s="38">
        <v>0</v>
      </c>
      <c r="R8" s="38">
        <v>0</v>
      </c>
      <c r="S8" s="38">
        <v>0</v>
      </c>
      <c r="T8" s="38">
        <v>0</v>
      </c>
      <c r="U8" s="38">
        <v>0</v>
      </c>
      <c r="V8" s="38">
        <v>0</v>
      </c>
      <c r="W8" s="38">
        <v>0</v>
      </c>
      <c r="X8" s="38">
        <v>0</v>
      </c>
      <c r="Y8" s="38">
        <v>0</v>
      </c>
      <c r="Z8" s="38">
        <v>0</v>
      </c>
      <c r="AA8" s="38">
        <v>0</v>
      </c>
    </row>
    <row r="9" ht="16.5" customHeight="1" spans="1:27">
      <c r="A9" s="8">
        <v>1.2</v>
      </c>
      <c r="B9" s="8" t="s">
        <v>470</v>
      </c>
      <c r="C9" s="13">
        <f t="shared" si="0"/>
        <v>22412.5365868964</v>
      </c>
      <c r="D9" s="13">
        <f t="shared" ref="D9:AA9" si="3">SUM(D10:D15)</f>
        <v>0</v>
      </c>
      <c r="E9" s="13">
        <f t="shared" si="3"/>
        <v>0</v>
      </c>
      <c r="F9" s="13">
        <f t="shared" si="3"/>
        <v>561.575</v>
      </c>
      <c r="G9" s="13">
        <f t="shared" si="3"/>
        <v>875.211989473899</v>
      </c>
      <c r="H9" s="13">
        <f t="shared" si="3"/>
        <v>870.915506566724</v>
      </c>
      <c r="I9" s="13">
        <f t="shared" si="3"/>
        <v>887.080996205274</v>
      </c>
      <c r="J9" s="13">
        <f t="shared" si="3"/>
        <v>903.450706513874</v>
      </c>
      <c r="K9" s="13">
        <f t="shared" si="3"/>
        <v>920.027318185829</v>
      </c>
      <c r="L9" s="13">
        <f t="shared" si="3"/>
        <v>936.813548298677</v>
      </c>
      <c r="M9" s="13">
        <f t="shared" si="3"/>
        <v>953.812150821689</v>
      </c>
      <c r="N9" s="13">
        <f t="shared" si="3"/>
        <v>971.025917130605</v>
      </c>
      <c r="O9" s="13">
        <f t="shared" si="3"/>
        <v>988.45767652969</v>
      </c>
      <c r="P9" s="13">
        <f t="shared" si="3"/>
        <v>1006.11029678125</v>
      </c>
      <c r="Q9" s="13">
        <f t="shared" si="3"/>
        <v>1023.9866846427</v>
      </c>
      <c r="R9" s="13">
        <f t="shared" si="3"/>
        <v>1042.08978641123</v>
      </c>
      <c r="S9" s="13">
        <f t="shared" si="3"/>
        <v>1060.42258847636</v>
      </c>
      <c r="T9" s="13">
        <f t="shared" si="3"/>
        <v>1078.98811788022</v>
      </c>
      <c r="U9" s="13">
        <f t="shared" si="3"/>
        <v>1097.78944288597</v>
      </c>
      <c r="V9" s="13">
        <f t="shared" si="3"/>
        <v>1116.82967355427</v>
      </c>
      <c r="W9" s="13">
        <f t="shared" si="3"/>
        <v>1136.1119623279</v>
      </c>
      <c r="X9" s="13">
        <f t="shared" si="3"/>
        <v>1157.74471295825</v>
      </c>
      <c r="Y9" s="13">
        <f t="shared" si="3"/>
        <v>1202.40783335674</v>
      </c>
      <c r="Z9" s="13">
        <f t="shared" si="3"/>
        <v>1278.68754283833</v>
      </c>
      <c r="AA9" s="13">
        <f t="shared" si="3"/>
        <v>1342.99713505694</v>
      </c>
    </row>
    <row r="10" ht="16.5" customHeight="1" spans="1:27">
      <c r="A10" s="8" t="s">
        <v>193</v>
      </c>
      <c r="B10" s="8" t="s">
        <v>471</v>
      </c>
      <c r="C10" s="13">
        <f t="shared" si="0"/>
        <v>16459.7375003544</v>
      </c>
      <c r="D10" s="13">
        <f>E总成本费用估算表!C11</f>
        <v>0</v>
      </c>
      <c r="E10" s="13">
        <f>E总成本费用估算表!D11</f>
        <v>0</v>
      </c>
      <c r="F10" s="13">
        <f>E总成本费用估算表!E11</f>
        <v>508.418243078672</v>
      </c>
      <c r="G10" s="13">
        <f>E总成本费用估算表!F11</f>
        <v>651.797541020492</v>
      </c>
      <c r="H10" s="13">
        <f>E总成本费用估算表!G11</f>
        <v>661.582144562799</v>
      </c>
      <c r="I10" s="13">
        <f>E总成本费用估算表!H11</f>
        <v>671.505415631241</v>
      </c>
      <c r="J10" s="13">
        <f>E总成本费用估算表!I11</f>
        <v>681.57753576571</v>
      </c>
      <c r="K10" s="13">
        <f>E总成本费用估算表!J11</f>
        <v>691.800737702195</v>
      </c>
      <c r="L10" s="13">
        <f>E总成本费用估算表!K11</f>
        <v>702.177287667728</v>
      </c>
      <c r="M10" s="13">
        <f>E总成本费用估算表!L11</f>
        <v>712.709485882744</v>
      </c>
      <c r="N10" s="13">
        <f>E总成本费用估算表!M11</f>
        <v>723.399667070986</v>
      </c>
      <c r="O10" s="13">
        <f>E总成本费用估算表!N11</f>
        <v>734.25020097705</v>
      </c>
      <c r="P10" s="13">
        <f>E总成本费用估算表!O11</f>
        <v>745.263492891706</v>
      </c>
      <c r="Q10" s="13">
        <f>E总成本费用估算表!P11</f>
        <v>756.441984185081</v>
      </c>
      <c r="R10" s="13">
        <f>E总成本费用估算表!Q11</f>
        <v>767.788152847858</v>
      </c>
      <c r="S10" s="13">
        <f>E总成本费用估算表!R11</f>
        <v>779.304514040574</v>
      </c>
      <c r="T10" s="13">
        <f>E总成本费用估算表!S11</f>
        <v>790.993620651184</v>
      </c>
      <c r="U10" s="13">
        <f>E总成本费用估算表!T11</f>
        <v>802.858063860951</v>
      </c>
      <c r="V10" s="13">
        <f>E总成本费用估算表!U11</f>
        <v>814.900473718866</v>
      </c>
      <c r="W10" s="13">
        <f>E总成本费用估算表!V11</f>
        <v>827.123519724648</v>
      </c>
      <c r="X10" s="13">
        <f>E总成本费用估算表!W11</f>
        <v>839.588661420518</v>
      </c>
      <c r="Y10" s="13">
        <f>E总成本费用估算表!X11</f>
        <v>852.700653491826</v>
      </c>
      <c r="Z10" s="13">
        <f>E总成本费用估算表!Y11</f>
        <v>865.325492976703</v>
      </c>
      <c r="AA10" s="13">
        <f>E总成本费用估算表!Z11</f>
        <v>878.230611184854</v>
      </c>
    </row>
    <row r="11" ht="16.5" customHeight="1" spans="1:27">
      <c r="A11" s="8" t="s">
        <v>196</v>
      </c>
      <c r="B11" s="8" t="s">
        <v>583</v>
      </c>
      <c r="C11" s="13">
        <f t="shared" si="0"/>
        <v>1774.05153879509</v>
      </c>
      <c r="D11" s="38">
        <f>(G.税金及附加测算表!D4)</f>
        <v>0</v>
      </c>
      <c r="E11" s="38">
        <f>(G.税金及附加测算表!E4)</f>
        <v>0</v>
      </c>
      <c r="F11" s="38">
        <f>(G.税金及附加测算表!F4)</f>
        <v>53.1567569213283</v>
      </c>
      <c r="G11" s="38">
        <f>(G.税金及附加测算表!G4)</f>
        <v>70.325217179508</v>
      </c>
      <c r="H11" s="38">
        <f>(G.税金及附加测算表!H4)</f>
        <v>71.3800954372006</v>
      </c>
      <c r="I11" s="38">
        <f>(G.税金及附加测算表!I4)</f>
        <v>72.4507968687586</v>
      </c>
      <c r="J11" s="38">
        <f>(G.税金及附加测算表!J4)</f>
        <v>73.53755882179</v>
      </c>
      <c r="K11" s="38">
        <f>(G.税金及附加测算表!K4)</f>
        <v>74.6406222041168</v>
      </c>
      <c r="L11" s="38">
        <f>(G.税金及附加测算表!L4)</f>
        <v>75.7602315371786</v>
      </c>
      <c r="M11" s="38">
        <f>(G.税金及附加测算表!M4)</f>
        <v>76.8966350102362</v>
      </c>
      <c r="N11" s="38">
        <f>(G.税金及附加测算表!N4)</f>
        <v>78.0500845353898</v>
      </c>
      <c r="O11" s="38">
        <f>(G.税金及附加测算表!O4)</f>
        <v>79.2208358034206</v>
      </c>
      <c r="P11" s="38">
        <f>(G.税金及附加测算表!P4)</f>
        <v>80.409148340472</v>
      </c>
      <c r="Q11" s="38">
        <f>(G.税金及附加测算表!Q4)</f>
        <v>81.615285565579</v>
      </c>
      <c r="R11" s="38">
        <f>(G.税金及附加测算表!R4)</f>
        <v>82.8395148490627</v>
      </c>
      <c r="S11" s="38">
        <f>(G.税金及附加测算表!S4)</f>
        <v>84.0821075717985</v>
      </c>
      <c r="T11" s="38">
        <f>(G.税金及附加测算表!T4)</f>
        <v>85.3433391853756</v>
      </c>
      <c r="U11" s="38">
        <f>(G.税金及附加测算表!U4)</f>
        <v>86.6234892731561</v>
      </c>
      <c r="V11" s="38">
        <f>(G.税金及附加测算表!V4)</f>
        <v>87.9228416122536</v>
      </c>
      <c r="W11" s="38">
        <f>(G.税金及附加测算表!W4)</f>
        <v>89.2416842364373</v>
      </c>
      <c r="X11" s="38">
        <f>(G.税金及附加测算表!X4)</f>
        <v>90.5803094999839</v>
      </c>
      <c r="Y11" s="38">
        <f>(G.税金及附加测算表!Y4)</f>
        <v>91.9390141424836</v>
      </c>
      <c r="Z11" s="38">
        <f>(G.税金及附加测算表!Z4)</f>
        <v>93.3180993546209</v>
      </c>
      <c r="AA11" s="38">
        <f>G.税金及附加测算表!AA4</f>
        <v>94.7178708449403</v>
      </c>
    </row>
    <row r="12" ht="16.5" customHeight="1" spans="1:27">
      <c r="A12" s="8" t="s">
        <v>199</v>
      </c>
      <c r="B12" s="8" t="s">
        <v>472</v>
      </c>
      <c r="C12" s="13">
        <f t="shared" si="0"/>
        <v>0</v>
      </c>
      <c r="D12" s="13">
        <f>(G.税金及附加测算表!D30)</f>
        <v>0</v>
      </c>
      <c r="E12" s="13">
        <f>(G.税金及附加测算表!E30)</f>
        <v>0</v>
      </c>
      <c r="F12" s="13">
        <f>(G.税金及附加测算表!F30)</f>
        <v>0</v>
      </c>
      <c r="G12" s="13">
        <f>(G.税金及附加测算表!G30)</f>
        <v>0</v>
      </c>
      <c r="H12" s="13">
        <f>(G.税金及附加测算表!H30)</f>
        <v>0</v>
      </c>
      <c r="I12" s="13">
        <f>(G.税金及附加测算表!I30)</f>
        <v>0</v>
      </c>
      <c r="J12" s="13">
        <f>(G.税金及附加测算表!J30)</f>
        <v>0</v>
      </c>
      <c r="K12" s="13">
        <f>(G.税金及附加测算表!K30)</f>
        <v>0</v>
      </c>
      <c r="L12" s="13">
        <f>(G.税金及附加测算表!L30)</f>
        <v>0</v>
      </c>
      <c r="M12" s="13">
        <f>(G.税金及附加测算表!M30)</f>
        <v>0</v>
      </c>
      <c r="N12" s="13">
        <f>(G.税金及附加测算表!N30)</f>
        <v>0</v>
      </c>
      <c r="O12" s="13">
        <f>(G.税金及附加测算表!O30)</f>
        <v>0</v>
      </c>
      <c r="P12" s="13">
        <f>(G.税金及附加测算表!P30)</f>
        <v>0</v>
      </c>
      <c r="Q12" s="13">
        <f>(G.税金及附加测算表!Q30)</f>
        <v>0</v>
      </c>
      <c r="R12" s="13">
        <f>(G.税金及附加测算表!R30)</f>
        <v>0</v>
      </c>
      <c r="S12" s="13">
        <f>(G.税金及附加测算表!S30)</f>
        <v>0</v>
      </c>
      <c r="T12" s="13">
        <f>(G.税金及附加测算表!T30)</f>
        <v>0</v>
      </c>
      <c r="U12" s="13">
        <f>(G.税金及附加测算表!U30)</f>
        <v>0</v>
      </c>
      <c r="V12" s="13">
        <f>(G.税金及附加测算表!V30)</f>
        <v>0</v>
      </c>
      <c r="W12" s="13">
        <f>(G.税金及附加测算表!W30)</f>
        <v>0</v>
      </c>
      <c r="X12" s="13">
        <f>(G.税金及附加测算表!X30)</f>
        <v>0</v>
      </c>
      <c r="Y12" s="13">
        <f>(G.税金及附加测算表!Y30)</f>
        <v>0</v>
      </c>
      <c r="Z12" s="13">
        <f>(G.税金及附加测算表!Z30)</f>
        <v>0</v>
      </c>
      <c r="AA12" s="13">
        <f>G.税金及附加测算表!AA30</f>
        <v>0</v>
      </c>
    </row>
    <row r="13" ht="16.5" customHeight="1" spans="1:27">
      <c r="A13" s="8" t="s">
        <v>201</v>
      </c>
      <c r="B13" s="8" t="s">
        <v>473</v>
      </c>
      <c r="C13" s="13">
        <f t="shared" si="0"/>
        <v>0</v>
      </c>
      <c r="D13" s="13">
        <f>(G.税金及附加测算表!D29)</f>
        <v>0</v>
      </c>
      <c r="E13" s="13">
        <f>(G.税金及附加测算表!E29)</f>
        <v>0</v>
      </c>
      <c r="F13" s="13">
        <f>(G.税金及附加测算表!F29)</f>
        <v>0</v>
      </c>
      <c r="G13" s="13">
        <f>(G.税金及附加测算表!G29)</f>
        <v>0</v>
      </c>
      <c r="H13" s="13">
        <f>(G.税金及附加测算表!H29)</f>
        <v>0</v>
      </c>
      <c r="I13" s="13">
        <f>(G.税金及附加测算表!I29)</f>
        <v>0</v>
      </c>
      <c r="J13" s="13">
        <f>(G.税金及附加测算表!J29)</f>
        <v>0</v>
      </c>
      <c r="K13" s="13">
        <f>(G.税金及附加测算表!K29)</f>
        <v>0</v>
      </c>
      <c r="L13" s="13">
        <f>(G.税金及附加测算表!L29)</f>
        <v>0</v>
      </c>
      <c r="M13" s="13">
        <f>(G.税金及附加测算表!M29)</f>
        <v>0</v>
      </c>
      <c r="N13" s="13">
        <f>(G.税金及附加测算表!N29)</f>
        <v>0</v>
      </c>
      <c r="O13" s="13">
        <f>(G.税金及附加测算表!O29)</f>
        <v>0</v>
      </c>
      <c r="P13" s="13">
        <f>(G.税金及附加测算表!P29)</f>
        <v>0</v>
      </c>
      <c r="Q13" s="13">
        <f>(G.税金及附加测算表!Q29)</f>
        <v>0</v>
      </c>
      <c r="R13" s="13">
        <f>(G.税金及附加测算表!R29)</f>
        <v>0</v>
      </c>
      <c r="S13" s="13">
        <f>(G.税金及附加测算表!S29)</f>
        <v>0</v>
      </c>
      <c r="T13" s="13">
        <f>(G.税金及附加测算表!T29)</f>
        <v>0</v>
      </c>
      <c r="U13" s="13">
        <f>(G.税金及附加测算表!U29)</f>
        <v>0</v>
      </c>
      <c r="V13" s="13">
        <f>(G.税金及附加测算表!V29)</f>
        <v>0</v>
      </c>
      <c r="W13" s="13">
        <f>(G.税金及附加测算表!W29)</f>
        <v>0</v>
      </c>
      <c r="X13" s="13">
        <f>(G.税金及附加测算表!X29)</f>
        <v>0</v>
      </c>
      <c r="Y13" s="13">
        <f>(G.税金及附加测算表!Y29)</f>
        <v>0</v>
      </c>
      <c r="Z13" s="13">
        <f>(G.税金及附加测算表!Z29)</f>
        <v>0</v>
      </c>
      <c r="AA13" s="13">
        <f>G.税金及附加测算表!AA29</f>
        <v>0</v>
      </c>
    </row>
    <row r="14" ht="16.5" customHeight="1" spans="1:27">
      <c r="A14" s="8" t="s">
        <v>584</v>
      </c>
      <c r="B14" s="8" t="s">
        <v>508</v>
      </c>
      <c r="C14" s="13">
        <f t="shared" si="0"/>
        <v>4178.74754774694</v>
      </c>
      <c r="D14" s="13">
        <f>'b利润与利润分配表（损益和利润分配表）'!D11</f>
        <v>0</v>
      </c>
      <c r="E14" s="13">
        <f>'b利润与利润分配表（损益和利润分配表）'!E11</f>
        <v>0</v>
      </c>
      <c r="F14" s="13">
        <f>'b利润与利润分配表（损益和利润分配表）'!F11</f>
        <v>0</v>
      </c>
      <c r="G14" s="13">
        <f>'b利润与利润分配表（损益和利润分配表）'!G11</f>
        <v>153.089231273899</v>
      </c>
      <c r="H14" s="13">
        <f>'b利润与利润分配表（损益和利润分配表）'!H11</f>
        <v>137.953266566724</v>
      </c>
      <c r="I14" s="13">
        <f>'b利润与利润分配表（损益和利润分配表）'!I11</f>
        <v>143.124783705274</v>
      </c>
      <c r="J14" s="13">
        <f>'b利润与利润分配表（损益和利润分配表）'!J11</f>
        <v>148.335611926374</v>
      </c>
      <c r="K14" s="13">
        <f>'b利润与利润分配表（损益和利润分配表）'!K11</f>
        <v>153.585958279517</v>
      </c>
      <c r="L14" s="13">
        <f>'b利润与利润分配表（损益和利润分配表）'!L11</f>
        <v>158.87602909377</v>
      </c>
      <c r="M14" s="13">
        <f>'b利润与利润分配表（损益和利润分配表）'!M11</f>
        <v>164.206029928709</v>
      </c>
      <c r="N14" s="13">
        <f>'b利润与利润分配表（损益和利润分配表）'!N11</f>
        <v>169.576165524229</v>
      </c>
      <c r="O14" s="13">
        <f>'b利润与利润分配表（损益和利润分配表）'!O11</f>
        <v>174.986639749219</v>
      </c>
      <c r="P14" s="13">
        <f>'b利润与利润分配表（损益和利润分配表）'!P11</f>
        <v>180.437655549075</v>
      </c>
      <c r="Q14" s="13">
        <f>'b利润与利润分配表（损益和利润分配表）'!Q11</f>
        <v>185.929414892038</v>
      </c>
      <c r="R14" s="13">
        <f>'b利润与利润分配表（损益和利润分配表）'!R11</f>
        <v>191.462118714312</v>
      </c>
      <c r="S14" s="13">
        <f>'b利润与利润分配表（损益和利润分配表）'!S11</f>
        <v>197.035966863983</v>
      </c>
      <c r="T14" s="13">
        <f>'b利润与利润分配表（损益和利润分配表）'!T11</f>
        <v>202.651158043658</v>
      </c>
      <c r="U14" s="13">
        <f>'b利润与利润分配表（损益和利润分配表）'!U11</f>
        <v>208.307889751867</v>
      </c>
      <c r="V14" s="13">
        <f>'b利润与利润分配表（损益和利润分配表）'!V11</f>
        <v>214.006358223146</v>
      </c>
      <c r="W14" s="13">
        <f>'b利润与利润分配表（损益和利润分配表）'!W11</f>
        <v>219.746758366816</v>
      </c>
      <c r="X14" s="13">
        <f>'b利润与利润分配表（损益和利润分配表）'!X11</f>
        <v>227.575742037746</v>
      </c>
      <c r="Y14" s="13">
        <f>'b利润与利润分配表（损益和利润分配表）'!Y11</f>
        <v>257.768165722434</v>
      </c>
      <c r="Z14" s="13">
        <f>'b利润与利润分配表（损益和利润分配表）'!Z11</f>
        <v>320.043950507004</v>
      </c>
      <c r="AA14" s="13">
        <f>'b利润与利润分配表（损益和利润分配表）'!AA11</f>
        <v>370.048653027147</v>
      </c>
    </row>
    <row r="15" ht="16.5" customHeight="1" spans="1:27">
      <c r="A15" s="8" t="s">
        <v>585</v>
      </c>
      <c r="B15" s="8" t="s">
        <v>586</v>
      </c>
      <c r="C15" s="13">
        <f t="shared" si="0"/>
        <v>0</v>
      </c>
      <c r="D15" s="38">
        <v>0</v>
      </c>
      <c r="E15" s="38">
        <v>0</v>
      </c>
      <c r="F15" s="38">
        <v>0</v>
      </c>
      <c r="G15" s="38">
        <v>0</v>
      </c>
      <c r="H15" s="38">
        <v>0</v>
      </c>
      <c r="I15" s="38">
        <v>0</v>
      </c>
      <c r="J15" s="38">
        <v>0</v>
      </c>
      <c r="K15" s="38">
        <v>0</v>
      </c>
      <c r="L15" s="38">
        <v>0</v>
      </c>
      <c r="M15" s="38">
        <v>0</v>
      </c>
      <c r="N15" s="38">
        <v>0</v>
      </c>
      <c r="O15" s="38">
        <v>0</v>
      </c>
      <c r="P15" s="38">
        <v>0</v>
      </c>
      <c r="Q15" s="38">
        <v>0</v>
      </c>
      <c r="R15" s="38">
        <v>0</v>
      </c>
      <c r="S15" s="38">
        <v>0</v>
      </c>
      <c r="T15" s="38">
        <v>0</v>
      </c>
      <c r="U15" s="38">
        <v>0</v>
      </c>
      <c r="V15" s="38">
        <v>0</v>
      </c>
      <c r="W15" s="38">
        <v>0</v>
      </c>
      <c r="X15" s="38">
        <v>0</v>
      </c>
      <c r="Y15" s="38">
        <v>0</v>
      </c>
      <c r="Z15" s="38">
        <v>0</v>
      </c>
      <c r="AA15" s="38">
        <v>0</v>
      </c>
    </row>
    <row r="16" ht="16.5" customHeight="1" spans="1:27">
      <c r="A16" s="8">
        <v>2</v>
      </c>
      <c r="B16" s="8" t="s">
        <v>587</v>
      </c>
      <c r="C16" s="13">
        <f t="shared" si="0"/>
        <v>-26423.5997897909</v>
      </c>
      <c r="D16" s="13">
        <f t="shared" ref="D16:AA16" si="4">D17-D18</f>
        <v>-1862.88206098348</v>
      </c>
      <c r="E16" s="13">
        <f t="shared" si="4"/>
        <v>-10556.3316789064</v>
      </c>
      <c r="F16" s="13">
        <f t="shared" si="4"/>
        <v>-13094.7863029973</v>
      </c>
      <c r="G16" s="13">
        <f t="shared" si="4"/>
        <v>-680.611282116894</v>
      </c>
      <c r="H16" s="13">
        <f t="shared" si="4"/>
        <v>-131.675458353803</v>
      </c>
      <c r="I16" s="13">
        <f t="shared" si="4"/>
        <v>-4.64687762306841</v>
      </c>
      <c r="J16" s="13">
        <f t="shared" si="4"/>
        <v>-4.69630209991453</v>
      </c>
      <c r="K16" s="13">
        <f t="shared" si="4"/>
        <v>-4.74626515703795</v>
      </c>
      <c r="L16" s="13">
        <f t="shared" si="4"/>
        <v>-4.79677284527503</v>
      </c>
      <c r="M16" s="13">
        <f t="shared" si="4"/>
        <v>-4.84783128594381</v>
      </c>
      <c r="N16" s="13">
        <f t="shared" si="4"/>
        <v>-4.8994466717038</v>
      </c>
      <c r="O16" s="13">
        <f t="shared" si="4"/>
        <v>-4.95162526741348</v>
      </c>
      <c r="P16" s="13">
        <f t="shared" si="4"/>
        <v>-5.00437341101531</v>
      </c>
      <c r="Q16" s="13">
        <f t="shared" si="4"/>
        <v>-5.05769751441778</v>
      </c>
      <c r="R16" s="13">
        <f t="shared" si="4"/>
        <v>-5.11160406439279</v>
      </c>
      <c r="S16" s="13">
        <f t="shared" si="4"/>
        <v>-5.16609962349219</v>
      </c>
      <c r="T16" s="13">
        <f t="shared" si="4"/>
        <v>-5.22119083095669</v>
      </c>
      <c r="U16" s="13">
        <f t="shared" si="4"/>
        <v>-5.27688440366518</v>
      </c>
      <c r="V16" s="13">
        <f t="shared" si="4"/>
        <v>-5.33318713706763</v>
      </c>
      <c r="W16" s="13">
        <f t="shared" si="4"/>
        <v>-5.39010590614373</v>
      </c>
      <c r="X16" s="13">
        <f t="shared" si="4"/>
        <v>-5.45172752748636</v>
      </c>
      <c r="Y16" s="13">
        <f t="shared" si="4"/>
        <v>-5.54189615611733</v>
      </c>
      <c r="Z16" s="13">
        <f t="shared" si="4"/>
        <v>-5.55375787675075</v>
      </c>
      <c r="AA16" s="13">
        <f t="shared" si="4"/>
        <v>-5.61936103119751</v>
      </c>
    </row>
    <row r="17" ht="25.2" customHeight="1" spans="1:27">
      <c r="A17" s="8">
        <v>2.1</v>
      </c>
      <c r="B17" s="35" t="s">
        <v>466</v>
      </c>
      <c r="C17" s="13">
        <f t="shared" si="0"/>
        <v>0</v>
      </c>
      <c r="D17" s="38">
        <v>0</v>
      </c>
      <c r="E17" s="38">
        <v>0</v>
      </c>
      <c r="F17" s="38">
        <v>0</v>
      </c>
      <c r="G17" s="38">
        <v>0</v>
      </c>
      <c r="H17" s="38">
        <v>0</v>
      </c>
      <c r="I17" s="38">
        <v>0</v>
      </c>
      <c r="J17" s="38">
        <v>0</v>
      </c>
      <c r="K17" s="38">
        <v>0</v>
      </c>
      <c r="L17" s="38">
        <v>0</v>
      </c>
      <c r="M17" s="38">
        <v>0</v>
      </c>
      <c r="N17" s="38">
        <v>0</v>
      </c>
      <c r="O17" s="38">
        <v>0</v>
      </c>
      <c r="P17" s="38">
        <v>0</v>
      </c>
      <c r="Q17" s="38">
        <v>0</v>
      </c>
      <c r="R17" s="38">
        <v>0</v>
      </c>
      <c r="S17" s="38">
        <v>0</v>
      </c>
      <c r="T17" s="38">
        <v>0</v>
      </c>
      <c r="U17" s="38">
        <v>0</v>
      </c>
      <c r="V17" s="38">
        <v>0</v>
      </c>
      <c r="W17" s="38">
        <v>0</v>
      </c>
      <c r="X17" s="38">
        <v>0</v>
      </c>
      <c r="Y17" s="38">
        <v>0</v>
      </c>
      <c r="Z17" s="38">
        <v>0</v>
      </c>
      <c r="AA17" s="38">
        <v>0</v>
      </c>
    </row>
    <row r="18" ht="16.5" customHeight="1" spans="1:27">
      <c r="A18" s="8">
        <v>2.2</v>
      </c>
      <c r="B18" s="8" t="s">
        <v>470</v>
      </c>
      <c r="C18" s="13">
        <f t="shared" si="0"/>
        <v>26423.5997897909</v>
      </c>
      <c r="D18" s="13">
        <f t="shared" ref="D18:AA18" si="5">SUM(D19:D22)</f>
        <v>1862.88206098348</v>
      </c>
      <c r="E18" s="13">
        <f t="shared" si="5"/>
        <v>10556.3316789064</v>
      </c>
      <c r="F18" s="13">
        <f t="shared" si="5"/>
        <v>13094.7863029973</v>
      </c>
      <c r="G18" s="13">
        <f t="shared" si="5"/>
        <v>680.611282116894</v>
      </c>
      <c r="H18" s="13">
        <f t="shared" si="5"/>
        <v>131.675458353803</v>
      </c>
      <c r="I18" s="13">
        <f t="shared" si="5"/>
        <v>4.64687762306841</v>
      </c>
      <c r="J18" s="13">
        <f t="shared" si="5"/>
        <v>4.69630209991453</v>
      </c>
      <c r="K18" s="13">
        <f t="shared" si="5"/>
        <v>4.74626515703795</v>
      </c>
      <c r="L18" s="13">
        <f t="shared" si="5"/>
        <v>4.79677284527503</v>
      </c>
      <c r="M18" s="13">
        <f t="shared" si="5"/>
        <v>4.84783128594381</v>
      </c>
      <c r="N18" s="13">
        <f t="shared" si="5"/>
        <v>4.8994466717038</v>
      </c>
      <c r="O18" s="13">
        <f t="shared" si="5"/>
        <v>4.95162526741348</v>
      </c>
      <c r="P18" s="13">
        <f t="shared" si="5"/>
        <v>5.00437341101531</v>
      </c>
      <c r="Q18" s="13">
        <f t="shared" si="5"/>
        <v>5.05769751441778</v>
      </c>
      <c r="R18" s="13">
        <f t="shared" si="5"/>
        <v>5.11160406439279</v>
      </c>
      <c r="S18" s="13">
        <f t="shared" si="5"/>
        <v>5.16609962349219</v>
      </c>
      <c r="T18" s="13">
        <f t="shared" si="5"/>
        <v>5.22119083095669</v>
      </c>
      <c r="U18" s="13">
        <f t="shared" si="5"/>
        <v>5.27688440366518</v>
      </c>
      <c r="V18" s="13">
        <f t="shared" si="5"/>
        <v>5.33318713706763</v>
      </c>
      <c r="W18" s="13">
        <f t="shared" si="5"/>
        <v>5.39010590614373</v>
      </c>
      <c r="X18" s="13">
        <f t="shared" si="5"/>
        <v>5.45172752748636</v>
      </c>
      <c r="Y18" s="13">
        <f t="shared" si="5"/>
        <v>5.54189615611733</v>
      </c>
      <c r="Z18" s="13">
        <f t="shared" si="5"/>
        <v>5.55375787675075</v>
      </c>
      <c r="AA18" s="13">
        <f t="shared" si="5"/>
        <v>5.61936103119751</v>
      </c>
    </row>
    <row r="19" ht="16.5" customHeight="1" spans="1:27">
      <c r="A19" s="8" t="s">
        <v>157</v>
      </c>
      <c r="B19" s="8" t="s">
        <v>146</v>
      </c>
      <c r="C19" s="13">
        <f t="shared" si="0"/>
        <v>25881.3015570977</v>
      </c>
      <c r="D19" s="13">
        <f>(E.4建设投资税后金额表!I17)</f>
        <v>1862.88206098348</v>
      </c>
      <c r="E19" s="13">
        <f>(E.4建设投资税后金额表!J17)</f>
        <v>10556.3316789064</v>
      </c>
      <c r="F19" s="13">
        <f>(E.4建设投资税后金额表!K17)</f>
        <v>12958.5978017253</v>
      </c>
      <c r="G19" s="13">
        <f>(E.4建设投资税后金额表!L17)</f>
        <v>503.490015482537</v>
      </c>
      <c r="H19" s="13">
        <f>(E.4建设投资税后金额表!M17)</f>
        <v>0</v>
      </c>
      <c r="I19" s="13">
        <f>(E.4建设投资税后金额表!N17)</f>
        <v>0</v>
      </c>
      <c r="J19" s="13">
        <f>(E.4建设投资税后金额表!O17)</f>
        <v>0</v>
      </c>
      <c r="K19" s="13">
        <f>(E.4建设投资税后金额表!P17)</f>
        <v>0</v>
      </c>
      <c r="L19" s="13">
        <f>(E.4建设投资税后金额表!Q17)</f>
        <v>0</v>
      </c>
      <c r="M19" s="13">
        <f>(E.4建设投资税后金额表!R17)</f>
        <v>0</v>
      </c>
      <c r="N19" s="13">
        <f>(E.4建设投资税后金额表!S17)</f>
        <v>0</v>
      </c>
      <c r="O19" s="13">
        <f>(E.4建设投资税后金额表!T17)</f>
        <v>0</v>
      </c>
      <c r="P19" s="13">
        <f>(E.4建设投资税后金额表!U17)</f>
        <v>0</v>
      </c>
      <c r="Q19" s="13">
        <f>(E.4建设投资税后金额表!V17)</f>
        <v>0</v>
      </c>
      <c r="R19" s="13">
        <f>(E.4建设投资税后金额表!W17)</f>
        <v>0</v>
      </c>
      <c r="S19" s="13">
        <f>(E.4建设投资税后金额表!X17)</f>
        <v>0</v>
      </c>
      <c r="T19" s="13">
        <f>(E.4建设投资税后金额表!Y17)</f>
        <v>0</v>
      </c>
      <c r="U19" s="13">
        <f>(E.4建设投资税后金额表!Z17)</f>
        <v>0</v>
      </c>
      <c r="V19" s="13">
        <f>(E.4建设投资税后金额表!AA17)</f>
        <v>0</v>
      </c>
      <c r="W19" s="13">
        <f>(E.4建设投资税后金额表!AB17)</f>
        <v>0</v>
      </c>
      <c r="X19" s="13">
        <f>(E.4建设投资税后金额表!AC17)</f>
        <v>0</v>
      </c>
      <c r="Y19" s="13">
        <f>(E.4建设投资税后金额表!AD17)</f>
        <v>0</v>
      </c>
      <c r="Z19" s="13">
        <f>(E.4建设投资税后金额表!AE17)</f>
        <v>0</v>
      </c>
      <c r="AA19" s="13">
        <f>E.4建设投资税后金额表!AG17</f>
        <v>0</v>
      </c>
    </row>
    <row r="20" ht="16.5" customHeight="1" spans="1:27">
      <c r="A20" s="8" t="s">
        <v>158</v>
      </c>
      <c r="B20" s="8" t="s">
        <v>474</v>
      </c>
      <c r="C20" s="13">
        <f t="shared" si="0"/>
        <v>0</v>
      </c>
      <c r="D20" s="38">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0</v>
      </c>
      <c r="Y20" s="38">
        <v>0</v>
      </c>
      <c r="Z20" s="38">
        <v>0</v>
      </c>
      <c r="AA20" s="38">
        <v>0</v>
      </c>
    </row>
    <row r="21" ht="16.5" customHeight="1" spans="1:27">
      <c r="A21" s="8" t="s">
        <v>159</v>
      </c>
      <c r="B21" s="8" t="s">
        <v>147</v>
      </c>
      <c r="C21" s="13">
        <f t="shared" si="0"/>
        <v>542.298232693175</v>
      </c>
      <c r="D21" s="13">
        <f>D.2项目总投资使用计划与资金筹措表!D6</f>
        <v>0</v>
      </c>
      <c r="E21" s="13">
        <f>D.2项目总投资使用计划与资金筹措表!E6</f>
        <v>0</v>
      </c>
      <c r="F21" s="13">
        <f>D.2项目总投资使用计划与资金筹措表!F6</f>
        <v>136.188501271955</v>
      </c>
      <c r="G21" s="13">
        <f>D.2项目总投资使用计划与资金筹措表!G6</f>
        <v>177.121266634357</v>
      </c>
      <c r="H21" s="13">
        <f>D.2项目总投资使用计划与资金筹措表!H6</f>
        <v>131.675458353803</v>
      </c>
      <c r="I21" s="13">
        <f>D.2项目总投资使用计划与资金筹措表!I6</f>
        <v>4.64687762306841</v>
      </c>
      <c r="J21" s="13">
        <f>D.2项目总投资使用计划与资金筹措表!J6</f>
        <v>4.69630209991453</v>
      </c>
      <c r="K21" s="13">
        <f>D.2项目总投资使用计划与资金筹措表!K6</f>
        <v>4.74626515703795</v>
      </c>
      <c r="L21" s="13">
        <f>D.2项目总投资使用计划与资金筹措表!L6</f>
        <v>4.79677284527503</v>
      </c>
      <c r="M21" s="13">
        <f>D.2项目总投资使用计划与资金筹措表!M6</f>
        <v>4.84783128594381</v>
      </c>
      <c r="N21" s="13">
        <f>D.2项目总投资使用计划与资金筹措表!N6</f>
        <v>4.8994466717038</v>
      </c>
      <c r="O21" s="13">
        <f>D.2项目总投资使用计划与资金筹措表!O6</f>
        <v>4.95162526741348</v>
      </c>
      <c r="P21" s="13">
        <f>D.2项目总投资使用计划与资金筹措表!P6</f>
        <v>5.00437341101531</v>
      </c>
      <c r="Q21" s="13">
        <f>D.2项目总投资使用计划与资金筹措表!Q6</f>
        <v>5.05769751441778</v>
      </c>
      <c r="R21" s="13">
        <f>D.2项目总投资使用计划与资金筹措表!R6</f>
        <v>5.11160406439279</v>
      </c>
      <c r="S21" s="13">
        <f>D.2项目总投资使用计划与资金筹措表!S6</f>
        <v>5.16609962349219</v>
      </c>
      <c r="T21" s="13">
        <f>D.2项目总投资使用计划与资金筹措表!T6</f>
        <v>5.22119083095669</v>
      </c>
      <c r="U21" s="13">
        <f>D.2项目总投资使用计划与资金筹措表!U6</f>
        <v>5.27688440366518</v>
      </c>
      <c r="V21" s="13">
        <f>D.2项目总投资使用计划与资金筹措表!V6</f>
        <v>5.33318713706763</v>
      </c>
      <c r="W21" s="13">
        <f>D.2项目总投资使用计划与资金筹措表!W6</f>
        <v>5.39010590614373</v>
      </c>
      <c r="X21" s="13">
        <f>D.2项目总投资使用计划与资金筹措表!X6</f>
        <v>5.45172752748636</v>
      </c>
      <c r="Y21" s="13">
        <f>D.2项目总投资使用计划与资金筹措表!Y6</f>
        <v>5.54189615611733</v>
      </c>
      <c r="Z21" s="13">
        <f>D.2项目总投资使用计划与资金筹措表!Z6</f>
        <v>5.55375787675075</v>
      </c>
      <c r="AA21" s="13">
        <f>D.2项目总投资使用计划与资金筹措表!AA6</f>
        <v>5.61936103119751</v>
      </c>
    </row>
    <row r="22" ht="16.5" customHeight="1" spans="1:27">
      <c r="A22" s="8" t="s">
        <v>588</v>
      </c>
      <c r="B22" s="8" t="s">
        <v>586</v>
      </c>
      <c r="C22" s="13">
        <f t="shared" si="0"/>
        <v>0</v>
      </c>
      <c r="D22" s="38">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0</v>
      </c>
      <c r="W22" s="38">
        <v>0</v>
      </c>
      <c r="X22" s="38">
        <v>0</v>
      </c>
      <c r="Y22" s="38">
        <v>0</v>
      </c>
      <c r="Z22" s="38">
        <v>0</v>
      </c>
      <c r="AA22" s="38">
        <v>0</v>
      </c>
    </row>
    <row r="23" ht="16.5" customHeight="1" spans="1:27">
      <c r="A23" s="8">
        <v>3</v>
      </c>
      <c r="B23" s="8" t="s">
        <v>589</v>
      </c>
      <c r="C23" s="13">
        <f t="shared" si="0"/>
        <v>-11572.8735170075</v>
      </c>
      <c r="D23" s="13">
        <f t="shared" ref="D23:AA23" si="6">D24-D27</f>
        <v>2046.71520785312</v>
      </c>
      <c r="E23" s="13">
        <f t="shared" si="6"/>
        <v>11632.9020434455</v>
      </c>
      <c r="F23" s="13">
        <f t="shared" si="6"/>
        <v>14281.9550333527</v>
      </c>
      <c r="G23" s="13">
        <f t="shared" si="6"/>
        <v>783.900998954399</v>
      </c>
      <c r="H23" s="13">
        <f t="shared" si="6"/>
        <v>-483.155281646197</v>
      </c>
      <c r="I23" s="13">
        <f t="shared" si="6"/>
        <v>-610.183862376932</v>
      </c>
      <c r="J23" s="13">
        <f t="shared" si="6"/>
        <v>-610.134437900085</v>
      </c>
      <c r="K23" s="13">
        <f t="shared" si="6"/>
        <v>-610.084474842962</v>
      </c>
      <c r="L23" s="13">
        <f t="shared" si="6"/>
        <v>-610.033967154725</v>
      </c>
      <c r="M23" s="13">
        <f t="shared" si="6"/>
        <v>-609.982908714056</v>
      </c>
      <c r="N23" s="13">
        <f t="shared" si="6"/>
        <v>-609.931293328296</v>
      </c>
      <c r="O23" s="13">
        <f t="shared" si="6"/>
        <v>-609.879114732586</v>
      </c>
      <c r="P23" s="13">
        <f t="shared" si="6"/>
        <v>-609.826366588985</v>
      </c>
      <c r="Q23" s="13">
        <f t="shared" si="6"/>
        <v>-609.773042485582</v>
      </c>
      <c r="R23" s="13">
        <f t="shared" si="6"/>
        <v>-609.719135935607</v>
      </c>
      <c r="S23" s="13">
        <f t="shared" si="6"/>
        <v>-609.664640376508</v>
      </c>
      <c r="T23" s="13">
        <f t="shared" si="6"/>
        <v>-609.609549169043</v>
      </c>
      <c r="U23" s="13">
        <f t="shared" si="6"/>
        <v>-609.553855596335</v>
      </c>
      <c r="V23" s="13">
        <f t="shared" si="6"/>
        <v>-609.497552862932</v>
      </c>
      <c r="W23" s="13">
        <f t="shared" si="6"/>
        <v>-609.440634093856</v>
      </c>
      <c r="X23" s="13">
        <f t="shared" si="6"/>
        <v>-1784.43776247251</v>
      </c>
      <c r="Y23" s="13">
        <f t="shared" si="6"/>
        <v>-12174.9570983439</v>
      </c>
      <c r="Z23" s="13">
        <f t="shared" si="6"/>
        <v>-9044.08070122325</v>
      </c>
      <c r="AA23" s="13">
        <f t="shared" si="6"/>
        <v>-7684.4011207688</v>
      </c>
    </row>
    <row r="24" ht="16.5" customHeight="1" spans="1:27">
      <c r="A24" s="8">
        <v>3.1</v>
      </c>
      <c r="B24" s="8" t="s">
        <v>466</v>
      </c>
      <c r="C24" s="13">
        <f t="shared" si="0"/>
        <v>29750.2472829925</v>
      </c>
      <c r="D24" s="13">
        <f t="shared" ref="D24:AA24" si="7">SUM(D25:D26)</f>
        <v>2047.73040785312</v>
      </c>
      <c r="E24" s="13">
        <f t="shared" si="7"/>
        <v>11667.8270489455</v>
      </c>
      <c r="F24" s="13">
        <f t="shared" si="7"/>
        <v>14560.1076842527</v>
      </c>
      <c r="G24" s="13">
        <f t="shared" si="7"/>
        <v>1245.5936771544</v>
      </c>
      <c r="H24" s="13">
        <f t="shared" si="7"/>
        <v>131.675458353803</v>
      </c>
      <c r="I24" s="13">
        <f t="shared" si="7"/>
        <v>4.64687762306841</v>
      </c>
      <c r="J24" s="13">
        <f t="shared" si="7"/>
        <v>4.69630209991453</v>
      </c>
      <c r="K24" s="13">
        <f t="shared" si="7"/>
        <v>4.74626515703795</v>
      </c>
      <c r="L24" s="13">
        <f t="shared" si="7"/>
        <v>4.79677284527503</v>
      </c>
      <c r="M24" s="13">
        <f t="shared" si="7"/>
        <v>4.84783128594381</v>
      </c>
      <c r="N24" s="13">
        <f t="shared" si="7"/>
        <v>4.8994466717038</v>
      </c>
      <c r="O24" s="13">
        <f t="shared" si="7"/>
        <v>4.95162526741348</v>
      </c>
      <c r="P24" s="13">
        <f t="shared" si="7"/>
        <v>5.00437341101531</v>
      </c>
      <c r="Q24" s="13">
        <f t="shared" si="7"/>
        <v>5.05769751441778</v>
      </c>
      <c r="R24" s="13">
        <f t="shared" si="7"/>
        <v>5.11160406439279</v>
      </c>
      <c r="S24" s="13">
        <f t="shared" si="7"/>
        <v>5.16609962349219</v>
      </c>
      <c r="T24" s="13">
        <f t="shared" si="7"/>
        <v>5.22119083095669</v>
      </c>
      <c r="U24" s="13">
        <f t="shared" si="7"/>
        <v>5.27688440366518</v>
      </c>
      <c r="V24" s="13">
        <f t="shared" si="7"/>
        <v>5.33318713706763</v>
      </c>
      <c r="W24" s="13">
        <f t="shared" si="7"/>
        <v>5.39010590614373</v>
      </c>
      <c r="X24" s="13">
        <f t="shared" si="7"/>
        <v>5.45172752748636</v>
      </c>
      <c r="Y24" s="13">
        <f t="shared" si="7"/>
        <v>5.54189615611733</v>
      </c>
      <c r="Z24" s="13">
        <f t="shared" si="7"/>
        <v>5.55375787675075</v>
      </c>
      <c r="AA24" s="13">
        <f t="shared" si="7"/>
        <v>5.61936103119751</v>
      </c>
    </row>
    <row r="25" ht="16.5" customHeight="1" spans="1:27">
      <c r="A25" s="8" t="s">
        <v>590</v>
      </c>
      <c r="B25" s="8" t="s">
        <v>591</v>
      </c>
      <c r="C25" s="13">
        <f t="shared" si="0"/>
        <v>750.247282992537</v>
      </c>
      <c r="D25" s="13">
        <f>D.2项目总投资使用计划与资金筹措表!D8</f>
        <v>872.730407853119</v>
      </c>
      <c r="E25" s="13">
        <f>D.2项目总投资使用计划与资金筹措表!E8</f>
        <v>77.8270489454667</v>
      </c>
      <c r="F25" s="13">
        <f>D.2项目总投资使用计划与资金筹措表!F8</f>
        <v>5855.10768425269</v>
      </c>
      <c r="G25" s="13">
        <f>D.2项目总投资使用计划与资金筹措表!G8</f>
        <v>-6284.4063228456</v>
      </c>
      <c r="H25" s="13">
        <f>D.2项目总投资使用计划与资金筹措表!H8</f>
        <v>131.675458353803</v>
      </c>
      <c r="I25" s="13">
        <f>D.2项目总投资使用计划与资金筹措表!I8</f>
        <v>4.64687762306841</v>
      </c>
      <c r="J25" s="13">
        <f>D.2项目总投资使用计划与资金筹措表!J8</f>
        <v>4.69630209991453</v>
      </c>
      <c r="K25" s="13">
        <f>D.2项目总投资使用计划与资金筹措表!K8</f>
        <v>4.74626515703795</v>
      </c>
      <c r="L25" s="13">
        <f>D.2项目总投资使用计划与资金筹措表!L8</f>
        <v>4.79677284527503</v>
      </c>
      <c r="M25" s="13">
        <f>D.2项目总投资使用计划与资金筹措表!M8</f>
        <v>4.84783128594381</v>
      </c>
      <c r="N25" s="13">
        <f>D.2项目总投资使用计划与资金筹措表!N8</f>
        <v>4.8994466717038</v>
      </c>
      <c r="O25" s="13">
        <f>D.2项目总投资使用计划与资金筹措表!O8</f>
        <v>4.95162526741348</v>
      </c>
      <c r="P25" s="13">
        <f>D.2项目总投资使用计划与资金筹措表!P8</f>
        <v>5.00437341101531</v>
      </c>
      <c r="Q25" s="13">
        <f>D.2项目总投资使用计划与资金筹措表!Q8</f>
        <v>5.05769751441778</v>
      </c>
      <c r="R25" s="13">
        <f>D.2项目总投资使用计划与资金筹措表!R8</f>
        <v>5.11160406439279</v>
      </c>
      <c r="S25" s="13">
        <f>D.2项目总投资使用计划与资金筹措表!S8</f>
        <v>5.16609962349219</v>
      </c>
      <c r="T25" s="13">
        <f>D.2项目总投资使用计划与资金筹措表!T8</f>
        <v>5.22119083095669</v>
      </c>
      <c r="U25" s="13">
        <f>D.2项目总投资使用计划与资金筹措表!U8</f>
        <v>5.27688440366518</v>
      </c>
      <c r="V25" s="13">
        <f>D.2项目总投资使用计划与资金筹措表!V8</f>
        <v>5.33318713706763</v>
      </c>
      <c r="W25" s="13">
        <f>D.2项目总投资使用计划与资金筹措表!W8</f>
        <v>5.39010590614373</v>
      </c>
      <c r="X25" s="13">
        <f>D.2项目总投资使用计划与资金筹措表!X8</f>
        <v>5.45172752748636</v>
      </c>
      <c r="Y25" s="13">
        <f>D.2项目总投资使用计划与资金筹措表!Y8</f>
        <v>5.54189615611733</v>
      </c>
      <c r="Z25" s="13">
        <f>D.2项目总投资使用计划与资金筹措表!Z8</f>
        <v>5.55375787675075</v>
      </c>
      <c r="AA25" s="13">
        <f>D.2项目总投资使用计划与资金筹措表!AA8</f>
        <v>5.61936103119751</v>
      </c>
    </row>
    <row r="26" ht="16.5" customHeight="1" spans="1:27">
      <c r="A26" s="8" t="s">
        <v>592</v>
      </c>
      <c r="B26" s="8" t="s">
        <v>593</v>
      </c>
      <c r="C26" s="13">
        <f t="shared" si="0"/>
        <v>29000</v>
      </c>
      <c r="D26" s="13">
        <f>D.2项目总投资使用计划与资金筹措表!D12</f>
        <v>1175</v>
      </c>
      <c r="E26" s="13">
        <f>D.2项目总投资使用计划与资金筹措表!E12</f>
        <v>11590</v>
      </c>
      <c r="F26" s="13">
        <f>D.2项目总投资使用计划与资金筹措表!F12</f>
        <v>8705</v>
      </c>
      <c r="G26" s="13">
        <f>D.2项目总投资使用计划与资金筹措表!G12</f>
        <v>7530</v>
      </c>
      <c r="H26" s="13">
        <f>D.2项目总投资使用计划与资金筹措表!H12</f>
        <v>0</v>
      </c>
      <c r="I26" s="13">
        <f>D.2项目总投资使用计划与资金筹措表!I12</f>
        <v>0</v>
      </c>
      <c r="J26" s="13">
        <f>D.2项目总投资使用计划与资金筹措表!J12</f>
        <v>0</v>
      </c>
      <c r="K26" s="13">
        <f>D.2项目总投资使用计划与资金筹措表!K12</f>
        <v>0</v>
      </c>
      <c r="L26" s="13">
        <f>D.2项目总投资使用计划与资金筹措表!L12</f>
        <v>0</v>
      </c>
      <c r="M26" s="13">
        <f>D.2项目总投资使用计划与资金筹措表!M12</f>
        <v>0</v>
      </c>
      <c r="N26" s="13">
        <f>D.2项目总投资使用计划与资金筹措表!N12</f>
        <v>0</v>
      </c>
      <c r="O26" s="13">
        <f>D.2项目总投资使用计划与资金筹措表!O12</f>
        <v>0</v>
      </c>
      <c r="P26" s="13">
        <f>D.2项目总投资使用计划与资金筹措表!P12</f>
        <v>0</v>
      </c>
      <c r="Q26" s="13">
        <f>D.2项目总投资使用计划与资金筹措表!Q12</f>
        <v>0</v>
      </c>
      <c r="R26" s="13">
        <f>D.2项目总投资使用计划与资金筹措表!R12</f>
        <v>0</v>
      </c>
      <c r="S26" s="13">
        <f>D.2项目总投资使用计划与资金筹措表!S12</f>
        <v>0</v>
      </c>
      <c r="T26" s="13">
        <f>D.2项目总投资使用计划与资金筹措表!T12</f>
        <v>0</v>
      </c>
      <c r="U26" s="13">
        <f>D.2项目总投资使用计划与资金筹措表!U12</f>
        <v>0</v>
      </c>
      <c r="V26" s="13">
        <f>D.2项目总投资使用计划与资金筹措表!V12</f>
        <v>0</v>
      </c>
      <c r="W26" s="13">
        <f>D.2项目总投资使用计划与资金筹措表!W12</f>
        <v>0</v>
      </c>
      <c r="X26" s="13">
        <f>D.2项目总投资使用计划与资金筹措表!X12</f>
        <v>0</v>
      </c>
      <c r="Y26" s="13">
        <f>D.2项目总投资使用计划与资金筹措表!Y12</f>
        <v>0</v>
      </c>
      <c r="Z26" s="13">
        <f>D.2项目总投资使用计划与资金筹措表!Z12</f>
        <v>0</v>
      </c>
      <c r="AA26" s="13">
        <f>D.2项目总投资使用计划与资金筹措表!AA12</f>
        <v>0</v>
      </c>
    </row>
    <row r="27" ht="16.5" customHeight="1" spans="1:27">
      <c r="A27" s="8">
        <v>3.2</v>
      </c>
      <c r="B27" s="8" t="s">
        <v>470</v>
      </c>
      <c r="C27" s="13">
        <f t="shared" si="0"/>
        <v>41323.1208</v>
      </c>
      <c r="D27" s="13">
        <f t="shared" ref="D27:AA27" si="8">SUM(D28:D29)</f>
        <v>1.0152</v>
      </c>
      <c r="E27" s="13">
        <f t="shared" si="8"/>
        <v>34.9250055</v>
      </c>
      <c r="F27" s="13">
        <f t="shared" si="8"/>
        <v>278.1526509</v>
      </c>
      <c r="G27" s="13">
        <f t="shared" si="8"/>
        <v>461.6926782</v>
      </c>
      <c r="H27" s="13">
        <f t="shared" si="8"/>
        <v>614.83074</v>
      </c>
      <c r="I27" s="13">
        <f t="shared" si="8"/>
        <v>614.83074</v>
      </c>
      <c r="J27" s="13">
        <f t="shared" si="8"/>
        <v>614.83074</v>
      </c>
      <c r="K27" s="13">
        <f t="shared" si="8"/>
        <v>614.83074</v>
      </c>
      <c r="L27" s="13">
        <f t="shared" si="8"/>
        <v>614.83074</v>
      </c>
      <c r="M27" s="13">
        <f t="shared" si="8"/>
        <v>614.83074</v>
      </c>
      <c r="N27" s="13">
        <f t="shared" si="8"/>
        <v>614.83074</v>
      </c>
      <c r="O27" s="13">
        <f t="shared" si="8"/>
        <v>614.83074</v>
      </c>
      <c r="P27" s="13">
        <f t="shared" si="8"/>
        <v>614.83074</v>
      </c>
      <c r="Q27" s="13">
        <f t="shared" si="8"/>
        <v>614.83074</v>
      </c>
      <c r="R27" s="13">
        <f t="shared" si="8"/>
        <v>614.83074</v>
      </c>
      <c r="S27" s="13">
        <f t="shared" si="8"/>
        <v>614.83074</v>
      </c>
      <c r="T27" s="13">
        <f t="shared" si="8"/>
        <v>614.83074</v>
      </c>
      <c r="U27" s="13">
        <f t="shared" si="8"/>
        <v>614.83074</v>
      </c>
      <c r="V27" s="13">
        <f t="shared" si="8"/>
        <v>614.83074</v>
      </c>
      <c r="W27" s="13">
        <f t="shared" si="8"/>
        <v>614.83074</v>
      </c>
      <c r="X27" s="13">
        <f t="shared" si="8"/>
        <v>1789.88949</v>
      </c>
      <c r="Y27" s="13">
        <f t="shared" si="8"/>
        <v>12180.4989945</v>
      </c>
      <c r="Z27" s="13">
        <f t="shared" si="8"/>
        <v>9049.6344591</v>
      </c>
      <c r="AA27" s="13">
        <f t="shared" si="8"/>
        <v>7690.0204818</v>
      </c>
    </row>
    <row r="28" ht="16.5" customHeight="1" spans="1:27">
      <c r="A28" s="8" t="s">
        <v>552</v>
      </c>
      <c r="B28" s="8" t="s">
        <v>594</v>
      </c>
      <c r="C28" s="13">
        <f t="shared" si="0"/>
        <v>12323.1208</v>
      </c>
      <c r="D28" s="13">
        <f>(c借款还本付息计划表!D43+c借款还本付息计划表!D45+c借款还本付息计划表!D46)</f>
        <v>1.0152</v>
      </c>
      <c r="E28" s="13">
        <f>(c借款还本付息计划表!E43+c借款还本付息计划表!E45+c借款还本付息计划表!E46)</f>
        <v>34.9250055</v>
      </c>
      <c r="F28" s="13">
        <f>(c借款还本付息计划表!F43+c借款还本付息计划表!F45+c借款还本付息计划表!F46)</f>
        <v>278.1526509</v>
      </c>
      <c r="G28" s="13">
        <f>(c借款还本付息计划表!G43+c借款还本付息计划表!G45+c借款还本付息计划表!G46)</f>
        <v>461.6926782</v>
      </c>
      <c r="H28" s="13">
        <f>(c借款还本付息计划表!H43+c借款还本付息计划表!H45+c借款还本付息计划表!H46)</f>
        <v>614.83074</v>
      </c>
      <c r="I28" s="13">
        <f>(c借款还本付息计划表!I43+c借款还本付息计划表!I45+c借款还本付息计划表!I46)</f>
        <v>614.83074</v>
      </c>
      <c r="J28" s="13">
        <f>(c借款还本付息计划表!J43+c借款还本付息计划表!J45+c借款还本付息计划表!J46)</f>
        <v>614.83074</v>
      </c>
      <c r="K28" s="13">
        <f>(c借款还本付息计划表!K43+c借款还本付息计划表!K45+c借款还本付息计划表!K46)</f>
        <v>614.83074</v>
      </c>
      <c r="L28" s="13">
        <f>(c借款还本付息计划表!L43+c借款还本付息计划表!L45+c借款还本付息计划表!L46)</f>
        <v>614.83074</v>
      </c>
      <c r="M28" s="13">
        <f>(c借款还本付息计划表!M43+c借款还本付息计划表!M45+c借款还本付息计划表!M46)</f>
        <v>614.83074</v>
      </c>
      <c r="N28" s="13">
        <f>(c借款还本付息计划表!N43+c借款还本付息计划表!N45+c借款还本付息计划表!N46)</f>
        <v>614.83074</v>
      </c>
      <c r="O28" s="13">
        <f>(c借款还本付息计划表!O43+c借款还本付息计划表!O45+c借款还本付息计划表!O46)</f>
        <v>614.83074</v>
      </c>
      <c r="P28" s="13">
        <f>(c借款还本付息计划表!P43+c借款还本付息计划表!P45+c借款还本付息计划表!P46)</f>
        <v>614.83074</v>
      </c>
      <c r="Q28" s="13">
        <f>(c借款还本付息计划表!Q43+c借款还本付息计划表!Q45+c借款还本付息计划表!Q46)</f>
        <v>614.83074</v>
      </c>
      <c r="R28" s="13">
        <f>(c借款还本付息计划表!R43+c借款还本付息计划表!R45+c借款还本付息计划表!R46)</f>
        <v>614.83074</v>
      </c>
      <c r="S28" s="13">
        <f>(c借款还本付息计划表!S43+c借款还本付息计划表!S45+c借款还本付息计划表!S46)</f>
        <v>614.83074</v>
      </c>
      <c r="T28" s="13">
        <f>(c借款还本付息计划表!T43+c借款还本付息计划表!T45+c借款还本付息计划表!T46)</f>
        <v>614.83074</v>
      </c>
      <c r="U28" s="13">
        <f>(c借款还本付息计划表!U43+c借款还本付息计划表!U45+c借款还本付息计划表!U46)</f>
        <v>614.83074</v>
      </c>
      <c r="V28" s="13">
        <f>(c借款还本付息计划表!V43+c借款还本付息计划表!V45+c借款还本付息计划表!V46)</f>
        <v>614.83074</v>
      </c>
      <c r="W28" s="13">
        <f>(c借款还本付息计划表!W43+c借款还本付息计划表!W45+c借款还本付息计划表!W46)</f>
        <v>614.83074</v>
      </c>
      <c r="X28" s="13">
        <f>(c借款还本付息计划表!X43+c借款还本付息计划表!X45+c借款还本付息计划表!X46)</f>
        <v>614.88949</v>
      </c>
      <c r="Y28" s="13">
        <f>(c借款还本付息计划表!Y43+c借款还本付息计划表!Y45+c借款还本付息计划表!Y46)</f>
        <v>590.4989945</v>
      </c>
      <c r="Z28" s="13">
        <f>(c借款还本付息计划表!Z43+c借款还本付息计划表!Z45+c借款还本付息计划表!Z46)</f>
        <v>344.6344591</v>
      </c>
      <c r="AA28" s="13">
        <f>(c借款还本付息计划表!AA43+c借款还本付息计划表!AA45+c借款还本付息计划表!AA46)</f>
        <v>160.0204818</v>
      </c>
    </row>
    <row r="29" ht="16.5" customHeight="1" spans="1:27">
      <c r="A29" s="8" t="s">
        <v>553</v>
      </c>
      <c r="B29" s="8" t="s">
        <v>595</v>
      </c>
      <c r="C29" s="13">
        <f t="shared" si="0"/>
        <v>29000</v>
      </c>
      <c r="D29" s="13">
        <f>(c借款还本付息计划表!D42)</f>
        <v>0</v>
      </c>
      <c r="E29" s="13">
        <f>(c借款还本付息计划表!E42)</f>
        <v>0</v>
      </c>
      <c r="F29" s="13">
        <f>(c借款还本付息计划表!F42)</f>
        <v>0</v>
      </c>
      <c r="G29" s="13">
        <f>(c借款还本付息计划表!G42)</f>
        <v>0</v>
      </c>
      <c r="H29" s="13">
        <f>(c借款还本付息计划表!H42)</f>
        <v>0</v>
      </c>
      <c r="I29" s="13">
        <f>(c借款还本付息计划表!I42)</f>
        <v>0</v>
      </c>
      <c r="J29" s="13">
        <f>(c借款还本付息计划表!J42)</f>
        <v>0</v>
      </c>
      <c r="K29" s="13">
        <f>(c借款还本付息计划表!K42)</f>
        <v>0</v>
      </c>
      <c r="L29" s="13">
        <f>(c借款还本付息计划表!L42)</f>
        <v>0</v>
      </c>
      <c r="M29" s="13">
        <f>(c借款还本付息计划表!M42)</f>
        <v>0</v>
      </c>
      <c r="N29" s="13">
        <f>(c借款还本付息计划表!N42)</f>
        <v>0</v>
      </c>
      <c r="O29" s="13">
        <f>(c借款还本付息计划表!O42)</f>
        <v>0</v>
      </c>
      <c r="P29" s="13">
        <f>(c借款还本付息计划表!P42)</f>
        <v>0</v>
      </c>
      <c r="Q29" s="13">
        <f>(c借款还本付息计划表!Q42)</f>
        <v>0</v>
      </c>
      <c r="R29" s="13">
        <f>(c借款还本付息计划表!R42)</f>
        <v>0</v>
      </c>
      <c r="S29" s="13">
        <f>(c借款还本付息计划表!S42)</f>
        <v>0</v>
      </c>
      <c r="T29" s="13">
        <f>(c借款还本付息计划表!T42)</f>
        <v>0</v>
      </c>
      <c r="U29" s="13">
        <f>(c借款还本付息计划表!U42)</f>
        <v>0</v>
      </c>
      <c r="V29" s="13">
        <f>(c借款还本付息计划表!V42)</f>
        <v>0</v>
      </c>
      <c r="W29" s="13">
        <f>(c借款还本付息计划表!W42)</f>
        <v>0</v>
      </c>
      <c r="X29" s="13">
        <f>(c借款还本付息计划表!X42)</f>
        <v>1175</v>
      </c>
      <c r="Y29" s="13">
        <f>(c借款还本付息计划表!Y42)</f>
        <v>11590</v>
      </c>
      <c r="Z29" s="13">
        <f>(c借款还本付息计划表!Z42)</f>
        <v>8705</v>
      </c>
      <c r="AA29" s="13">
        <f>(c借款还本付息计划表!AA42)</f>
        <v>7530</v>
      </c>
    </row>
    <row r="30" ht="16.5" customHeight="1" spans="1:27">
      <c r="A30" s="8">
        <v>4</v>
      </c>
      <c r="B30" s="8" t="s">
        <v>509</v>
      </c>
      <c r="C30" s="13">
        <f t="shared" si="0"/>
        <v>12405.997091437</v>
      </c>
      <c r="D30" s="13">
        <f t="shared" ref="D30:AA30" si="9">D3+D16+D23</f>
        <v>183.83314686964</v>
      </c>
      <c r="E30" s="13">
        <f t="shared" si="9"/>
        <v>1076.57036453907</v>
      </c>
      <c r="F30" s="13">
        <f t="shared" si="9"/>
        <v>1454.50867375166</v>
      </c>
      <c r="G30" s="13">
        <f t="shared" si="9"/>
        <v>1368.5638028353</v>
      </c>
      <c r="H30" s="13">
        <f t="shared" si="9"/>
        <v>1686.31394211252</v>
      </c>
      <c r="I30" s="13">
        <f t="shared" si="9"/>
        <v>1701.86905436076</v>
      </c>
      <c r="J30" s="13">
        <f t="shared" si="9"/>
        <v>1717.53715195782</v>
      </c>
      <c r="K30" s="13">
        <f t="shared" si="9"/>
        <v>1733.31872627059</v>
      </c>
      <c r="L30" s="13">
        <f t="shared" si="9"/>
        <v>1749.2142640023</v>
      </c>
      <c r="M30" s="13">
        <f t="shared" si="9"/>
        <v>1765.2242470023</v>
      </c>
      <c r="N30" s="13">
        <f t="shared" si="9"/>
        <v>1781.34915207163</v>
      </c>
      <c r="O30" s="13">
        <f t="shared" si="9"/>
        <v>1797.58945076456</v>
      </c>
      <c r="P30" s="13">
        <f t="shared" si="9"/>
        <v>1813.94560918594</v>
      </c>
      <c r="Q30" s="13">
        <f t="shared" si="9"/>
        <v>1830.41808778417</v>
      </c>
      <c r="R30" s="13">
        <f t="shared" si="9"/>
        <v>1847.0073411399</v>
      </c>
      <c r="S30" s="13">
        <f t="shared" si="9"/>
        <v>1863.71381775029</v>
      </c>
      <c r="T30" s="13">
        <f t="shared" si="9"/>
        <v>1880.5379598087</v>
      </c>
      <c r="U30" s="13">
        <f t="shared" si="9"/>
        <v>1897.48020297983</v>
      </c>
      <c r="V30" s="13">
        <f t="shared" si="9"/>
        <v>1914.5409761702</v>
      </c>
      <c r="W30" s="13">
        <f t="shared" si="9"/>
        <v>1931.72070129381</v>
      </c>
      <c r="X30" s="13">
        <f t="shared" si="9"/>
        <v>771.855834699673</v>
      </c>
      <c r="Y30" s="13">
        <f t="shared" si="9"/>
        <v>-9626.22188982225</v>
      </c>
      <c r="Z30" s="13">
        <f t="shared" si="9"/>
        <v>-6534.07021452348</v>
      </c>
      <c r="AA30" s="13">
        <f t="shared" si="9"/>
        <v>-5200.82331156795</v>
      </c>
    </row>
    <row r="31" ht="16.5" customHeight="1" spans="1:27">
      <c r="A31" s="8">
        <v>5</v>
      </c>
      <c r="B31" s="8" t="s">
        <v>596</v>
      </c>
      <c r="C31" s="13">
        <f t="shared" si="0"/>
        <v>401687.117904851</v>
      </c>
      <c r="D31" s="13">
        <f>D30</f>
        <v>183.83314686964</v>
      </c>
      <c r="E31" s="13">
        <f t="shared" ref="E31:AA31" si="10">E30+D31</f>
        <v>1260.40351140871</v>
      </c>
      <c r="F31" s="13">
        <f t="shared" si="10"/>
        <v>2714.91218516037</v>
      </c>
      <c r="G31" s="13">
        <f t="shared" si="10"/>
        <v>4083.47598799567</v>
      </c>
      <c r="H31" s="13">
        <f t="shared" si="10"/>
        <v>5769.78993010819</v>
      </c>
      <c r="I31" s="13">
        <f t="shared" si="10"/>
        <v>7471.65898446896</v>
      </c>
      <c r="J31" s="13">
        <f t="shared" si="10"/>
        <v>9189.19613642678</v>
      </c>
      <c r="K31" s="13">
        <f t="shared" si="10"/>
        <v>10922.5148626974</v>
      </c>
      <c r="L31" s="13">
        <f t="shared" si="10"/>
        <v>12671.7291266997</v>
      </c>
      <c r="M31" s="13">
        <f t="shared" si="10"/>
        <v>14436.953373702</v>
      </c>
      <c r="N31" s="13">
        <f t="shared" si="10"/>
        <v>16218.3025257736</v>
      </c>
      <c r="O31" s="13">
        <f t="shared" si="10"/>
        <v>18015.8919765382</v>
      </c>
      <c r="P31" s="13">
        <f t="shared" si="10"/>
        <v>19829.8375857241</v>
      </c>
      <c r="Q31" s="13">
        <f t="shared" si="10"/>
        <v>21660.2556735083</v>
      </c>
      <c r="R31" s="13">
        <f t="shared" si="10"/>
        <v>23507.2630146482</v>
      </c>
      <c r="S31" s="13">
        <f t="shared" si="10"/>
        <v>25370.9768323985</v>
      </c>
      <c r="T31" s="13">
        <f t="shared" si="10"/>
        <v>27251.5147922071</v>
      </c>
      <c r="U31" s="13">
        <f t="shared" si="10"/>
        <v>29148.994995187</v>
      </c>
      <c r="V31" s="13">
        <f t="shared" si="10"/>
        <v>31063.5359713572</v>
      </c>
      <c r="W31" s="13">
        <f t="shared" si="10"/>
        <v>32995.256672651</v>
      </c>
      <c r="X31" s="13">
        <f t="shared" si="10"/>
        <v>33767.1125073506</v>
      </c>
      <c r="Y31" s="13">
        <f t="shared" si="10"/>
        <v>24140.8906175284</v>
      </c>
      <c r="Z31" s="13">
        <f t="shared" si="10"/>
        <v>17606.8204030049</v>
      </c>
      <c r="AA31" s="13">
        <f t="shared" si="10"/>
        <v>12405.997091437</v>
      </c>
    </row>
  </sheetData>
  <mergeCells count="1">
    <mergeCell ref="A1:H1"/>
  </mergeCells>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rgb="FFFFC000"/>
  </sheetPr>
  <dimension ref="A1:Z28"/>
  <sheetViews>
    <sheetView zoomScale="70" zoomScaleNormal="70" workbookViewId="0">
      <pane xSplit="2" ySplit="2" topLeftCell="C3" activePane="bottomRight" state="frozen"/>
      <selection/>
      <selection pane="topRight"/>
      <selection pane="bottomLeft"/>
      <selection pane="bottomRight" activeCell="K15" sqref="K15"/>
    </sheetView>
  </sheetViews>
  <sheetFormatPr defaultColWidth="8.89090909090909" defaultRowHeight="28.05" customHeight="1"/>
  <cols>
    <col min="2" max="2" width="20.6636363636364" style="1" customWidth="1"/>
    <col min="3" max="3" width="11" style="1" customWidth="1"/>
    <col min="4" max="7" width="11.2181818181818" style="1" customWidth="1"/>
    <col min="8" max="26" width="11.8090909090909" style="1" customWidth="1"/>
  </cols>
  <sheetData>
    <row r="1" customHeight="1" spans="1:7">
      <c r="A1" s="37" t="s">
        <v>597</v>
      </c>
      <c r="B1" s="3"/>
      <c r="C1" s="3"/>
      <c r="D1" s="3"/>
      <c r="E1" s="3"/>
      <c r="F1" s="3"/>
      <c r="G1" s="4"/>
    </row>
    <row r="2" customHeight="1" spans="1:26">
      <c r="A2" s="5" t="s">
        <v>1</v>
      </c>
      <c r="B2" s="5" t="s">
        <v>184</v>
      </c>
      <c r="C2" s="33">
        <v>2025</v>
      </c>
      <c r="D2" s="33">
        <v>2026</v>
      </c>
      <c r="E2" s="33">
        <v>2027</v>
      </c>
      <c r="F2" s="33">
        <v>2028</v>
      </c>
      <c r="G2" s="33">
        <v>2029</v>
      </c>
      <c r="H2" s="33">
        <v>2030</v>
      </c>
      <c r="I2" s="33">
        <v>2031</v>
      </c>
      <c r="J2" s="33">
        <v>2032</v>
      </c>
      <c r="K2" s="33">
        <v>2033</v>
      </c>
      <c r="L2" s="33">
        <v>2034</v>
      </c>
      <c r="M2" s="33">
        <v>2035</v>
      </c>
      <c r="N2" s="33">
        <v>2036</v>
      </c>
      <c r="O2" s="33">
        <v>2037</v>
      </c>
      <c r="P2" s="33">
        <v>2038</v>
      </c>
      <c r="Q2" s="33">
        <v>2039</v>
      </c>
      <c r="R2" s="33">
        <v>2040</v>
      </c>
      <c r="S2" s="33">
        <v>2041</v>
      </c>
      <c r="T2" s="33">
        <v>2042</v>
      </c>
      <c r="U2" s="33">
        <v>2043</v>
      </c>
      <c r="V2" s="33">
        <v>2044</v>
      </c>
      <c r="W2" s="33">
        <v>2045</v>
      </c>
      <c r="X2" s="33">
        <v>2046</v>
      </c>
      <c r="Y2" s="33">
        <v>2047</v>
      </c>
      <c r="Z2" s="33">
        <v>2048</v>
      </c>
    </row>
    <row r="3" customHeight="1" spans="1:26">
      <c r="A3" s="8">
        <v>1</v>
      </c>
      <c r="B3" s="8" t="s">
        <v>598</v>
      </c>
      <c r="C3" s="13">
        <f t="shared" ref="C3:Z3" si="0">SUM(C4+C10+C11+C12)</f>
        <v>2231.56355472276</v>
      </c>
      <c r="D3" s="13">
        <f t="shared" si="0"/>
        <v>12928.2305603542</v>
      </c>
      <c r="E3" s="13">
        <f t="shared" si="0"/>
        <v>29408.4604039963</v>
      </c>
      <c r="F3" s="13">
        <f t="shared" si="0"/>
        <v>17090.7602737953</v>
      </c>
      <c r="G3" s="13">
        <f t="shared" si="0"/>
        <v>30878.7591024576</v>
      </c>
      <c r="H3" s="13">
        <f t="shared" si="0"/>
        <v>31225.5500821845</v>
      </c>
      <c r="I3" s="13">
        <f t="shared" si="0"/>
        <v>31715.1367637915</v>
      </c>
      <c r="J3" s="13">
        <f t="shared" si="0"/>
        <v>32220.5556985663</v>
      </c>
      <c r="K3" s="13">
        <f t="shared" si="0"/>
        <v>32741.921403268</v>
      </c>
      <c r="L3" s="13">
        <f t="shared" si="0"/>
        <v>33279.3488827368</v>
      </c>
      <c r="M3" s="13">
        <f t="shared" si="0"/>
        <v>33832.9536249184</v>
      </c>
      <c r="N3" s="13">
        <f t="shared" si="0"/>
        <v>34402.8515956909</v>
      </c>
      <c r="O3" s="13">
        <f t="shared" si="0"/>
        <v>34989.1592334899</v>
      </c>
      <c r="P3" s="13">
        <f t="shared" si="0"/>
        <v>35591.9934437278</v>
      </c>
      <c r="Q3" s="13">
        <f t="shared" si="0"/>
        <v>36211.4715930021</v>
      </c>
      <c r="R3" s="13">
        <f t="shared" si="0"/>
        <v>36847.7115030893</v>
      </c>
      <c r="S3" s="13">
        <f t="shared" si="0"/>
        <v>37500.8314447195</v>
      </c>
      <c r="T3" s="13">
        <f t="shared" si="0"/>
        <v>38170.950131127</v>
      </c>
      <c r="U3" s="13">
        <f t="shared" si="0"/>
        <v>38858.1867113724</v>
      </c>
      <c r="V3" s="13">
        <f t="shared" si="0"/>
        <v>39562.6607634306</v>
      </c>
      <c r="W3" s="13">
        <f t="shared" si="0"/>
        <v>39107.3364884312</v>
      </c>
      <c r="X3" s="13">
        <f t="shared" si="0"/>
        <v>28254.0534228346</v>
      </c>
      <c r="Y3" s="13">
        <f t="shared" si="0"/>
        <v>20492.8558089126</v>
      </c>
      <c r="Z3" s="13">
        <f t="shared" si="0"/>
        <v>14065.0246674209</v>
      </c>
    </row>
    <row r="4" customHeight="1" spans="1:26">
      <c r="A4" s="8">
        <v>1.1</v>
      </c>
      <c r="B4" s="8" t="s">
        <v>599</v>
      </c>
      <c r="C4" s="13">
        <f t="shared" ref="C4:Z4" si="1">SUM(C5:C9)</f>
        <v>183.83314686964</v>
      </c>
      <c r="D4" s="13">
        <f t="shared" si="1"/>
        <v>1260.40351140871</v>
      </c>
      <c r="E4" s="13">
        <f t="shared" si="1"/>
        <v>2851.86521242621</v>
      </c>
      <c r="F4" s="13">
        <f t="shared" si="1"/>
        <v>4397.55028189587</v>
      </c>
      <c r="G4" s="13">
        <f t="shared" si="1"/>
        <v>6215.5511502521</v>
      </c>
      <c r="H4" s="13">
        <f t="shared" si="1"/>
        <v>7922.07872214419</v>
      </c>
      <c r="I4" s="13">
        <f t="shared" si="1"/>
        <v>9644.32399070881</v>
      </c>
      <c r="J4" s="13">
        <f t="shared" si="1"/>
        <v>11382.4009738609</v>
      </c>
      <c r="K4" s="13">
        <f t="shared" si="1"/>
        <v>13136.4241823088</v>
      </c>
      <c r="L4" s="13">
        <f t="shared" si="1"/>
        <v>14906.5086147714</v>
      </c>
      <c r="M4" s="13">
        <f t="shared" si="1"/>
        <v>16692.7697530017</v>
      </c>
      <c r="N4" s="13">
        <f t="shared" si="1"/>
        <v>18495.323556613</v>
      </c>
      <c r="O4" s="13">
        <f t="shared" si="1"/>
        <v>20314.2864577029</v>
      </c>
      <c r="P4" s="13">
        <f t="shared" si="1"/>
        <v>22149.7753552719</v>
      </c>
      <c r="Q4" s="13">
        <f t="shared" si="1"/>
        <v>24001.9076094306</v>
      </c>
      <c r="R4" s="13">
        <f t="shared" si="1"/>
        <v>25870.8010353931</v>
      </c>
      <c r="S4" s="13">
        <f t="shared" si="1"/>
        <v>27756.5738972503</v>
      </c>
      <c r="T4" s="13">
        <f t="shared" si="1"/>
        <v>29659.3449015196</v>
      </c>
      <c r="U4" s="13">
        <f t="shared" si="1"/>
        <v>31579.233190466</v>
      </c>
      <c r="V4" s="13">
        <f t="shared" si="1"/>
        <v>33516.3583351896</v>
      </c>
      <c r="W4" s="13">
        <f t="shared" si="1"/>
        <v>34293.6804500034</v>
      </c>
      <c r="X4" s="13">
        <f t="shared" si="1"/>
        <v>24673.0152272126</v>
      </c>
      <c r="Y4" s="13">
        <f t="shared" si="1"/>
        <v>18144.5137630043</v>
      </c>
      <c r="Z4" s="13">
        <f t="shared" si="1"/>
        <v>12949.3250297926</v>
      </c>
    </row>
    <row r="5" customHeight="1" spans="1:26">
      <c r="A5" s="8" t="s">
        <v>342</v>
      </c>
      <c r="B5" s="8" t="s">
        <v>600</v>
      </c>
      <c r="C5" s="13">
        <f>D.4流动资金估算表!E10+d财务计划现金流量表!D31</f>
        <v>183.83314686964</v>
      </c>
      <c r="D5" s="13">
        <f>D.4流动资金估算表!F10+d财务计划现金流量表!E31</f>
        <v>1260.40351140871</v>
      </c>
      <c r="E5" s="13">
        <f>D.4流动资金估算表!G10+d财务计划现金流量表!F31</f>
        <v>2717.40199148045</v>
      </c>
      <c r="F5" s="13">
        <f>D.4流动资金估算表!H10+d财务计划现金流量表!G31</f>
        <v>4086.47579439779</v>
      </c>
      <c r="G5" s="13">
        <f>D.4流动资金估算表!I10+d财务计划现金流量表!H31</f>
        <v>5772.83483972338</v>
      </c>
      <c r="H5" s="13">
        <f>D.4流动资金估算表!J10+d财务计划现金流量表!I31</f>
        <v>7474.74956132421</v>
      </c>
      <c r="I5" s="13">
        <f>D.4流动资金估算表!K10+d财务计划现金流量表!J31</f>
        <v>9192.33306553069</v>
      </c>
      <c r="J5" s="13">
        <f>D.4流动资金估算表!L10+d财务计划现金流量表!K31</f>
        <v>10925.6988393337</v>
      </c>
      <c r="K5" s="13">
        <f>D.4流动资金估算表!M10+d财务计划现金流量表!L31</f>
        <v>12674.9608565814</v>
      </c>
      <c r="L5" s="13">
        <f>D.4流动资金估算表!N10+d财务计划现金流量表!M31</f>
        <v>14440.2335731277</v>
      </c>
      <c r="M5" s="13">
        <f>D.4流动资金估算表!O10+d财务计划现金流量表!N31</f>
        <v>16221.6319217866</v>
      </c>
      <c r="N5" s="13">
        <f>D.4流动资金估算表!P10+d财务计划现金流量表!O31</f>
        <v>18019.2713070871</v>
      </c>
      <c r="O5" s="13">
        <f>D.4流动资金估算表!Q10+d财务计划现金流量表!P31</f>
        <v>19833.2675998272</v>
      </c>
      <c r="P5" s="13">
        <f>D.4流动资金估算表!R10+d财务计划现金流量表!Q31</f>
        <v>21663.7371314187</v>
      </c>
      <c r="Q5" s="13">
        <f>D.4流动资金估算表!S10+d财务计划现金流量表!R31</f>
        <v>23510.7966880231</v>
      </c>
      <c r="R5" s="13">
        <f>D.4流动资金估算表!T10+d财务计划现金流量表!S31</f>
        <v>25374.5635044698</v>
      </c>
      <c r="S5" s="13">
        <f>D.4流动资金估算表!U10+d财务计划现金流量表!T31</f>
        <v>27255.1552579554</v>
      </c>
      <c r="T5" s="13">
        <f>D.4流动资金估算表!V10+d财务计划现金流量表!U31</f>
        <v>29152.6900615173</v>
      </c>
      <c r="U5" s="13">
        <f>D.4流动资金估算表!W10+d财务计划现金流量表!V31</f>
        <v>31067.2864572783</v>
      </c>
      <c r="V5" s="13">
        <f>D.4流动资金估算表!X10+d财务计划现金流量表!W31</f>
        <v>32999.0634094568</v>
      </c>
      <c r="W5" s="13">
        <f>D.4流动资金估算表!Y10+d财务计划现金流量表!X31</f>
        <v>33770.9771547766</v>
      </c>
      <c r="X5" s="13">
        <f>D.4流动资金估算表!Z10+d财务计划现金流量表!Y31</f>
        <v>24144.8204313622</v>
      </c>
      <c r="Y5" s="13">
        <f>D.4流动资金估算表!AA10+d财务计划现金流量表!Z31</f>
        <v>17610.8068630696</v>
      </c>
      <c r="Z5" s="13">
        <f>D.4流动资金估算表!AB10+d财务计划现金流量表!AA31</f>
        <v>12410.0423100112</v>
      </c>
    </row>
    <row r="6" customHeight="1" spans="1:26">
      <c r="A6" s="8" t="s">
        <v>344</v>
      </c>
      <c r="B6" s="8" t="s">
        <v>189</v>
      </c>
      <c r="C6" s="13">
        <f>D.4流动资金估算表!E4</f>
        <v>0</v>
      </c>
      <c r="D6" s="13">
        <f>D.4流动资金估算表!F4</f>
        <v>0</v>
      </c>
      <c r="E6" s="13">
        <f>D.4流动资金估算表!G4</f>
        <v>105.8355</v>
      </c>
      <c r="F6" s="13">
        <f>D.4流动资金估算表!H4</f>
        <v>274.48125</v>
      </c>
      <c r="G6" s="13">
        <f>D.4流动资金估算表!I4</f>
        <v>405.57375</v>
      </c>
      <c r="H6" s="13">
        <f>D.4流动资金估算表!J4</f>
        <v>409.6294875</v>
      </c>
      <c r="I6" s="13">
        <f>D.4流动资金估算表!K4</f>
        <v>413.725782375</v>
      </c>
      <c r="J6" s="13">
        <f>D.4流动资金估算表!L4</f>
        <v>417.86304019875</v>
      </c>
      <c r="K6" s="13">
        <f>D.4流动资金估算表!M4</f>
        <v>422.041670600738</v>
      </c>
      <c r="L6" s="13">
        <f>D.4流动资金估算表!N4</f>
        <v>426.262087306745</v>
      </c>
      <c r="M6" s="13">
        <f>D.4流动资金估算表!O4</f>
        <v>430.524708179813</v>
      </c>
      <c r="N6" s="13">
        <f>D.4流动资金估算表!P4</f>
        <v>434.829955261611</v>
      </c>
      <c r="O6" s="13">
        <f>D.4流动资金估算表!Q4</f>
        <v>439.178254814226</v>
      </c>
      <c r="P6" s="13">
        <f>D.4流动资金估算表!R4</f>
        <v>443.570037362369</v>
      </c>
      <c r="Q6" s="13">
        <f>D.4流动资金估算表!S4</f>
        <v>448.005737735992</v>
      </c>
      <c r="R6" s="13">
        <f>D.4流动资金估算表!T4</f>
        <v>452.485795113353</v>
      </c>
      <c r="S6" s="13">
        <f>D.4流动资金估算表!U4</f>
        <v>457.010653064486</v>
      </c>
      <c r="T6" s="13">
        <f>D.4流动资金估算表!V4</f>
        <v>461.580759595131</v>
      </c>
      <c r="U6" s="13">
        <f>D.4流动资金估算表!W4</f>
        <v>466.196567191083</v>
      </c>
      <c r="V6" s="13">
        <f>D.4流动资金估算表!X4</f>
        <v>470.858532862994</v>
      </c>
      <c r="W6" s="13">
        <f>D.4流动资金估算表!Y4</f>
        <v>475.567118191623</v>
      </c>
      <c r="X6" s="13">
        <f>D.4流动资金估算表!Z4</f>
        <v>480.322789373539</v>
      </c>
      <c r="Y6" s="13">
        <f>D.4流动资金估算表!AA4</f>
        <v>485.126017267274</v>
      </c>
      <c r="Z6" s="13">
        <f>D.4流动资金估算表!AB4</f>
        <v>489.977277439947</v>
      </c>
    </row>
    <row r="7" customHeight="1" spans="1:26">
      <c r="A7" s="8" t="s">
        <v>346</v>
      </c>
      <c r="B7" s="8" t="s">
        <v>601</v>
      </c>
      <c r="C7" s="38">
        <v>0</v>
      </c>
      <c r="D7" s="38">
        <v>0</v>
      </c>
      <c r="E7" s="38">
        <v>0</v>
      </c>
      <c r="F7" s="38">
        <v>0</v>
      </c>
      <c r="G7" s="38">
        <v>0</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row>
    <row r="8" customHeight="1" spans="1:26">
      <c r="A8" s="8" t="s">
        <v>581</v>
      </c>
      <c r="B8" s="8" t="s">
        <v>191</v>
      </c>
      <c r="C8" s="13">
        <f>D.4流动资金估算表!E5</f>
        <v>0</v>
      </c>
      <c r="D8" s="13">
        <f>D.4流动资金估算表!F5</f>
        <v>0</v>
      </c>
      <c r="E8" s="13">
        <f>D.4流动资金估算表!G5</f>
        <v>28.627720945757</v>
      </c>
      <c r="F8" s="13">
        <f>D.4流动资金估算表!H5</f>
        <v>36.5932374980803</v>
      </c>
      <c r="G8" s="13">
        <f>D.4流动资金估算表!I5</f>
        <v>37.1425605287182</v>
      </c>
      <c r="H8" s="13">
        <f>D.4流动资金估算表!J5</f>
        <v>37.6996733199823</v>
      </c>
      <c r="I8" s="13">
        <f>D.4流动资金估算表!K5</f>
        <v>38.2651428031154</v>
      </c>
      <c r="J8" s="13">
        <f>D.4流动资金估算表!L5</f>
        <v>38.8390943284954</v>
      </c>
      <c r="K8" s="13">
        <f>D.4流动资金估算表!M5</f>
        <v>39.4216551267562</v>
      </c>
      <c r="L8" s="13">
        <f>D.4流动资金估算表!N5</f>
        <v>40.0129543369909</v>
      </c>
      <c r="M8" s="13">
        <f>D.4流动资金估算表!O5</f>
        <v>40.6131230353791</v>
      </c>
      <c r="N8" s="13">
        <f>D.4流动资金估算表!P5</f>
        <v>41.2222942642431</v>
      </c>
      <c r="O8" s="13">
        <f>D.4流动资金估算表!Q5</f>
        <v>41.8406030615401</v>
      </c>
      <c r="P8" s="13">
        <f>D.4流动资金估算表!R5</f>
        <v>42.4681864907965</v>
      </c>
      <c r="Q8" s="13">
        <f>D.4流动资金估算表!S5</f>
        <v>43.1051836714918</v>
      </c>
      <c r="R8" s="13">
        <f>D.4流动资金估算表!T5</f>
        <v>43.7517358098974</v>
      </c>
      <c r="S8" s="13">
        <f>D.4流动资金估算表!U5</f>
        <v>44.4079862303793</v>
      </c>
      <c r="T8" s="13">
        <f>D.4流动资金估算表!V5</f>
        <v>45.0740804071682</v>
      </c>
      <c r="U8" s="13">
        <f>D.4流动资金估算表!W5</f>
        <v>45.7501659966092</v>
      </c>
      <c r="V8" s="13">
        <f>D.4流动资金估算表!X5</f>
        <v>46.4363928698916</v>
      </c>
      <c r="W8" s="13">
        <f>D.4流动资金估算表!Y5</f>
        <v>47.1361770351622</v>
      </c>
      <c r="X8" s="13">
        <f>D.4流动资金估算表!Z5</f>
        <v>47.8720064768007</v>
      </c>
      <c r="Y8" s="13">
        <f>D.4流动资金估算表!AA5</f>
        <v>48.580882667425</v>
      </c>
      <c r="Z8" s="13">
        <f>D.4流动资金估算表!AB5</f>
        <v>49.3054423415197</v>
      </c>
    </row>
    <row r="9" customHeight="1" spans="1:26">
      <c r="A9" s="8" t="s">
        <v>602</v>
      </c>
      <c r="B9" s="8" t="s">
        <v>603</v>
      </c>
      <c r="C9" s="38">
        <v>0</v>
      </c>
      <c r="D9" s="38">
        <v>0</v>
      </c>
      <c r="E9" s="38">
        <v>0</v>
      </c>
      <c r="F9" s="38">
        <v>0</v>
      </c>
      <c r="G9" s="38">
        <v>0</v>
      </c>
      <c r="H9" s="38">
        <v>0</v>
      </c>
      <c r="I9" s="38">
        <v>0</v>
      </c>
      <c r="J9" s="38">
        <v>0</v>
      </c>
      <c r="K9" s="38">
        <v>0</v>
      </c>
      <c r="L9" s="38">
        <v>0</v>
      </c>
      <c r="M9" s="38">
        <v>0</v>
      </c>
      <c r="N9" s="38">
        <v>0</v>
      </c>
      <c r="O9" s="38">
        <v>0</v>
      </c>
      <c r="P9" s="38">
        <v>0</v>
      </c>
      <c r="Q9" s="38">
        <v>0</v>
      </c>
      <c r="R9" s="38">
        <v>0</v>
      </c>
      <c r="S9" s="38">
        <v>0</v>
      </c>
      <c r="T9" s="38">
        <v>0</v>
      </c>
      <c r="U9" s="38">
        <v>0</v>
      </c>
      <c r="V9" s="38">
        <v>0</v>
      </c>
      <c r="W9" s="38">
        <v>0</v>
      </c>
      <c r="X9" s="38">
        <v>0</v>
      </c>
      <c r="Y9" s="38">
        <v>0</v>
      </c>
      <c r="Z9" s="38">
        <v>0</v>
      </c>
    </row>
    <row r="10" customHeight="1" spans="1:26">
      <c r="A10" s="8">
        <v>1.2</v>
      </c>
      <c r="B10" s="8" t="s">
        <v>604</v>
      </c>
      <c r="C10" s="13">
        <f>D.2项目总投资使用计划与资金筹措表!D3</f>
        <v>2047.73040785312</v>
      </c>
      <c r="D10" s="13">
        <f>D.2项目总投资使用计划与资金筹措表!E3</f>
        <v>11667.8270489455</v>
      </c>
      <c r="E10" s="13">
        <f>D.2项目总投资使用计划与资金筹措表!F3</f>
        <v>14560.1076842527</v>
      </c>
      <c r="F10" s="13">
        <f>D.2项目总投资使用计划与资金筹措表!G3</f>
        <v>1245.5936771544</v>
      </c>
      <c r="G10" s="13">
        <f>D.2项目总投资使用计划与资金筹措表!H3</f>
        <v>131.675458353803</v>
      </c>
      <c r="H10" s="13">
        <f>D.2项目总投资使用计划与资金筹措表!I3</f>
        <v>4.64687762306841</v>
      </c>
      <c r="I10" s="13">
        <f>D.2项目总投资使用计划与资金筹措表!J3</f>
        <v>4.69630209991453</v>
      </c>
      <c r="J10" s="13">
        <f>D.2项目总投资使用计划与资金筹措表!K3</f>
        <v>4.74626515703795</v>
      </c>
      <c r="K10" s="13">
        <f>D.2项目总投资使用计划与资金筹措表!L3</f>
        <v>4.79677284527503</v>
      </c>
      <c r="L10" s="13">
        <f>D.2项目总投资使用计划与资金筹措表!M3</f>
        <v>4.84783128594381</v>
      </c>
      <c r="M10" s="13">
        <f>D.2项目总投资使用计划与资金筹措表!N3</f>
        <v>4.8994466717038</v>
      </c>
      <c r="N10" s="13">
        <f>D.2项目总投资使用计划与资金筹措表!O3</f>
        <v>4.95162526741348</v>
      </c>
      <c r="O10" s="13">
        <f>D.2项目总投资使用计划与资金筹措表!P3</f>
        <v>5.00437341101531</v>
      </c>
      <c r="P10" s="13">
        <f>D.2项目总投资使用计划与资金筹措表!Q3</f>
        <v>5.05769751441778</v>
      </c>
      <c r="Q10" s="13">
        <f>D.2项目总投资使用计划与资金筹措表!R3</f>
        <v>5.11160406439279</v>
      </c>
      <c r="R10" s="13">
        <f>D.2项目总投资使用计划与资金筹措表!S3</f>
        <v>5.16609962349219</v>
      </c>
      <c r="S10" s="13">
        <f>D.2项目总投资使用计划与资金筹措表!T3</f>
        <v>5.22119083095669</v>
      </c>
      <c r="T10" s="13">
        <f>D.2项目总投资使用计划与资金筹措表!U3</f>
        <v>5.27688440366518</v>
      </c>
      <c r="U10" s="13">
        <f>D.2项目总投资使用计划与资金筹措表!V3</f>
        <v>5.33318713706763</v>
      </c>
      <c r="V10" s="13">
        <f>D.2项目总投资使用计划与资金筹措表!W3</f>
        <v>5.39010590614373</v>
      </c>
      <c r="W10" s="13">
        <f>D.2项目总投资使用计划与资金筹措表!X3</f>
        <v>5.45172752748636</v>
      </c>
      <c r="X10" s="13">
        <f>D.2项目总投资使用计划与资金筹措表!Y3</f>
        <v>5.54189615611733</v>
      </c>
      <c r="Y10" s="13">
        <f>D.2项目总投资使用计划与资金筹措表!Z3</f>
        <v>5.55375787675075</v>
      </c>
      <c r="Z10" s="13">
        <f>D.2项目总投资使用计划与资金筹措表!AA3</f>
        <v>5.61936103119751</v>
      </c>
    </row>
    <row r="11" customHeight="1" spans="1:26">
      <c r="A11" s="8">
        <v>1.3</v>
      </c>
      <c r="B11" s="8" t="s">
        <v>605</v>
      </c>
      <c r="C11" s="38">
        <f>(E.2固定资产折旧费估算表!F6)</f>
        <v>0</v>
      </c>
      <c r="D11" s="38">
        <f>(E.2固定资产折旧费估算表!G6)</f>
        <v>0</v>
      </c>
      <c r="E11" s="38">
        <f>(E.2固定资产折旧费估算表!H6)</f>
        <v>8997.77395671708</v>
      </c>
      <c r="F11" s="38">
        <f>(E.2固定资产折旧费估算表!I6)</f>
        <v>8591.69864750658</v>
      </c>
      <c r="G11" s="38">
        <f>(E.2固定资产折旧费估算表!J6)</f>
        <v>20375.4861816733</v>
      </c>
      <c r="H11" s="38">
        <f>(E.2固定资产折旧费估算表!K6)</f>
        <v>19361.5174498272</v>
      </c>
      <c r="I11" s="38">
        <f>(E.2固定资产折旧费估算表!L6)</f>
        <v>18347.5487179811</v>
      </c>
      <c r="J11" s="38">
        <f>(E.2固定资产折旧费估算表!M6)</f>
        <v>17333.579986135</v>
      </c>
      <c r="K11" s="38">
        <f>(E.2固定资产折旧费估算表!N6)</f>
        <v>16319.6112542888</v>
      </c>
      <c r="L11" s="38">
        <f>(E.2固定资产折旧费估算表!O6)</f>
        <v>15305.6425224427</v>
      </c>
      <c r="M11" s="38">
        <f>(E.2固定资产折旧费估算表!P6)</f>
        <v>14291.6737905966</v>
      </c>
      <c r="N11" s="38">
        <f>(E.2固定资产折旧费估算表!Q6)</f>
        <v>13277.7050587505</v>
      </c>
      <c r="O11" s="38">
        <f>(E.2固定资产折旧费估算表!R6)</f>
        <v>12263.7363269043</v>
      </c>
      <c r="P11" s="38">
        <f>(E.2固定资产折旧费估算表!S6)</f>
        <v>11249.7675950582</v>
      </c>
      <c r="Q11" s="38">
        <f>(E.2固定资产折旧费估算表!T6)</f>
        <v>10235.7988632121</v>
      </c>
      <c r="R11" s="38">
        <f>(E.2固定资产折旧费估算表!U6)</f>
        <v>9221.83013136599</v>
      </c>
      <c r="S11" s="38">
        <f>(E.2固定资产折旧费估算表!V6)</f>
        <v>8207.86139951986</v>
      </c>
      <c r="T11" s="38">
        <f>(E.2固定资产折旧费估算表!W6)</f>
        <v>7193.89266767374</v>
      </c>
      <c r="U11" s="38">
        <f>(E.2固定资产折旧费估算表!X6)</f>
        <v>6179.92393582762</v>
      </c>
      <c r="V11" s="38">
        <f>(E.2固定资产折旧费估算表!Y6)</f>
        <v>5165.9552039815</v>
      </c>
      <c r="W11" s="38">
        <f>(E.2固定资产折旧费估算表!Z6)</f>
        <v>4151.98647213538</v>
      </c>
      <c r="X11" s="38">
        <f>(E.2固定资产折旧费估算表!AA6)</f>
        <v>3138.01774028926</v>
      </c>
      <c r="Y11" s="38">
        <f>(E.2固定资产折旧费估算表!AB6)</f>
        <v>2124.04900844314</v>
      </c>
      <c r="Z11" s="38">
        <f>(E.2固定资产折旧费估算表!AC6)</f>
        <v>1110.08027659702</v>
      </c>
    </row>
    <row r="12" customHeight="1" spans="1:26">
      <c r="A12" s="8">
        <v>1.4</v>
      </c>
      <c r="B12" s="8" t="s">
        <v>606</v>
      </c>
      <c r="C12" s="38">
        <f>(E.3无形资产和其他资产摊销费估算表!F18)</f>
        <v>0</v>
      </c>
      <c r="D12" s="38">
        <f>(E.3无形资产和其他资产摊销费估算表!G18)</f>
        <v>0</v>
      </c>
      <c r="E12" s="38">
        <f>(E.3无形资产和其他资产摊销费估算表!H18)</f>
        <v>2998.71355060034</v>
      </c>
      <c r="F12" s="38">
        <f>(E.3无形资产和其他资产摊销费估算表!I18)</f>
        <v>2855.91766723842</v>
      </c>
      <c r="G12" s="38">
        <f>(E.3无形资产和其他资产摊销费估算表!J18)</f>
        <v>4156.04631217839</v>
      </c>
      <c r="H12" s="38">
        <f>(E.3无形资产和其他资产摊销费估算表!K18)</f>
        <v>3937.30703259005</v>
      </c>
      <c r="I12" s="38">
        <f>(E.3无形资产和其他资产摊销费估算表!L18)</f>
        <v>3718.56775300172</v>
      </c>
      <c r="J12" s="38">
        <f>(E.3无形资产和其他资产摊销费估算表!M18)</f>
        <v>3499.82847341338</v>
      </c>
      <c r="K12" s="38">
        <f>(E.3无形资产和其他资产摊销费估算表!N18)</f>
        <v>3281.08919382504</v>
      </c>
      <c r="L12" s="38">
        <f>(E.3无形资产和其他资产摊销费估算表!O18)</f>
        <v>3062.34991423671</v>
      </c>
      <c r="M12" s="38">
        <f>(E.3无形资产和其他资产摊销费估算表!P18)</f>
        <v>2843.61063464837</v>
      </c>
      <c r="N12" s="38">
        <f>(E.3无形资产和其他资产摊销费估算表!Q18)</f>
        <v>2624.87135506003</v>
      </c>
      <c r="O12" s="38">
        <f>(E.3无形资产和其他资产摊销费估算表!R18)</f>
        <v>2406.1320754717</v>
      </c>
      <c r="P12" s="38">
        <f>(E.3无形资产和其他资产摊销费估算表!S18)</f>
        <v>2187.39279588336</v>
      </c>
      <c r="Q12" s="38">
        <f>(E.3无形资产和其他资产摊销费估算表!T18)</f>
        <v>1968.65351629503</v>
      </c>
      <c r="R12" s="38">
        <f>(E.3无形资产和其他资产摊销费估算表!U18)</f>
        <v>1749.91423670669</v>
      </c>
      <c r="S12" s="38">
        <f>(E.3无形资产和其他资产摊销费估算表!V18)</f>
        <v>1531.17495711835</v>
      </c>
      <c r="T12" s="38">
        <f>(E.3无形资产和其他资产摊销费估算表!W18)</f>
        <v>1312.43567753002</v>
      </c>
      <c r="U12" s="38">
        <f>(E.3无形资产和其他资产摊销费估算表!X18)</f>
        <v>1093.69639794168</v>
      </c>
      <c r="V12" s="38">
        <f>(E.3无形资产和其他资产摊销费估算表!Y18)</f>
        <v>874.957118353344</v>
      </c>
      <c r="W12" s="38">
        <f>(E.3无形资产和其他资产摊销费估算表!Z18)</f>
        <v>656.217838765008</v>
      </c>
      <c r="X12" s="38">
        <f>(E.3无形资产和其他资产摊销费估算表!AA18)</f>
        <v>437.478559176672</v>
      </c>
      <c r="Y12" s="38">
        <f>(E.3无形资产和其他资产摊销费估算表!AB18)</f>
        <v>218.739279588336</v>
      </c>
      <c r="Z12" s="38">
        <f>(E.3无形资产和其他资产摊销费估算表!AC18)</f>
        <v>0</v>
      </c>
    </row>
    <row r="13" customHeight="1" spans="1:26">
      <c r="A13" s="8">
        <v>2</v>
      </c>
      <c r="B13" s="8" t="s">
        <v>607</v>
      </c>
      <c r="C13" s="13">
        <f t="shared" ref="C13:Z13" si="2">C21+C22</f>
        <v>2047.73040785312</v>
      </c>
      <c r="D13" s="13">
        <f t="shared" si="2"/>
        <v>12842.8270489455</v>
      </c>
      <c r="E13" s="13">
        <f t="shared" si="2"/>
        <v>27067.3412651615</v>
      </c>
      <c r="F13" s="13">
        <f t="shared" si="2"/>
        <v>23213.1128840073</v>
      </c>
      <c r="G13" s="13">
        <f t="shared" si="2"/>
        <v>29938.9851301553</v>
      </c>
      <c r="H13" s="13">
        <f t="shared" si="2"/>
        <v>30181.3328694921</v>
      </c>
      <c r="I13" s="13">
        <f t="shared" si="2"/>
        <v>30564.1416633432</v>
      </c>
      <c r="J13" s="13">
        <f t="shared" si="2"/>
        <v>30960.4355017754</v>
      </c>
      <c r="K13" s="13">
        <f t="shared" si="2"/>
        <v>31370.3163764937</v>
      </c>
      <c r="L13" s="13">
        <f t="shared" si="2"/>
        <v>31793.886806239</v>
      </c>
      <c r="M13" s="13">
        <f t="shared" si="2"/>
        <v>32231.2498346655</v>
      </c>
      <c r="N13" s="13">
        <f t="shared" si="2"/>
        <v>32682.5090280851</v>
      </c>
      <c r="O13" s="13">
        <f t="shared" si="2"/>
        <v>33147.768473078</v>
      </c>
      <c r="P13" s="13">
        <f t="shared" si="2"/>
        <v>33627.132773964</v>
      </c>
      <c r="Q13" s="13">
        <f t="shared" si="2"/>
        <v>34120.7070501333</v>
      </c>
      <c r="R13" s="13">
        <f t="shared" si="2"/>
        <v>34628.5969332323</v>
      </c>
      <c r="S13" s="13">
        <f t="shared" si="2"/>
        <v>35150.9085642025</v>
      </c>
      <c r="T13" s="13">
        <f t="shared" si="2"/>
        <v>35687.7485901676</v>
      </c>
      <c r="U13" s="13">
        <f t="shared" si="2"/>
        <v>36239.2241611675</v>
      </c>
      <c r="V13" s="13">
        <f t="shared" si="2"/>
        <v>36805.4429267337</v>
      </c>
      <c r="W13" s="13">
        <f t="shared" si="2"/>
        <v>36217.6564871653</v>
      </c>
      <c r="X13" s="13">
        <f t="shared" si="2"/>
        <v>25302.0704760501</v>
      </c>
      <c r="Y13" s="13">
        <f t="shared" si="2"/>
        <v>17445.100029641</v>
      </c>
      <c r="Z13" s="13">
        <f t="shared" si="2"/>
        <v>10886.1076907314</v>
      </c>
    </row>
    <row r="14" customHeight="1" spans="1:26">
      <c r="A14" s="8">
        <v>2.1</v>
      </c>
      <c r="B14" s="8" t="s">
        <v>608</v>
      </c>
      <c r="C14" s="13">
        <f t="shared" ref="C14:Z14" si="3">SUM(C15:C18)</f>
        <v>0</v>
      </c>
      <c r="D14" s="13">
        <f t="shared" si="3"/>
        <v>0</v>
      </c>
      <c r="E14" s="13">
        <f t="shared" si="3"/>
        <v>0.764525993883792</v>
      </c>
      <c r="F14" s="13">
        <f t="shared" si="3"/>
        <v>0.764525993883792</v>
      </c>
      <c r="G14" s="13">
        <f t="shared" si="3"/>
        <v>0.775993883792049</v>
      </c>
      <c r="H14" s="13">
        <f t="shared" si="3"/>
        <v>0.78763379204893</v>
      </c>
      <c r="I14" s="13">
        <f t="shared" si="3"/>
        <v>0.799448298929664</v>
      </c>
      <c r="J14" s="13">
        <f t="shared" si="3"/>
        <v>0.811440023413609</v>
      </c>
      <c r="K14" s="13">
        <f t="shared" si="3"/>
        <v>0.823611623764809</v>
      </c>
      <c r="L14" s="13">
        <f t="shared" si="3"/>
        <v>0.835965798121284</v>
      </c>
      <c r="M14" s="13">
        <f t="shared" si="3"/>
        <v>0.848505285093104</v>
      </c>
      <c r="N14" s="13">
        <f t="shared" si="3"/>
        <v>0.861232864369503</v>
      </c>
      <c r="O14" s="13">
        <f t="shared" si="3"/>
        <v>0.874151357335046</v>
      </c>
      <c r="P14" s="13">
        <f t="shared" si="3"/>
        <v>0.887263627695069</v>
      </c>
      <c r="Q14" s="13">
        <f t="shared" si="3"/>
        <v>0.900572582110497</v>
      </c>
      <c r="R14" s="13">
        <f t="shared" si="3"/>
        <v>0.914081170842148</v>
      </c>
      <c r="S14" s="13">
        <f t="shared" si="3"/>
        <v>0.927792388404786</v>
      </c>
      <c r="T14" s="13">
        <f t="shared" si="3"/>
        <v>0.941709274230856</v>
      </c>
      <c r="U14" s="13">
        <f t="shared" si="3"/>
        <v>0.955834913344319</v>
      </c>
      <c r="V14" s="13">
        <f t="shared" si="3"/>
        <v>0.97017243704448</v>
      </c>
      <c r="W14" s="13">
        <f t="shared" si="3"/>
        <v>0.984725023600153</v>
      </c>
      <c r="X14" s="13">
        <f t="shared" si="3"/>
        <v>0.999495898954151</v>
      </c>
      <c r="Y14" s="13">
        <f t="shared" si="3"/>
        <v>1.01448833743846</v>
      </c>
      <c r="Z14" s="13">
        <f t="shared" si="3"/>
        <v>1.02970566250004</v>
      </c>
    </row>
    <row r="15" customHeight="1" spans="1:26">
      <c r="A15" s="8" t="s">
        <v>150</v>
      </c>
      <c r="B15" s="8" t="s">
        <v>609</v>
      </c>
      <c r="C15" s="38">
        <v>0</v>
      </c>
      <c r="D15" s="38">
        <v>0</v>
      </c>
      <c r="E15" s="38">
        <v>0</v>
      </c>
      <c r="F15" s="38">
        <v>0</v>
      </c>
      <c r="G15" s="38">
        <v>0</v>
      </c>
      <c r="H15" s="38">
        <v>0</v>
      </c>
      <c r="I15" s="38">
        <v>0</v>
      </c>
      <c r="J15" s="38">
        <v>0</v>
      </c>
      <c r="K15" s="38">
        <v>0</v>
      </c>
      <c r="L15" s="38">
        <v>0</v>
      </c>
      <c r="M15" s="38">
        <v>0</v>
      </c>
      <c r="N15" s="38">
        <v>0</v>
      </c>
      <c r="O15" s="38">
        <v>0</v>
      </c>
      <c r="P15" s="38">
        <v>0</v>
      </c>
      <c r="Q15" s="38">
        <v>0</v>
      </c>
      <c r="R15" s="38">
        <v>0</v>
      </c>
      <c r="S15" s="38">
        <v>0</v>
      </c>
      <c r="T15" s="38">
        <v>0</v>
      </c>
      <c r="U15" s="38">
        <v>0</v>
      </c>
      <c r="V15" s="38">
        <v>0</v>
      </c>
      <c r="W15" s="38">
        <v>0</v>
      </c>
      <c r="X15" s="38">
        <v>0</v>
      </c>
      <c r="Y15" s="38">
        <v>0</v>
      </c>
      <c r="Z15" s="38">
        <v>0</v>
      </c>
    </row>
    <row r="16" customHeight="1" spans="1:26">
      <c r="A16" s="8" t="s">
        <v>152</v>
      </c>
      <c r="B16" s="8" t="s">
        <v>206</v>
      </c>
      <c r="C16" s="13">
        <f>D.4流动资金估算表!E12</f>
        <v>0</v>
      </c>
      <c r="D16" s="13">
        <f>D.4流动资金估算表!F12</f>
        <v>0</v>
      </c>
      <c r="E16" s="13">
        <f>D.4流动资金估算表!G12</f>
        <v>0.764525993883792</v>
      </c>
      <c r="F16" s="13">
        <f>D.4流动资金估算表!H12</f>
        <v>0.764525993883792</v>
      </c>
      <c r="G16" s="13">
        <f>D.4流动资金估算表!I12</f>
        <v>0.775993883792049</v>
      </c>
      <c r="H16" s="13">
        <f>D.4流动资金估算表!J12</f>
        <v>0.78763379204893</v>
      </c>
      <c r="I16" s="13">
        <f>D.4流动资金估算表!K12</f>
        <v>0.799448298929664</v>
      </c>
      <c r="J16" s="13">
        <f>D.4流动资金估算表!L12</f>
        <v>0.811440023413609</v>
      </c>
      <c r="K16" s="13">
        <f>D.4流动资金估算表!M12</f>
        <v>0.823611623764809</v>
      </c>
      <c r="L16" s="13">
        <f>D.4流动资金估算表!N12</f>
        <v>0.835965798121284</v>
      </c>
      <c r="M16" s="13">
        <f>D.4流动资金估算表!O12</f>
        <v>0.848505285093104</v>
      </c>
      <c r="N16" s="13">
        <f>D.4流动资金估算表!P12</f>
        <v>0.861232864369503</v>
      </c>
      <c r="O16" s="13">
        <f>D.4流动资金估算表!Q12</f>
        <v>0.874151357335046</v>
      </c>
      <c r="P16" s="13">
        <f>D.4流动资金估算表!R12</f>
        <v>0.887263627695069</v>
      </c>
      <c r="Q16" s="13">
        <f>D.4流动资金估算表!S12</f>
        <v>0.900572582110497</v>
      </c>
      <c r="R16" s="13">
        <f>D.4流动资金估算表!T12</f>
        <v>0.914081170842148</v>
      </c>
      <c r="S16" s="13">
        <f>D.4流动资金估算表!U12</f>
        <v>0.927792388404786</v>
      </c>
      <c r="T16" s="13">
        <f>D.4流动资金估算表!V12</f>
        <v>0.941709274230856</v>
      </c>
      <c r="U16" s="13">
        <f>D.4流动资金估算表!W12</f>
        <v>0.955834913344319</v>
      </c>
      <c r="V16" s="13">
        <f>D.4流动资金估算表!X12</f>
        <v>0.97017243704448</v>
      </c>
      <c r="W16" s="13">
        <f>D.4流动资金估算表!Y12</f>
        <v>0.984725023600153</v>
      </c>
      <c r="X16" s="13">
        <f>D.4流动资金估算表!Z12</f>
        <v>0.999495898954151</v>
      </c>
      <c r="Y16" s="13">
        <f>D.4流动资金估算表!AA12</f>
        <v>1.01448833743846</v>
      </c>
      <c r="Z16" s="13">
        <f>D.4流动资金估算表!AB12</f>
        <v>1.02970566250004</v>
      </c>
    </row>
    <row r="17" customHeight="1" spans="1:26">
      <c r="A17" s="8" t="s">
        <v>154</v>
      </c>
      <c r="B17" s="8" t="s">
        <v>610</v>
      </c>
      <c r="C17" s="38">
        <v>0</v>
      </c>
      <c r="D17" s="38">
        <v>0</v>
      </c>
      <c r="E17" s="38">
        <v>0</v>
      </c>
      <c r="F17" s="38">
        <v>0</v>
      </c>
      <c r="G17" s="38">
        <v>0</v>
      </c>
      <c r="H17" s="38">
        <v>0</v>
      </c>
      <c r="I17" s="38">
        <v>0</v>
      </c>
      <c r="J17" s="38">
        <v>0</v>
      </c>
      <c r="K17" s="38">
        <v>0</v>
      </c>
      <c r="L17" s="38">
        <v>0</v>
      </c>
      <c r="M17" s="38">
        <v>0</v>
      </c>
      <c r="N17" s="38">
        <v>0</v>
      </c>
      <c r="O17" s="38">
        <v>0</v>
      </c>
      <c r="P17" s="38">
        <v>0</v>
      </c>
      <c r="Q17" s="38">
        <v>0</v>
      </c>
      <c r="R17" s="38">
        <v>0</v>
      </c>
      <c r="S17" s="38">
        <v>0</v>
      </c>
      <c r="T17" s="38">
        <v>0</v>
      </c>
      <c r="U17" s="38">
        <v>0</v>
      </c>
      <c r="V17" s="38">
        <v>0</v>
      </c>
      <c r="W17" s="38">
        <v>0</v>
      </c>
      <c r="X17" s="38">
        <v>0</v>
      </c>
      <c r="Y17" s="38">
        <v>0</v>
      </c>
      <c r="Z17" s="38">
        <v>0</v>
      </c>
    </row>
    <row r="18" customHeight="1" spans="1:26">
      <c r="A18" s="8" t="s">
        <v>611</v>
      </c>
      <c r="B18" s="8" t="s">
        <v>603</v>
      </c>
      <c r="C18" s="38">
        <v>0</v>
      </c>
      <c r="D18" s="38">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0</v>
      </c>
      <c r="Z18" s="38">
        <v>0</v>
      </c>
    </row>
    <row r="19" s="36" customFormat="1" customHeight="1" spans="1:26">
      <c r="A19" s="39">
        <v>2.2</v>
      </c>
      <c r="B19" s="39" t="s">
        <v>593</v>
      </c>
      <c r="C19" s="40">
        <f>(c借款还本付息计划表!D44)</f>
        <v>1175</v>
      </c>
      <c r="D19" s="40">
        <f>(c借款还本付息计划表!E44)</f>
        <v>12765</v>
      </c>
      <c r="E19" s="40">
        <f>(c借款还本付息计划表!F44)</f>
        <v>21470</v>
      </c>
      <c r="F19" s="40">
        <f>(c借款还本付息计划表!G44)</f>
        <v>29000</v>
      </c>
      <c r="G19" s="40">
        <f>(c借款还本付息计划表!H44)</f>
        <v>29000</v>
      </c>
      <c r="H19" s="40">
        <f>(c借款还本付息计划表!I44)</f>
        <v>29000</v>
      </c>
      <c r="I19" s="40">
        <f>(c借款还本付息计划表!J44)</f>
        <v>29000</v>
      </c>
      <c r="J19" s="40">
        <f>(c借款还本付息计划表!K44)</f>
        <v>29000</v>
      </c>
      <c r="K19" s="40">
        <f>(c借款还本付息计划表!L44)</f>
        <v>29000</v>
      </c>
      <c r="L19" s="40">
        <f>(c借款还本付息计划表!M44)</f>
        <v>29000</v>
      </c>
      <c r="M19" s="40">
        <f>(c借款还本付息计划表!N44)</f>
        <v>29000</v>
      </c>
      <c r="N19" s="40">
        <f>(c借款还本付息计划表!O44)</f>
        <v>29000</v>
      </c>
      <c r="O19" s="40">
        <f>(c借款还本付息计划表!P44)</f>
        <v>29000</v>
      </c>
      <c r="P19" s="40">
        <f>(c借款还本付息计划表!Q44)</f>
        <v>29000</v>
      </c>
      <c r="Q19" s="40">
        <f>(c借款还本付息计划表!R44)</f>
        <v>29000</v>
      </c>
      <c r="R19" s="40">
        <f>(c借款还本付息计划表!S44)</f>
        <v>29000</v>
      </c>
      <c r="S19" s="40">
        <f>(c借款还本付息计划表!T44)</f>
        <v>29000</v>
      </c>
      <c r="T19" s="40">
        <f>(c借款还本付息计划表!U44)</f>
        <v>29000</v>
      </c>
      <c r="U19" s="40">
        <f>(c借款还本付息计划表!V44)</f>
        <v>29000</v>
      </c>
      <c r="V19" s="40">
        <f>(c借款还本付息计划表!W44)</f>
        <v>29000</v>
      </c>
      <c r="W19" s="40">
        <f>(c借款还本付息计划表!X44)</f>
        <v>27825</v>
      </c>
      <c r="X19" s="40">
        <f>(c借款还本付息计划表!Y44)</f>
        <v>16235</v>
      </c>
      <c r="Y19" s="40">
        <f>(c借款还本付息计划表!Z44)</f>
        <v>7530</v>
      </c>
      <c r="Z19" s="40">
        <f>(c借款还本付息计划表!AA44)</f>
        <v>0</v>
      </c>
    </row>
    <row r="20" customHeight="1" spans="1:26">
      <c r="A20" s="8">
        <v>2.3</v>
      </c>
      <c r="B20" s="8" t="s">
        <v>612</v>
      </c>
      <c r="C20" s="13">
        <f>D.4流动资金估算表!E15</f>
        <v>0</v>
      </c>
      <c r="D20" s="13">
        <f>D.4流动资金估算表!F15</f>
        <v>0</v>
      </c>
      <c r="E20" s="13">
        <f>D.4流动资金估算表!G15</f>
        <v>0</v>
      </c>
      <c r="F20" s="13">
        <f>D.4流动资金估算表!H15</f>
        <v>0</v>
      </c>
      <c r="G20" s="13">
        <f>D.4流动资金估算表!I15</f>
        <v>0</v>
      </c>
      <c r="H20" s="13">
        <f>D.4流动资金估算表!J15</f>
        <v>0</v>
      </c>
      <c r="I20" s="13">
        <f>D.4流动资金估算表!K15</f>
        <v>0</v>
      </c>
      <c r="J20" s="13">
        <f>D.4流动资金估算表!L15</f>
        <v>0</v>
      </c>
      <c r="K20" s="13">
        <f>D.4流动资金估算表!M15</f>
        <v>0</v>
      </c>
      <c r="L20" s="13">
        <f>D.4流动资金估算表!N15</f>
        <v>0</v>
      </c>
      <c r="M20" s="13">
        <f>D.4流动资金估算表!O15</f>
        <v>0</v>
      </c>
      <c r="N20" s="13">
        <f>D.4流动资金估算表!P15</f>
        <v>0</v>
      </c>
      <c r="O20" s="13">
        <f>D.4流动资金估算表!Q15</f>
        <v>0</v>
      </c>
      <c r="P20" s="13">
        <f>D.4流动资金估算表!R15</f>
        <v>0</v>
      </c>
      <c r="Q20" s="13">
        <f>D.4流动资金估算表!S15</f>
        <v>0</v>
      </c>
      <c r="R20" s="13">
        <f>D.4流动资金估算表!T15</f>
        <v>0</v>
      </c>
      <c r="S20" s="13">
        <f>D.4流动资金估算表!U15</f>
        <v>0</v>
      </c>
      <c r="T20" s="13">
        <f>D.4流动资金估算表!V15</f>
        <v>0</v>
      </c>
      <c r="U20" s="13">
        <f>D.4流动资金估算表!W15</f>
        <v>0</v>
      </c>
      <c r="V20" s="13">
        <f>D.4流动资金估算表!X15</f>
        <v>0</v>
      </c>
      <c r="W20" s="13">
        <f>D.4流动资金估算表!Y15</f>
        <v>0</v>
      </c>
      <c r="X20" s="13">
        <f>D.4流动资金估算表!Z15</f>
        <v>0</v>
      </c>
      <c r="Y20" s="13">
        <f>D.4流动资金估算表!AA15</f>
        <v>0</v>
      </c>
      <c r="Z20" s="13">
        <f>D.4流动资金估算表!AB15</f>
        <v>0</v>
      </c>
    </row>
    <row r="21" customHeight="1" spans="1:26">
      <c r="A21" s="8">
        <v>2.4</v>
      </c>
      <c r="B21" s="8" t="s">
        <v>613</v>
      </c>
      <c r="C21" s="13">
        <f t="shared" ref="C21:Z21" si="4">C14+C19+C20</f>
        <v>1175</v>
      </c>
      <c r="D21" s="13">
        <f t="shared" si="4"/>
        <v>12765</v>
      </c>
      <c r="E21" s="13">
        <f t="shared" si="4"/>
        <v>21470.7645259939</v>
      </c>
      <c r="F21" s="13">
        <f t="shared" si="4"/>
        <v>29000.7645259939</v>
      </c>
      <c r="G21" s="13">
        <f t="shared" si="4"/>
        <v>29000.7759938838</v>
      </c>
      <c r="H21" s="13">
        <f t="shared" si="4"/>
        <v>29000.787633792</v>
      </c>
      <c r="I21" s="13">
        <f t="shared" si="4"/>
        <v>29000.7994482989</v>
      </c>
      <c r="J21" s="13">
        <f t="shared" si="4"/>
        <v>29000.8114400234</v>
      </c>
      <c r="K21" s="13">
        <f t="shared" si="4"/>
        <v>29000.8236116238</v>
      </c>
      <c r="L21" s="13">
        <f t="shared" si="4"/>
        <v>29000.8359657981</v>
      </c>
      <c r="M21" s="13">
        <f t="shared" si="4"/>
        <v>29000.8485052851</v>
      </c>
      <c r="N21" s="13">
        <f t="shared" si="4"/>
        <v>29000.8612328644</v>
      </c>
      <c r="O21" s="13">
        <f t="shared" si="4"/>
        <v>29000.8741513573</v>
      </c>
      <c r="P21" s="13">
        <f t="shared" si="4"/>
        <v>29000.8872636277</v>
      </c>
      <c r="Q21" s="13">
        <f t="shared" si="4"/>
        <v>29000.9005725821</v>
      </c>
      <c r="R21" s="13">
        <f t="shared" si="4"/>
        <v>29000.9140811708</v>
      </c>
      <c r="S21" s="13">
        <f t="shared" si="4"/>
        <v>29000.9277923884</v>
      </c>
      <c r="T21" s="13">
        <f t="shared" si="4"/>
        <v>29000.9417092742</v>
      </c>
      <c r="U21" s="13">
        <f t="shared" si="4"/>
        <v>29000.9558349133</v>
      </c>
      <c r="V21" s="13">
        <f t="shared" si="4"/>
        <v>29000.970172437</v>
      </c>
      <c r="W21" s="13">
        <f t="shared" si="4"/>
        <v>27825.9847250236</v>
      </c>
      <c r="X21" s="13">
        <f t="shared" si="4"/>
        <v>16235.999495899</v>
      </c>
      <c r="Y21" s="13">
        <f t="shared" si="4"/>
        <v>7531.01448833744</v>
      </c>
      <c r="Z21" s="13">
        <f t="shared" si="4"/>
        <v>1.02970566250004</v>
      </c>
    </row>
    <row r="22" customHeight="1" spans="1:26">
      <c r="A22" s="8">
        <v>2.5</v>
      </c>
      <c r="B22" s="8" t="s">
        <v>614</v>
      </c>
      <c r="C22" s="13">
        <f t="shared" ref="C22:Z22" si="5">SUM(C23:C26)</f>
        <v>872.730407853119</v>
      </c>
      <c r="D22" s="13">
        <f t="shared" si="5"/>
        <v>77.8270489454667</v>
      </c>
      <c r="E22" s="13">
        <f t="shared" si="5"/>
        <v>5596.57673916762</v>
      </c>
      <c r="F22" s="13">
        <f t="shared" si="5"/>
        <v>-5787.65164198657</v>
      </c>
      <c r="G22" s="13">
        <f t="shared" si="5"/>
        <v>938.209136271526</v>
      </c>
      <c r="H22" s="13">
        <f t="shared" si="5"/>
        <v>1180.54523570009</v>
      </c>
      <c r="I22" s="13">
        <f t="shared" si="5"/>
        <v>1563.34221504426</v>
      </c>
      <c r="J22" s="13">
        <f t="shared" si="5"/>
        <v>1959.62406175196</v>
      </c>
      <c r="K22" s="13">
        <f t="shared" si="5"/>
        <v>2369.49276486992</v>
      </c>
      <c r="L22" s="13">
        <f t="shared" si="5"/>
        <v>2793.05084044092</v>
      </c>
      <c r="M22" s="13">
        <f t="shared" si="5"/>
        <v>3230.40132938038</v>
      </c>
      <c r="N22" s="13">
        <f t="shared" si="5"/>
        <v>3681.64779522071</v>
      </c>
      <c r="O22" s="13">
        <f t="shared" si="5"/>
        <v>4146.89432172063</v>
      </c>
      <c r="P22" s="13">
        <f t="shared" si="5"/>
        <v>4626.2455103363</v>
      </c>
      <c r="Q22" s="13">
        <f t="shared" si="5"/>
        <v>5119.80647755117</v>
      </c>
      <c r="R22" s="13">
        <f t="shared" si="5"/>
        <v>5627.6828520615</v>
      </c>
      <c r="S22" s="13">
        <f t="shared" si="5"/>
        <v>6149.9807718141</v>
      </c>
      <c r="T22" s="13">
        <f t="shared" si="5"/>
        <v>6686.80688089342</v>
      </c>
      <c r="U22" s="13">
        <f t="shared" si="5"/>
        <v>7238.2683262542</v>
      </c>
      <c r="V22" s="13">
        <f t="shared" si="5"/>
        <v>7804.47275429665</v>
      </c>
      <c r="W22" s="13">
        <f t="shared" si="5"/>
        <v>8391.67176214167</v>
      </c>
      <c r="X22" s="13">
        <f t="shared" si="5"/>
        <v>9066.07098015118</v>
      </c>
      <c r="Y22" s="13">
        <f t="shared" si="5"/>
        <v>9914.08554130357</v>
      </c>
      <c r="Z22" s="13">
        <f t="shared" si="5"/>
        <v>10885.0779850689</v>
      </c>
    </row>
    <row r="23" customHeight="1" spans="1:26">
      <c r="A23" s="8" t="s">
        <v>615</v>
      </c>
      <c r="B23" s="8" t="s">
        <v>616</v>
      </c>
      <c r="C23" s="13">
        <f>D.2项目总投资使用计划与资金筹措表!D8</f>
        <v>872.730407853119</v>
      </c>
      <c r="D23" s="13">
        <f>D.2项目总投资使用计划与资金筹措表!E8</f>
        <v>77.8270489454667</v>
      </c>
      <c r="E23" s="13">
        <f>D.2项目总投资使用计划与资金筹措表!F8</f>
        <v>5855.10768425269</v>
      </c>
      <c r="F23" s="13">
        <f>D.2项目总投资使用计划与资金筹措表!G8</f>
        <v>-6284.4063228456</v>
      </c>
      <c r="G23" s="13">
        <f>D.2项目总投资使用计划与资金筹措表!H8</f>
        <v>131.675458353803</v>
      </c>
      <c r="H23" s="13">
        <f>D.2项目总投资使用计划与资金筹措表!I8</f>
        <v>4.64687762306841</v>
      </c>
      <c r="I23" s="13">
        <f>D.2项目总投资使用计划与资金筹措表!J8</f>
        <v>4.69630209991453</v>
      </c>
      <c r="J23" s="13">
        <f>D.2项目总投资使用计划与资金筹措表!K8</f>
        <v>4.74626515703795</v>
      </c>
      <c r="K23" s="13">
        <f>D.2项目总投资使用计划与资金筹措表!L8</f>
        <v>4.79677284527503</v>
      </c>
      <c r="L23" s="13">
        <f>D.2项目总投资使用计划与资金筹措表!M8</f>
        <v>4.84783128594381</v>
      </c>
      <c r="M23" s="13">
        <f>D.2项目总投资使用计划与资金筹措表!N8</f>
        <v>4.8994466717038</v>
      </c>
      <c r="N23" s="13">
        <f>D.2项目总投资使用计划与资金筹措表!O8</f>
        <v>4.95162526741348</v>
      </c>
      <c r="O23" s="13">
        <f>D.2项目总投资使用计划与资金筹措表!P8</f>
        <v>5.00437341101531</v>
      </c>
      <c r="P23" s="13">
        <f>D.2项目总投资使用计划与资金筹措表!Q8</f>
        <v>5.05769751441778</v>
      </c>
      <c r="Q23" s="13">
        <f>D.2项目总投资使用计划与资金筹措表!R8</f>
        <v>5.11160406439279</v>
      </c>
      <c r="R23" s="13">
        <f>D.2项目总投资使用计划与资金筹措表!S8</f>
        <v>5.16609962349219</v>
      </c>
      <c r="S23" s="13">
        <f>D.2项目总投资使用计划与资金筹措表!T8</f>
        <v>5.22119083095669</v>
      </c>
      <c r="T23" s="13">
        <f>D.2项目总投资使用计划与资金筹措表!U8</f>
        <v>5.27688440366518</v>
      </c>
      <c r="U23" s="13">
        <f>D.2项目总投资使用计划与资金筹措表!V8</f>
        <v>5.33318713706763</v>
      </c>
      <c r="V23" s="13">
        <f>D.2项目总投资使用计划与资金筹措表!W8</f>
        <v>5.39010590614373</v>
      </c>
      <c r="W23" s="13">
        <f>D.2项目总投资使用计划与资金筹措表!X8</f>
        <v>5.45172752748636</v>
      </c>
      <c r="X23" s="13">
        <f>D.2项目总投资使用计划与资金筹措表!Y8</f>
        <v>5.54189615611733</v>
      </c>
      <c r="Y23" s="13">
        <f>D.2项目总投资使用计划与资金筹措表!Z8</f>
        <v>5.55375787675075</v>
      </c>
      <c r="Z23" s="13">
        <f>D.2项目总投资使用计划与资金筹措表!AA8</f>
        <v>5.61936103119751</v>
      </c>
    </row>
    <row r="24" customHeight="1" spans="1:26">
      <c r="A24" s="8" t="s">
        <v>617</v>
      </c>
      <c r="B24" s="8" t="s">
        <v>618</v>
      </c>
      <c r="C24" s="13">
        <f>'b利润与利润分配表（损益和利润分配表）'!D15</f>
        <v>0</v>
      </c>
      <c r="D24" s="13">
        <f>'b利润与利润分配表（损益和利润分配表）'!E15</f>
        <v>0</v>
      </c>
      <c r="E24" s="13">
        <f>'b利润与利润分配表（损益和利润分配表）'!F15</f>
        <v>-25.8530945085065</v>
      </c>
      <c r="F24" s="13">
        <f>'b利润与利润分配表（损益和利润分配表）'!G15</f>
        <v>71.7798638906763</v>
      </c>
      <c r="G24" s="13">
        <f>'b利润与利润分配表（损益和利润分配表）'!H15</f>
        <v>41.3859799700171</v>
      </c>
      <c r="H24" s="13">
        <f>'b利润与利润分配表（损益和利润分配表）'!I15</f>
        <v>42.9374351115821</v>
      </c>
      <c r="I24" s="13">
        <f>'b利润与利润分配表（损益和利润分配表）'!J15</f>
        <v>44.5006835779121</v>
      </c>
      <c r="J24" s="13">
        <f>'b利润与利润分配表（损益和利润分配表）'!K15</f>
        <v>46.075787483855</v>
      </c>
      <c r="K24" s="13">
        <f>'b利润与利润分配表（损益和利润分配表）'!L15</f>
        <v>47.662808728131</v>
      </c>
      <c r="L24" s="13">
        <f>'b利润与利润分配表（损益和利润分配表）'!M15</f>
        <v>49.2618089786127</v>
      </c>
      <c r="M24" s="13">
        <f>'b利润与利润分配表（损益和利润分配表）'!N15</f>
        <v>50.8728496572688</v>
      </c>
      <c r="N24" s="13">
        <f>'b利润与利润分配表（损益和利润分配表）'!O15</f>
        <v>52.4959919247657</v>
      </c>
      <c r="O24" s="13">
        <f>'b利润与利润分配表（损益和利润分配表）'!P15</f>
        <v>54.1312966647226</v>
      </c>
      <c r="P24" s="13">
        <f>'b利润与利润分配表（损益和利润分配表）'!Q15</f>
        <v>55.7788244676114</v>
      </c>
      <c r="Q24" s="13">
        <f>'b利润与利润分配表（损益和利润分配表）'!R15</f>
        <v>57.4386356142936</v>
      </c>
      <c r="R24" s="13">
        <f>'b利润与利润分配表（损益和利润分配表）'!S15</f>
        <v>59.110790059195</v>
      </c>
      <c r="S24" s="13">
        <f>'b利润与利润分配表（损益和利润分配表）'!T15</f>
        <v>60.7953474130975</v>
      </c>
      <c r="T24" s="13">
        <f>'b利润与利润分配表（损益和利润分配表）'!U15</f>
        <v>62.49236692556</v>
      </c>
      <c r="U24" s="13">
        <f>'b利润与利润分配表（损益和利润分配表）'!V15</f>
        <v>64.2019074669438</v>
      </c>
      <c r="V24" s="13">
        <f>'b利润与利润分配表（损益和利润分配表）'!W15</f>
        <v>65.9240275100447</v>
      </c>
      <c r="W24" s="13">
        <f>'b利润与利润分配表（损益和利润分配表）'!X15</f>
        <v>68.2727226113238</v>
      </c>
      <c r="X24" s="13">
        <f>'b利润与利润分配表（损益和利润分配表）'!Y15</f>
        <v>77.3304497167302</v>
      </c>
      <c r="Y24" s="13">
        <f>'b利润与利润分配表（损益和利润分配表）'!Z15</f>
        <v>96.0131851521013</v>
      </c>
      <c r="Z24" s="13">
        <f>'b利润与利润分配表（损益和利润分配表）'!AA15</f>
        <v>111.014595908144</v>
      </c>
    </row>
    <row r="25" customHeight="1" spans="1:26">
      <c r="A25" s="8" t="s">
        <v>619</v>
      </c>
      <c r="B25" s="8" t="s">
        <v>620</v>
      </c>
      <c r="C25" s="13">
        <f>'b利润与利润分配表（损益和利润分配表）'!D18</f>
        <v>0</v>
      </c>
      <c r="D25" s="13">
        <f>'b利润与利润分配表（损益和利润分配表）'!E18</f>
        <v>0</v>
      </c>
      <c r="E25" s="13">
        <f>'b利润与利润分配表（损益和利润分配表）'!F18</f>
        <v>-11.6338925288279</v>
      </c>
      <c r="F25" s="13">
        <f>'b利润与利润分配表（损益和利润分配表）'!G18</f>
        <v>32.3009387508043</v>
      </c>
      <c r="G25" s="13">
        <f>'b利润与利润分配表（损益和利润分配表）'!H18</f>
        <v>18.6236909865077</v>
      </c>
      <c r="H25" s="13">
        <f>'b利润与利润分配表（损益和利润分配表）'!I18</f>
        <v>19.321845800212</v>
      </c>
      <c r="I25" s="13">
        <f>'b利润与利润分配表（损益和利润分配表）'!J18</f>
        <v>20.0253076100604</v>
      </c>
      <c r="J25" s="13">
        <f>'b利润与利润分配表（损益和利润分配表）'!K18</f>
        <v>20.7341043677347</v>
      </c>
      <c r="K25" s="13">
        <f>'b利润与利润分配表（损益和利润分配表）'!L18</f>
        <v>21.448263927659</v>
      </c>
      <c r="L25" s="13">
        <f>'b利润与利润分配表（损益和利润分配表）'!M18</f>
        <v>22.1678140403757</v>
      </c>
      <c r="M25" s="13">
        <f>'b利润与利润分配表（损益和利润分配表）'!N18</f>
        <v>22.892782345771</v>
      </c>
      <c r="N25" s="13">
        <f>'b利润与利润分配表（损益和利润分配表）'!O18</f>
        <v>23.6231963661446</v>
      </c>
      <c r="O25" s="13">
        <f>'b利润与利润分配表（损益和利润分配表）'!P18</f>
        <v>24.3590834991252</v>
      </c>
      <c r="P25" s="13">
        <f>'b利润与利润分配表（损益和利润分配表）'!Q18</f>
        <v>25.1004710104251</v>
      </c>
      <c r="Q25" s="13">
        <f>'b利润与利润分配表（损益和利润分配表）'!R18</f>
        <v>25.8473860264321</v>
      </c>
      <c r="R25" s="13">
        <f>'b利润与利润分配表（损益和利润分配表）'!S18</f>
        <v>26.5998555266378</v>
      </c>
      <c r="S25" s="13">
        <f>'b利润与利润分配表（损益和利润分配表）'!T18</f>
        <v>27.3579063358939</v>
      </c>
      <c r="T25" s="13">
        <f>'b利润与利润分配表（损益和利润分配表）'!U18</f>
        <v>28.121565116502</v>
      </c>
      <c r="U25" s="13">
        <f>'b利润与利润分配表（损益和利润分配表）'!V18</f>
        <v>28.8908583601247</v>
      </c>
      <c r="V25" s="13">
        <f>'b利润与利润分配表（损益和利润分配表）'!W18</f>
        <v>29.6658123795201</v>
      </c>
      <c r="W25" s="13">
        <f>'b利润与利润分配表（损益和利润分配表）'!X18</f>
        <v>30.7227251750957</v>
      </c>
      <c r="X25" s="13">
        <f>'b利润与利润分配表（损益和利润分配表）'!Y18</f>
        <v>34.7987023725286</v>
      </c>
      <c r="Y25" s="13">
        <f>'b利润与利润分配表（损益和利润分配表）'!Z18</f>
        <v>43.2059333184456</v>
      </c>
      <c r="Z25" s="13">
        <f>'b利润与利润分配表（损益和利润分配表）'!AA18</f>
        <v>49.9565681586649</v>
      </c>
    </row>
    <row r="26" customHeight="1" spans="1:26">
      <c r="A26" s="8" t="s">
        <v>621</v>
      </c>
      <c r="B26" s="8" t="s">
        <v>530</v>
      </c>
      <c r="C26" s="13">
        <f>'b利润与利润分配表（损益和利润分配表）'!D24</f>
        <v>0</v>
      </c>
      <c r="D26" s="13">
        <f>'b利润与利润分配表（损益和利润分配表）'!E24</f>
        <v>0</v>
      </c>
      <c r="E26" s="13">
        <f>'b利润与利润分配表（损益和利润分配表）'!F24</f>
        <v>-221.043958047731</v>
      </c>
      <c r="F26" s="13">
        <f>'b利润与利润分配表（损益和利润分配表）'!G24</f>
        <v>392.673878217551</v>
      </c>
      <c r="G26" s="13">
        <f>'b利润与利润分配表（损益和利润分配表）'!H24</f>
        <v>746.524006961198</v>
      </c>
      <c r="H26" s="13">
        <f>'b利润与利润分配表（损益和利润分配表）'!I24</f>
        <v>1113.63907716522</v>
      </c>
      <c r="I26" s="13">
        <f>'b利润与利润分配表（损益和利润分配表）'!J24</f>
        <v>1494.11992175637</v>
      </c>
      <c r="J26" s="13">
        <f>'b利润与利润分配表（损益和利润分配表）'!K24</f>
        <v>1888.06790474333</v>
      </c>
      <c r="K26" s="13">
        <f>'b利润与利润分配表（损益和利润分配表）'!L24</f>
        <v>2295.58491936885</v>
      </c>
      <c r="L26" s="13">
        <f>'b利润与利润分配表（损益和利润分配表）'!M24</f>
        <v>2716.77338613599</v>
      </c>
      <c r="M26" s="13">
        <f>'b利润与利润分配表（损益和利润分配表）'!N24</f>
        <v>3151.73625070564</v>
      </c>
      <c r="N26" s="13">
        <f>'b利润与利润分配表（损益和利润分配表）'!O24</f>
        <v>3600.57698166239</v>
      </c>
      <c r="O26" s="13">
        <f>'b利润与利润分配表（损益和利润分配表）'!P24</f>
        <v>4063.39956814577</v>
      </c>
      <c r="P26" s="13">
        <f>'b利润与利润分配表（损益和利润分配表）'!Q24</f>
        <v>4540.30851734384</v>
      </c>
      <c r="Q26" s="13">
        <f>'b利润与利润分配表（损益和利润分配表）'!R24</f>
        <v>5031.40885184605</v>
      </c>
      <c r="R26" s="13">
        <f>'b利润与利润分配表（损益和利润分配表）'!S24</f>
        <v>5536.80610685217</v>
      </c>
      <c r="S26" s="13">
        <f>'b利润与利润分配表（损益和利润分配表）'!T24</f>
        <v>6056.60632723415</v>
      </c>
      <c r="T26" s="13">
        <f>'b利润与利润分配表（损益和利润分配表）'!U24</f>
        <v>6590.91606444769</v>
      </c>
      <c r="U26" s="13">
        <f>'b利润与利润分配表（损益和利润分配表）'!V24</f>
        <v>7139.84237329006</v>
      </c>
      <c r="V26" s="13">
        <f>'b利润与利润分配表（损益和利润分配表）'!W24</f>
        <v>7703.49280850094</v>
      </c>
      <c r="W26" s="13">
        <f>'b利润与利润分配表（损益和利润分配表）'!X24</f>
        <v>8287.22458682776</v>
      </c>
      <c r="X26" s="13">
        <f>'b利润与利润分配表（损益和利润分配表）'!Y24</f>
        <v>8948.39993190581</v>
      </c>
      <c r="Y26" s="13">
        <f>'b利润与利润分配表（损益和利润分配表）'!Z24</f>
        <v>9769.31266495627</v>
      </c>
      <c r="Z26" s="13">
        <f>'b利润与利润分配表（损益和利润分配表）'!AA24</f>
        <v>10718.4874599709</v>
      </c>
    </row>
    <row r="27" customHeight="1" spans="1:26">
      <c r="A27" s="41" t="s">
        <v>622</v>
      </c>
      <c r="B27" s="4"/>
      <c r="C27" s="25">
        <f t="shared" ref="C27:Z27" si="6">C21/C3</f>
        <v>0.526536650732306</v>
      </c>
      <c r="D27" s="25">
        <f t="shared" si="6"/>
        <v>0.987374098907646</v>
      </c>
      <c r="E27" s="25">
        <f t="shared" si="6"/>
        <v>0.730088016544934</v>
      </c>
      <c r="F27" s="25">
        <f t="shared" si="6"/>
        <v>1.69686801882417</v>
      </c>
      <c r="G27" s="25">
        <f t="shared" si="6"/>
        <v>0.939182040886341</v>
      </c>
      <c r="H27" s="25">
        <f t="shared" si="6"/>
        <v>0.928751857291962</v>
      </c>
      <c r="I27" s="25">
        <f t="shared" si="6"/>
        <v>0.914415084011509</v>
      </c>
      <c r="J27" s="25">
        <f t="shared" si="6"/>
        <v>0.900071734061179</v>
      </c>
      <c r="K27" s="25">
        <f t="shared" si="6"/>
        <v>0.885739821265627</v>
      </c>
      <c r="L27" s="25">
        <f t="shared" si="6"/>
        <v>0.871436399431538</v>
      </c>
      <c r="M27" s="25">
        <f t="shared" si="6"/>
        <v>0.857177556142352</v>
      </c>
      <c r="N27" s="25">
        <f t="shared" si="6"/>
        <v>0.842978412769039</v>
      </c>
      <c r="O27" s="25">
        <f t="shared" si="6"/>
        <v>0.828853130131778</v>
      </c>
      <c r="P27" s="25">
        <f t="shared" si="6"/>
        <v>0.814814919245225</v>
      </c>
      <c r="Q27" s="25">
        <f t="shared" si="6"/>
        <v>0.800876056586073</v>
      </c>
      <c r="R27" s="25">
        <f t="shared" si="6"/>
        <v>0.787047903334226</v>
      </c>
      <c r="S27" s="25">
        <f t="shared" si="6"/>
        <v>0.773340928057531</v>
      </c>
      <c r="T27" s="25">
        <f t="shared" si="6"/>
        <v>0.759764732333058</v>
      </c>
      <c r="U27" s="25">
        <f t="shared" si="6"/>
        <v>0.746328078824785</v>
      </c>
      <c r="V27" s="25">
        <f t="shared" si="6"/>
        <v>0.733038921367084</v>
      </c>
      <c r="W27" s="25">
        <f t="shared" si="6"/>
        <v>0.711528506505553</v>
      </c>
      <c r="X27" s="25">
        <f t="shared" si="6"/>
        <v>0.574643193771878</v>
      </c>
      <c r="Y27" s="25">
        <f t="shared" si="6"/>
        <v>0.367494631229588</v>
      </c>
      <c r="Z27" s="25">
        <f t="shared" si="6"/>
        <v>7.32103701805209e-5</v>
      </c>
    </row>
    <row r="28" customHeight="1" spans="10:10">
      <c r="J28" t="s">
        <v>333</v>
      </c>
    </row>
  </sheetData>
  <mergeCells count="2">
    <mergeCell ref="A1:G1"/>
    <mergeCell ref="A27:B27"/>
  </mergeCells>
  <pageMargins left="0.75" right="0.75" top="1" bottom="1" header="0.5" footer="0.5"/>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rgb="FFFFC000"/>
  </sheetPr>
  <dimension ref="A1:G4"/>
  <sheetViews>
    <sheetView workbookViewId="0">
      <selection activeCell="J17" sqref="J17"/>
    </sheetView>
  </sheetViews>
  <sheetFormatPr defaultColWidth="14.7818181818182" defaultRowHeight="28.05" customHeight="1" outlineLevelRow="3" outlineLevelCol="6"/>
  <cols>
    <col min="1" max="1" width="20.2181818181818" style="1" customWidth="1"/>
    <col min="2" max="2" width="14.7818181818182" style="1" customWidth="1"/>
    <col min="3" max="3" width="17.7818181818182" style="1" customWidth="1"/>
    <col min="4" max="4" width="14.7818181818182" style="1" customWidth="1"/>
  </cols>
  <sheetData>
    <row r="1" customHeight="1" spans="1:7">
      <c r="A1" s="2" t="s">
        <v>623</v>
      </c>
      <c r="B1" s="3"/>
      <c r="C1" s="3"/>
      <c r="D1" s="3"/>
      <c r="E1" s="3"/>
      <c r="F1" s="3"/>
      <c r="G1" s="4"/>
    </row>
    <row r="2" customHeight="1" spans="1:7">
      <c r="A2" s="5" t="s">
        <v>624</v>
      </c>
      <c r="B2" s="5" t="s">
        <v>625</v>
      </c>
      <c r="C2" s="5" t="s">
        <v>114</v>
      </c>
      <c r="D2" s="5" t="s">
        <v>626</v>
      </c>
      <c r="E2" s="5" t="s">
        <v>141</v>
      </c>
      <c r="F2" s="5" t="s">
        <v>147</v>
      </c>
      <c r="G2" s="5" t="s">
        <v>81</v>
      </c>
    </row>
    <row r="3" customHeight="1" spans="1:7">
      <c r="A3" s="8" t="s">
        <v>627</v>
      </c>
      <c r="B3" s="9">
        <f>D.1建设投资!F3</f>
        <v>24474.93</v>
      </c>
      <c r="C3" s="9">
        <f>D.1建设投资!F16</f>
        <v>380</v>
      </c>
      <c r="D3" s="9">
        <f>D.1建设投资!F38</f>
        <v>772.736</v>
      </c>
      <c r="E3" s="9">
        <f>D.2项目总投资使用计划与资金筹措表!C5</f>
        <v>980.681333333333</v>
      </c>
      <c r="F3" s="9">
        <f>D.2项目总投资使用计划与资金筹措表!C6</f>
        <v>542.298232693175</v>
      </c>
      <c r="G3" s="9">
        <f>SUM(B3:F3)</f>
        <v>27150.6455660265</v>
      </c>
    </row>
    <row r="4" customHeight="1" spans="1:7">
      <c r="A4" s="8" t="s">
        <v>628</v>
      </c>
      <c r="B4" s="25">
        <f>B3/$G$3</f>
        <v>0.901449283792551</v>
      </c>
      <c r="C4" s="25">
        <f>C3/$G$3</f>
        <v>0.0139959839656812</v>
      </c>
      <c r="D4" s="25">
        <f>D3/$G$3</f>
        <v>0.0284610543834332</v>
      </c>
      <c r="E4" s="25">
        <f>E3/$G$3</f>
        <v>0.0361200005704636</v>
      </c>
      <c r="F4" s="25">
        <f>F3/$G$3</f>
        <v>0.0199736772878708</v>
      </c>
      <c r="G4" s="25" t="s">
        <v>162</v>
      </c>
    </row>
  </sheetData>
  <mergeCells count="1">
    <mergeCell ref="A1:G1"/>
  </mergeCell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rgb="FFFFC000"/>
  </sheetPr>
  <dimension ref="A1:G10"/>
  <sheetViews>
    <sheetView workbookViewId="0">
      <selection activeCell="E6" sqref="E6"/>
    </sheetView>
  </sheetViews>
  <sheetFormatPr defaultColWidth="14.7818181818182" defaultRowHeight="28.05" customHeight="1" outlineLevelCol="6"/>
  <cols>
    <col min="1" max="1" width="22" style="1" customWidth="1"/>
    <col min="2" max="2" width="15.6636363636364" style="1" customWidth="1"/>
  </cols>
  <sheetData>
    <row r="1" ht="18" customHeight="1" spans="1:7">
      <c r="A1" s="2" t="s">
        <v>629</v>
      </c>
      <c r="B1" s="3"/>
      <c r="C1" s="3"/>
      <c r="D1" s="3"/>
      <c r="E1" s="3"/>
      <c r="F1" s="4"/>
      <c r="G1" s="32" t="s">
        <v>630</v>
      </c>
    </row>
    <row r="2" ht="16.5" customHeight="1" spans="1:6">
      <c r="A2" s="5" t="s">
        <v>631</v>
      </c>
      <c r="B2" s="33">
        <v>2025</v>
      </c>
      <c r="C2" s="33">
        <v>2026</v>
      </c>
      <c r="D2" s="33">
        <v>2027</v>
      </c>
      <c r="E2" s="5" t="s">
        <v>81</v>
      </c>
      <c r="F2" s="5" t="s">
        <v>632</v>
      </c>
    </row>
    <row r="3" ht="16.5" customHeight="1" spans="1:6">
      <c r="A3" s="8" t="s">
        <v>633</v>
      </c>
      <c r="B3" s="34"/>
      <c r="C3" s="34"/>
      <c r="D3" s="34"/>
      <c r="E3" s="9">
        <f t="shared" ref="E3:E8" si="0">SUM(B3:D3)</f>
        <v>0</v>
      </c>
      <c r="F3" s="25" t="e">
        <f>E3/E9</f>
        <v>#DIV/0!</v>
      </c>
    </row>
    <row r="4" ht="16.5" customHeight="1" spans="1:6">
      <c r="A4" s="8" t="s">
        <v>634</v>
      </c>
      <c r="B4" s="13"/>
      <c r="C4" s="13"/>
      <c r="D4" s="13"/>
      <c r="E4" s="13">
        <f t="shared" si="0"/>
        <v>0</v>
      </c>
      <c r="F4" s="25" t="e">
        <f>E4/E9</f>
        <v>#DIV/0!</v>
      </c>
    </row>
    <row r="5" ht="39" customHeight="1" spans="1:6">
      <c r="A5" s="35" t="s">
        <v>635</v>
      </c>
      <c r="B5" s="34"/>
      <c r="C5" s="34"/>
      <c r="D5" s="34"/>
      <c r="E5" s="9">
        <f t="shared" si="0"/>
        <v>0</v>
      </c>
      <c r="F5" s="25" t="e">
        <f>E5/E9</f>
        <v>#DIV/0!</v>
      </c>
    </row>
    <row r="6" ht="39" customHeight="1" spans="1:6">
      <c r="A6" s="35" t="s">
        <v>636</v>
      </c>
      <c r="B6" s="9"/>
      <c r="C6" s="9"/>
      <c r="D6" s="9"/>
      <c r="E6" s="9">
        <f t="shared" si="0"/>
        <v>0</v>
      </c>
      <c r="F6" s="25" t="e">
        <f>E6/E9</f>
        <v>#DIV/0!</v>
      </c>
    </row>
    <row r="7" ht="16.5" customHeight="1" spans="1:6">
      <c r="A7" s="8" t="s">
        <v>637</v>
      </c>
      <c r="B7" s="34"/>
      <c r="C7" s="34"/>
      <c r="D7" s="34"/>
      <c r="E7" s="9">
        <f t="shared" si="0"/>
        <v>0</v>
      </c>
      <c r="F7" s="25" t="e">
        <f>E7/E9</f>
        <v>#DIV/0!</v>
      </c>
    </row>
    <row r="8" ht="16.5" customHeight="1" spans="1:6">
      <c r="A8" s="8" t="s">
        <v>638</v>
      </c>
      <c r="B8" s="34"/>
      <c r="C8" s="34"/>
      <c r="D8" s="34"/>
      <c r="E8" s="9">
        <f t="shared" si="0"/>
        <v>0</v>
      </c>
      <c r="F8" s="25" t="e">
        <f>E8/E9</f>
        <v>#DIV/0!</v>
      </c>
    </row>
    <row r="9" ht="16.5" customHeight="1" spans="1:6">
      <c r="A9" s="8" t="s">
        <v>81</v>
      </c>
      <c r="B9" s="9">
        <f>SUM(B3:B8)</f>
        <v>0</v>
      </c>
      <c r="C9" s="9">
        <f>SUM(C3:C8)</f>
        <v>0</v>
      </c>
      <c r="D9" s="9">
        <f>SUM(D3:D8)</f>
        <v>0</v>
      </c>
      <c r="E9" s="9">
        <f>SUM(E3:E8)</f>
        <v>0</v>
      </c>
      <c r="F9" s="8" t="s">
        <v>162</v>
      </c>
    </row>
    <row r="10" ht="16.5" customHeight="1" spans="1:6">
      <c r="A10" s="8" t="s">
        <v>639</v>
      </c>
      <c r="B10" s="25" t="e">
        <f>B9/E9</f>
        <v>#DIV/0!</v>
      </c>
      <c r="C10" s="25" t="e">
        <f>C9/E9</f>
        <v>#DIV/0!</v>
      </c>
      <c r="D10" s="25" t="e">
        <f>D9/E9</f>
        <v>#DIV/0!</v>
      </c>
      <c r="E10" s="8" t="s">
        <v>162</v>
      </c>
      <c r="F10" s="8" t="s">
        <v>162</v>
      </c>
    </row>
  </sheetData>
  <mergeCells count="1">
    <mergeCell ref="A1:F1"/>
  </mergeCells>
  <pageMargins left="0.75" right="0.75" top="1" bottom="1" header="0.5" footer="0.5"/>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C000"/>
  </sheetPr>
  <dimension ref="A1:Y6"/>
  <sheetViews>
    <sheetView workbookViewId="0">
      <pane xSplit="1" ySplit="3" topLeftCell="B4" activePane="bottomRight" state="frozen"/>
      <selection/>
      <selection pane="topRight"/>
      <selection pane="bottomLeft"/>
      <selection pane="bottomRight" activeCell="Q9" sqref="Q9"/>
    </sheetView>
  </sheetViews>
  <sheetFormatPr defaultColWidth="15.7818181818182" defaultRowHeight="28.05" customHeight="1" outlineLevelRow="5"/>
  <cols>
    <col min="1" max="1" width="15.7818181818182" style="1" customWidth="1"/>
    <col min="2" max="2" width="6.44545454545455" style="1" customWidth="1"/>
    <col min="3" max="25" width="8.78181818181818" style="1" customWidth="1"/>
  </cols>
  <sheetData>
    <row r="1" customHeight="1" spans="1:6">
      <c r="A1" s="27" t="s">
        <v>640</v>
      </c>
      <c r="B1" s="28"/>
      <c r="C1" s="28"/>
      <c r="D1" s="28"/>
      <c r="E1" s="28"/>
      <c r="F1" s="28"/>
    </row>
    <row r="2" customHeight="1" spans="1:6">
      <c r="A2" s="5" t="s">
        <v>641</v>
      </c>
      <c r="B2" s="29" t="s">
        <v>642</v>
      </c>
      <c r="C2" s="30"/>
      <c r="D2" s="30"/>
      <c r="E2" s="30"/>
      <c r="F2" s="30"/>
    </row>
    <row r="3" customHeight="1" spans="1:25">
      <c r="A3" s="15"/>
      <c r="B3" s="31">
        <v>2025</v>
      </c>
      <c r="C3" s="31">
        <v>2026</v>
      </c>
      <c r="D3" s="31">
        <v>2027</v>
      </c>
      <c r="E3" s="31">
        <v>2028</v>
      </c>
      <c r="F3" s="31">
        <v>2029</v>
      </c>
      <c r="G3" s="31">
        <v>2030</v>
      </c>
      <c r="H3" s="31">
        <v>2031</v>
      </c>
      <c r="I3" s="31">
        <v>2032</v>
      </c>
      <c r="J3" s="31">
        <v>2033</v>
      </c>
      <c r="K3" s="31">
        <v>2034</v>
      </c>
      <c r="L3" s="31">
        <v>2035</v>
      </c>
      <c r="M3" s="31">
        <v>2036</v>
      </c>
      <c r="N3" s="31">
        <v>2037</v>
      </c>
      <c r="O3" s="31">
        <v>2038</v>
      </c>
      <c r="P3" s="31">
        <v>2039</v>
      </c>
      <c r="Q3" s="31">
        <v>2040</v>
      </c>
      <c r="R3" s="31">
        <v>2041</v>
      </c>
      <c r="S3" s="31">
        <v>2042</v>
      </c>
      <c r="T3" s="31">
        <v>2043</v>
      </c>
      <c r="U3" s="31">
        <v>2044</v>
      </c>
      <c r="V3" s="31">
        <v>2045</v>
      </c>
      <c r="W3" s="31">
        <v>2046</v>
      </c>
      <c r="X3" s="31">
        <v>2047</v>
      </c>
      <c r="Y3" s="31">
        <v>2048</v>
      </c>
    </row>
    <row r="4" customHeight="1" spans="1:25">
      <c r="A4" s="8" t="s">
        <v>643</v>
      </c>
      <c r="B4" s="9">
        <f>(F项目收入!D25-F项目收入!D23)</f>
        <v>0</v>
      </c>
      <c r="C4" s="9">
        <f>(F项目收入!E25-F项目收入!E23)</f>
        <v>0</v>
      </c>
      <c r="D4" s="9">
        <f>(F项目收入!F25-F项目收入!F23)</f>
        <v>798.758490566038</v>
      </c>
      <c r="E4" s="9">
        <f>(F项目收入!G25-F项目收入!G23)</f>
        <v>2071.55660377358</v>
      </c>
      <c r="F4" s="9">
        <f>(F项目收入!H25-F项目收入!H23)</f>
        <v>3060.93396226415</v>
      </c>
      <c r="G4" s="9">
        <f>(F项目收入!I25-F项目收入!I23)</f>
        <v>3091.54330188679</v>
      </c>
      <c r="H4" s="9">
        <f>(F项目收入!J25-F项目收入!J23)</f>
        <v>3122.45873490566</v>
      </c>
      <c r="I4" s="9">
        <f>(F项目收入!K25-F项目收入!K23)</f>
        <v>3153.68332225472</v>
      </c>
      <c r="J4" s="9">
        <f>(F项目收入!L25-F项目收入!L23)</f>
        <v>3185.22015547726</v>
      </c>
      <c r="K4" s="9">
        <f>(F项目收入!M25-F项目收入!M23)</f>
        <v>3217.07235703204</v>
      </c>
      <c r="L4" s="9">
        <f>(F项目收入!N25-F项目收入!N23)</f>
        <v>3249.24308060236</v>
      </c>
      <c r="M4" s="9">
        <f>(F项目收入!O25-F项目收入!O23)</f>
        <v>3281.73551140838</v>
      </c>
      <c r="N4" s="9">
        <f>(F项目收入!P25-F项目收入!P23)</f>
        <v>3314.55286652246</v>
      </c>
      <c r="O4" s="9">
        <f>(F项目收入!Q25-F项目收入!Q23)</f>
        <v>3347.69839518769</v>
      </c>
      <c r="P4" s="9">
        <f>(F项目收入!R25-F项目收入!R23)</f>
        <v>3381.17537913956</v>
      </c>
      <c r="Q4" s="9">
        <f>(F项目收入!S25-F项目收入!S23)</f>
        <v>3414.98713293096</v>
      </c>
      <c r="R4" s="9">
        <f>(F项目收入!T25-F项目收入!T23)</f>
        <v>3449.13700426027</v>
      </c>
      <c r="S4" s="9">
        <f>(F项目收入!U25-F项目收入!U23)</f>
        <v>3483.62837430287</v>
      </c>
      <c r="T4" s="9">
        <f>(F项目收入!V25-F项目收入!V23)</f>
        <v>3518.46465804591</v>
      </c>
      <c r="U4" s="9">
        <f>(F项目收入!W25-F项目收入!W23)</f>
        <v>3553.64930462637</v>
      </c>
      <c r="V4" s="9">
        <f>(F项目收入!X25-F项目收入!X23)</f>
        <v>3589.18579767263</v>
      </c>
      <c r="W4" s="9">
        <f>(F项目收入!Y25-F项目收入!Y23)</f>
        <v>3625.07765564935</v>
      </c>
      <c r="X4" s="9">
        <f>(F项目收入!Z25-F项目收入!Z23)</f>
        <v>3661.32843220584</v>
      </c>
      <c r="Y4" s="9">
        <f>(F项目收入!AA25-F项目收入!AA23)</f>
        <v>3697.9417165279</v>
      </c>
    </row>
    <row r="5" customHeight="1" spans="1:25">
      <c r="A5" s="8" t="s">
        <v>644</v>
      </c>
      <c r="B5" s="9">
        <f>(F项目收入!D23)</f>
        <v>0</v>
      </c>
      <c r="C5" s="9">
        <f>(F项目收入!E23)</f>
        <v>0</v>
      </c>
      <c r="D5" s="9">
        <f>(F项目收入!F23)</f>
        <v>0</v>
      </c>
      <c r="E5" s="9">
        <v>0</v>
      </c>
      <c r="F5" s="9">
        <v>0</v>
      </c>
      <c r="G5" s="9">
        <v>0</v>
      </c>
      <c r="H5" s="9">
        <v>0</v>
      </c>
      <c r="I5" s="9">
        <v>0</v>
      </c>
      <c r="J5" s="9">
        <v>0</v>
      </c>
      <c r="K5" s="9">
        <v>0</v>
      </c>
      <c r="L5" s="9">
        <v>0</v>
      </c>
      <c r="M5" s="9">
        <v>0</v>
      </c>
      <c r="N5" s="9">
        <v>0</v>
      </c>
      <c r="O5" s="9">
        <v>0</v>
      </c>
      <c r="P5" s="9">
        <v>0</v>
      </c>
      <c r="Q5" s="9">
        <v>0</v>
      </c>
      <c r="R5" s="9">
        <v>0</v>
      </c>
      <c r="S5" s="9">
        <v>0</v>
      </c>
      <c r="T5" s="9">
        <v>0</v>
      </c>
      <c r="U5" s="9">
        <v>0</v>
      </c>
      <c r="V5" s="9">
        <v>0</v>
      </c>
      <c r="W5" s="9">
        <v>0</v>
      </c>
      <c r="X5" s="9">
        <v>0</v>
      </c>
      <c r="Y5" s="9">
        <v>0</v>
      </c>
    </row>
    <row r="6" customHeight="1" spans="1:25">
      <c r="A6" s="8" t="s">
        <v>81</v>
      </c>
      <c r="B6" s="9">
        <f t="shared" ref="B6:Y6" si="0">SUM(B4:B5)</f>
        <v>0</v>
      </c>
      <c r="C6" s="9">
        <f t="shared" si="0"/>
        <v>0</v>
      </c>
      <c r="D6" s="9">
        <f t="shared" si="0"/>
        <v>798.758490566038</v>
      </c>
      <c r="E6" s="9">
        <f t="shared" si="0"/>
        <v>2071.55660377358</v>
      </c>
      <c r="F6" s="9">
        <f t="shared" si="0"/>
        <v>3060.93396226415</v>
      </c>
      <c r="G6" s="9">
        <f t="shared" si="0"/>
        <v>3091.54330188679</v>
      </c>
      <c r="H6" s="9">
        <f t="shared" si="0"/>
        <v>3122.45873490566</v>
      </c>
      <c r="I6" s="9">
        <f t="shared" si="0"/>
        <v>3153.68332225472</v>
      </c>
      <c r="J6" s="9">
        <f t="shared" si="0"/>
        <v>3185.22015547726</v>
      </c>
      <c r="K6" s="9">
        <f t="shared" si="0"/>
        <v>3217.07235703204</v>
      </c>
      <c r="L6" s="9">
        <f t="shared" si="0"/>
        <v>3249.24308060236</v>
      </c>
      <c r="M6" s="9">
        <f t="shared" si="0"/>
        <v>3281.73551140838</v>
      </c>
      <c r="N6" s="9">
        <f t="shared" si="0"/>
        <v>3314.55286652246</v>
      </c>
      <c r="O6" s="9">
        <f t="shared" si="0"/>
        <v>3347.69839518769</v>
      </c>
      <c r="P6" s="9">
        <f t="shared" si="0"/>
        <v>3381.17537913956</v>
      </c>
      <c r="Q6" s="9">
        <f t="shared" si="0"/>
        <v>3414.98713293096</v>
      </c>
      <c r="R6" s="9">
        <f t="shared" si="0"/>
        <v>3449.13700426027</v>
      </c>
      <c r="S6" s="9">
        <f t="shared" si="0"/>
        <v>3483.62837430287</v>
      </c>
      <c r="T6" s="9">
        <f t="shared" si="0"/>
        <v>3518.46465804591</v>
      </c>
      <c r="U6" s="9">
        <f t="shared" si="0"/>
        <v>3553.64930462637</v>
      </c>
      <c r="V6" s="9">
        <f t="shared" si="0"/>
        <v>3589.18579767263</v>
      </c>
      <c r="W6" s="9">
        <f t="shared" si="0"/>
        <v>3625.07765564935</v>
      </c>
      <c r="X6" s="9">
        <f t="shared" si="0"/>
        <v>3661.32843220584</v>
      </c>
      <c r="Y6" s="9">
        <f t="shared" si="0"/>
        <v>3697.9417165279</v>
      </c>
    </row>
  </sheetData>
  <mergeCells count="1">
    <mergeCell ref="A2:A3"/>
  </mergeCells>
  <pageMargins left="0.75" right="0.75" top="1" bottom="1" header="0.5" footer="0.5"/>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AG23"/>
  <sheetViews>
    <sheetView zoomScale="70" zoomScaleNormal="70" workbookViewId="0">
      <selection activeCell="AR17" sqref="AR17"/>
    </sheetView>
  </sheetViews>
  <sheetFormatPr defaultColWidth="13.7818181818182" defaultRowHeight="28.05" customHeight="1"/>
  <cols>
    <col min="1" max="1" width="13.6636363636364" style="1" customWidth="1"/>
    <col min="2" max="2" width="11.2181818181818" style="1" customWidth="1"/>
    <col min="3" max="3" width="44.2181818181818" style="16" customWidth="1"/>
    <col min="4" max="4" width="43.8909090909091" style="16" customWidth="1"/>
    <col min="5" max="16374" width="13.7818181818182" style="1" customWidth="1"/>
  </cols>
  <sheetData>
    <row r="1" customHeight="1" spans="1:33">
      <c r="A1" s="17" t="s">
        <v>645</v>
      </c>
      <c r="AG1" s="26" t="s">
        <v>646</v>
      </c>
    </row>
    <row r="2" customHeight="1" spans="1:32">
      <c r="A2" s="18" t="s">
        <v>228</v>
      </c>
      <c r="B2" s="18" t="s">
        <v>1</v>
      </c>
      <c r="C2" s="19" t="s">
        <v>144</v>
      </c>
      <c r="D2" s="19" t="s">
        <v>229</v>
      </c>
      <c r="E2" s="18" t="s">
        <v>87</v>
      </c>
      <c r="F2" s="19" t="s">
        <v>230</v>
      </c>
      <c r="G2" s="5" t="s">
        <v>320</v>
      </c>
      <c r="H2" s="20">
        <v>2025</v>
      </c>
      <c r="I2" s="24">
        <v>2026</v>
      </c>
      <c r="J2" s="20">
        <v>2027</v>
      </c>
      <c r="K2" s="24">
        <v>2028</v>
      </c>
      <c r="L2" s="20">
        <v>2029</v>
      </c>
      <c r="M2" s="24">
        <v>2030</v>
      </c>
      <c r="N2" s="20">
        <v>2031</v>
      </c>
      <c r="O2" s="24">
        <v>2032</v>
      </c>
      <c r="P2" s="20">
        <v>2033</v>
      </c>
      <c r="Q2" s="24">
        <v>2034</v>
      </c>
      <c r="R2" s="20">
        <v>2035</v>
      </c>
      <c r="S2" s="24">
        <v>2036</v>
      </c>
      <c r="T2" s="20">
        <v>2037</v>
      </c>
      <c r="U2" s="24">
        <v>2038</v>
      </c>
      <c r="V2" s="20">
        <v>2039</v>
      </c>
      <c r="W2" s="24">
        <v>2040</v>
      </c>
      <c r="X2" s="20">
        <v>2041</v>
      </c>
      <c r="Y2" s="24">
        <v>2042</v>
      </c>
      <c r="Z2" s="24">
        <v>2043</v>
      </c>
      <c r="AA2" s="24">
        <v>2044</v>
      </c>
      <c r="AB2" s="24">
        <v>2045</v>
      </c>
      <c r="AC2" s="24">
        <v>2046</v>
      </c>
      <c r="AD2" s="24">
        <v>2047</v>
      </c>
      <c r="AE2" s="24">
        <v>2048</v>
      </c>
      <c r="AF2" s="18" t="s">
        <v>81</v>
      </c>
    </row>
    <row r="3" customHeight="1" spans="1:32">
      <c r="A3" s="15"/>
      <c r="B3" s="15"/>
      <c r="C3" s="15"/>
      <c r="D3" s="15"/>
      <c r="E3" s="15"/>
      <c r="F3" s="15"/>
      <c r="G3" s="15"/>
      <c r="H3" s="21" t="s">
        <v>232</v>
      </c>
      <c r="I3" s="25">
        <f>E.1项目运营期费用!I3</f>
        <v>0.7</v>
      </c>
      <c r="J3" s="25">
        <f>E.1项目运营期费用!J3</f>
        <v>0.7</v>
      </c>
      <c r="K3" s="25">
        <f>E.1项目运营期费用!K3</f>
        <v>0.8</v>
      </c>
      <c r="L3" s="25">
        <f>E.1项目运营期费用!L3</f>
        <v>0.9</v>
      </c>
      <c r="M3" s="25">
        <f>E.1项目运营期费用!M3</f>
        <v>1</v>
      </c>
      <c r="N3" s="25">
        <f>E.1项目运营期费用!N3</f>
        <v>0.8</v>
      </c>
      <c r="O3" s="25">
        <f>E.1项目运营期费用!O3</f>
        <v>0.7</v>
      </c>
      <c r="P3" s="25">
        <f>E.1项目运营期费用!P3</f>
        <v>0.7</v>
      </c>
      <c r="Q3" s="25">
        <f>E.1项目运营期费用!Q3</f>
        <v>0.8</v>
      </c>
      <c r="R3" s="25">
        <f>E.1项目运营期费用!R3</f>
        <v>0.7</v>
      </c>
      <c r="S3" s="25">
        <f>E.1项目运营期费用!S3</f>
        <v>0.7</v>
      </c>
      <c r="T3" s="25">
        <f>E.1项目运营期费用!T3</f>
        <v>0.8</v>
      </c>
      <c r="U3" s="25">
        <f>E.1项目运营期费用!U3</f>
        <v>0.7</v>
      </c>
      <c r="V3" s="25">
        <f>E.1项目运营期费用!V3</f>
        <v>0.7</v>
      </c>
      <c r="W3" s="25">
        <f>E.1项目运营期费用!W3</f>
        <v>0.8</v>
      </c>
      <c r="X3" s="25">
        <f>E.1项目运营期费用!X3</f>
        <v>0.7</v>
      </c>
      <c r="Y3" s="25">
        <f>E.1项目运营期费用!Y3</f>
        <v>0.7</v>
      </c>
      <c r="Z3" s="25">
        <f>E.1项目运营期费用!Z3</f>
        <v>0.8</v>
      </c>
      <c r="AA3" s="25">
        <f>E.1项目运营期费用!AA3</f>
        <v>0.7</v>
      </c>
      <c r="AB3" s="25">
        <f>E.1项目运营期费用!AB3</f>
        <v>0.7</v>
      </c>
      <c r="AC3" s="25">
        <f>E.1项目运营期费用!AC3</f>
        <v>0.7</v>
      </c>
      <c r="AD3" s="25">
        <f>E.1项目运营期费用!AD3</f>
        <v>0.7</v>
      </c>
      <c r="AE3" s="25">
        <f>E.1项目运营期费用!AE3</f>
        <v>0.7</v>
      </c>
      <c r="AF3" s="8" t="s">
        <v>162</v>
      </c>
    </row>
    <row r="4" customHeight="1" spans="1:32">
      <c r="A4" s="12" t="str">
        <f>E.1项目运营期费用!A4</f>
        <v>场地维护成本</v>
      </c>
      <c r="B4" s="12">
        <f>E.1项目运营期费用!B4</f>
        <v>1</v>
      </c>
      <c r="C4" s="22" t="str">
        <f>E.1项目运营期费用!C4</f>
        <v>场地租金</v>
      </c>
      <c r="D4" s="22" t="str">
        <f>E.1项目运营期费用!D4</f>
        <v>按面积×租金单价</v>
      </c>
      <c r="E4" s="8">
        <f>E.1项目运营期费用!E4</f>
        <v>0</v>
      </c>
      <c r="F4" s="8">
        <f>E.1项目运营期费用!F4</f>
        <v>0</v>
      </c>
      <c r="G4" s="8">
        <f>E.1项目运营期费用!G4</f>
        <v>0</v>
      </c>
      <c r="H4" s="8">
        <f>E.1项目运营期费用!H4</f>
        <v>0</v>
      </c>
      <c r="I4" s="8">
        <f>E.1项目运营期费用!I4</f>
        <v>0</v>
      </c>
      <c r="J4" s="8">
        <f>E.1项目运营期费用!J4</f>
        <v>120</v>
      </c>
      <c r="K4" s="8">
        <f>E.1项目运营期费用!K4</f>
        <v>160</v>
      </c>
      <c r="L4" s="8">
        <f>E.1项目运营期费用!L4</f>
        <v>162.4</v>
      </c>
      <c r="M4" s="8">
        <f>E.1项目运营期费用!M4</f>
        <v>164.836</v>
      </c>
      <c r="N4" s="8">
        <f>E.1项目运营期费用!N4</f>
        <v>167.30854</v>
      </c>
      <c r="O4" s="8">
        <f>E.1项目运营期费用!O4</f>
        <v>169.8181681</v>
      </c>
      <c r="P4" s="8">
        <f>E.1项目运营期费用!P4</f>
        <v>172.3654406215</v>
      </c>
      <c r="Q4" s="8">
        <f>E.1项目运营期费用!Q4</f>
        <v>174.950922230822</v>
      </c>
      <c r="R4" s="8">
        <f>E.1项目运营期费用!R4</f>
        <v>177.575186064285</v>
      </c>
      <c r="S4" s="8">
        <f>E.1项目运营期费用!S4</f>
        <v>180.238813855249</v>
      </c>
      <c r="T4" s="8">
        <f>E.1项目运营期费用!T4</f>
        <v>182.942396063078</v>
      </c>
      <c r="U4" s="8">
        <f>E.1项目运营期费用!U4</f>
        <v>185.686532004024</v>
      </c>
      <c r="V4" s="8">
        <f>E.1项目运营期费用!V4</f>
        <v>188.471829984084</v>
      </c>
      <c r="W4" s="8">
        <f>E.1项目运营期费用!W4</f>
        <v>191.298907433845</v>
      </c>
      <c r="X4" s="8">
        <f>E.1项目运营期费用!X4</f>
        <v>194.168391045353</v>
      </c>
      <c r="Y4" s="8">
        <f>E.1项目运营期费用!Y4</f>
        <v>197.080916911033</v>
      </c>
      <c r="Z4" s="8">
        <f>E.1项目运营期费用!Z4</f>
        <v>200.037130664699</v>
      </c>
      <c r="AA4" s="8">
        <f>E.1项目运营期费用!AA4</f>
        <v>203.037687624669</v>
      </c>
      <c r="AB4" s="8">
        <f>E.1项目运营期费用!AB4</f>
        <v>206.083252939039</v>
      </c>
      <c r="AC4" s="8">
        <f>E.1项目运营期费用!AC4</f>
        <v>209.174501733125</v>
      </c>
      <c r="AD4" s="8">
        <f>E.1项目运营期费用!AD4</f>
        <v>212.312119259122</v>
      </c>
      <c r="AE4" s="8">
        <f>E.1项目运营期费用!AE4</f>
        <v>215.496801048009</v>
      </c>
      <c r="AF4" s="8">
        <f>E.1项目运营期费用!M4</f>
        <v>164.836</v>
      </c>
    </row>
    <row r="5" customHeight="1" spans="1:32">
      <c r="A5" s="23"/>
      <c r="B5" s="12">
        <f>E.1项目运营期费用!B5</f>
        <v>2</v>
      </c>
      <c r="C5" s="22" t="str">
        <f>E.1项目运营期费用!C5</f>
        <v>场地日常维护（停机坪/起降场/交通枢纽/飞行营地/指挥中心等）</v>
      </c>
      <c r="D5" s="22" t="str">
        <f>E.1项目运营期费用!D5</f>
        <v>按面积 × 单位维护单价（元 / ㎡・年）</v>
      </c>
      <c r="E5" s="8">
        <f>E.1项目运营期费用!E5</f>
        <v>0</v>
      </c>
      <c r="F5" s="8">
        <f>E.1项目运营期费用!F5</f>
        <v>0</v>
      </c>
      <c r="G5" s="8">
        <f>E.1项目运营期费用!G5</f>
        <v>0</v>
      </c>
      <c r="H5" s="8">
        <f>E.1项目运营期费用!H5</f>
        <v>0</v>
      </c>
      <c r="I5" s="8">
        <f>E.1项目运营期费用!I5</f>
        <v>0</v>
      </c>
      <c r="J5" s="8">
        <f>E.1项目运营期费用!J5</f>
        <v>0</v>
      </c>
      <c r="K5" s="8">
        <f>E.1项目运营期费用!K5</f>
        <v>0</v>
      </c>
      <c r="L5" s="8">
        <f>E.1项目运营期费用!L5</f>
        <v>0</v>
      </c>
      <c r="M5" s="8">
        <f>E.1项目运营期费用!M5</f>
        <v>0</v>
      </c>
      <c r="N5" s="8">
        <f>E.1项目运营期费用!N5</f>
        <v>0</v>
      </c>
      <c r="O5" s="8">
        <f>E.1项目运营期费用!O5</f>
        <v>0</v>
      </c>
      <c r="P5" s="8">
        <f>E.1项目运营期费用!P5</f>
        <v>0</v>
      </c>
      <c r="Q5" s="8">
        <f>E.1项目运营期费用!Q5</f>
        <v>0</v>
      </c>
      <c r="R5" s="8">
        <f>E.1项目运营期费用!R5</f>
        <v>0</v>
      </c>
      <c r="S5" s="8">
        <f>E.1项目运营期费用!S5</f>
        <v>0</v>
      </c>
      <c r="T5" s="8">
        <f>E.1项目运营期费用!T5</f>
        <v>0</v>
      </c>
      <c r="U5" s="8">
        <f>E.1项目运营期费用!U5</f>
        <v>0</v>
      </c>
      <c r="V5" s="8">
        <f>E.1项目运营期费用!V5</f>
        <v>0</v>
      </c>
      <c r="W5" s="8">
        <f>E.1项目运营期费用!W5</f>
        <v>0</v>
      </c>
      <c r="X5" s="8">
        <f>E.1项目运营期费用!X5</f>
        <v>0</v>
      </c>
      <c r="Y5" s="8">
        <f>E.1项目运营期费用!Y5</f>
        <v>0</v>
      </c>
      <c r="Z5" s="8">
        <f>E.1项目运营期费用!Z5</f>
        <v>0</v>
      </c>
      <c r="AA5" s="8">
        <f>E.1项目运营期费用!AA5</f>
        <v>0</v>
      </c>
      <c r="AB5" s="8">
        <f>E.1项目运营期费用!AB5</f>
        <v>0</v>
      </c>
      <c r="AC5" s="8">
        <f>E.1项目运营期费用!AC5</f>
        <v>0</v>
      </c>
      <c r="AD5" s="8">
        <f>E.1项目运营期费用!AD5</f>
        <v>0</v>
      </c>
      <c r="AE5" s="8">
        <f>E.1项目运营期费用!AE5</f>
        <v>0</v>
      </c>
      <c r="AF5" s="8">
        <f>E.1项目运营期费用!M5</f>
        <v>0</v>
      </c>
    </row>
    <row r="6" customHeight="1" spans="1:32">
      <c r="A6" s="23"/>
      <c r="B6" s="12">
        <f>E.1项目运营期费用!B6</f>
        <v>3</v>
      </c>
      <c r="C6" s="22" t="str">
        <f>E.1项目运营期费用!C6</f>
        <v>消防设施年检</v>
      </c>
      <c r="D6" s="22" t="str">
        <f>E.1项目运营期费用!D6</f>
        <v>按设备数量 × 单台年检费（元 / 台・次）</v>
      </c>
      <c r="E6" s="8">
        <f>E.1项目运营期费用!E6</f>
        <v>0</v>
      </c>
      <c r="F6" s="8">
        <f>E.1项目运营期费用!F6</f>
        <v>0</v>
      </c>
      <c r="G6" s="8">
        <f>E.1项目运营期费用!G6</f>
        <v>0</v>
      </c>
      <c r="H6" s="8">
        <f>E.1项目运营期费用!H6</f>
        <v>0</v>
      </c>
      <c r="I6" s="8">
        <f>E.1项目运营期费用!I6</f>
        <v>0</v>
      </c>
      <c r="J6" s="8">
        <f>E.1项目运营期费用!J6</f>
        <v>0</v>
      </c>
      <c r="K6" s="8">
        <f>E.1项目运营期费用!K6</f>
        <v>0</v>
      </c>
      <c r="L6" s="8">
        <f>E.1项目运营期费用!L6</f>
        <v>0</v>
      </c>
      <c r="M6" s="8">
        <f>E.1项目运营期费用!M6</f>
        <v>0</v>
      </c>
      <c r="N6" s="8">
        <f>E.1项目运营期费用!N6</f>
        <v>0</v>
      </c>
      <c r="O6" s="8">
        <f>E.1项目运营期费用!O6</f>
        <v>0</v>
      </c>
      <c r="P6" s="8">
        <f>E.1项目运营期费用!P6</f>
        <v>0</v>
      </c>
      <c r="Q6" s="8">
        <f>E.1项目运营期费用!Q6</f>
        <v>0</v>
      </c>
      <c r="R6" s="8">
        <f>E.1项目运营期费用!R6</f>
        <v>0</v>
      </c>
      <c r="S6" s="8">
        <f>E.1项目运营期费用!S6</f>
        <v>0</v>
      </c>
      <c r="T6" s="8">
        <f>E.1项目运营期费用!T6</f>
        <v>0</v>
      </c>
      <c r="U6" s="8">
        <f>E.1项目运营期费用!U6</f>
        <v>0</v>
      </c>
      <c r="V6" s="8">
        <f>E.1项目运营期费用!V6</f>
        <v>0</v>
      </c>
      <c r="W6" s="8">
        <f>E.1项目运营期费用!W6</f>
        <v>0</v>
      </c>
      <c r="X6" s="8">
        <f>E.1项目运营期费用!X6</f>
        <v>0</v>
      </c>
      <c r="Y6" s="8">
        <f>E.1项目运营期费用!Y6</f>
        <v>0</v>
      </c>
      <c r="Z6" s="8">
        <f>E.1项目运营期费用!Z6</f>
        <v>0</v>
      </c>
      <c r="AA6" s="8">
        <f>E.1项目运营期费用!AA6</f>
        <v>0</v>
      </c>
      <c r="AB6" s="8">
        <f>E.1项目运营期费用!AB6</f>
        <v>0</v>
      </c>
      <c r="AC6" s="8">
        <f>E.1项目运营期费用!AC6</f>
        <v>0</v>
      </c>
      <c r="AD6" s="8">
        <f>E.1项目运营期费用!AD6</f>
        <v>0</v>
      </c>
      <c r="AE6" s="8">
        <f>E.1项目运营期费用!AE6</f>
        <v>0</v>
      </c>
      <c r="AF6" s="8">
        <f>E.1项目运营期费用!M6</f>
        <v>0</v>
      </c>
    </row>
    <row r="7" customHeight="1" spans="1:32">
      <c r="A7" s="15"/>
      <c r="B7" s="12">
        <f>E.1项目运营期费用!B7</f>
        <v>4</v>
      </c>
      <c r="C7" s="22" t="str">
        <f>E.1项目运营期费用!C7</f>
        <v>防鸟措施（驱鸟器维护）</v>
      </c>
      <c r="D7" s="22" t="str">
        <f>E.1项目运营期费用!D7</f>
        <v>按套数 × 年费（元 / 套・年）+ 耗材费（如驱鸟剂）</v>
      </c>
      <c r="E7" s="8">
        <f>E.1项目运营期费用!E7</f>
        <v>0</v>
      </c>
      <c r="F7" s="8">
        <f>E.1项目运营期费用!F7</f>
        <v>0</v>
      </c>
      <c r="G7" s="8">
        <f>E.1项目运营期费用!G7</f>
        <v>0</v>
      </c>
      <c r="H7" s="8">
        <f>E.1项目运营期费用!H7</f>
        <v>0</v>
      </c>
      <c r="I7" s="8">
        <f>E.1项目运营期费用!I7</f>
        <v>0</v>
      </c>
      <c r="J7" s="8">
        <f>E.1项目运营期费用!J7</f>
        <v>0</v>
      </c>
      <c r="K7" s="8">
        <f>E.1项目运营期费用!K7</f>
        <v>0</v>
      </c>
      <c r="L7" s="8">
        <f>E.1项目运营期费用!L7</f>
        <v>0</v>
      </c>
      <c r="M7" s="8">
        <f>E.1项目运营期费用!M7</f>
        <v>0</v>
      </c>
      <c r="N7" s="8">
        <f>E.1项目运营期费用!N7</f>
        <v>0</v>
      </c>
      <c r="O7" s="8">
        <f>E.1项目运营期费用!O7</f>
        <v>0</v>
      </c>
      <c r="P7" s="8">
        <f>E.1项目运营期费用!P7</f>
        <v>0</v>
      </c>
      <c r="Q7" s="8">
        <f>E.1项目运营期费用!Q7</f>
        <v>0</v>
      </c>
      <c r="R7" s="8">
        <f>E.1项目运营期费用!R7</f>
        <v>0</v>
      </c>
      <c r="S7" s="8">
        <f>E.1项目运营期费用!S7</f>
        <v>0</v>
      </c>
      <c r="T7" s="8">
        <f>E.1项目运营期费用!T7</f>
        <v>0</v>
      </c>
      <c r="U7" s="8">
        <f>E.1项目运营期费用!U7</f>
        <v>0</v>
      </c>
      <c r="V7" s="8">
        <f>E.1项目运营期费用!V7</f>
        <v>0</v>
      </c>
      <c r="W7" s="8">
        <f>E.1项目运营期费用!W7</f>
        <v>0</v>
      </c>
      <c r="X7" s="8">
        <f>E.1项目运营期费用!X7</f>
        <v>0</v>
      </c>
      <c r="Y7" s="8">
        <f>E.1项目运营期费用!Y7</f>
        <v>0</v>
      </c>
      <c r="Z7" s="8">
        <f>E.1项目运营期费用!Z7</f>
        <v>0</v>
      </c>
      <c r="AA7" s="8">
        <f>E.1项目运营期费用!AA7</f>
        <v>0</v>
      </c>
      <c r="AB7" s="8">
        <f>E.1项目运营期费用!AB7</f>
        <v>0</v>
      </c>
      <c r="AC7" s="8">
        <f>E.1项目运营期费用!AC7</f>
        <v>0</v>
      </c>
      <c r="AD7" s="8">
        <f>E.1项目运营期费用!AD7</f>
        <v>0</v>
      </c>
      <c r="AE7" s="8">
        <f>E.1项目运营期费用!AE7</f>
        <v>0</v>
      </c>
      <c r="AF7" s="8">
        <f>E.1项目运营期费用!M7</f>
        <v>0</v>
      </c>
    </row>
    <row r="8" customHeight="1" spans="1:32">
      <c r="A8" s="12" t="str">
        <f>E.1项目运营期费用!A8</f>
        <v>燃料动力费</v>
      </c>
      <c r="B8" s="12">
        <f>E.1项目运营期费用!B8</f>
        <v>5</v>
      </c>
      <c r="C8" s="22" t="str">
        <f>E.1项目运营期费用!C8</f>
        <v>飞行器能耗</v>
      </c>
      <c r="D8" s="22" t="str">
        <f>E.1项目运营期费用!D8</f>
        <v>按电耗或油耗计算</v>
      </c>
      <c r="E8" s="8">
        <f>E.1项目运营期费用!E8</f>
        <v>0</v>
      </c>
      <c r="F8" s="8">
        <f>E.1项目运营期费用!F8</f>
        <v>0</v>
      </c>
      <c r="G8" s="8">
        <f>E.1项目运营期费用!G8</f>
        <v>0</v>
      </c>
      <c r="H8" s="8">
        <f>E.1项目运营期费用!H8</f>
        <v>0</v>
      </c>
      <c r="I8" s="8">
        <f>E.1项目运营期费用!I8</f>
        <v>0</v>
      </c>
      <c r="J8" s="8">
        <f>E.1项目运营期费用!J8</f>
        <v>0</v>
      </c>
      <c r="K8" s="8">
        <f>E.1项目运营期费用!K8</f>
        <v>0</v>
      </c>
      <c r="L8" s="8">
        <f>E.1项目运营期费用!L8</f>
        <v>0</v>
      </c>
      <c r="M8" s="8">
        <f>E.1项目运营期费用!M8</f>
        <v>0</v>
      </c>
      <c r="N8" s="8">
        <f>E.1项目运营期费用!N8</f>
        <v>0</v>
      </c>
      <c r="O8" s="8">
        <f>E.1项目运营期费用!O8</f>
        <v>0</v>
      </c>
      <c r="P8" s="8">
        <f>E.1项目运营期费用!P8</f>
        <v>0</v>
      </c>
      <c r="Q8" s="8">
        <f>E.1项目运营期费用!Q8</f>
        <v>0</v>
      </c>
      <c r="R8" s="8">
        <f>E.1项目运营期费用!R8</f>
        <v>0</v>
      </c>
      <c r="S8" s="8">
        <f>E.1项目运营期费用!S8</f>
        <v>0</v>
      </c>
      <c r="T8" s="8">
        <f>E.1项目运营期费用!T8</f>
        <v>0</v>
      </c>
      <c r="U8" s="8">
        <f>E.1项目运营期费用!U8</f>
        <v>0</v>
      </c>
      <c r="V8" s="8">
        <f>E.1项目运营期费用!V8</f>
        <v>0</v>
      </c>
      <c r="W8" s="8">
        <f>E.1项目运营期费用!W8</f>
        <v>0</v>
      </c>
      <c r="X8" s="8">
        <f>E.1项目运营期费用!X8</f>
        <v>0</v>
      </c>
      <c r="Y8" s="8">
        <f>E.1项目运营期费用!Y8</f>
        <v>0</v>
      </c>
      <c r="Z8" s="8">
        <f>E.1项目运营期费用!Z8</f>
        <v>0</v>
      </c>
      <c r="AA8" s="8">
        <f>E.1项目运营期费用!AA8</f>
        <v>0</v>
      </c>
      <c r="AB8" s="8">
        <f>E.1项目运营期费用!AB8</f>
        <v>0</v>
      </c>
      <c r="AC8" s="8">
        <f>E.1项目运营期费用!AC8</f>
        <v>0</v>
      </c>
      <c r="AD8" s="8">
        <f>E.1项目运营期费用!AD8</f>
        <v>0</v>
      </c>
      <c r="AE8" s="8">
        <f>E.1项目运营期费用!AE8</f>
        <v>0</v>
      </c>
      <c r="AF8" s="8">
        <f>E.1项目运营期费用!M8</f>
        <v>0</v>
      </c>
    </row>
    <row r="9" customHeight="1" spans="1:32">
      <c r="A9" s="23"/>
      <c r="B9" s="12">
        <f>E.1项目运营期费用!B9</f>
        <v>6</v>
      </c>
      <c r="C9" s="22" t="str">
        <f>E.1项目运营期费用!C9</f>
        <v>核心设备电力能耗</v>
      </c>
      <c r="D9" s="22" t="str">
        <f>E.1项目运营期费用!D9</f>
        <v>按实际用电量 × 电价（元 / 千瓦 时）</v>
      </c>
      <c r="E9" s="8">
        <f>E.1项目运营期费用!E9</f>
        <v>0</v>
      </c>
      <c r="F9" s="8">
        <f>E.1项目运营期费用!F9</f>
        <v>0</v>
      </c>
      <c r="G9" s="8">
        <f>E.1项目运营期费用!G9</f>
        <v>0</v>
      </c>
      <c r="H9" s="8">
        <f>E.1项目运营期费用!H9</f>
        <v>0</v>
      </c>
      <c r="I9" s="8">
        <f>E.1项目运营期费用!I9</f>
        <v>0</v>
      </c>
      <c r="J9" s="8">
        <f>E.1项目运营期费用!J9</f>
        <v>0</v>
      </c>
      <c r="K9" s="8">
        <f>E.1项目运营期费用!K9</f>
        <v>0</v>
      </c>
      <c r="L9" s="8">
        <f>E.1项目运营期费用!L9</f>
        <v>0</v>
      </c>
      <c r="M9" s="8">
        <f>E.1项目运营期费用!M9</f>
        <v>0</v>
      </c>
      <c r="N9" s="8">
        <f>E.1项目运营期费用!N9</f>
        <v>0</v>
      </c>
      <c r="O9" s="8">
        <f>E.1项目运营期费用!O9</f>
        <v>0</v>
      </c>
      <c r="P9" s="8">
        <f>E.1项目运营期费用!P9</f>
        <v>0</v>
      </c>
      <c r="Q9" s="8">
        <f>E.1项目运营期费用!Q9</f>
        <v>0</v>
      </c>
      <c r="R9" s="8">
        <f>E.1项目运营期费用!R9</f>
        <v>0</v>
      </c>
      <c r="S9" s="8">
        <f>E.1项目运营期费用!S9</f>
        <v>0</v>
      </c>
      <c r="T9" s="8">
        <f>E.1项目运营期费用!T9</f>
        <v>0</v>
      </c>
      <c r="U9" s="8">
        <f>E.1项目运营期费用!U9</f>
        <v>0</v>
      </c>
      <c r="V9" s="8">
        <f>E.1项目运营期费用!V9</f>
        <v>0</v>
      </c>
      <c r="W9" s="8">
        <f>E.1项目运营期费用!W9</f>
        <v>0</v>
      </c>
      <c r="X9" s="8">
        <f>E.1项目运营期费用!X9</f>
        <v>0</v>
      </c>
      <c r="Y9" s="8">
        <f>E.1项目运营期费用!Y9</f>
        <v>0</v>
      </c>
      <c r="Z9" s="8">
        <f>E.1项目运营期费用!Z9</f>
        <v>0</v>
      </c>
      <c r="AA9" s="8">
        <f>E.1项目运营期费用!AA9</f>
        <v>0</v>
      </c>
      <c r="AB9" s="8">
        <f>E.1项目运营期费用!AB9</f>
        <v>0</v>
      </c>
      <c r="AC9" s="8">
        <f>E.1项目运营期费用!AC9</f>
        <v>0</v>
      </c>
      <c r="AD9" s="8">
        <f>E.1项目运营期费用!AD9</f>
        <v>0</v>
      </c>
      <c r="AE9" s="8">
        <f>E.1项目运营期费用!AE9</f>
        <v>0</v>
      </c>
      <c r="AF9" s="8">
        <f>E.1项目运营期费用!M9</f>
        <v>0</v>
      </c>
    </row>
    <row r="10" customHeight="1" spans="1:32">
      <c r="A10" s="15"/>
      <c r="B10" s="12">
        <f>E.1项目运营期费用!B10</f>
        <v>7</v>
      </c>
      <c r="C10" s="22" t="str">
        <f>E.1项目运营期费用!C10</f>
        <v>水电能耗</v>
      </c>
      <c r="D10" s="22" t="str">
        <f>E.1项目运营期费用!D10</f>
        <v>按面积估算</v>
      </c>
      <c r="E10" s="8">
        <f>E.1项目运营期费用!E10</f>
        <v>0</v>
      </c>
      <c r="F10" s="8">
        <f>E.1项目运营期费用!F10</f>
        <v>0</v>
      </c>
      <c r="G10" s="8">
        <f>E.1项目运营期费用!G10</f>
        <v>0</v>
      </c>
      <c r="H10" s="8">
        <f>E.1项目运营期费用!H10</f>
        <v>0</v>
      </c>
      <c r="I10" s="8">
        <f>E.1项目运营期费用!I10</f>
        <v>0</v>
      </c>
      <c r="J10" s="8">
        <f>E.1项目运营期费用!J10</f>
        <v>10</v>
      </c>
      <c r="K10" s="8">
        <f>E.1项目运营期费用!K10</f>
        <v>10</v>
      </c>
      <c r="L10" s="8">
        <f>E.1项目运营期费用!L10</f>
        <v>10.15</v>
      </c>
      <c r="M10" s="8">
        <f>E.1项目运营期费用!M10</f>
        <v>10.30225</v>
      </c>
      <c r="N10" s="8">
        <f>E.1项目运营期费用!N10</f>
        <v>10.45678375</v>
      </c>
      <c r="O10" s="8">
        <f>E.1项目运营期费用!O10</f>
        <v>10.61363550625</v>
      </c>
      <c r="P10" s="8">
        <f>E.1项目运营期费用!P10</f>
        <v>10.7728400388437</v>
      </c>
      <c r="Q10" s="8">
        <f>E.1项目运营期费用!Q10</f>
        <v>10.9344326394264</v>
      </c>
      <c r="R10" s="8">
        <f>E.1项目运营期费用!R10</f>
        <v>11.0984491290178</v>
      </c>
      <c r="S10" s="8">
        <f>E.1项目运营期费用!S10</f>
        <v>11.2649258659531</v>
      </c>
      <c r="T10" s="8">
        <f>E.1项目运营期费用!T10</f>
        <v>11.4338997539424</v>
      </c>
      <c r="U10" s="8">
        <f>E.1项目运营期费用!U10</f>
        <v>11.6054082502515</v>
      </c>
      <c r="V10" s="8">
        <f>E.1项目运营期费用!V10</f>
        <v>11.7794893740053</v>
      </c>
      <c r="W10" s="8">
        <f>E.1项目运营期费用!W10</f>
        <v>11.9561817146153</v>
      </c>
      <c r="X10" s="8">
        <f>E.1项目运营期费用!X10</f>
        <v>12.1355244403346</v>
      </c>
      <c r="Y10" s="8">
        <f>E.1项目运营期费用!Y10</f>
        <v>12.3175573069396</v>
      </c>
      <c r="Z10" s="8">
        <f>E.1项目运营期费用!Z10</f>
        <v>12.5023206665437</v>
      </c>
      <c r="AA10" s="8">
        <f>E.1项目运营期费用!AA10</f>
        <v>12.6898554765418</v>
      </c>
      <c r="AB10" s="8">
        <f>E.1项目运营期费用!AB10</f>
        <v>12.88020330869</v>
      </c>
      <c r="AC10" s="8">
        <f>E.1项目运营期费用!AC10</f>
        <v>13.0734063583203</v>
      </c>
      <c r="AD10" s="8">
        <f>E.1项目运营期费用!AD10</f>
        <v>13.2695074536951</v>
      </c>
      <c r="AE10" s="8">
        <f>E.1项目运营期费用!AE10</f>
        <v>13.4685500655005</v>
      </c>
      <c r="AF10" s="8">
        <f>E.1项目运营期费用!M10</f>
        <v>10.30225</v>
      </c>
    </row>
    <row r="11" customHeight="1" spans="1:32">
      <c r="A11" s="12" t="str">
        <f>E.1项目运营期费用!A11</f>
        <v>网络费</v>
      </c>
      <c r="B11" s="12">
        <f>E.1项目运营期费用!B11</f>
        <v>8</v>
      </c>
      <c r="C11" s="22" t="str">
        <f>E.1项目运营期费用!C11</f>
        <v>网络通信费用</v>
      </c>
      <c r="D11" s="22" t="str">
        <f>E.1项目运营期费用!D11</f>
        <v>按年计算租金</v>
      </c>
      <c r="E11" s="8">
        <f>E.1项目运营期费用!E11</f>
        <v>0</v>
      </c>
      <c r="F11" s="8">
        <f>E.1项目运营期费用!F11</f>
        <v>0</v>
      </c>
      <c r="G11" s="8">
        <f>E.1项目运营期费用!G11</f>
        <v>0</v>
      </c>
      <c r="H11" s="8">
        <f>E.1项目运营期费用!H11</f>
        <v>0</v>
      </c>
      <c r="I11" s="8">
        <f>E.1项目运营期费用!I11</f>
        <v>0</v>
      </c>
      <c r="J11" s="8">
        <f>E.1项目运营期费用!J11</f>
        <v>10</v>
      </c>
      <c r="K11" s="8">
        <f>E.1项目运营期费用!K11</f>
        <v>10</v>
      </c>
      <c r="L11" s="8">
        <f>E.1项目运营期费用!L11</f>
        <v>10.15</v>
      </c>
      <c r="M11" s="8">
        <f>E.1项目运营期费用!M11</f>
        <v>10.30225</v>
      </c>
      <c r="N11" s="8">
        <f>E.1项目运营期费用!N11</f>
        <v>10.45678375</v>
      </c>
      <c r="O11" s="8">
        <f>E.1项目运营期费用!O11</f>
        <v>10.61363550625</v>
      </c>
      <c r="P11" s="8">
        <f>E.1项目运营期费用!P11</f>
        <v>10.7728400388437</v>
      </c>
      <c r="Q11" s="8">
        <f>E.1项目运营期费用!Q11</f>
        <v>10.9344326394264</v>
      </c>
      <c r="R11" s="8">
        <f>E.1项目运营期费用!R11</f>
        <v>11.0984491290178</v>
      </c>
      <c r="S11" s="8">
        <f>E.1项目运营期费用!S11</f>
        <v>11.2649258659531</v>
      </c>
      <c r="T11" s="8">
        <f>E.1项目运营期费用!T11</f>
        <v>11.4338997539424</v>
      </c>
      <c r="U11" s="8">
        <f>E.1项目运营期费用!U11</f>
        <v>11.6054082502515</v>
      </c>
      <c r="V11" s="8">
        <f>E.1项目运营期费用!V11</f>
        <v>11.7794893740053</v>
      </c>
      <c r="W11" s="8">
        <f>E.1项目运营期费用!W11</f>
        <v>11.9561817146153</v>
      </c>
      <c r="X11" s="8">
        <f>E.1项目运营期费用!X11</f>
        <v>12.1355244403346</v>
      </c>
      <c r="Y11" s="8">
        <f>E.1项目运营期费用!Y11</f>
        <v>12.3175573069396</v>
      </c>
      <c r="Z11" s="8">
        <f>E.1项目运营期费用!Z11</f>
        <v>12.5023206665437</v>
      </c>
      <c r="AA11" s="8">
        <f>E.1项目运营期费用!AA11</f>
        <v>12.6898554765418</v>
      </c>
      <c r="AB11" s="8">
        <f>E.1项目运营期费用!AB11</f>
        <v>12.88020330869</v>
      </c>
      <c r="AC11" s="8">
        <f>E.1项目运营期费用!AC11</f>
        <v>13.0734063583203</v>
      </c>
      <c r="AD11" s="8">
        <f>E.1项目运营期费用!AD11</f>
        <v>13.2695074536951</v>
      </c>
      <c r="AE11" s="8">
        <f>E.1项目运营期费用!AE11</f>
        <v>13.4685500655005</v>
      </c>
      <c r="AF11" s="8">
        <f>E.1项目运营期费用!M11</f>
        <v>10.30225</v>
      </c>
    </row>
    <row r="12" customHeight="1" spans="1:32">
      <c r="A12" s="12" t="str">
        <f>E.1项目运营期费用!A12</f>
        <v>硬件维护成本</v>
      </c>
      <c r="B12" s="12">
        <f>E.1项目运营期费用!B12</f>
        <v>9</v>
      </c>
      <c r="C12" s="22" t="str">
        <f>E.1项目运营期费用!C12</f>
        <v>硬件设备维护</v>
      </c>
      <c r="D12" s="22" t="str">
        <f>E.1项目运营期费用!D12</f>
        <v>按照固定资产15%计算</v>
      </c>
      <c r="E12" s="8">
        <f>E.1项目运营期费用!E12</f>
        <v>0</v>
      </c>
      <c r="F12" s="8">
        <f>E.1项目运营期费用!F12</f>
        <v>0</v>
      </c>
      <c r="G12" s="8">
        <f>E.1项目运营期费用!G12</f>
        <v>0</v>
      </c>
      <c r="H12" s="8">
        <f>E.1项目运营期费用!H12</f>
        <v>0</v>
      </c>
      <c r="I12" s="8">
        <f>E.1项目运营期费用!I12</f>
        <v>0</v>
      </c>
      <c r="J12" s="8">
        <f>E.1项目运营期费用!J12</f>
        <v>361.575</v>
      </c>
      <c r="K12" s="8">
        <f>E.1项目运营期费用!K12</f>
        <v>482.1</v>
      </c>
      <c r="L12" s="8">
        <f>E.1项目运营期费用!L12</f>
        <v>489.3315</v>
      </c>
      <c r="M12" s="8">
        <f>E.1项目运营期费用!M12</f>
        <v>496.6714725</v>
      </c>
      <c r="N12" s="8">
        <f>E.1项目运营期费用!N12</f>
        <v>504.1215445875</v>
      </c>
      <c r="O12" s="8">
        <f>E.1项目运营期费用!O12</f>
        <v>511.683367756312</v>
      </c>
      <c r="P12" s="8">
        <f>E.1项目运营期费用!P12</f>
        <v>519.358618272657</v>
      </c>
      <c r="Q12" s="8">
        <f>E.1项目运营期费用!Q12</f>
        <v>527.148997546747</v>
      </c>
      <c r="R12" s="8">
        <f>E.1项目运营期费用!R12</f>
        <v>535.056232509948</v>
      </c>
      <c r="S12" s="8">
        <f>E.1项目运营期费用!S12</f>
        <v>543.082075997597</v>
      </c>
      <c r="T12" s="8">
        <f>E.1项目运营期费用!T12</f>
        <v>551.228307137561</v>
      </c>
      <c r="U12" s="8">
        <f>E.1项目运营期费用!U12</f>
        <v>559.496731744624</v>
      </c>
      <c r="V12" s="8">
        <f>E.1项目运营期费用!V12</f>
        <v>567.889182720794</v>
      </c>
      <c r="W12" s="8">
        <f>E.1项目运营期费用!W12</f>
        <v>576.407520461605</v>
      </c>
      <c r="X12" s="8">
        <f>E.1项目运营期费用!X12</f>
        <v>585.05363326853</v>
      </c>
      <c r="Y12" s="8">
        <f>E.1项目运营期费用!Y12</f>
        <v>593.829437767557</v>
      </c>
      <c r="Z12" s="8">
        <f>E.1项目运营期费用!Z12</f>
        <v>602.736879334071</v>
      </c>
      <c r="AA12" s="8">
        <f>E.1项目运营期费用!AA12</f>
        <v>611.777932524082</v>
      </c>
      <c r="AB12" s="8">
        <f>E.1项目运营期费用!AB12</f>
        <v>620.954601511943</v>
      </c>
      <c r="AC12" s="8">
        <f>E.1项目运营期费用!AC12</f>
        <v>630.268920534622</v>
      </c>
      <c r="AD12" s="8">
        <f>E.1项目运营期费用!AD12</f>
        <v>639.722954342641</v>
      </c>
      <c r="AE12" s="8">
        <f>E.1项目运营期费用!AE12</f>
        <v>649.318798657781</v>
      </c>
      <c r="AF12" s="8">
        <f>E.1项目运营期费用!M12</f>
        <v>496.6714725</v>
      </c>
    </row>
    <row r="13" customHeight="1" spans="1:32">
      <c r="A13" s="15"/>
      <c r="B13" s="12">
        <f>E.1项目运营期费用!B13</f>
        <v>10</v>
      </c>
      <c r="C13" s="22" t="str">
        <f>E.1项目运营期费用!C13</f>
        <v>备品备件储备</v>
      </c>
      <c r="D13" s="22" t="str">
        <f>E.1项目运营期费用!D13</f>
        <v>按年度设备维护预算 × 储备比例 （10%-20%）</v>
      </c>
      <c r="E13" s="8">
        <f>E.1项目运营期费用!E13</f>
        <v>0</v>
      </c>
      <c r="F13" s="8">
        <f>E.1项目运营期费用!F13</f>
        <v>0</v>
      </c>
      <c r="G13" s="8">
        <f>E.1项目运营期费用!G13</f>
        <v>0</v>
      </c>
      <c r="H13" s="8">
        <f>E.1项目运营期费用!H13</f>
        <v>0</v>
      </c>
      <c r="I13" s="8">
        <f>E.1项目运营期费用!I13</f>
        <v>0</v>
      </c>
      <c r="J13" s="8">
        <f>E.1项目运营期费用!J13</f>
        <v>0</v>
      </c>
      <c r="K13" s="8">
        <f>E.1项目运营期费用!K13</f>
        <v>0</v>
      </c>
      <c r="L13" s="8">
        <f>E.1项目运营期费用!L13</f>
        <v>0</v>
      </c>
      <c r="M13" s="8">
        <f>E.1项目运营期费用!M13</f>
        <v>0</v>
      </c>
      <c r="N13" s="8">
        <f>E.1项目运营期费用!N13</f>
        <v>0</v>
      </c>
      <c r="O13" s="8">
        <f>E.1项目运营期费用!O13</f>
        <v>0</v>
      </c>
      <c r="P13" s="8">
        <f>E.1项目运营期费用!P13</f>
        <v>0</v>
      </c>
      <c r="Q13" s="8">
        <f>E.1项目运营期费用!Q13</f>
        <v>0</v>
      </c>
      <c r="R13" s="8">
        <f>E.1项目运营期费用!R13</f>
        <v>0</v>
      </c>
      <c r="S13" s="8">
        <f>E.1项目运营期费用!S13</f>
        <v>0</v>
      </c>
      <c r="T13" s="8">
        <f>E.1项目运营期费用!T13</f>
        <v>0</v>
      </c>
      <c r="U13" s="8">
        <f>E.1项目运营期费用!U13</f>
        <v>0</v>
      </c>
      <c r="V13" s="8">
        <f>E.1项目运营期费用!V13</f>
        <v>0</v>
      </c>
      <c r="W13" s="8">
        <f>E.1项目运营期费用!W13</f>
        <v>0</v>
      </c>
      <c r="X13" s="8">
        <f>E.1项目运营期费用!X13</f>
        <v>0</v>
      </c>
      <c r="Y13" s="8">
        <f>E.1项目运营期费用!Y13</f>
        <v>0</v>
      </c>
      <c r="Z13" s="8">
        <f>E.1项目运营期费用!Z13</f>
        <v>0</v>
      </c>
      <c r="AA13" s="8">
        <f>E.1项目运营期费用!AA13</f>
        <v>0</v>
      </c>
      <c r="AB13" s="8">
        <f>E.1项目运营期费用!AB13</f>
        <v>0</v>
      </c>
      <c r="AC13" s="8">
        <f>E.1项目运营期费用!AC13</f>
        <v>0</v>
      </c>
      <c r="AD13" s="8">
        <f>E.1项目运营期费用!AD13</f>
        <v>0</v>
      </c>
      <c r="AE13" s="8">
        <f>E.1项目运营期费用!AE13</f>
        <v>0</v>
      </c>
      <c r="AF13" s="8">
        <f>E.1项目运营期费用!M13</f>
        <v>0</v>
      </c>
    </row>
    <row r="14" customHeight="1" spans="1:32">
      <c r="A14" s="12" t="str">
        <f>E.1项目运营期费用!A14</f>
        <v>软件维护费</v>
      </c>
      <c r="B14" s="12">
        <f>E.1项目运营期费用!B14</f>
        <v>11</v>
      </c>
      <c r="C14" s="22" t="str">
        <f>E.1项目运营期费用!C14</f>
        <v>软件维护</v>
      </c>
      <c r="D14" s="22" t="str">
        <f>E.1项目运营期费用!D14</f>
        <v>按无形资产造价的20%计算</v>
      </c>
      <c r="E14" s="8">
        <f>E.1项目运营期费用!E14</f>
        <v>0</v>
      </c>
      <c r="F14" s="8">
        <f>E.1项目运营期费用!F14</f>
        <v>0</v>
      </c>
      <c r="G14" s="8">
        <f>E.1项目运营期费用!G14</f>
        <v>0</v>
      </c>
      <c r="H14" s="8">
        <f>E.1项目运营期费用!H14</f>
        <v>0</v>
      </c>
      <c r="I14" s="8">
        <f>E.1项目运营期费用!I14</f>
        <v>0</v>
      </c>
      <c r="J14" s="8">
        <f>E.1项目运营期费用!J14</f>
        <v>0</v>
      </c>
      <c r="K14" s="8">
        <f>E.1项目运营期费用!K14</f>
        <v>0</v>
      </c>
      <c r="L14" s="8">
        <f>E.1项目运营期费用!L14</f>
        <v>0</v>
      </c>
      <c r="M14" s="8">
        <f>E.1项目运营期费用!M14</f>
        <v>0</v>
      </c>
      <c r="N14" s="8">
        <f>E.1项目运营期费用!N14</f>
        <v>0</v>
      </c>
      <c r="O14" s="8">
        <f>E.1项目运营期费用!O14</f>
        <v>0</v>
      </c>
      <c r="P14" s="8">
        <f>E.1项目运营期费用!P14</f>
        <v>0</v>
      </c>
      <c r="Q14" s="8">
        <f>E.1项目运营期费用!Q14</f>
        <v>0</v>
      </c>
      <c r="R14" s="8">
        <f>E.1项目运营期费用!R14</f>
        <v>0</v>
      </c>
      <c r="S14" s="8">
        <f>E.1项目运营期费用!S14</f>
        <v>0</v>
      </c>
      <c r="T14" s="8">
        <f>E.1项目运营期费用!T14</f>
        <v>0</v>
      </c>
      <c r="U14" s="8">
        <f>E.1项目运营期费用!U14</f>
        <v>0</v>
      </c>
      <c r="V14" s="8">
        <f>E.1项目运营期费用!V14</f>
        <v>0</v>
      </c>
      <c r="W14" s="8">
        <f>E.1项目运营期费用!W14</f>
        <v>0</v>
      </c>
      <c r="X14" s="8">
        <f>E.1项目运营期费用!X14</f>
        <v>0</v>
      </c>
      <c r="Y14" s="8">
        <f>E.1项目运营期费用!Y14</f>
        <v>0</v>
      </c>
      <c r="Z14" s="8">
        <f>E.1项目运营期费用!Z14</f>
        <v>0</v>
      </c>
      <c r="AA14" s="8">
        <f>E.1项目运营期费用!AA14</f>
        <v>0</v>
      </c>
      <c r="AB14" s="8">
        <f>E.1项目运营期费用!AB14</f>
        <v>0</v>
      </c>
      <c r="AC14" s="8">
        <f>E.1项目运营期费用!AC14</f>
        <v>0</v>
      </c>
      <c r="AD14" s="8">
        <f>E.1项目运营期费用!AD14</f>
        <v>0</v>
      </c>
      <c r="AE14" s="8">
        <f>E.1项目运营期费用!AE14</f>
        <v>0</v>
      </c>
      <c r="AF14" s="8">
        <f>E.1项目运营期费用!M14</f>
        <v>0</v>
      </c>
    </row>
    <row r="15" customHeight="1" spans="1:32">
      <c r="A15" s="12" t="str">
        <f>E.1项目运营期费用!A15</f>
        <v>营销费用</v>
      </c>
      <c r="B15" s="12">
        <f>E.1项目运营期费用!B15</f>
        <v>12</v>
      </c>
      <c r="C15" s="22" t="str">
        <f>E.1项目运营期费用!C15</f>
        <v>营销及活动</v>
      </c>
      <c r="D15" s="22" t="str">
        <f>E.1项目运营期费用!D15</f>
        <v>按年平均营业收入的2%计算</v>
      </c>
      <c r="E15" s="8">
        <f>E.1项目运营期费用!E15</f>
        <v>0</v>
      </c>
      <c r="F15" s="8">
        <f>E.1项目运营期费用!F15</f>
        <v>0</v>
      </c>
      <c r="G15" s="8">
        <f>E.1项目运营期费用!G15</f>
        <v>0</v>
      </c>
      <c r="H15" s="8">
        <f>E.1项目运营期费用!H15</f>
        <v>0</v>
      </c>
      <c r="I15" s="8">
        <f>E.1项目运营期费用!I15</f>
        <v>0</v>
      </c>
      <c r="J15" s="8">
        <f>E.1项目运营期费用!J15</f>
        <v>0</v>
      </c>
      <c r="K15" s="8">
        <f>E.1项目运营期费用!K15</f>
        <v>0</v>
      </c>
      <c r="L15" s="8">
        <f>E.1项目运营期费用!L15</f>
        <v>0</v>
      </c>
      <c r="M15" s="8">
        <f>E.1项目运营期费用!M15</f>
        <v>0</v>
      </c>
      <c r="N15" s="8">
        <f>E.1项目运营期费用!N15</f>
        <v>0</v>
      </c>
      <c r="O15" s="8">
        <f>E.1项目运营期费用!O15</f>
        <v>0</v>
      </c>
      <c r="P15" s="8">
        <f>E.1项目运营期费用!P15</f>
        <v>0</v>
      </c>
      <c r="Q15" s="8">
        <f>E.1项目运营期费用!Q15</f>
        <v>0</v>
      </c>
      <c r="R15" s="8">
        <f>E.1项目运营期费用!R15</f>
        <v>0</v>
      </c>
      <c r="S15" s="8">
        <f>E.1项目运营期费用!S15</f>
        <v>0</v>
      </c>
      <c r="T15" s="8">
        <f>E.1项目运营期费用!T15</f>
        <v>0</v>
      </c>
      <c r="U15" s="8">
        <f>E.1项目运营期费用!U15</f>
        <v>0</v>
      </c>
      <c r="V15" s="8">
        <f>E.1项目运营期费用!V15</f>
        <v>0</v>
      </c>
      <c r="W15" s="8">
        <f>E.1项目运营期费用!W15</f>
        <v>0</v>
      </c>
      <c r="X15" s="8">
        <f>E.1项目运营期费用!X15</f>
        <v>0</v>
      </c>
      <c r="Y15" s="8">
        <f>E.1项目运营期费用!Y15</f>
        <v>0</v>
      </c>
      <c r="Z15" s="8">
        <f>E.1项目运营期费用!Z15</f>
        <v>0</v>
      </c>
      <c r="AA15" s="8">
        <f>E.1项目运营期费用!AA15</f>
        <v>0</v>
      </c>
      <c r="AB15" s="8">
        <f>E.1项目运营期费用!AB15</f>
        <v>0</v>
      </c>
      <c r="AC15" s="8">
        <f>E.1项目运营期费用!AC15</f>
        <v>0</v>
      </c>
      <c r="AD15" s="8">
        <f>E.1项目运营期费用!AD15</f>
        <v>0</v>
      </c>
      <c r="AE15" s="8">
        <f>E.1项目运营期费用!AE15</f>
        <v>0</v>
      </c>
      <c r="AF15" s="8">
        <f>E.1项目运营期费用!M15</f>
        <v>0</v>
      </c>
    </row>
    <row r="16" customHeight="1" spans="1:32">
      <c r="A16" s="12" t="str">
        <f>E.1项目运营期费用!A16</f>
        <v>工资及福利费</v>
      </c>
      <c r="B16" s="12">
        <f>E.1项目运营期费用!B16</f>
        <v>13</v>
      </c>
      <c r="C16" s="22" t="str">
        <f>E.1项目运营期费用!C16</f>
        <v>人员薪酬</v>
      </c>
      <c r="D16" s="22" t="str">
        <f>E.1项目运营期费用!D16</f>
        <v>按岗位月薪 ×12 + 福利（月薪 ×20%-30%）</v>
      </c>
      <c r="E16" s="8">
        <f>E.1项目运营期费用!E16</f>
        <v>0</v>
      </c>
      <c r="F16" s="8">
        <f>E.1项目运营期费用!F16</f>
        <v>0</v>
      </c>
      <c r="G16" s="8">
        <f>E.1项目运营期费用!G16</f>
        <v>0</v>
      </c>
      <c r="H16" s="8">
        <f>E.1项目运营期费用!H16</f>
        <v>0</v>
      </c>
      <c r="I16" s="8">
        <f>E.1项目运营期费用!I16</f>
        <v>0</v>
      </c>
      <c r="J16" s="8">
        <f>E.1项目运营期费用!J16</f>
        <v>60</v>
      </c>
      <c r="K16" s="8">
        <f>E.1项目运营期费用!K16</f>
        <v>60</v>
      </c>
      <c r="L16" s="8">
        <f>E.1项目运营期费用!L16</f>
        <v>60.9</v>
      </c>
      <c r="M16" s="8">
        <f>E.1项目运营期费用!M16</f>
        <v>61.8135</v>
      </c>
      <c r="N16" s="8">
        <f>E.1项目运营期费用!N16</f>
        <v>62.7407025</v>
      </c>
      <c r="O16" s="8">
        <f>E.1项目运营期费用!O16</f>
        <v>63.6818130375</v>
      </c>
      <c r="P16" s="8">
        <f>E.1项目运营期费用!P16</f>
        <v>64.6370402330625</v>
      </c>
      <c r="Q16" s="8">
        <f>E.1项目运营期费用!Q16</f>
        <v>65.6065958365584</v>
      </c>
      <c r="R16" s="8">
        <f>E.1项目运营期费用!R16</f>
        <v>66.5906947741068</v>
      </c>
      <c r="S16" s="8">
        <f>E.1项目运营期费用!S16</f>
        <v>67.5895551957184</v>
      </c>
      <c r="T16" s="8">
        <f>E.1项目运营期费用!T16</f>
        <v>68.6033985236541</v>
      </c>
      <c r="U16" s="8">
        <f>E.1项目运营期费用!U16</f>
        <v>69.6324495015089</v>
      </c>
      <c r="V16" s="8">
        <f>E.1项目运营期费用!V16</f>
        <v>70.6769362440316</v>
      </c>
      <c r="W16" s="8">
        <f>E.1项目运营期费用!W16</f>
        <v>71.737090287692</v>
      </c>
      <c r="X16" s="8">
        <f>E.1项目运营期费用!X16</f>
        <v>72.8131466420074</v>
      </c>
      <c r="Y16" s="8">
        <f>E.1项目运营期费用!Y16</f>
        <v>73.9053438416375</v>
      </c>
      <c r="Z16" s="8">
        <f>E.1项目运营期费用!Z16</f>
        <v>75.0139239992621</v>
      </c>
      <c r="AA16" s="8">
        <f>E.1项目运营期费用!AA16</f>
        <v>76.139132859251</v>
      </c>
      <c r="AB16" s="8">
        <f>E.1项目运营期费用!AB16</f>
        <v>77.2812198521398</v>
      </c>
      <c r="AC16" s="8">
        <f>E.1项目运营期费用!AC16</f>
        <v>78.4404381499218</v>
      </c>
      <c r="AD16" s="8">
        <f>E.1项目运营期费用!AD16</f>
        <v>79.6170447221707</v>
      </c>
      <c r="AE16" s="8">
        <f>E.1项目运营期费用!AE16</f>
        <v>80.8113003930032</v>
      </c>
      <c r="AF16" s="8">
        <f>E.1项目运营期费用!M16</f>
        <v>61.8135</v>
      </c>
    </row>
    <row r="17" customHeight="1" spans="1:32">
      <c r="A17" s="23"/>
      <c r="B17" s="12">
        <f>E.1项目运营期费用!B17</f>
        <v>14</v>
      </c>
      <c r="C17" s="22" t="str">
        <f>E.1项目运营期费用!C17</f>
        <v>培训与资质认证</v>
      </c>
      <c r="D17" s="22" t="str">
        <f>E.1项目运营期费用!D17</f>
        <v>按人次 × 人均培训费（元 / 人 次）</v>
      </c>
      <c r="E17" s="8">
        <f>E.1项目运营期费用!E17</f>
        <v>0</v>
      </c>
      <c r="F17" s="8">
        <f>E.1项目运营期费用!F17</f>
        <v>0</v>
      </c>
      <c r="G17" s="8">
        <f>E.1项目运营期费用!G17</f>
        <v>0</v>
      </c>
      <c r="H17" s="8">
        <f>E.1项目运营期费用!H17</f>
        <v>0</v>
      </c>
      <c r="I17" s="8">
        <f>E.1项目运营期费用!I17</f>
        <v>0</v>
      </c>
      <c r="J17" s="8">
        <f>E.1项目运营期费用!J17</f>
        <v>0</v>
      </c>
      <c r="K17" s="8">
        <f>E.1项目运营期费用!K17</f>
        <v>0</v>
      </c>
      <c r="L17" s="8">
        <f>E.1项目运营期费用!L17</f>
        <v>0</v>
      </c>
      <c r="M17" s="8">
        <f>E.1项目运营期费用!M17</f>
        <v>0</v>
      </c>
      <c r="N17" s="8">
        <f>E.1项目运营期费用!N17</f>
        <v>0</v>
      </c>
      <c r="O17" s="8">
        <f>E.1项目运营期费用!O17</f>
        <v>0</v>
      </c>
      <c r="P17" s="8">
        <f>E.1项目运营期费用!P17</f>
        <v>0</v>
      </c>
      <c r="Q17" s="8">
        <f>E.1项目运营期费用!Q17</f>
        <v>0</v>
      </c>
      <c r="R17" s="8">
        <f>E.1项目运营期费用!R17</f>
        <v>0</v>
      </c>
      <c r="S17" s="8">
        <f>E.1项目运营期费用!S17</f>
        <v>0</v>
      </c>
      <c r="T17" s="8">
        <f>E.1项目运营期费用!T17</f>
        <v>0</v>
      </c>
      <c r="U17" s="8">
        <f>E.1项目运营期费用!U17</f>
        <v>0</v>
      </c>
      <c r="V17" s="8">
        <f>E.1项目运营期费用!V17</f>
        <v>0</v>
      </c>
      <c r="W17" s="8">
        <f>E.1项目运营期费用!W17</f>
        <v>0</v>
      </c>
      <c r="X17" s="8">
        <f>E.1项目运营期费用!X17</f>
        <v>0</v>
      </c>
      <c r="Y17" s="8">
        <f>E.1项目运营期费用!Y17</f>
        <v>0</v>
      </c>
      <c r="Z17" s="8">
        <f>E.1项目运营期费用!Z17</f>
        <v>0</v>
      </c>
      <c r="AA17" s="8">
        <f>E.1项目运营期费用!AA17</f>
        <v>0</v>
      </c>
      <c r="AB17" s="8">
        <f>E.1项目运营期费用!AB17</f>
        <v>0</v>
      </c>
      <c r="AC17" s="8">
        <f>E.1项目运营期费用!AC17</f>
        <v>0</v>
      </c>
      <c r="AD17" s="8">
        <f>E.1项目运营期费用!AD17</f>
        <v>0</v>
      </c>
      <c r="AE17" s="8">
        <f>E.1项目运营期费用!AE17</f>
        <v>0</v>
      </c>
      <c r="AF17" s="8">
        <f>E.1项目运营期费用!M17</f>
        <v>0</v>
      </c>
    </row>
    <row r="18" customHeight="1" spans="1:32">
      <c r="A18" s="15"/>
      <c r="B18" s="12">
        <f>E.1项目运营期费用!B18</f>
        <v>15</v>
      </c>
      <c r="C18" s="22" t="str">
        <f>E.1项目运营期费用!C18</f>
        <v>办公与行政支出</v>
      </c>
      <c r="D18" s="22" t="str">
        <f>E.1项目运营期费用!D18</f>
        <v>按人员数量 × 人均办公费（元 / 人・月）</v>
      </c>
      <c r="E18" s="8">
        <f>E.1项目运营期费用!E18</f>
        <v>0</v>
      </c>
      <c r="F18" s="8">
        <f>E.1项目运营期费用!F18</f>
        <v>0</v>
      </c>
      <c r="G18" s="8">
        <f>E.1项目运营期费用!G18</f>
        <v>0</v>
      </c>
      <c r="H18" s="8">
        <f>E.1项目运营期费用!H18</f>
        <v>0</v>
      </c>
      <c r="I18" s="8">
        <f>E.1项目运营期费用!I18</f>
        <v>0</v>
      </c>
      <c r="J18" s="8">
        <f>E.1项目运营期费用!J18</f>
        <v>0</v>
      </c>
      <c r="K18" s="8">
        <f>E.1项目运营期费用!K18</f>
        <v>0</v>
      </c>
      <c r="L18" s="8">
        <f>E.1项目运营期费用!L18</f>
        <v>0</v>
      </c>
      <c r="M18" s="8">
        <f>E.1项目运营期费用!M18</f>
        <v>0</v>
      </c>
      <c r="N18" s="8">
        <f>E.1项目运营期费用!N18</f>
        <v>0</v>
      </c>
      <c r="O18" s="8">
        <f>E.1项目运营期费用!O18</f>
        <v>0</v>
      </c>
      <c r="P18" s="8">
        <f>E.1项目运营期费用!P18</f>
        <v>0</v>
      </c>
      <c r="Q18" s="8">
        <f>E.1项目运营期费用!Q18</f>
        <v>0</v>
      </c>
      <c r="R18" s="8">
        <f>E.1项目运营期费用!R18</f>
        <v>0</v>
      </c>
      <c r="S18" s="8">
        <f>E.1项目运营期费用!S18</f>
        <v>0</v>
      </c>
      <c r="T18" s="8">
        <f>E.1项目运营期费用!T18</f>
        <v>0</v>
      </c>
      <c r="U18" s="8">
        <f>E.1项目运营期费用!U18</f>
        <v>0</v>
      </c>
      <c r="V18" s="8">
        <f>E.1项目运营期费用!V18</f>
        <v>0</v>
      </c>
      <c r="W18" s="8">
        <f>E.1项目运营期费用!W18</f>
        <v>0</v>
      </c>
      <c r="X18" s="8">
        <f>E.1项目运营期费用!X18</f>
        <v>0</v>
      </c>
      <c r="Y18" s="8">
        <f>E.1项目运营期费用!Y18</f>
        <v>0</v>
      </c>
      <c r="Z18" s="8">
        <f>E.1项目运营期费用!Z18</f>
        <v>0</v>
      </c>
      <c r="AA18" s="8">
        <f>E.1项目运营期费用!AA18</f>
        <v>0</v>
      </c>
      <c r="AB18" s="8">
        <f>E.1项目运营期费用!AB18</f>
        <v>0</v>
      </c>
      <c r="AC18" s="8">
        <f>E.1项目运营期费用!AC18</f>
        <v>0</v>
      </c>
      <c r="AD18" s="8">
        <f>E.1项目运营期费用!AD18</f>
        <v>0</v>
      </c>
      <c r="AE18" s="8">
        <f>E.1项目运营期费用!AE18</f>
        <v>0</v>
      </c>
      <c r="AF18" s="8">
        <f>E.1项目运营期费用!M18</f>
        <v>0</v>
      </c>
    </row>
    <row r="19" customHeight="1" spans="1:32">
      <c r="A19" s="12" t="str">
        <f>E.1项目运营期费用!A19</f>
        <v>合规性与安全成本</v>
      </c>
      <c r="B19" s="12">
        <f>E.1项目运营期费用!B19</f>
        <v>16</v>
      </c>
      <c r="C19" s="22" t="str">
        <f>E.1项目运营期费用!C19</f>
        <v>空域使用审批费</v>
      </c>
      <c r="D19" s="22" t="str">
        <f>E.1项目运营期费用!D19</f>
        <v>按空域面积 × 年费率（元 / 平方 公里・年）</v>
      </c>
      <c r="E19" s="8">
        <f>E.1项目运营期费用!E19</f>
        <v>0</v>
      </c>
      <c r="F19" s="8">
        <f>E.1项目运营期费用!F19</f>
        <v>0</v>
      </c>
      <c r="G19" s="8">
        <f>E.1项目运营期费用!G19</f>
        <v>0</v>
      </c>
      <c r="H19" s="8">
        <f>E.1项目运营期费用!H19</f>
        <v>0</v>
      </c>
      <c r="I19" s="8">
        <f>E.1项目运营期费用!I19</f>
        <v>0</v>
      </c>
      <c r="J19" s="8">
        <f>E.1项目运营期费用!J19</f>
        <v>0</v>
      </c>
      <c r="K19" s="8">
        <f>E.1项目运营期费用!K19</f>
        <v>0</v>
      </c>
      <c r="L19" s="8">
        <f>E.1项目运营期费用!L19</f>
        <v>0</v>
      </c>
      <c r="M19" s="8">
        <f>E.1项目运营期费用!M19</f>
        <v>0</v>
      </c>
      <c r="N19" s="8">
        <f>E.1项目运营期费用!N19</f>
        <v>0</v>
      </c>
      <c r="O19" s="8">
        <f>E.1项目运营期费用!O19</f>
        <v>0</v>
      </c>
      <c r="P19" s="8">
        <f>E.1项目运营期费用!P19</f>
        <v>0</v>
      </c>
      <c r="Q19" s="8">
        <f>E.1项目运营期费用!Q19</f>
        <v>0</v>
      </c>
      <c r="R19" s="8">
        <f>E.1项目运营期费用!R19</f>
        <v>0</v>
      </c>
      <c r="S19" s="8">
        <f>E.1项目运营期费用!S19</f>
        <v>0</v>
      </c>
      <c r="T19" s="8">
        <f>E.1项目运营期费用!T19</f>
        <v>0</v>
      </c>
      <c r="U19" s="8">
        <f>E.1项目运营期费用!U19</f>
        <v>0</v>
      </c>
      <c r="V19" s="8">
        <f>E.1项目运营期费用!V19</f>
        <v>0</v>
      </c>
      <c r="W19" s="8">
        <f>E.1项目运营期费用!W19</f>
        <v>0</v>
      </c>
      <c r="X19" s="8">
        <f>E.1项目运营期费用!X19</f>
        <v>0</v>
      </c>
      <c r="Y19" s="8">
        <f>E.1项目运营期费用!Y19</f>
        <v>0</v>
      </c>
      <c r="Z19" s="8">
        <f>E.1项目运营期费用!Z19</f>
        <v>0</v>
      </c>
      <c r="AA19" s="8">
        <f>E.1项目运营期费用!AA19</f>
        <v>0</v>
      </c>
      <c r="AB19" s="8">
        <f>E.1项目运营期费用!AB19</f>
        <v>0</v>
      </c>
      <c r="AC19" s="8">
        <f>E.1项目运营期费用!AC19</f>
        <v>0</v>
      </c>
      <c r="AD19" s="8">
        <f>E.1项目运营期费用!AD19</f>
        <v>0</v>
      </c>
      <c r="AE19" s="8">
        <f>E.1项目运营期费用!AE19</f>
        <v>0</v>
      </c>
      <c r="AF19" s="8">
        <f>E.1项目运营期费用!M19</f>
        <v>0</v>
      </c>
    </row>
    <row r="20" customHeight="1" spans="1:32">
      <c r="A20" s="23"/>
      <c r="B20" s="12">
        <f>E.1项目运营期费用!B20</f>
        <v>17</v>
      </c>
      <c r="C20" s="22" t="str">
        <f>E.1项目运营期费用!C20</f>
        <v>场地责任险</v>
      </c>
      <c r="D20" s="22" t="str">
        <f>E.1项目运营期费用!D20</f>
        <v>按保额 × 保险费率（年费率 0.1%-0.3%）</v>
      </c>
      <c r="E20" s="8">
        <f>E.1项目运营期费用!E20</f>
        <v>0</v>
      </c>
      <c r="F20" s="8">
        <f>E.1项目运营期费用!F20</f>
        <v>0</v>
      </c>
      <c r="G20" s="8">
        <f>E.1项目运营期费用!G20</f>
        <v>0</v>
      </c>
      <c r="H20" s="8">
        <f>E.1项目运营期费用!H20</f>
        <v>0</v>
      </c>
      <c r="I20" s="8">
        <f>E.1项目运营期费用!I20</f>
        <v>0</v>
      </c>
      <c r="J20" s="8">
        <f>E.1项目运营期费用!J20</f>
        <v>0</v>
      </c>
      <c r="K20" s="8">
        <f>E.1项目运营期费用!K20</f>
        <v>0</v>
      </c>
      <c r="L20" s="8">
        <f>E.1项目运营期费用!L20</f>
        <v>0</v>
      </c>
      <c r="M20" s="8">
        <f>E.1项目运营期费用!M20</f>
        <v>0</v>
      </c>
      <c r="N20" s="8">
        <f>E.1项目运营期费用!N20</f>
        <v>0</v>
      </c>
      <c r="O20" s="8">
        <f>E.1项目运营期费用!O20</f>
        <v>0</v>
      </c>
      <c r="P20" s="8">
        <f>E.1项目运营期费用!P20</f>
        <v>0</v>
      </c>
      <c r="Q20" s="8">
        <f>E.1项目运营期费用!Q20</f>
        <v>0</v>
      </c>
      <c r="R20" s="8">
        <f>E.1项目运营期费用!R20</f>
        <v>0</v>
      </c>
      <c r="S20" s="8">
        <f>E.1项目运营期费用!S20</f>
        <v>0</v>
      </c>
      <c r="T20" s="8">
        <f>E.1项目运营期费用!T20</f>
        <v>0</v>
      </c>
      <c r="U20" s="8">
        <f>E.1项目运营期费用!U20</f>
        <v>0</v>
      </c>
      <c r="V20" s="8">
        <f>E.1项目运营期费用!V20</f>
        <v>0</v>
      </c>
      <c r="W20" s="8">
        <f>E.1项目运营期费用!W20</f>
        <v>0</v>
      </c>
      <c r="X20" s="8">
        <f>E.1项目运营期费用!X20</f>
        <v>0</v>
      </c>
      <c r="Y20" s="8">
        <f>E.1项目运营期费用!Y20</f>
        <v>0</v>
      </c>
      <c r="Z20" s="8">
        <f>E.1项目运营期费用!Z20</f>
        <v>0</v>
      </c>
      <c r="AA20" s="8">
        <f>E.1项目运营期费用!AA20</f>
        <v>0</v>
      </c>
      <c r="AB20" s="8">
        <f>E.1项目运营期费用!AB20</f>
        <v>0</v>
      </c>
      <c r="AC20" s="8">
        <f>E.1项目运营期费用!AC20</f>
        <v>0</v>
      </c>
      <c r="AD20" s="8">
        <f>E.1项目运营期费用!AD20</f>
        <v>0</v>
      </c>
      <c r="AE20" s="8">
        <f>E.1项目运营期费用!AE20</f>
        <v>0</v>
      </c>
      <c r="AF20" s="8">
        <f>E.1项目运营期费用!M20</f>
        <v>0</v>
      </c>
    </row>
    <row r="21" customHeight="1" spans="1:32">
      <c r="A21" s="15"/>
      <c r="B21" s="12">
        <f>E.1项目运营期费用!B21</f>
        <v>18</v>
      </c>
      <c r="C21" s="22" t="str">
        <f>E.1项目运营期费用!C21</f>
        <v>安全演练与应急处置</v>
      </c>
      <c r="D21" s="22" t="str">
        <f>E.1项目运营期费用!D21</f>
        <v>按次数 × 单次演练成本（元 / 次）</v>
      </c>
      <c r="E21" s="8">
        <f>E.1项目运营期费用!E21</f>
        <v>0</v>
      </c>
      <c r="F21" s="8">
        <f>E.1项目运营期费用!F21</f>
        <v>0</v>
      </c>
      <c r="G21" s="8">
        <f>E.1项目运营期费用!G21</f>
        <v>0</v>
      </c>
      <c r="H21" s="8">
        <f>E.1项目运营期费用!H21</f>
        <v>0</v>
      </c>
      <c r="I21" s="8">
        <f>E.1项目运营期费用!I21</f>
        <v>0</v>
      </c>
      <c r="J21" s="8">
        <f>E.1项目运营期费用!J21</f>
        <v>0</v>
      </c>
      <c r="K21" s="8">
        <f>E.1项目运营期费用!K21</f>
        <v>0</v>
      </c>
      <c r="L21" s="8">
        <f>E.1项目运营期费用!L21</f>
        <v>0</v>
      </c>
      <c r="M21" s="8">
        <f>E.1项目运营期费用!M21</f>
        <v>0</v>
      </c>
      <c r="N21" s="8">
        <f>E.1项目运营期费用!N21</f>
        <v>0</v>
      </c>
      <c r="O21" s="8">
        <f>E.1项目运营期费用!O21</f>
        <v>0</v>
      </c>
      <c r="P21" s="8">
        <f>E.1项目运营期费用!P21</f>
        <v>0</v>
      </c>
      <c r="Q21" s="8">
        <f>E.1项目运营期费用!Q21</f>
        <v>0</v>
      </c>
      <c r="R21" s="8">
        <f>E.1项目运营期费用!R21</f>
        <v>0</v>
      </c>
      <c r="S21" s="8">
        <f>E.1项目运营期费用!S21</f>
        <v>0</v>
      </c>
      <c r="T21" s="8">
        <f>E.1项目运营期费用!T21</f>
        <v>0</v>
      </c>
      <c r="U21" s="8">
        <f>E.1项目运营期费用!U21</f>
        <v>0</v>
      </c>
      <c r="V21" s="8">
        <f>E.1项目运营期费用!V21</f>
        <v>0</v>
      </c>
      <c r="W21" s="8">
        <f>E.1项目运营期费用!W21</f>
        <v>0</v>
      </c>
      <c r="X21" s="8">
        <f>E.1项目运营期费用!X21</f>
        <v>0</v>
      </c>
      <c r="Y21" s="8">
        <f>E.1项目运营期费用!Y21</f>
        <v>0</v>
      </c>
      <c r="Z21" s="8">
        <f>E.1项目运营期费用!Z21</f>
        <v>0</v>
      </c>
      <c r="AA21" s="8">
        <f>E.1项目运营期费用!AA21</f>
        <v>0</v>
      </c>
      <c r="AB21" s="8">
        <f>E.1项目运营期费用!AB21</f>
        <v>0</v>
      </c>
      <c r="AC21" s="8">
        <f>E.1项目运营期费用!AC21</f>
        <v>0</v>
      </c>
      <c r="AD21" s="8">
        <f>E.1项目运营期费用!AD21</f>
        <v>0</v>
      </c>
      <c r="AE21" s="8">
        <f>E.1项目运营期费用!AE21</f>
        <v>0</v>
      </c>
      <c r="AF21" s="8">
        <f>E.1项目运营期费用!M21</f>
        <v>0</v>
      </c>
    </row>
    <row r="22" customHeight="1" spans="1:32">
      <c r="A22" s="12" t="str">
        <f>E.1项目运营期费用!A22</f>
        <v>其他费用</v>
      </c>
      <c r="B22" s="12">
        <f>E.1项目运营期费用!B22</f>
        <v>19</v>
      </c>
      <c r="C22" s="22" t="str">
        <f>E.1项目运营期费用!C22</f>
        <v>第三方安全评估</v>
      </c>
      <c r="D22" s="22" t="str">
        <f>E.1项目运营期费用!D22</f>
        <v>按项目投资额 × 评估费率 （0.1%-0.3%）</v>
      </c>
      <c r="E22" s="8">
        <f>E.1项目运营期费用!E22</f>
        <v>0</v>
      </c>
      <c r="F22" s="8">
        <f>E.1项目运营期费用!F22</f>
        <v>0</v>
      </c>
      <c r="G22" s="8">
        <f>E.1项目运营期费用!G22</f>
        <v>0</v>
      </c>
      <c r="H22" s="8">
        <f>E.1项目运营期费用!H22</f>
        <v>0</v>
      </c>
      <c r="I22" s="8">
        <f>E.1项目运营期费用!I22</f>
        <v>0</v>
      </c>
      <c r="J22" s="8">
        <f>E.1项目运营期费用!J22</f>
        <v>0</v>
      </c>
      <c r="K22" s="8">
        <f>E.1项目运营期费用!K22</f>
        <v>0</v>
      </c>
      <c r="L22" s="8">
        <f>E.1项目运营期费用!L22</f>
        <v>0</v>
      </c>
      <c r="M22" s="8">
        <f>E.1项目运营期费用!M22</f>
        <v>0</v>
      </c>
      <c r="N22" s="8">
        <f>E.1项目运营期费用!N22</f>
        <v>0</v>
      </c>
      <c r="O22" s="8">
        <f>E.1项目运营期费用!O22</f>
        <v>0</v>
      </c>
      <c r="P22" s="8">
        <f>E.1项目运营期费用!P22</f>
        <v>0</v>
      </c>
      <c r="Q22" s="8">
        <f>E.1项目运营期费用!Q22</f>
        <v>0</v>
      </c>
      <c r="R22" s="8">
        <f>E.1项目运营期费用!R22</f>
        <v>0</v>
      </c>
      <c r="S22" s="8">
        <f>E.1项目运营期费用!S22</f>
        <v>0</v>
      </c>
      <c r="T22" s="8">
        <f>E.1项目运营期费用!T22</f>
        <v>0</v>
      </c>
      <c r="U22" s="8">
        <f>E.1项目运营期费用!U22</f>
        <v>0</v>
      </c>
      <c r="V22" s="8">
        <f>E.1项目运营期费用!V22</f>
        <v>0</v>
      </c>
      <c r="W22" s="8">
        <f>E.1项目运营期费用!W22</f>
        <v>0</v>
      </c>
      <c r="X22" s="8">
        <f>E.1项目运营期费用!X22</f>
        <v>0</v>
      </c>
      <c r="Y22" s="8">
        <f>E.1项目运营期费用!Y22</f>
        <v>0</v>
      </c>
      <c r="Z22" s="8">
        <f>E.1项目运营期费用!Z22</f>
        <v>0</v>
      </c>
      <c r="AA22" s="8">
        <f>E.1项目运营期费用!AA22</f>
        <v>0</v>
      </c>
      <c r="AB22" s="8">
        <f>E.1项目运营期费用!AB22</f>
        <v>0</v>
      </c>
      <c r="AC22" s="8">
        <f>E.1项目运营期费用!AC22</f>
        <v>0</v>
      </c>
      <c r="AD22" s="8">
        <f>E.1项目运营期费用!AD22</f>
        <v>0</v>
      </c>
      <c r="AE22" s="8">
        <f>E.1项目运营期费用!AE22</f>
        <v>0</v>
      </c>
      <c r="AF22" s="8">
        <f>E.1项目运营期费用!M22</f>
        <v>0</v>
      </c>
    </row>
    <row r="23" customHeight="1" spans="1:32">
      <c r="A23" s="15"/>
      <c r="B23" s="12">
        <f>E.1项目运营期费用!B23</f>
        <v>20</v>
      </c>
      <c r="C23" s="22" t="str">
        <f>E.1项目运营期费用!C23</f>
        <v>不可预见支出</v>
      </c>
      <c r="D23" s="22" t="str">
        <f>E.1项目运营期费用!D23</f>
        <v>按年度总成本 × 计提比例 （5%-10%）</v>
      </c>
      <c r="E23" s="8">
        <f>E.1项目运营期费用!E23</f>
        <v>0</v>
      </c>
      <c r="F23" s="8">
        <f>E.1项目运营期费用!F23</f>
        <v>0</v>
      </c>
      <c r="G23" s="8">
        <f>E.1项目运营期费用!G23</f>
        <v>0</v>
      </c>
      <c r="H23" s="8">
        <f>E.1项目运营期费用!H23</f>
        <v>0</v>
      </c>
      <c r="I23" s="8">
        <f>E.1项目运营期费用!I23</f>
        <v>0</v>
      </c>
      <c r="J23" s="8">
        <f>E.1项目运营期费用!J23</f>
        <v>0</v>
      </c>
      <c r="K23" s="8">
        <f>E.1项目运营期费用!K23</f>
        <v>0</v>
      </c>
      <c r="L23" s="8">
        <f>E.1项目运营期费用!L23</f>
        <v>0</v>
      </c>
      <c r="M23" s="8">
        <f>E.1项目运营期费用!M23</f>
        <v>0</v>
      </c>
      <c r="N23" s="8">
        <f>E.1项目运营期费用!N23</f>
        <v>0</v>
      </c>
      <c r="O23" s="8">
        <f>E.1项目运营期费用!O23</f>
        <v>0</v>
      </c>
      <c r="P23" s="8">
        <f>E.1项目运营期费用!P23</f>
        <v>0</v>
      </c>
      <c r="Q23" s="8">
        <f>E.1项目运营期费用!Q23</f>
        <v>0</v>
      </c>
      <c r="R23" s="8">
        <f>E.1项目运营期费用!R23</f>
        <v>0</v>
      </c>
      <c r="S23" s="8">
        <f>E.1项目运营期费用!S23</f>
        <v>0</v>
      </c>
      <c r="T23" s="8">
        <f>E.1项目运营期费用!T23</f>
        <v>0</v>
      </c>
      <c r="U23" s="8">
        <f>E.1项目运营期费用!U23</f>
        <v>0</v>
      </c>
      <c r="V23" s="8">
        <f>E.1项目运营期费用!V23</f>
        <v>0</v>
      </c>
      <c r="W23" s="8">
        <f>E.1项目运营期费用!W23</f>
        <v>0</v>
      </c>
      <c r="X23" s="8">
        <f>E.1项目运营期费用!X23</f>
        <v>0</v>
      </c>
      <c r="Y23" s="8">
        <f>E.1项目运营期费用!Y23</f>
        <v>0</v>
      </c>
      <c r="Z23" s="8">
        <f>E.1项目运营期费用!Z23</f>
        <v>0</v>
      </c>
      <c r="AA23" s="8">
        <f>E.1项目运营期费用!AA23</f>
        <v>0</v>
      </c>
      <c r="AB23" s="8">
        <f>E.1项目运营期费用!AB23</f>
        <v>0</v>
      </c>
      <c r="AC23" s="8">
        <f>E.1项目运营期费用!AC23</f>
        <v>0</v>
      </c>
      <c r="AD23" s="8">
        <f>E.1项目运营期费用!AD23</f>
        <v>0</v>
      </c>
      <c r="AE23" s="8">
        <f>E.1项目运营期费用!AE23</f>
        <v>0</v>
      </c>
      <c r="AF23" s="8">
        <f>E.1项目运营期费用!M23</f>
        <v>0</v>
      </c>
    </row>
  </sheetData>
  <mergeCells count="14">
    <mergeCell ref="A1:AF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FFC000"/>
  </sheetPr>
  <dimension ref="A1:Y6"/>
  <sheetViews>
    <sheetView zoomScale="85" zoomScaleNormal="85" workbookViewId="0">
      <selection activeCell="F5" sqref="F5:Y5"/>
    </sheetView>
  </sheetViews>
  <sheetFormatPr defaultColWidth="14.7818181818182" defaultRowHeight="28.05" customHeight="1" outlineLevelRow="5"/>
  <cols>
    <col min="1" max="1" width="14.7818181818182" style="1" customWidth="1"/>
    <col min="2" max="2" width="6.44545454545455" style="1" customWidth="1"/>
    <col min="3" max="4" width="8.66363636363636" style="1" customWidth="1"/>
    <col min="5" max="12" width="9.55454545454545" style="1" customWidth="1"/>
    <col min="13" max="24" width="8.66363636363636" style="1" customWidth="1"/>
    <col min="25" max="25" width="11.5545454545455" style="1" customWidth="1"/>
    <col min="26" max="26" width="14.7818181818182" style="1" customWidth="1"/>
  </cols>
  <sheetData>
    <row r="1" customHeight="1" spans="1:25">
      <c r="A1" s="14" t="s">
        <v>647</v>
      </c>
      <c r="B1" s="3"/>
      <c r="C1" s="3"/>
      <c r="D1" s="3"/>
      <c r="E1" s="3"/>
      <c r="F1" s="3"/>
      <c r="G1" s="3"/>
      <c r="H1" s="3"/>
      <c r="I1" s="3"/>
      <c r="J1" s="3"/>
      <c r="K1" s="3"/>
      <c r="L1" s="3"/>
      <c r="M1" s="3"/>
      <c r="N1" s="3"/>
      <c r="O1" s="3"/>
      <c r="P1" s="3"/>
      <c r="Q1" s="3"/>
      <c r="R1" s="3"/>
      <c r="S1" s="3"/>
      <c r="T1" s="3"/>
      <c r="U1" s="3"/>
      <c r="V1" s="3"/>
      <c r="W1" s="3"/>
      <c r="X1" s="3"/>
      <c r="Y1" s="3"/>
    </row>
    <row r="2" customHeight="1" spans="1:25">
      <c r="A2" s="5" t="s">
        <v>283</v>
      </c>
      <c r="B2" s="5" t="s">
        <v>642</v>
      </c>
      <c r="C2" s="3"/>
      <c r="D2" s="3"/>
      <c r="E2" s="3"/>
      <c r="F2" s="3"/>
      <c r="G2" s="3"/>
      <c r="H2" s="3"/>
      <c r="I2" s="3"/>
      <c r="J2" s="3"/>
      <c r="K2" s="3"/>
      <c r="L2" s="3"/>
      <c r="M2" s="3"/>
      <c r="N2" s="3"/>
      <c r="O2" s="3"/>
      <c r="P2" s="3"/>
      <c r="Q2" s="3"/>
      <c r="R2" s="3"/>
      <c r="S2" s="3"/>
      <c r="T2" s="3"/>
      <c r="U2" s="3"/>
      <c r="V2" s="3"/>
      <c r="W2" s="3"/>
      <c r="X2" s="3"/>
      <c r="Y2" s="4"/>
    </row>
    <row r="3" customHeight="1" spans="1:25">
      <c r="A3" s="15"/>
      <c r="B3" s="12">
        <v>2025</v>
      </c>
      <c r="C3" s="12">
        <v>2026</v>
      </c>
      <c r="D3" s="12">
        <v>2027</v>
      </c>
      <c r="E3" s="12">
        <v>2028</v>
      </c>
      <c r="F3" s="12">
        <v>2029</v>
      </c>
      <c r="G3" s="12">
        <v>2030</v>
      </c>
      <c r="H3" s="12">
        <v>2031</v>
      </c>
      <c r="I3" s="12">
        <v>2032</v>
      </c>
      <c r="J3" s="12">
        <v>2033</v>
      </c>
      <c r="K3" s="12">
        <v>2034</v>
      </c>
      <c r="L3" s="12">
        <v>2035</v>
      </c>
      <c r="M3" s="12">
        <v>2036</v>
      </c>
      <c r="N3" s="12">
        <v>2037</v>
      </c>
      <c r="O3" s="12">
        <v>2038</v>
      </c>
      <c r="P3" s="12">
        <v>2039</v>
      </c>
      <c r="Q3" s="12">
        <v>2040</v>
      </c>
      <c r="R3" s="12">
        <v>2041</v>
      </c>
      <c r="S3" s="12">
        <v>2042</v>
      </c>
      <c r="T3" s="12">
        <v>2043</v>
      </c>
      <c r="U3" s="12">
        <v>2044</v>
      </c>
      <c r="V3" s="12">
        <v>2045</v>
      </c>
      <c r="W3" s="12">
        <v>2046</v>
      </c>
      <c r="X3" s="12">
        <v>2047</v>
      </c>
      <c r="Y3" s="12">
        <v>2048</v>
      </c>
    </row>
    <row r="4" customHeight="1" spans="1:25">
      <c r="A4" s="8" t="s">
        <v>648</v>
      </c>
      <c r="B4" s="13">
        <f>Ⅲ项目分年度收入合计表!B6</f>
        <v>0</v>
      </c>
      <c r="C4" s="13">
        <f>Ⅲ项目分年度收入合计表!C6</f>
        <v>0</v>
      </c>
      <c r="D4" s="13">
        <f>Ⅲ项目分年度收入合计表!D6</f>
        <v>798.758490566038</v>
      </c>
      <c r="E4" s="13">
        <f>Ⅲ项目分年度收入合计表!E6</f>
        <v>2071.55660377358</v>
      </c>
      <c r="F4" s="13">
        <f>Ⅲ项目分年度收入合计表!F6</f>
        <v>3060.93396226415</v>
      </c>
      <c r="G4" s="13">
        <f>Ⅲ项目分年度收入合计表!G6</f>
        <v>3091.54330188679</v>
      </c>
      <c r="H4" s="13">
        <f>Ⅲ项目分年度收入合计表!H6</f>
        <v>3122.45873490566</v>
      </c>
      <c r="I4" s="13">
        <f>Ⅲ项目分年度收入合计表!I6</f>
        <v>3153.68332225472</v>
      </c>
      <c r="J4" s="13">
        <f>Ⅲ项目分年度收入合计表!J6</f>
        <v>3185.22015547726</v>
      </c>
      <c r="K4" s="13">
        <f>Ⅲ项目分年度收入合计表!K6</f>
        <v>3217.07235703204</v>
      </c>
      <c r="L4" s="13">
        <f>Ⅲ项目分年度收入合计表!L6</f>
        <v>3249.24308060236</v>
      </c>
      <c r="M4" s="13">
        <f>Ⅲ项目分年度收入合计表!M6</f>
        <v>3281.73551140838</v>
      </c>
      <c r="N4" s="13">
        <f>Ⅲ项目分年度收入合计表!N6</f>
        <v>3314.55286652246</v>
      </c>
      <c r="O4" s="13">
        <f>Ⅲ项目分年度收入合计表!O6</f>
        <v>3347.69839518769</v>
      </c>
      <c r="P4" s="13">
        <f>Ⅲ项目分年度收入合计表!P6</f>
        <v>3381.17537913956</v>
      </c>
      <c r="Q4" s="13">
        <f>Ⅲ项目分年度收入合计表!Q6</f>
        <v>3414.98713293096</v>
      </c>
      <c r="R4" s="13">
        <f>Ⅲ项目分年度收入合计表!R6</f>
        <v>3449.13700426027</v>
      </c>
      <c r="S4" s="13">
        <f>Ⅲ项目分年度收入合计表!S6</f>
        <v>3483.62837430287</v>
      </c>
      <c r="T4" s="13">
        <f>Ⅲ项目分年度收入合计表!T6</f>
        <v>3518.46465804591</v>
      </c>
      <c r="U4" s="13">
        <f>Ⅲ项目分年度收入合计表!U6</f>
        <v>3553.64930462637</v>
      </c>
      <c r="V4" s="13">
        <f>Ⅲ项目分年度收入合计表!V6</f>
        <v>3589.18579767263</v>
      </c>
      <c r="W4" s="13">
        <f>Ⅲ项目分年度收入合计表!W6</f>
        <v>3625.07765564935</v>
      </c>
      <c r="X4" s="13">
        <f>Ⅲ项目分年度收入合计表!X6</f>
        <v>3661.32843220584</v>
      </c>
      <c r="Y4" s="13">
        <f>Ⅲ项目分年度收入合计表!Y6</f>
        <v>3697.9417165279</v>
      </c>
    </row>
    <row r="5" customHeight="1" spans="1:25">
      <c r="A5" s="8" t="s">
        <v>649</v>
      </c>
      <c r="B5" s="13">
        <f>E总成本费用估算表!C15</f>
        <v>0</v>
      </c>
      <c r="C5" s="13">
        <f>E总成本费用估算表!D15</f>
        <v>0</v>
      </c>
      <c r="D5" s="13">
        <f>E总成本费用估算表!E15</f>
        <v>1057.2894356511</v>
      </c>
      <c r="E5" s="13">
        <f>E总成本费用估算表!F15</f>
        <v>1200.66873359292</v>
      </c>
      <c r="F5" s="13">
        <f>E总成本费用估算表!G15</f>
        <v>2509.12089599726</v>
      </c>
      <c r="G5" s="13">
        <f>E总成本费用估算表!H15</f>
        <v>2519.0441670657</v>
      </c>
      <c r="H5" s="13">
        <f>E总成本费用估算表!I15</f>
        <v>2529.11628720017</v>
      </c>
      <c r="I5" s="13">
        <f>E总成本费用估算表!J15</f>
        <v>2539.33948913665</v>
      </c>
      <c r="J5" s="13">
        <f>E总成本费用估算表!K15</f>
        <v>2549.71603910218</v>
      </c>
      <c r="K5" s="13">
        <f>E总成本费用估算表!L15</f>
        <v>2560.2482373172</v>
      </c>
      <c r="L5" s="13">
        <f>E总成本费用估算表!M15</f>
        <v>2570.93841850544</v>
      </c>
      <c r="M5" s="13">
        <f>E总成本费用估算表!N15</f>
        <v>2581.78895241151</v>
      </c>
      <c r="N5" s="13">
        <f>E总成本费用估算表!O15</f>
        <v>2592.80224432616</v>
      </c>
      <c r="O5" s="13">
        <f>E总成本费用估算表!P15</f>
        <v>2603.98073561954</v>
      </c>
      <c r="P5" s="13">
        <f>E总成本费用估算表!Q15</f>
        <v>2615.32690428231</v>
      </c>
      <c r="Q5" s="13">
        <f>E总成本费用估算表!R15</f>
        <v>2626.84326547503</v>
      </c>
      <c r="R5" s="13">
        <f>E总成本费用估算表!S15</f>
        <v>2638.53237208564</v>
      </c>
      <c r="S5" s="13">
        <f>E总成本费用估算表!T15</f>
        <v>2650.39681529541</v>
      </c>
      <c r="T5" s="13">
        <f>E总成本费用估算表!U15</f>
        <v>2662.43922515332</v>
      </c>
      <c r="U5" s="13">
        <f>E总成本费用估算表!V15</f>
        <v>2674.6622711591</v>
      </c>
      <c r="V5" s="13">
        <f>E总成本费用估算表!W15</f>
        <v>2678.88282952164</v>
      </c>
      <c r="W5" s="13">
        <f>E总成本费用估算表!X15</f>
        <v>2594.00499275961</v>
      </c>
      <c r="X5" s="13">
        <f>E总成本费用估算表!Y15</f>
        <v>2381.15263017783</v>
      </c>
      <c r="Y5" s="13">
        <f>E总成本费用估算表!Z15</f>
        <v>2217.74710441931</v>
      </c>
    </row>
    <row r="6" customHeight="1" spans="1:25">
      <c r="A6" s="8" t="s">
        <v>650</v>
      </c>
      <c r="B6" s="13">
        <f t="shared" ref="B6:Y6" si="0">B4-B5</f>
        <v>0</v>
      </c>
      <c r="C6" s="13">
        <f t="shared" si="0"/>
        <v>0</v>
      </c>
      <c r="D6" s="13">
        <f t="shared" si="0"/>
        <v>-258.530945085065</v>
      </c>
      <c r="E6" s="13">
        <f t="shared" si="0"/>
        <v>870.887870180662</v>
      </c>
      <c r="F6" s="13">
        <f t="shared" si="0"/>
        <v>551.813066266895</v>
      </c>
      <c r="G6" s="13">
        <f t="shared" si="0"/>
        <v>572.499134821095</v>
      </c>
      <c r="H6" s="13">
        <f t="shared" si="0"/>
        <v>593.342447705495</v>
      </c>
      <c r="I6" s="13">
        <f t="shared" si="0"/>
        <v>614.343833118066</v>
      </c>
      <c r="J6" s="13">
        <f t="shared" si="0"/>
        <v>635.50411637508</v>
      </c>
      <c r="K6" s="13">
        <f t="shared" si="0"/>
        <v>656.824119714835</v>
      </c>
      <c r="L6" s="13">
        <f t="shared" si="0"/>
        <v>678.304662096917</v>
      </c>
      <c r="M6" s="13">
        <f t="shared" si="0"/>
        <v>699.946558996876</v>
      </c>
      <c r="N6" s="13">
        <f t="shared" si="0"/>
        <v>721.750622196302</v>
      </c>
      <c r="O6" s="13">
        <f t="shared" si="0"/>
        <v>743.717659568152</v>
      </c>
      <c r="P6" s="13">
        <f t="shared" si="0"/>
        <v>765.848474857247</v>
      </c>
      <c r="Q6" s="13">
        <f t="shared" si="0"/>
        <v>788.143867455934</v>
      </c>
      <c r="R6" s="13">
        <f t="shared" si="0"/>
        <v>810.604632174633</v>
      </c>
      <c r="S6" s="13">
        <f t="shared" si="0"/>
        <v>833.231559007467</v>
      </c>
      <c r="T6" s="13">
        <f t="shared" si="0"/>
        <v>856.025432892584</v>
      </c>
      <c r="U6" s="13">
        <f t="shared" si="0"/>
        <v>878.987033467263</v>
      </c>
      <c r="V6" s="13">
        <f t="shared" si="0"/>
        <v>910.302968150984</v>
      </c>
      <c r="W6" s="13">
        <f t="shared" si="0"/>
        <v>1031.07266288974</v>
      </c>
      <c r="X6" s="13">
        <f t="shared" si="0"/>
        <v>1280.17580202802</v>
      </c>
      <c r="Y6" s="13">
        <f t="shared" si="0"/>
        <v>1480.19461210859</v>
      </c>
    </row>
  </sheetData>
  <mergeCells count="3">
    <mergeCell ref="A1:Y1"/>
    <mergeCell ref="B2:Y2"/>
    <mergeCell ref="A2:A3"/>
  </mergeCells>
  <pageMargins left="0.75" right="0.75" top="1" bottom="1" header="0.5" footer="0.5"/>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FFC000"/>
  </sheetPr>
  <dimension ref="A1:Y8"/>
  <sheetViews>
    <sheetView zoomScale="70" zoomScaleNormal="70" workbookViewId="0">
      <selection activeCell="I7" sqref="I7"/>
    </sheetView>
  </sheetViews>
  <sheetFormatPr defaultColWidth="14.7818181818182" defaultRowHeight="28.95" customHeight="1" outlineLevelRow="7"/>
  <cols>
    <col min="2" max="2" width="9.89090909090909" style="1" customWidth="1"/>
    <col min="3" max="22" width="11.2181818181818" style="1" customWidth="1"/>
    <col min="23" max="24" width="12.2181818181818" style="1" customWidth="1"/>
    <col min="25" max="25" width="11.2181818181818" style="1" customWidth="1"/>
  </cols>
  <sheetData>
    <row r="1" customHeight="1" spans="1:6">
      <c r="A1" s="11" t="s">
        <v>651</v>
      </c>
      <c r="B1" s="11"/>
      <c r="C1" s="11"/>
      <c r="D1" s="11"/>
      <c r="E1" s="11"/>
      <c r="F1" s="11"/>
    </row>
    <row r="2" customHeight="1" spans="1:25">
      <c r="A2" s="5" t="s">
        <v>652</v>
      </c>
      <c r="B2" s="12">
        <v>2025</v>
      </c>
      <c r="C2" s="12">
        <v>2026</v>
      </c>
      <c r="D2" s="12">
        <v>2027</v>
      </c>
      <c r="E2" s="12">
        <v>2028</v>
      </c>
      <c r="F2" s="12">
        <v>2029</v>
      </c>
      <c r="G2" s="12">
        <v>2030</v>
      </c>
      <c r="H2" s="12">
        <v>2031</v>
      </c>
      <c r="I2" s="12">
        <v>2032</v>
      </c>
      <c r="J2" s="12">
        <v>2033</v>
      </c>
      <c r="K2" s="12">
        <v>2034</v>
      </c>
      <c r="L2" s="12">
        <v>2035</v>
      </c>
      <c r="M2" s="12">
        <v>2036</v>
      </c>
      <c r="N2" s="12">
        <v>2037</v>
      </c>
      <c r="O2" s="12">
        <v>2038</v>
      </c>
      <c r="P2" s="12">
        <v>2039</v>
      </c>
      <c r="Q2" s="12">
        <v>2040</v>
      </c>
      <c r="R2" s="12">
        <v>2041</v>
      </c>
      <c r="S2" s="12">
        <v>2042</v>
      </c>
      <c r="T2" s="12">
        <v>2043</v>
      </c>
      <c r="U2" s="12">
        <v>2044</v>
      </c>
      <c r="V2" s="12">
        <v>2045</v>
      </c>
      <c r="W2" s="12">
        <v>2046</v>
      </c>
      <c r="X2" s="12">
        <v>2047</v>
      </c>
      <c r="Y2" s="12">
        <v>2048</v>
      </c>
    </row>
    <row r="3" customHeight="1" spans="1:25">
      <c r="A3" s="5" t="s">
        <v>653</v>
      </c>
      <c r="B3" s="13">
        <f>(c借款还本付息计划表!E40-c借款还本付息计划表!D40)</f>
        <v>1175</v>
      </c>
      <c r="C3" s="13">
        <f>(c借款还本付息计划表!F40-c借款还本付息计划表!E40)</f>
        <v>11590</v>
      </c>
      <c r="D3" s="13">
        <f>(c借款还本付息计划表!G40-c借款还本付息计划表!F40)</f>
        <v>8705</v>
      </c>
      <c r="E3" s="13">
        <f>c借款还本付息计划表!H40-c借款还本付息计划表!G40</f>
        <v>7530</v>
      </c>
      <c r="F3" s="13">
        <f>c借款还本付息计划表!I40-c借款还本付息计划表!H40</f>
        <v>0</v>
      </c>
      <c r="G3" s="13">
        <f>c借款还本付息计划表!J40-c借款还本付息计划表!I40</f>
        <v>0</v>
      </c>
      <c r="H3" s="13">
        <f>c借款还本付息计划表!K40-c借款还本付息计划表!J40</f>
        <v>0</v>
      </c>
      <c r="I3" s="13">
        <f>c借款还本付息计划表!L40-c借款还本付息计划表!K40</f>
        <v>0</v>
      </c>
      <c r="J3" s="13">
        <f>c借款还本付息计划表!M40-c借款还本付息计划表!L40</f>
        <v>0</v>
      </c>
      <c r="K3" s="13">
        <f>c借款还本付息计划表!N40-c借款还本付息计划表!M40</f>
        <v>0</v>
      </c>
      <c r="L3" s="13">
        <f>c借款还本付息计划表!O40-c借款还本付息计划表!N40</f>
        <v>0</v>
      </c>
      <c r="M3" s="13">
        <f>c借款还本付息计划表!P40-c借款还本付息计划表!O40</f>
        <v>0</v>
      </c>
      <c r="N3" s="13">
        <f>c借款还本付息计划表!Q40-c借款还本付息计划表!P40</f>
        <v>0</v>
      </c>
      <c r="O3" s="13">
        <f>c借款还本付息计划表!R40-c借款还本付息计划表!Q40</f>
        <v>0</v>
      </c>
      <c r="P3" s="13">
        <f>c借款还本付息计划表!S40-c借款还本付息计划表!R40</f>
        <v>0</v>
      </c>
      <c r="Q3" s="13">
        <f>c借款还本付息计划表!T40-c借款还本付息计划表!S40</f>
        <v>0</v>
      </c>
      <c r="R3" s="13">
        <f>c借款还本付息计划表!U40-c借款还本付息计划表!T40</f>
        <v>0</v>
      </c>
      <c r="S3" s="13">
        <f>c借款还本付息计划表!V40-c借款还本付息计划表!U40</f>
        <v>0</v>
      </c>
      <c r="T3" s="13">
        <f>c借款还本付息计划表!W40-c借款还本付息计划表!V40</f>
        <v>0</v>
      </c>
      <c r="U3" s="13">
        <f>c借款还本付息计划表!X40-c借款还本付息计划表!W40</f>
        <v>0</v>
      </c>
      <c r="V3" s="13">
        <f>c借款还本付息计划表!Y40-c借款还本付息计划表!X40</f>
        <v>-1175</v>
      </c>
      <c r="W3" s="13">
        <f>c借款还本付息计划表!Z40-c借款还本付息计划表!Y40</f>
        <v>-11590</v>
      </c>
      <c r="X3" s="13">
        <f>c借款还本付息计划表!AA40-c借款还本付息计划表!Z40</f>
        <v>-8705</v>
      </c>
      <c r="Y3" s="13">
        <f>c借款还本付息计划表!AA44</f>
        <v>0</v>
      </c>
    </row>
    <row r="4" customHeight="1" spans="1:25">
      <c r="A4" s="5" t="s">
        <v>654</v>
      </c>
      <c r="B4" s="13">
        <f>(c借款还本付息计划表!D42)</f>
        <v>0</v>
      </c>
      <c r="C4" s="13">
        <f>(c借款还本付息计划表!E42)</f>
        <v>0</v>
      </c>
      <c r="D4" s="13">
        <f>(c借款还本付息计划表!F42)</f>
        <v>0</v>
      </c>
      <c r="E4" s="13">
        <f>c借款还本付息计划表!G42</f>
        <v>0</v>
      </c>
      <c r="F4" s="13">
        <f>c借款还本付息计划表!H42</f>
        <v>0</v>
      </c>
      <c r="G4" s="13">
        <f>c借款还本付息计划表!I42</f>
        <v>0</v>
      </c>
      <c r="H4" s="13">
        <f>c借款还本付息计划表!J42</f>
        <v>0</v>
      </c>
      <c r="I4" s="13">
        <f>c借款还本付息计划表!K42</f>
        <v>0</v>
      </c>
      <c r="J4" s="13">
        <f>c借款还本付息计划表!L42</f>
        <v>0</v>
      </c>
      <c r="K4" s="13">
        <f>c借款还本付息计划表!M42</f>
        <v>0</v>
      </c>
      <c r="L4" s="13">
        <f>c借款还本付息计划表!N42</f>
        <v>0</v>
      </c>
      <c r="M4" s="13">
        <f>c借款还本付息计划表!O42</f>
        <v>0</v>
      </c>
      <c r="N4" s="13">
        <f>c借款还本付息计划表!P42</f>
        <v>0</v>
      </c>
      <c r="O4" s="13">
        <f>c借款还本付息计划表!Q42</f>
        <v>0</v>
      </c>
      <c r="P4" s="13">
        <f>c借款还本付息计划表!R42</f>
        <v>0</v>
      </c>
      <c r="Q4" s="13">
        <f>c借款还本付息计划表!S42</f>
        <v>0</v>
      </c>
      <c r="R4" s="13">
        <f>c借款还本付息计划表!T42</f>
        <v>0</v>
      </c>
      <c r="S4" s="13">
        <f>c借款还本付息计划表!U42</f>
        <v>0</v>
      </c>
      <c r="T4" s="13">
        <f>c借款还本付息计划表!V42</f>
        <v>0</v>
      </c>
      <c r="U4" s="13">
        <f>c借款还本付息计划表!W42</f>
        <v>0</v>
      </c>
      <c r="V4" s="13">
        <f>c借款还本付息计划表!X42</f>
        <v>1175</v>
      </c>
      <c r="W4" s="13">
        <f>c借款还本付息计划表!Y42</f>
        <v>11590</v>
      </c>
      <c r="X4" s="13">
        <f>c借款还本付息计划表!Z42</f>
        <v>8705</v>
      </c>
      <c r="Y4" s="13">
        <f>c借款还本付息计划表!AA42</f>
        <v>7530</v>
      </c>
    </row>
    <row r="5" customHeight="1" spans="1:25">
      <c r="A5" s="5" t="s">
        <v>655</v>
      </c>
      <c r="B5" s="13">
        <f>(c借款还本付息计划表!D44)</f>
        <v>1175</v>
      </c>
      <c r="C5" s="13">
        <f>(c借款还本付息计划表!E44)</f>
        <v>12765</v>
      </c>
      <c r="D5" s="13">
        <f>(c借款还本付息计划表!F44)</f>
        <v>21470</v>
      </c>
      <c r="E5" s="13">
        <f>c借款还本付息计划表!G44</f>
        <v>29000</v>
      </c>
      <c r="F5" s="13">
        <f>c借款还本付息计划表!H44</f>
        <v>29000</v>
      </c>
      <c r="G5" s="13">
        <f>c借款还本付息计划表!I44</f>
        <v>29000</v>
      </c>
      <c r="H5" s="13">
        <f>c借款还本付息计划表!J44</f>
        <v>29000</v>
      </c>
      <c r="I5" s="13">
        <f>c借款还本付息计划表!K44</f>
        <v>29000</v>
      </c>
      <c r="J5" s="13">
        <f>c借款还本付息计划表!L44</f>
        <v>29000</v>
      </c>
      <c r="K5" s="13">
        <f>c借款还本付息计划表!M44</f>
        <v>29000</v>
      </c>
      <c r="L5" s="13">
        <f>c借款还本付息计划表!N44</f>
        <v>29000</v>
      </c>
      <c r="M5" s="13">
        <f>c借款还本付息计划表!O44</f>
        <v>29000</v>
      </c>
      <c r="N5" s="13">
        <f>c借款还本付息计划表!P44</f>
        <v>29000</v>
      </c>
      <c r="O5" s="13">
        <f>c借款还本付息计划表!Q44</f>
        <v>29000</v>
      </c>
      <c r="P5" s="13">
        <f>c借款还本付息计划表!R44</f>
        <v>29000</v>
      </c>
      <c r="Q5" s="13">
        <f>c借款还本付息计划表!S44</f>
        <v>29000</v>
      </c>
      <c r="R5" s="13">
        <f>c借款还本付息计划表!T44</f>
        <v>29000</v>
      </c>
      <c r="S5" s="13">
        <f>c借款还本付息计划表!U44</f>
        <v>29000</v>
      </c>
      <c r="T5" s="13">
        <f>c借款还本付息计划表!V44</f>
        <v>29000</v>
      </c>
      <c r="U5" s="13">
        <f>c借款还本付息计划表!W44</f>
        <v>29000</v>
      </c>
      <c r="V5" s="13">
        <f>c借款还本付息计划表!X44</f>
        <v>27825</v>
      </c>
      <c r="W5" s="13">
        <f>c借款还本付息计划表!Y44</f>
        <v>16235</v>
      </c>
      <c r="X5" s="13">
        <f>c借款还本付息计划表!Z44</f>
        <v>7530</v>
      </c>
      <c r="Y5" s="13">
        <f>c借款还本付息计划表!AA44</f>
        <v>0</v>
      </c>
    </row>
    <row r="6" customHeight="1" spans="1:25">
      <c r="A6" s="5" t="s">
        <v>656</v>
      </c>
      <c r="B6" s="10">
        <v>0.0212</v>
      </c>
      <c r="C6" s="10">
        <v>0.0212</v>
      </c>
      <c r="D6" s="10">
        <v>0.0212</v>
      </c>
      <c r="E6" s="10">
        <v>0.0212</v>
      </c>
      <c r="F6" s="10">
        <v>0.0212</v>
      </c>
      <c r="G6" s="10">
        <v>0.0212</v>
      </c>
      <c r="H6" s="10">
        <v>0.0212</v>
      </c>
      <c r="I6" s="10">
        <v>0.0212</v>
      </c>
      <c r="J6" s="10">
        <v>0.0212</v>
      </c>
      <c r="K6" s="10">
        <v>0.0212</v>
      </c>
      <c r="L6" s="10">
        <v>0.0212</v>
      </c>
      <c r="M6" s="10">
        <v>0.0212</v>
      </c>
      <c r="N6" s="10">
        <v>0.0212</v>
      </c>
      <c r="O6" s="10">
        <v>0.0212</v>
      </c>
      <c r="P6" s="10">
        <v>0.0212</v>
      </c>
      <c r="Q6" s="10">
        <v>0.0212</v>
      </c>
      <c r="R6" s="10">
        <v>0.0212</v>
      </c>
      <c r="S6" s="10">
        <v>0.0212</v>
      </c>
      <c r="T6" s="10">
        <v>0.0212</v>
      </c>
      <c r="U6" s="10">
        <v>0.0212</v>
      </c>
      <c r="V6" s="10">
        <v>0.0212</v>
      </c>
      <c r="W6" s="10">
        <v>0.0212</v>
      </c>
      <c r="X6" s="10">
        <v>0.0212</v>
      </c>
      <c r="Y6" s="10">
        <v>0.0212</v>
      </c>
    </row>
    <row r="7" customHeight="1" spans="1:25">
      <c r="A7" s="5" t="s">
        <v>545</v>
      </c>
      <c r="B7" s="13">
        <f>(c借款还本付息计划表!D43)</f>
        <v>0</v>
      </c>
      <c r="C7" s="13">
        <f>(c借款还本付息计划表!E43)</f>
        <v>24.91</v>
      </c>
      <c r="D7" s="13">
        <f>(c借款还本付息计划表!F43)</f>
        <v>270.618</v>
      </c>
      <c r="E7" s="13">
        <f>c借款还本付息计划表!G43</f>
        <v>455.164</v>
      </c>
      <c r="F7" s="13">
        <f>c借款还本付息计划表!H43</f>
        <v>614.8</v>
      </c>
      <c r="G7" s="13">
        <f>c借款还本付息计划表!I43</f>
        <v>614.8</v>
      </c>
      <c r="H7" s="13">
        <f>c借款还本付息计划表!J43</f>
        <v>614.8</v>
      </c>
      <c r="I7" s="13">
        <f>c借款还本付息计划表!K43</f>
        <v>614.8</v>
      </c>
      <c r="J7" s="13">
        <f>c借款还本付息计划表!L43</f>
        <v>614.8</v>
      </c>
      <c r="K7" s="13">
        <f>c借款还本付息计划表!M43</f>
        <v>614.8</v>
      </c>
      <c r="L7" s="13">
        <f>c借款还本付息计划表!N43</f>
        <v>614.8</v>
      </c>
      <c r="M7" s="13">
        <f>c借款还本付息计划表!O43</f>
        <v>614.8</v>
      </c>
      <c r="N7" s="13">
        <f>c借款还本付息计划表!P43</f>
        <v>614.8</v>
      </c>
      <c r="O7" s="13">
        <f>c借款还本付息计划表!Q43</f>
        <v>614.8</v>
      </c>
      <c r="P7" s="13">
        <f>c借款还本付息计划表!R43</f>
        <v>614.8</v>
      </c>
      <c r="Q7" s="13">
        <f>c借款还本付息计划表!S43</f>
        <v>614.8</v>
      </c>
      <c r="R7" s="13">
        <f>c借款还本付息计划表!T43</f>
        <v>614.8</v>
      </c>
      <c r="S7" s="13">
        <f>c借款还本付息计划表!U43</f>
        <v>614.8</v>
      </c>
      <c r="T7" s="13">
        <f>c借款还本付息计划表!V43</f>
        <v>614.8</v>
      </c>
      <c r="U7" s="13">
        <f>c借款还本付息计划表!W43</f>
        <v>614.8</v>
      </c>
      <c r="V7" s="13">
        <f>c借款还本付息计划表!X43</f>
        <v>614.8</v>
      </c>
      <c r="W7" s="13">
        <f>c借款还本付息计划表!Y43</f>
        <v>589.89</v>
      </c>
      <c r="X7" s="13">
        <f>c借款还本付息计划表!Z43</f>
        <v>344.182</v>
      </c>
      <c r="Y7" s="13">
        <f>c借款还本付息计划表!AA43</f>
        <v>159.636</v>
      </c>
    </row>
    <row r="8" customHeight="1" spans="1:25">
      <c r="A8" s="5" t="s">
        <v>657</v>
      </c>
      <c r="B8" s="13">
        <f t="shared" ref="B8:Y8" si="0">B7+B4</f>
        <v>0</v>
      </c>
      <c r="C8" s="13">
        <f t="shared" si="0"/>
        <v>24.91</v>
      </c>
      <c r="D8" s="13">
        <f t="shared" si="0"/>
        <v>270.618</v>
      </c>
      <c r="E8" s="13">
        <f t="shared" si="0"/>
        <v>455.164</v>
      </c>
      <c r="F8" s="13">
        <f t="shared" si="0"/>
        <v>614.8</v>
      </c>
      <c r="G8" s="13">
        <f t="shared" si="0"/>
        <v>614.8</v>
      </c>
      <c r="H8" s="13">
        <f t="shared" si="0"/>
        <v>614.8</v>
      </c>
      <c r="I8" s="13">
        <f t="shared" si="0"/>
        <v>614.8</v>
      </c>
      <c r="J8" s="13">
        <f t="shared" si="0"/>
        <v>614.8</v>
      </c>
      <c r="K8" s="13">
        <f t="shared" si="0"/>
        <v>614.8</v>
      </c>
      <c r="L8" s="13">
        <f t="shared" si="0"/>
        <v>614.8</v>
      </c>
      <c r="M8" s="13">
        <f t="shared" si="0"/>
        <v>614.8</v>
      </c>
      <c r="N8" s="13">
        <f t="shared" si="0"/>
        <v>614.8</v>
      </c>
      <c r="O8" s="13">
        <f t="shared" si="0"/>
        <v>614.8</v>
      </c>
      <c r="P8" s="13">
        <f t="shared" si="0"/>
        <v>614.8</v>
      </c>
      <c r="Q8" s="13">
        <f t="shared" si="0"/>
        <v>614.8</v>
      </c>
      <c r="R8" s="13">
        <f t="shared" si="0"/>
        <v>614.8</v>
      </c>
      <c r="S8" s="13">
        <f t="shared" si="0"/>
        <v>614.8</v>
      </c>
      <c r="T8" s="13">
        <f t="shared" si="0"/>
        <v>614.8</v>
      </c>
      <c r="U8" s="13">
        <f t="shared" si="0"/>
        <v>614.8</v>
      </c>
      <c r="V8" s="13">
        <f t="shared" si="0"/>
        <v>1789.8</v>
      </c>
      <c r="W8" s="13">
        <f t="shared" si="0"/>
        <v>12179.89</v>
      </c>
      <c r="X8" s="13">
        <f t="shared" si="0"/>
        <v>9049.182</v>
      </c>
      <c r="Y8" s="13">
        <f t="shared" si="0"/>
        <v>7689.636</v>
      </c>
    </row>
  </sheetData>
  <pageMargins left="0.75" right="0.75" top="1" bottom="1" header="0.5" footer="0.5"/>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3"/>
  <sheetViews>
    <sheetView workbookViewId="0">
      <selection activeCell="I12" sqref="I12"/>
    </sheetView>
  </sheetViews>
  <sheetFormatPr defaultColWidth="15.7818181818182" defaultRowHeight="28.05" customHeight="1" outlineLevelRow="2"/>
  <sheetData>
    <row r="3" ht="40.95" customHeight="1"/>
  </sheetData>
  <pageMargins left="0.75" right="0.75" top="1" bottom="1" header="0.5" footer="0.5"/>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C000"/>
  </sheetPr>
  <dimension ref="A1:H13"/>
  <sheetViews>
    <sheetView zoomScale="85" zoomScaleNormal="85" workbookViewId="0">
      <selection activeCell="J6" sqref="J6"/>
    </sheetView>
  </sheetViews>
  <sheetFormatPr defaultColWidth="15.7818181818182" defaultRowHeight="28.05" customHeight="1" outlineLevelCol="7"/>
  <cols>
    <col min="1" max="1" width="29.6636363636364" style="1" customWidth="1"/>
    <col min="2" max="2" width="12.6636363636364" style="1" customWidth="1"/>
    <col min="3" max="3" width="15.7818181818182" style="1" customWidth="1"/>
  </cols>
  <sheetData>
    <row r="1" customHeight="1" spans="1:8">
      <c r="A1" s="2" t="s">
        <v>658</v>
      </c>
      <c r="B1" s="3"/>
      <c r="C1" s="3"/>
      <c r="D1" s="3"/>
      <c r="E1" s="3"/>
      <c r="F1" s="3"/>
      <c r="G1" s="3"/>
      <c r="H1" s="4"/>
    </row>
    <row r="2" customHeight="1" spans="1:8">
      <c r="A2" s="5" t="s">
        <v>659</v>
      </c>
      <c r="B2" s="6">
        <v>-0.15</v>
      </c>
      <c r="C2" s="6">
        <v>-0.1</v>
      </c>
      <c r="D2" s="6">
        <v>-0.05</v>
      </c>
      <c r="E2" s="6">
        <v>0</v>
      </c>
      <c r="F2" s="6">
        <v>0.05</v>
      </c>
      <c r="G2" s="6">
        <v>0.1</v>
      </c>
      <c r="H2" s="6">
        <v>0.15</v>
      </c>
    </row>
    <row r="3" customHeight="1" spans="1:8">
      <c r="A3" s="7" t="s">
        <v>660</v>
      </c>
      <c r="B3" s="3"/>
      <c r="C3" s="3"/>
      <c r="D3" s="3"/>
      <c r="E3" s="3"/>
      <c r="F3" s="3"/>
      <c r="G3" s="3"/>
      <c r="H3" s="4"/>
    </row>
    <row r="4" customHeight="1" spans="1:8">
      <c r="A4" s="8" t="s">
        <v>661</v>
      </c>
      <c r="B4" s="9">
        <v>1.01384088611287</v>
      </c>
      <c r="C4" s="9">
        <v>1.07755630035954</v>
      </c>
      <c r="D4" s="9">
        <v>1.1412717146062</v>
      </c>
      <c r="E4" s="9">
        <v>1.20498712885287</v>
      </c>
      <c r="F4" s="9">
        <v>1.26870254309954</v>
      </c>
      <c r="G4" s="9">
        <v>1.33241795734621</v>
      </c>
      <c r="H4" s="9">
        <v>1.39613337159288</v>
      </c>
    </row>
    <row r="5" customHeight="1" spans="1:8">
      <c r="A5" s="7" t="s">
        <v>662</v>
      </c>
      <c r="B5" s="3"/>
      <c r="C5" s="3"/>
      <c r="D5" s="3"/>
      <c r="E5" s="3"/>
      <c r="F5" s="3"/>
      <c r="G5" s="3"/>
      <c r="H5" s="4"/>
    </row>
    <row r="6" customHeight="1" spans="1:8">
      <c r="A6" s="8" t="s">
        <v>661</v>
      </c>
      <c r="B6" s="9">
        <v>1.24975542898756</v>
      </c>
      <c r="C6" s="9">
        <v>1.234832662276</v>
      </c>
      <c r="D6" s="9">
        <v>1.21990989556444</v>
      </c>
      <c r="E6" s="9">
        <v>1.20498712885287</v>
      </c>
      <c r="F6" s="9">
        <v>1.19006436214131</v>
      </c>
      <c r="G6" s="9">
        <v>1.17514159542975</v>
      </c>
      <c r="H6" s="9">
        <v>1.16021882871819</v>
      </c>
    </row>
    <row r="7" customHeight="1" spans="1:8">
      <c r="A7" s="7" t="s">
        <v>663</v>
      </c>
      <c r="B7" s="3"/>
      <c r="C7" s="3"/>
      <c r="D7" s="3"/>
      <c r="E7" s="3"/>
      <c r="F7" s="3"/>
      <c r="G7" s="3"/>
      <c r="H7" s="4"/>
    </row>
    <row r="8" customHeight="1" spans="1:8">
      <c r="A8" s="8" t="s">
        <v>661</v>
      </c>
      <c r="B8" s="9">
        <v>1.24912145043156</v>
      </c>
      <c r="C8" s="9">
        <v>1.23395690645851</v>
      </c>
      <c r="D8" s="9">
        <v>1.21925233776385</v>
      </c>
      <c r="E8" s="9">
        <v>1.20498712885287</v>
      </c>
      <c r="F8" s="9">
        <v>1.1911418780433</v>
      </c>
      <c r="G8" s="9">
        <v>1.17769830942666</v>
      </c>
      <c r="H8" s="9">
        <v>1.16463919238266</v>
      </c>
    </row>
    <row r="11" customHeight="1" spans="1:3">
      <c r="A11" s="8"/>
      <c r="B11" s="8"/>
      <c r="C11" s="10"/>
    </row>
    <row r="12" customHeight="1" spans="1:3">
      <c r="A12" s="8"/>
      <c r="B12" s="8"/>
      <c r="C12" s="10"/>
    </row>
    <row r="13" customHeight="1" spans="1:3">
      <c r="A13" s="8" t="s">
        <v>664</v>
      </c>
      <c r="B13" s="8"/>
      <c r="C13" s="10"/>
    </row>
  </sheetData>
  <mergeCells count="4">
    <mergeCell ref="A1:H1"/>
    <mergeCell ref="A3:H3"/>
    <mergeCell ref="A5:H5"/>
    <mergeCell ref="A7:H7"/>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8435" name="Button 3" r:id="rId3">
              <controlPr print="0" defaultSize="0">
                <anchor moveWithCells="1" sizeWithCells="1">
                  <from>
                    <xdr:col>7</xdr:col>
                    <xdr:colOff>133350</xdr:colOff>
                    <xdr:row>9</xdr:row>
                    <xdr:rowOff>0</xdr:rowOff>
                  </from>
                  <to>
                    <xdr:col>7</xdr:col>
                    <xdr:colOff>1009650</xdr:colOff>
                    <xdr:row>9</xdr:row>
                    <xdr:rowOff>292100</xdr:rowOff>
                  </to>
                </anchor>
              </controlPr>
            </control>
          </mc:Choice>
        </mc:AlternateContent>
        <mc:AlternateContent xmlns:mc="http://schemas.openxmlformats.org/markup-compatibility/2006">
          <mc:Choice Requires="x14">
            <control shapeId="18436" name="Button 4" r:id="rId4">
              <controlPr print="0" defaultSize="0">
                <anchor moveWithCells="1" sizeWithCells="1">
                  <from>
                    <xdr:col>6</xdr:col>
                    <xdr:colOff>177800</xdr:colOff>
                    <xdr:row>8</xdr:row>
                    <xdr:rowOff>355600</xdr:rowOff>
                  </from>
                  <to>
                    <xdr:col>6</xdr:col>
                    <xdr:colOff>1035050</xdr:colOff>
                    <xdr:row>9</xdr:row>
                    <xdr:rowOff>292100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34</vt:i4>
      </vt:variant>
    </vt:vector>
  </HeadingPairs>
  <TitlesOfParts>
    <vt:vector size="34" baseType="lpstr">
      <vt:lpstr>A财务假设</vt:lpstr>
      <vt:lpstr>B项目信息</vt:lpstr>
      <vt:lpstr>C.1项目融资信息</vt:lpstr>
      <vt:lpstr>C.2项目每年借款信息</vt:lpstr>
      <vt:lpstr>D.1建设投资</vt:lpstr>
      <vt:lpstr>D.2项目总投资使用计划与资金筹措表</vt:lpstr>
      <vt:lpstr>D.3建设投资分年计划表</vt:lpstr>
      <vt:lpstr>D.4流动资金估算表</vt:lpstr>
      <vt:lpstr>E总成本费用估算表</vt:lpstr>
      <vt:lpstr>E.1项目运营期费用</vt:lpstr>
      <vt:lpstr>E.1.1项目运营期费用(不含税）</vt:lpstr>
      <vt:lpstr>E.2固定资产折旧费估算表</vt:lpstr>
      <vt:lpstr>E.3无形资产和其他资产摊销费估算表</vt:lpstr>
      <vt:lpstr>E.4建设投资税后金额表</vt:lpstr>
      <vt:lpstr>F项目收入</vt:lpstr>
      <vt:lpstr>F.1项目单项收入信息</vt:lpstr>
      <vt:lpstr>G.税金及附加测算表</vt:lpstr>
      <vt:lpstr>G.1进项增值税率-建设投资</vt:lpstr>
      <vt:lpstr>G.2进项增值税率-运营成本</vt:lpstr>
      <vt:lpstr>G.3销项增值税率</vt:lpstr>
      <vt:lpstr>a.1财务现金流量表</vt:lpstr>
      <vt:lpstr>a.2项目资本金现金流量表</vt:lpstr>
      <vt:lpstr>b利润与利润分配表（损益和利润分配表）</vt:lpstr>
      <vt:lpstr>c借款还本付息计划表</vt:lpstr>
      <vt:lpstr>d财务计划现金流量表</vt:lpstr>
      <vt:lpstr>e资产负债表</vt:lpstr>
      <vt:lpstr>Ⅰ项目投资估算构成表</vt:lpstr>
      <vt:lpstr>Ⅱ项目分年度资金筹措计划表</vt:lpstr>
      <vt:lpstr>Ⅲ项目分年度收入合计表</vt:lpstr>
      <vt:lpstr>Ⅳ项目分年度成本明细表</vt:lpstr>
      <vt:lpstr>Ⅴ项目分年度收益表</vt:lpstr>
      <vt:lpstr>Ⅵ专项债券应付本息情况表</vt:lpstr>
      <vt:lpstr>Ⅶ专项债券资金收益与融资平衡情况表</vt:lpstr>
      <vt:lpstr>VIII债券资金覆盖率压力测试表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周亮;谢玉君</dc:creator>
  <cp:lastModifiedBy>lenovo</cp:lastModifiedBy>
  <dcterms:created xsi:type="dcterms:W3CDTF">2025-07-25T07:38:00Z</dcterms:created>
  <dcterms:modified xsi:type="dcterms:W3CDTF">2025-09-18T07:00:05Z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5418BED3CBE84F52B01E58141DE1141C_13</vt:lpwstr>
  </property>
  <property fmtid="{D5CDD505-2E9C-101B-9397-08002B2CF9AE}" pid="3" name="KSOProductBuildVer">
    <vt:lpwstr>2052-12.8.2.18205</vt:lpwstr>
  </property>
</Properties>
</file>