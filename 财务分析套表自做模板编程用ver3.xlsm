
<file path=[Content_Types].xml><?xml version="1.0" encoding="utf-8"?>
<Types xmlns="http://schemas.openxmlformats.org/package/2006/content-types">
  <Default Extension="vml" ContentType="application/vnd.openxmlformats-officedocument.vmlDrawing"/>
  <Default Extension="wmf" ContentType="image/x-wmf"/>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activeX/activeX1.bin" ContentType="application/vnd.ms-office.activeX"/>
  <Override PartName="/xl/activeX/activeX1.xml" ContentType="application/vnd.ms-office.activeX+xml"/>
  <Override PartName="/xl/comments1.xml" ContentType="application/vnd.openxmlformats-officedocument.spreadsheetml.comments+xml"/>
  <Override PartName="/xl/comments2.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1.xml" ContentType="application/vnd.openxmlformats-officedocument.drawing+xml"/>
  <Override PartName="/xl/drawings/drawing2.xml" ContentType="application/vnd.openxmlformats-officedocument.drawing+xml"/>
  <Override PartName="/xl/metadata.xml" ContentType="application/vnd.openxmlformats-officedocument.spreadsheetml.sheetMetadata+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19200" windowHeight="7750" tabRatio="847" activeTab="1"/>
  </bookViews>
  <sheets>
    <sheet name="A财务假设" sheetId="1" r:id="rId1"/>
    <sheet name="B项目信息" sheetId="2" r:id="rId2"/>
    <sheet name="C.1项目融资信息" sheetId="3" r:id="rId3"/>
    <sheet name="C.2项目每年借款信息" sheetId="4" r:id="rId4"/>
    <sheet name="D.1建设投资" sheetId="5" r:id="rId5"/>
    <sheet name="D.2项目总投资使用计划与资金筹措表" sheetId="6" r:id="rId6"/>
    <sheet name="D.3建设投资分年计划表" sheetId="7" r:id="rId7"/>
    <sheet name="D.4流动资金估算表" sheetId="8" r:id="rId8"/>
    <sheet name="E总成本费用估算表" sheetId="10" r:id="rId9"/>
    <sheet name="E.1项目运营期费用" sheetId="9" r:id="rId10"/>
    <sheet name="E.1.1项目运营期费用(不含税）" sheetId="26" r:id="rId11"/>
    <sheet name="E.2固定资产折旧费估算表" sheetId="11" r:id="rId12"/>
    <sheet name="E.3无形资产和其他资产摊销费估算表" sheetId="12" r:id="rId13"/>
    <sheet name="E.4建设投资税后金额表" sheetId="13" r:id="rId14"/>
    <sheet name="F项目收入" sheetId="14" r:id="rId15"/>
    <sheet name="F.1项目单项收入信息" sheetId="15" r:id="rId16"/>
    <sheet name="G.税金及附加测算表" sheetId="19" r:id="rId17"/>
    <sheet name="G.1进项增值税率-建设投资" sheetId="16" r:id="rId18"/>
    <sheet name="G.2进项增值税率-运营成本" sheetId="17" r:id="rId19"/>
    <sheet name="G.3销项增值税率" sheetId="18" r:id="rId20"/>
    <sheet name="a.1财务现金流量表" sheetId="20" r:id="rId21"/>
    <sheet name="a.2项目资本金现金流量表" sheetId="22" r:id="rId22"/>
    <sheet name="b利润与利润分配表（损益和利润分配表）" sheetId="23" r:id="rId23"/>
    <sheet name="c借款还本付息计划表" sheetId="21" r:id="rId24"/>
    <sheet name="d财务计划现金流量表" sheetId="24" r:id="rId25"/>
    <sheet name="e资产负债表" sheetId="25" r:id="rId26"/>
    <sheet name="Ⅰ项目投资估算构成表" sheetId="27" r:id="rId27"/>
    <sheet name="Ⅱ项目分年度资金筹措计划表" sheetId="28" r:id="rId28"/>
    <sheet name="Ⅲ项目分年度收入合计表" sheetId="29" r:id="rId29"/>
    <sheet name="Ⅳ项目分年度成本明细表" sheetId="30" r:id="rId30"/>
    <sheet name="Ⅴ项目分年度收益表" sheetId="31" r:id="rId31"/>
    <sheet name="Ⅵ专项债券应付本息情况表" sheetId="32" r:id="rId32"/>
    <sheet name="Ⅶ专项债券资金收益与融资平衡情况表" sheetId="33" state="hidden" r:id="rId33"/>
    <sheet name="VIII债券资金覆盖率压力测试表" sheetId="34" r:id="rId34"/>
  </sheets>
  <definedNames>
    <definedName name="_xlnm._FilterDatabase" localSheetId="14" hidden="1">F项目收入!$A$2:$H$24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周亮</author>
  </authors>
  <commentList>
    <comment ref="D10" authorId="0">
      <text>
        <r>
          <rPr>
            <b/>
            <sz val="9"/>
            <rFont val="宋体"/>
            <charset val="134"/>
          </rPr>
          <t>周亮:</t>
        </r>
        <r>
          <rPr>
            <sz val="9"/>
            <rFont val="宋体"/>
            <charset val="134"/>
          </rPr>
          <t xml:space="preserve">
建设期利息不能用专项债
优先将2.2债务资金用于2.2.1建设投资
纯专项债项目，2.2.2建设期利息均为0，建设期利息要用资本金支付，即2.1.2
建设投资不够的部分，再使用资本金，即2.1.1
纯专项债项目，专项债资金不能用于流动资金，故2.2.3为0</t>
        </r>
      </text>
    </comment>
  </commentList>
</comments>
</file>

<file path=xl/comments2.xml><?xml version="1.0" encoding="utf-8"?>
<comments xmlns="http://schemas.openxmlformats.org/spreadsheetml/2006/main">
  <authors>
    <author>周亮</author>
    <author>86139</author>
  </authors>
  <commentList>
    <comment ref="F7" authorId="0">
      <text>
        <r>
          <rPr>
            <b/>
            <sz val="9"/>
            <rFont val="宋体"/>
            <charset val="134"/>
          </rPr>
          <t>周亮:</t>
        </r>
        <r>
          <rPr>
            <sz val="9"/>
            <rFont val="宋体"/>
            <charset val="134"/>
          </rPr>
          <t xml:space="preserve">
需根据选项，自行单独计算每行的值，表格只做了示例的公式，供参考</t>
        </r>
      </text>
    </comment>
    <comment ref="F13" authorId="0">
      <text>
        <r>
          <rPr>
            <b/>
            <sz val="9"/>
            <rFont val="宋体"/>
            <charset val="134"/>
          </rPr>
          <t>周亮:</t>
        </r>
        <r>
          <rPr>
            <sz val="9"/>
            <rFont val="宋体"/>
            <charset val="134"/>
          </rPr>
          <t xml:space="preserve">
需根据选项，自行单独计算每行的值，表格只做了示例的公式，供参考144.00 
</t>
        </r>
      </text>
    </comment>
    <comment ref="F21" authorId="0">
      <text>
        <r>
          <rPr>
            <b/>
            <sz val="9"/>
            <rFont val="宋体"/>
            <charset val="134"/>
          </rPr>
          <t>周亮:</t>
        </r>
        <r>
          <rPr>
            <sz val="9"/>
            <rFont val="宋体"/>
            <charset val="134"/>
          </rPr>
          <t xml:space="preserve">
需根据选项，自行单独计算每行的值，表格只做了示例的公式，供参考</t>
        </r>
      </text>
    </comment>
    <comment ref="B26" authorId="1">
      <text>
        <r>
          <rPr>
            <b/>
            <sz val="9"/>
            <rFont val="宋体"/>
            <charset val="134"/>
          </rPr>
          <t>86139:</t>
        </r>
        <r>
          <rPr>
            <sz val="9"/>
            <rFont val="宋体"/>
            <charset val="134"/>
          </rPr>
          <t xml:space="preserve">
低空气象服务平台</t>
        </r>
      </text>
    </comment>
    <comment ref="B29" authorId="1">
      <text>
        <r>
          <rPr>
            <b/>
            <sz val="9"/>
            <rFont val="宋体"/>
            <charset val="134"/>
          </rPr>
          <t>86139:</t>
        </r>
        <r>
          <rPr>
            <sz val="9"/>
            <rFont val="宋体"/>
            <charset val="134"/>
          </rPr>
          <t xml:space="preserve">
东湖公园培训测试基地</t>
        </r>
      </text>
    </comment>
    <comment ref="B33" authorId="1">
      <text>
        <r>
          <rPr>
            <b/>
            <sz val="9"/>
            <rFont val="宋体"/>
            <charset val="134"/>
          </rPr>
          <t>86139:</t>
        </r>
        <r>
          <rPr>
            <sz val="9"/>
            <rFont val="宋体"/>
            <charset val="134"/>
          </rPr>
          <t xml:space="preserve">
物流配送无人机运营管理平台：2027年建成</t>
        </r>
      </text>
    </comment>
    <comment ref="B38" authorId="1">
      <text>
        <r>
          <rPr>
            <b/>
            <sz val="9"/>
            <rFont val="宋体"/>
            <charset val="134"/>
          </rPr>
          <t>86139:</t>
        </r>
        <r>
          <rPr>
            <sz val="9"/>
            <rFont val="宋体"/>
            <charset val="134"/>
          </rPr>
          <t xml:space="preserve">
城市治理无人机运营管理子系统：2026年建成</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<sst xmlns="http://schemas.openxmlformats.org/spreadsheetml/2006/main" count="1219" uniqueCount="668">
  <si>
    <t>A财务假设</t>
  </si>
  <si>
    <t>序号</t>
  </si>
  <si>
    <t>名称</t>
  </si>
  <si>
    <t>解释</t>
  </si>
  <si>
    <t>参考值</t>
  </si>
  <si>
    <t>项目投资财务基准收益率(税前)</t>
  </si>
  <si>
    <t>国家发改委《建设项目财务基准收益率取值表》</t>
  </si>
  <si>
    <t>项目投资财务基准收益率(税后)</t>
  </si>
  <si>
    <t>项目资本金财务基准收益率</t>
  </si>
  <si>
    <t>项目资本金财务基准收益率应体现项目发起人（代表项目所有权益投资者）
对投资获利的最低期望值（也称最低可接受收益率）。当项目资本金财务
内部收益率大于或等于该最低可接受收益率时，说明在该融资方案下，项目
资本金获利水平超过或达到了要求，该融资方案是可以接受的。</t>
  </si>
  <si>
    <t>城市维护建设税税率</t>
  </si>
  <si>
    <t>市区：7%；县城、镇：5%；
不在市区、县城或者镇：1% ；
缴纳基数为：增值税税额+营业税税额+消费税税额</t>
  </si>
  <si>
    <t>教育费附加费率</t>
  </si>
  <si>
    <t>缴纳基数为：增值税税额+营业税税额+消费税税额</t>
  </si>
  <si>
    <t>地方教育费附加费率</t>
  </si>
  <si>
    <t>企业所得税率</t>
  </si>
  <si>
    <t>是针对企业应纳税所得额征收的税种</t>
  </si>
  <si>
    <t>法定盈余公积提取比例</t>
  </si>
  <si>
    <t>企业应按照一定的比例从税后利润中提取盈余公积</t>
  </si>
  <si>
    <t>任意盈余公积提取比例</t>
  </si>
  <si>
    <t>提取比例由企业自主决定，没有固定标</t>
  </si>
  <si>
    <t>残值率</t>
  </si>
  <si>
    <t>资产在预计使用寿命结束时的剩余价值占其原始成本的百分比</t>
  </si>
  <si>
    <t>资本金用于流动资金比例</t>
  </si>
  <si>
    <t>不低于30%，但专项债资金不能用于流动资金，故设为 100%</t>
  </si>
  <si>
    <t>折现率</t>
  </si>
  <si>
    <t>投资者要求的最低收益率，可参考基准收益率，是由国家或行业主管部门制
定的，针对特定行业的标准折现率（如《建设项目经济评价方法与参数》中
规定的行业基准值）</t>
  </si>
  <si>
    <t>债券发行手续费率</t>
  </si>
  <si>
    <t xml:space="preserve"> 3年期及以下债券发行手续费为发行额的0.04%</t>
  </si>
  <si>
    <t>5年期及以上债券发行手续费为发行额的0.08%</t>
  </si>
  <si>
    <t>债券发行登记服务费率</t>
  </si>
  <si>
    <t>债券发行登记服务费为发行额的0.0064%</t>
  </si>
  <si>
    <t>债券还本付息兑付手续费率</t>
  </si>
  <si>
    <t>金额为本息和的0.005%</t>
  </si>
  <si>
    <t>成本浮动系数</t>
  </si>
  <si>
    <t>用于压力测试表中对应的系数填写</t>
  </si>
  <si>
    <t>收入浮动系数</t>
  </si>
  <si>
    <t>贷款利率浮动系数</t>
  </si>
  <si>
    <t>B项目信息</t>
  </si>
  <si>
    <t>值</t>
  </si>
  <si>
    <t>建设分期一</t>
  </si>
  <si>
    <t>建设开始年月</t>
  </si>
  <si>
    <t>建设完成年月</t>
  </si>
  <si>
    <t>建设期（月）</t>
  </si>
  <si>
    <t>建设完成年月-建设开始年月</t>
  </si>
  <si>
    <t>运营开始年月</t>
  </si>
  <si>
    <t>开始有运营收入的时间，可以在建设期间</t>
  </si>
  <si>
    <t>运营期（年）</t>
  </si>
  <si>
    <r>
      <rPr>
        <sz val="11"/>
        <color theme="1"/>
        <rFont val="微软雅黑"/>
        <charset val="134"/>
      </rPr>
      <t>按照债务周期为截止时间，</t>
    </r>
    <r>
      <rPr>
        <sz val="11"/>
        <color rgb="FFFF0000"/>
        <rFont val="微软雅黑"/>
        <charset val="134"/>
      </rPr>
      <t>折旧年限等同于运营期</t>
    </r>
  </si>
  <si>
    <t>总借款年限-运营开始年限+1</t>
  </si>
  <si>
    <t>建设分期二</t>
  </si>
  <si>
    <t>C.1项目融资信息</t>
  </si>
  <si>
    <t>借款名称</t>
  </si>
  <si>
    <t>借款类别</t>
  </si>
  <si>
    <t>借款金额（万元）</t>
  </si>
  <si>
    <t>开始时间</t>
  </si>
  <si>
    <t>结束时间</t>
  </si>
  <si>
    <t>借款周期（年）</t>
  </si>
  <si>
    <t>借款利率</t>
  </si>
  <si>
    <t>还款方式</t>
  </si>
  <si>
    <t>首年计息月份</t>
  </si>
  <si>
    <t>债券发行费（万元）</t>
  </si>
  <si>
    <t>债券发行登记服务费（万元）</t>
  </si>
  <si>
    <t>债券还本付息兑付手续费（万元）</t>
  </si>
  <si>
    <t>地方政府专项债
/市场化融资</t>
  </si>
  <si>
    <t>1,2,3,5,7,10,15,20,30
根据实际需要选择</t>
  </si>
  <si>
    <t>专项债按发行前5个
工作日国债均价利率，
选择性上浮10%</t>
  </si>
  <si>
    <t>允许地方结合实际情况，采取
到期还本（10年期以下按年付息，10年期以上按半年付息）、提前还本、分年还本等不同还本方式</t>
  </si>
  <si>
    <t>3年期及以下债券发行手续费
为发行额的0.04%，5年期及以
上债券发行手续费为发行额的0.08%</t>
  </si>
  <si>
    <t>发行额的0.0064%</t>
  </si>
  <si>
    <t>在每年还本付息时支付，
金额为本息和的0.005%</t>
  </si>
  <si>
    <t>借款1</t>
  </si>
  <si>
    <t>地方政府专项债</t>
  </si>
  <si>
    <t>到期一次性还清</t>
  </si>
  <si>
    <t>对应好c</t>
  </si>
  <si>
    <t>借款2</t>
  </si>
  <si>
    <t>借款3</t>
  </si>
  <si>
    <t>借款4</t>
  </si>
  <si>
    <t>C.2项目每年借款信息（万元）</t>
  </si>
  <si>
    <t>计算期年序</t>
  </si>
  <si>
    <t>合计</t>
  </si>
  <si>
    <t>D.1建设投资</t>
  </si>
  <si>
    <t>（此表不需要填写，复制D.3的前4列，如果D.3有修改，此表也要同步复制）</t>
  </si>
  <si>
    <t>大类</t>
  </si>
  <si>
    <t>小类</t>
  </si>
  <si>
    <t>细类</t>
  </si>
  <si>
    <t>数量</t>
  </si>
  <si>
    <t>金额</t>
  </si>
  <si>
    <t>备注</t>
  </si>
  <si>
    <t>一</t>
  </si>
  <si>
    <t>项目建设工程费用</t>
  </si>
  <si>
    <t>低空基础设施</t>
  </si>
  <si>
    <t>起降设施</t>
  </si>
  <si>
    <t>低空载人起降点</t>
  </si>
  <si>
    <t>客运枢纽低空综合枢纽</t>
  </si>
  <si>
    <t>罗湖物流转运中心货运枢纽</t>
  </si>
  <si>
    <t>东湖公园低空培训测试基地</t>
  </si>
  <si>
    <t>低空智联网设施</t>
  </si>
  <si>
    <t>无人机起降场设备</t>
  </si>
  <si>
    <t>低空数据机房</t>
  </si>
  <si>
    <t>运营服务保障中心</t>
  </si>
  <si>
    <t>低空平台</t>
  </si>
  <si>
    <t>低空飞行综合运营服务
保障平台</t>
  </si>
  <si>
    <t>低空规划子系统</t>
  </si>
  <si>
    <t>低空智联网子系统</t>
  </si>
  <si>
    <t>低空反无子系统</t>
  </si>
  <si>
    <t>低空气象服务子系统</t>
  </si>
  <si>
    <t>政府联合监管子系统</t>
  </si>
  <si>
    <t>低空飞行任务调度子系统</t>
  </si>
  <si>
    <t>低空场景运营平台</t>
  </si>
  <si>
    <t>城市治理无人机运营管理子系统</t>
  </si>
  <si>
    <t>物流配送无人机运营管理平台</t>
  </si>
  <si>
    <t>二</t>
  </si>
  <si>
    <t>工程建设其他费用</t>
  </si>
  <si>
    <t>建设单位管理费</t>
  </si>
  <si>
    <t>财建【2016】504号</t>
  </si>
  <si>
    <t>前期咨询费</t>
  </si>
  <si>
    <t>《信息系统工程造价指导（2019版）》</t>
  </si>
  <si>
    <t>工程设计费</t>
  </si>
  <si>
    <t>计价格【2002】10号</t>
  </si>
  <si>
    <t>工程监理费</t>
  </si>
  <si>
    <t>发改价格【2007】670号</t>
  </si>
  <si>
    <t>第三方测评费</t>
  </si>
  <si>
    <t>工程保险费</t>
  </si>
  <si>
    <t>深圳市建设工程计价费率标准(2018)</t>
  </si>
  <si>
    <t>招标代理费</t>
  </si>
  <si>
    <t>计价格[2002] 1980号</t>
  </si>
  <si>
    <t>工程造价咨询费</t>
  </si>
  <si>
    <t>(一) × 1%</t>
  </si>
  <si>
    <t>等保测评费</t>
  </si>
  <si>
    <t>商用密码评估费</t>
  </si>
  <si>
    <t>编制环境影响报告书费</t>
  </si>
  <si>
    <t>编制环境影响报告表费</t>
  </si>
  <si>
    <t>评估编制环境报告书费</t>
  </si>
  <si>
    <t>评估编制环境报告表费</t>
  </si>
  <si>
    <t>竣工图编制费</t>
  </si>
  <si>
    <t>三</t>
  </si>
  <si>
    <t>预备费</t>
  </si>
  <si>
    <t>基本预备费</t>
  </si>
  <si>
    <t>四</t>
  </si>
  <si>
    <t>建设期利息</t>
  </si>
  <si>
    <t>建设项目总投资</t>
  </si>
  <si>
    <t>D.2项目总投资使用计划与资金筹措表（万元）</t>
  </si>
  <si>
    <t>科目</t>
  </si>
  <si>
    <t>总投资</t>
  </si>
  <si>
    <t>建设投资</t>
  </si>
  <si>
    <t>只算到建设期！</t>
  </si>
  <si>
    <t>流动资金</t>
  </si>
  <si>
    <t>资金筹措</t>
  </si>
  <si>
    <t>项目资本金</t>
  </si>
  <si>
    <t>2.1.1</t>
  </si>
  <si>
    <t>用于建设投资</t>
  </si>
  <si>
    <t>2.1.2</t>
  </si>
  <si>
    <t>用于建设期利息</t>
  </si>
  <si>
    <t>2.1.3</t>
  </si>
  <si>
    <t>用于流动资金</t>
  </si>
  <si>
    <t>债务资金</t>
  </si>
  <si>
    <t>对应好C.2</t>
  </si>
  <si>
    <t>2.2.1</t>
  </si>
  <si>
    <t>2.2.2</t>
  </si>
  <si>
    <t>2.2.3</t>
  </si>
  <si>
    <t>其他资金</t>
  </si>
  <si>
    <t>资本金基数总投资</t>
  </si>
  <si>
    <t>/</t>
  </si>
  <si>
    <t>铺底流动资金</t>
  </si>
  <si>
    <t>资本金比例</t>
  </si>
  <si>
    <t>D.3建设投资分年计划表（万元）</t>
  </si>
  <si>
    <t>（此表红色字体部分需要填写，覆盖建设期年份，行会影响E.2折旧和E.3摊销表的引用，建议不修改）</t>
  </si>
  <si>
    <t>分项费用</t>
  </si>
  <si>
    <t>说明</t>
  </si>
  <si>
    <t>工程建设费用</t>
  </si>
  <si>
    <t>工程类费用</t>
  </si>
  <si>
    <t>建筑工程费</t>
  </si>
  <si>
    <t>建筑工程费分为直接费和间接费。其中，直接费是指直接与工程物料、施工人工、机器设备等有关的费用，例如建筑材料、人工工资、机械设备租赁费等。间接费则是指与工程间接有关的费用，包括施工单位管理费、安全费、教育培训费等。</t>
  </si>
  <si>
    <t>设备购置费</t>
  </si>
  <si>
    <t>安装工程费</t>
  </si>
  <si>
    <t>指的是建筑工程中的管线安装、设备安装（如空调、电线、水管等），以及室内装修、园林绿化等方面的费用。</t>
  </si>
  <si>
    <t>信息化建设费用</t>
  </si>
  <si>
    <t>硬件类</t>
  </si>
  <si>
    <t>包括服务器、存储、网络等设备</t>
  </si>
  <si>
    <t>软件类</t>
  </si>
  <si>
    <t>安全类</t>
  </si>
  <si>
    <t>数据类</t>
  </si>
  <si>
    <t>其他费</t>
  </si>
  <si>
    <t>总计</t>
  </si>
  <si>
    <t>D.4流动资金估算表（万元）</t>
  </si>
  <si>
    <t>(此表红色字体部分需要填写，从第一次运营开始填写数值，最低周转天数可问AI）</t>
  </si>
  <si>
    <t>项目</t>
  </si>
  <si>
    <t>最低周转天数(天)</t>
  </si>
  <si>
    <t>周转次数</t>
  </si>
  <si>
    <t>流动资产</t>
  </si>
  <si>
    <t>应收账款</t>
  </si>
  <si>
    <t>存货</t>
  </si>
  <si>
    <t>1.2.1</t>
  </si>
  <si>
    <t>原材料</t>
  </si>
  <si>
    <t>1.2.2</t>
  </si>
  <si>
    <t>燃料动力</t>
  </si>
  <si>
    <t>1.2.3</t>
  </si>
  <si>
    <t>在产品</t>
  </si>
  <si>
    <t>没有就填0</t>
  </si>
  <si>
    <t>1.2.4</t>
  </si>
  <si>
    <t>产成品</t>
  </si>
  <si>
    <t>现金</t>
  </si>
  <si>
    <t>流动负债</t>
  </si>
  <si>
    <t>应付账款</t>
  </si>
  <si>
    <t>流动资金（1-2）</t>
  </si>
  <si>
    <t>流动资金当年增加额</t>
  </si>
  <si>
    <t>流动资金贷款</t>
  </si>
  <si>
    <t>E总成本费用估算表（万元）</t>
  </si>
  <si>
    <t>建设期不计算，需从E.1.1中取数，映射关系需要自做，再修改计算公式</t>
  </si>
  <si>
    <t>外购原材料费</t>
  </si>
  <si>
    <t>外购燃料及动力费</t>
  </si>
  <si>
    <t>注意这里1~5.3都要做跟E.1.1的映射计算</t>
  </si>
  <si>
    <t>工资福利费</t>
  </si>
  <si>
    <t>修理费</t>
  </si>
  <si>
    <t>其他费用 （5.1+5.2+5.3）</t>
  </si>
  <si>
    <t>其他制造费用</t>
  </si>
  <si>
    <t>其他管理费用</t>
  </si>
  <si>
    <t>其他营业费用</t>
  </si>
  <si>
    <t>经营成本 （1+2+3+4+5）</t>
  </si>
  <si>
    <t>折旧费</t>
  </si>
  <si>
    <t>需刷新计算公式</t>
  </si>
  <si>
    <t>摊销费</t>
  </si>
  <si>
    <t>利息支出</t>
  </si>
  <si>
    <t>总成本费用 （6+7+8+9）</t>
  </si>
  <si>
    <t>其中固定成本 （10-10.2）</t>
  </si>
  <si>
    <t>其中可变成本 （1+2+3+5.3）</t>
  </si>
  <si>
    <t>E.1项目运营期费用（万元）</t>
  </si>
  <si>
    <t>成本类别</t>
  </si>
  <si>
    <t>取费计算方式</t>
  </si>
  <si>
    <t>单价</t>
  </si>
  <si>
    <t>浮动系数</t>
  </si>
  <si>
    <t>负荷系数</t>
  </si>
  <si>
    <t>场地维护成本</t>
  </si>
  <si>
    <t>场地租金</t>
  </si>
  <si>
    <t>按面积×租金单价</t>
  </si>
  <si>
    <t>场地日常维护（停机坪/起降场/交通枢纽/飞行营地/指挥中心等）</t>
  </si>
  <si>
    <t>按面积 × 单位维护单价（元 / ㎡・年）</t>
  </si>
  <si>
    <t>消防设施年检</t>
  </si>
  <si>
    <t>按设备数量 × 单台年检费（元 / 台・次）</t>
  </si>
  <si>
    <t>防鸟措施（驱鸟器维护）</t>
  </si>
  <si>
    <t>按套数 × 年费（元 / 套・年）+ 耗材费（如驱鸟剂）</t>
  </si>
  <si>
    <t>燃料动力费</t>
  </si>
  <si>
    <t>飞行器能耗</t>
  </si>
  <si>
    <t>按电耗或油耗计算</t>
  </si>
  <si>
    <t>核心设备电力能耗</t>
  </si>
  <si>
    <t>按实际用电量 × 电价（元 / 千瓦 时）</t>
  </si>
  <si>
    <t>水电能耗</t>
  </si>
  <si>
    <t>按面积估算</t>
  </si>
  <si>
    <t>网络费</t>
  </si>
  <si>
    <t>网络通信费用</t>
  </si>
  <si>
    <t>按年计算租金</t>
  </si>
  <si>
    <t>硬件维护成本</t>
  </si>
  <si>
    <t>硬件设备维护</t>
  </si>
  <si>
    <t>按照固定资产15%计算</t>
  </si>
  <si>
    <t>备品备件储备</t>
  </si>
  <si>
    <t>按年度设备维护预算 × 储备比例 （10%-20%）</t>
  </si>
  <si>
    <t>软件维护费</t>
  </si>
  <si>
    <t>软件维护</t>
  </si>
  <si>
    <t>按无形资产造价的20%计算</t>
  </si>
  <si>
    <t>营销费用</t>
  </si>
  <si>
    <t>营销及活动</t>
  </si>
  <si>
    <t>按年平均营业收入的2%计算</t>
  </si>
  <si>
    <t>工资及福利费</t>
  </si>
  <si>
    <t>人员薪酬</t>
  </si>
  <si>
    <t>按岗位月薪 ×12 + 福利（月薪 ×20%-30%）</t>
  </si>
  <si>
    <t>培训与资质认证</t>
  </si>
  <si>
    <t>按人次 × 人均培训费（元 / 人 次）</t>
  </si>
  <si>
    <t>办公与行政支出</t>
  </si>
  <si>
    <t>按人员数量 × 人均办公费（元 / 人・月）</t>
  </si>
  <si>
    <t>合规性与安全成本</t>
  </si>
  <si>
    <t>空域使用审批费</t>
  </si>
  <si>
    <t>按空域面积 × 年费率（元 / 平方 公里・年）</t>
  </si>
  <si>
    <t>场地责任险</t>
  </si>
  <si>
    <t>按保额 × 保险费率（年费率 0.1%-0.3%）</t>
  </si>
  <si>
    <t>安全演练与应急处置</t>
  </si>
  <si>
    <t>按次数 × 单次演练成本（元 / 次）</t>
  </si>
  <si>
    <t>其他费用</t>
  </si>
  <si>
    <t>第三方安全评估</t>
  </si>
  <si>
    <t>按项目投资额 × 评估费率 （0.1%-0.3%）</t>
  </si>
  <si>
    <t>不可预见支出</t>
  </si>
  <si>
    <t>按年度总成本 × 计提比例 （5%-10%）</t>
  </si>
  <si>
    <r>
      <rPr>
        <sz val="10"/>
        <rFont val="宋体"/>
        <charset val="134"/>
      </rPr>
      <t>1、系统维护费：包括通信导航设备维护、气象设备校准、反制系统升级等硬件设备维护费，软件系统维护费，按系统总投资的5%进行估算；并在后续运营期内运营成本保持逐年以1.5%的增长率进行测算。
2、能耗及网络等费用：包括项目运营期间所需的水电费、网络费用、油料费等，按当年经营收入的5%进行估算；
3、场地、飞行器租金，保险及营销推广费用：本项目建设期为</t>
    </r>
    <r>
      <rPr>
        <sz val="10"/>
        <rFont val="宋体"/>
        <charset val="134"/>
      </rPr>
      <t>2025</t>
    </r>
    <r>
      <rPr>
        <sz val="10"/>
        <rFont val="宋体"/>
        <charset val="134"/>
      </rPr>
      <t>年</t>
    </r>
    <r>
      <rPr>
        <sz val="10"/>
        <rFont val="宋体"/>
        <charset val="134"/>
      </rPr>
      <t>~2028</t>
    </r>
    <r>
      <rPr>
        <sz val="10"/>
        <rFont val="宋体"/>
        <charset val="134"/>
      </rPr>
      <t>年，综合考虑项目建成时间、投入正式运营需要一定过程等因素，对建设期第一年（</t>
    </r>
    <r>
      <rPr>
        <sz val="10"/>
        <rFont val="宋体"/>
        <charset val="134"/>
      </rPr>
      <t>2025</t>
    </r>
    <r>
      <rPr>
        <sz val="10"/>
        <rFont val="宋体"/>
        <charset val="134"/>
      </rPr>
      <t>年），由于预计要到</t>
    </r>
    <r>
      <rPr>
        <sz val="10"/>
        <rFont val="宋体"/>
        <charset val="134"/>
      </rPr>
      <t>10</t>
    </r>
    <r>
      <rPr>
        <sz val="10"/>
        <rFont val="宋体"/>
        <charset val="134"/>
      </rPr>
      <t>月份才开始部分运营，因此当年完成建设项目的运营成本按照</t>
    </r>
    <r>
      <rPr>
        <sz val="10"/>
        <rFont val="宋体"/>
        <charset val="134"/>
      </rPr>
      <t>25%</t>
    </r>
    <r>
      <rPr>
        <sz val="10"/>
        <rFont val="宋体"/>
        <charset val="134"/>
      </rPr>
      <t>测算。建设期第二年（</t>
    </r>
    <r>
      <rPr>
        <sz val="10"/>
        <rFont val="宋体"/>
        <charset val="134"/>
      </rPr>
      <t>2026</t>
    </r>
    <r>
      <rPr>
        <sz val="10"/>
        <rFont val="宋体"/>
        <charset val="134"/>
      </rPr>
      <t>年），运营成本按6</t>
    </r>
    <r>
      <rPr>
        <sz val="10"/>
        <rFont val="宋体"/>
        <charset val="134"/>
      </rPr>
      <t>0%</t>
    </r>
    <r>
      <rPr>
        <sz val="10"/>
        <rFont val="宋体"/>
        <charset val="134"/>
      </rPr>
      <t>测算；建设期第三年（</t>
    </r>
    <r>
      <rPr>
        <sz val="10"/>
        <rFont val="宋体"/>
        <charset val="134"/>
      </rPr>
      <t>2027</t>
    </r>
    <r>
      <rPr>
        <sz val="10"/>
        <rFont val="宋体"/>
        <charset val="134"/>
      </rPr>
      <t>年），运营成本按全部成本的8</t>
    </r>
    <r>
      <rPr>
        <sz val="10"/>
        <rFont val="宋体"/>
        <charset val="134"/>
      </rPr>
      <t>0%</t>
    </r>
    <r>
      <rPr>
        <sz val="10"/>
        <rFont val="宋体"/>
        <charset val="134"/>
      </rPr>
      <t>测算。建设期第四年（2028年），运营成本全部按照</t>
    </r>
    <r>
      <rPr>
        <sz val="10"/>
        <rFont val="宋体"/>
        <charset val="134"/>
      </rPr>
      <t>100%</t>
    </r>
    <r>
      <rPr>
        <sz val="10"/>
        <rFont val="宋体"/>
        <charset val="134"/>
      </rPr>
      <t>测算。并在后续运营期内运营成本保持逐年以1</t>
    </r>
    <r>
      <rPr>
        <sz val="10"/>
        <rFont val="宋体"/>
        <charset val="134"/>
      </rPr>
      <t>.5%</t>
    </r>
    <r>
      <rPr>
        <sz val="10"/>
        <rFont val="宋体"/>
        <charset val="134"/>
      </rPr>
      <t>的增长率进行测算。</t>
    </r>
  </si>
  <si>
    <t>类别</t>
  </si>
  <si>
    <t>支出项</t>
  </si>
  <si>
    <t>支出基准价
（万/年）</t>
  </si>
  <si>
    <t>2025年</t>
  </si>
  <si>
    <t>2026年</t>
  </si>
  <si>
    <t>2027年</t>
  </si>
  <si>
    <t>2028年</t>
  </si>
  <si>
    <t>2029年</t>
  </si>
  <si>
    <t>2030年</t>
  </si>
  <si>
    <t>2031年</t>
  </si>
  <si>
    <t>2032年</t>
  </si>
  <si>
    <t>2033年</t>
  </si>
  <si>
    <t>2034年</t>
  </si>
  <si>
    <t>2035年</t>
  </si>
  <si>
    <t>2036年</t>
  </si>
  <si>
    <t>2037年</t>
  </si>
  <si>
    <t>2038年</t>
  </si>
  <si>
    <t>2039年</t>
  </si>
  <si>
    <t>2040年</t>
  </si>
  <si>
    <t>2041年</t>
  </si>
  <si>
    <t>2042年</t>
  </si>
  <si>
    <t>2043年</t>
  </si>
  <si>
    <t>2044年</t>
  </si>
  <si>
    <t>2045年</t>
  </si>
  <si>
    <t>2046年</t>
  </si>
  <si>
    <t>2047年</t>
  </si>
  <si>
    <t>2048年</t>
  </si>
  <si>
    <t>业务成本</t>
  </si>
  <si>
    <t>系统维护费</t>
  </si>
  <si>
    <t>包括通信导航设备维护、气象设备校准、反制系统升级等硬件设备维护费，软件系统维护费，按系统总投资的5%进行估算</t>
  </si>
  <si>
    <t>人工成本</t>
  </si>
  <si>
    <t>按照3个管理人员，20万元/年估算</t>
  </si>
  <si>
    <t>能耗费用</t>
  </si>
  <si>
    <t>包括项目运营期间所需的水电费、网络费用、油料费等</t>
  </si>
  <si>
    <t>网络费用</t>
  </si>
  <si>
    <t>起降点及数据中心场地租赁费用</t>
  </si>
  <si>
    <t>E.1.1项目运营期费用(不含税）（万元）</t>
  </si>
  <si>
    <t>(此表不需要填写，复制的E.1表，若E.1修改了，此表要重新复制后计算）</t>
  </si>
  <si>
    <t>浮动后单价</t>
  </si>
  <si>
    <t>单元格计算的进项税率要对应好</t>
  </si>
  <si>
    <t>E.2固定资产折旧费估算表（万元）</t>
  </si>
  <si>
    <t>（红色字部分应按照B表和D.3，分不同运营期计算折旧，原值的计算重新写对应公式）</t>
  </si>
  <si>
    <t>原值</t>
  </si>
  <si>
    <t>年折旧率</t>
  </si>
  <si>
    <t>年折旧额</t>
  </si>
  <si>
    <t>净值（原值-年折旧额*n）</t>
  </si>
  <si>
    <t>不含税（固定资产金额）+不含税（工程其他费）+预备费 + c建设期利息及发行费</t>
  </si>
  <si>
    <t>1 /B 折旧年限 × 100%
（折旧年限等同于运营期）</t>
  </si>
  <si>
    <t>原值 × A~（1-残值残值率）× 年折旧率）</t>
  </si>
  <si>
    <t>建设期1</t>
  </si>
  <si>
    <t>固定资产投资</t>
  </si>
  <si>
    <t>C列需要选取建设期年份内，E.4表中归属固定资产的值</t>
  </si>
  <si>
    <t>建设期2</t>
  </si>
  <si>
    <t>D列的折旧年限引用B表中各建设期的运营期（每段的最后一行）</t>
  </si>
  <si>
    <t>净值合计</t>
  </si>
  <si>
    <t>需与上面行数对应，计算年折旧额</t>
  </si>
  <si>
    <t>折旧额合计</t>
  </si>
  <si>
    <t>E.3无形资产和其他资产摊销费估算表</t>
  </si>
  <si>
    <t>（此表红色字体部分按实际填写，同时应按照B表和D.3，分不同运营期计算摊销，原值的计算重新写引用公式，年折旧额中的残值率为0）</t>
  </si>
  <si>
    <t>净值</t>
  </si>
  <si>
    <t>不含税(软件类)+不含税(安全类软件)+不含税 (数据类)+专利费+土地使用权费+商标权、著作权费</t>
  </si>
  <si>
    <t>原值×年折旧率</t>
  </si>
  <si>
    <t>合计1</t>
  </si>
  <si>
    <t>无形资产</t>
  </si>
  <si>
    <t>1.1.1</t>
  </si>
  <si>
    <t>土地使用权</t>
  </si>
  <si>
    <t>1.1.2</t>
  </si>
  <si>
    <t>专利技术</t>
  </si>
  <si>
    <t>C列需要选取建设期年份内，E.4表中归属无形摊销的值</t>
  </si>
  <si>
    <t>1.1.3</t>
  </si>
  <si>
    <t>软件及其他无形资产</t>
  </si>
  <si>
    <t>新增后，第一年的计算公式也要改 *(G$3-$F$3)</t>
  </si>
  <si>
    <t>其他资产</t>
  </si>
  <si>
    <t>修改此行D列的折旧年限，引用B表中各建设期的运营期（每段的最后一行）</t>
  </si>
  <si>
    <t>项目开办费</t>
  </si>
  <si>
    <t>合计2</t>
  </si>
  <si>
    <t>累加公式要修正</t>
  </si>
  <si>
    <t>复制上面，计算年折旧额，做好公式对应</t>
  </si>
  <si>
    <t>E.4建设投资税后金额表（万元）</t>
  </si>
  <si>
    <t>（此表不需要填写，复制D.3的对应列，如果D.3有修改，此表也要同步复制）</t>
  </si>
  <si>
    <t>税前金额</t>
  </si>
  <si>
    <t>增值税率</t>
  </si>
  <si>
    <t>2025
（税后）</t>
  </si>
  <si>
    <t>2026
（税后）</t>
  </si>
  <si>
    <t>2027
（税后）</t>
  </si>
  <si>
    <t>2028
（税后）</t>
  </si>
  <si>
    <t>H I J列税后计算的税率引用需对应</t>
  </si>
  <si>
    <t>F项目收入（万元）</t>
  </si>
  <si>
    <t>收入类别</t>
  </si>
  <si>
    <t>含税/不含税</t>
  </si>
  <si>
    <t>含税</t>
  </si>
  <si>
    <t>不含税</t>
  </si>
  <si>
    <t>年度合计（含税）</t>
  </si>
  <si>
    <t>增加行后，这里的公式要手动改</t>
  </si>
  <si>
    <t>年度合计（不含税）</t>
  </si>
  <si>
    <t>F.1项目单项收入信息</t>
  </si>
  <si>
    <t>（此表红色部分需要填写，每行需要根据E F G列单独计算）</t>
  </si>
  <si>
    <t>单价（万元/年）</t>
  </si>
  <si>
    <t>单价年增长情况</t>
  </si>
  <si>
    <t>增长比例</t>
  </si>
  <si>
    <t>气象收入</t>
  </si>
  <si>
    <t>不增长</t>
  </si>
  <si>
    <t>不增长的公式已写好</t>
  </si>
  <si>
    <t>年度负荷</t>
  </si>
  <si>
    <t>企业服务收入</t>
  </si>
  <si>
    <t>低空物流收入</t>
  </si>
  <si>
    <t>每年增长</t>
  </si>
  <si>
    <t>每年增长的公式已写好</t>
  </si>
  <si>
    <t>低空出行收入</t>
  </si>
  <si>
    <t>广告位收入</t>
  </si>
  <si>
    <t>停车位收入</t>
  </si>
  <si>
    <t>商铺租赁收入</t>
  </si>
  <si>
    <t>政务服务收入</t>
  </si>
  <si>
    <t>数据收入</t>
  </si>
  <si>
    <t>产学研收入</t>
  </si>
  <si>
    <t>...</t>
  </si>
  <si>
    <t>本项目的经济效益分析评价依据国家发改委、建设部颁布的《建设项目经济评价方法与参数(第三版)》。分析评价中所采用的数据，按国家有关规定并结合参照广东省、其他省县市等同类型项目，现场调研数据，网上查询数据综合确定。
本项目建设期为2025年~2028年，综合考虑项目建成时间、业务推广拓展需要一定过程等因素，对建设期第一年（2025年）由于预计要到10月份才开始建设，因此当年收益可忽略不计。建设期第二年（2026年），对于2025年建成的部分项目收益项按60%测算；建设期第三年（2027年），对于在2026年建设完成的子项收益按全部收益的60%测算，对于2025年建成的部分收益按照全部收益的100%测算。建设期第四年（2028年），对于在2027年建设完成的子项收益按全部收益的60%测算，对于2025年、2026年建成的部分收益按照全部收益的100%测算。从第五年（2029年）开始按全部收益的100%测算，并在后续运营期内收益保持逐年以1%的增长率进行测算。</t>
  </si>
  <si>
    <t>收益类别</t>
  </si>
  <si>
    <t>收益内容</t>
  </si>
  <si>
    <t>测算依据</t>
  </si>
  <si>
    <t>总收入
（万/年）</t>
  </si>
  <si>
    <t>运营模式</t>
  </si>
  <si>
    <t>城发分成比例</t>
  </si>
  <si>
    <t>城发收益（万/年）</t>
  </si>
  <si>
    <t>建设完成年份</t>
  </si>
  <si>
    <t>气象服务收入</t>
  </si>
  <si>
    <t>气象客户端服务</t>
  </si>
  <si>
    <t>气象服务客户端、APP、小程序以及后续的运维，每家企业每年按照15-25万元进行收费，按照15万/年，10家企业进行估算</t>
  </si>
  <si>
    <t>合作运营</t>
  </si>
  <si>
    <t>气象专报服务</t>
  </si>
  <si>
    <t>气象服务专报、短信、邮件、区域高影响天气预警服务，每家企业每年10万，按照10家企业进行估算</t>
  </si>
  <si>
    <t>专业气象咨询服务</t>
  </si>
  <si>
    <t>提供极端天气、重大活动飞行咨询保障服务，按照2万元每次进行收益测算，按在每年10次进行估算</t>
  </si>
  <si>
    <t>无人机巡检：为企业提供电力巡检、油气管道监控、铁路巡逻等服务</t>
  </si>
  <si>
    <t>企业采购各类巡逻、巡线服务，按50万/年进行收费，预测平均每年有5个单位采购服务</t>
  </si>
  <si>
    <t>机库出租服务收入</t>
  </si>
  <si>
    <t>共有49个停机坪，按照300元/天，50%的使用率进行估算</t>
  </si>
  <si>
    <t>2026年：26个
2027年：23个</t>
  </si>
  <si>
    <t>试飞测试服务</t>
  </si>
  <si>
    <t>提供无人机检测及测试验证服务，每年承接无人机试飞约150天，平均每天收费600元，eVTOL试飞200天，每天1000元</t>
  </si>
  <si>
    <t>CAAC培训考证服务</t>
  </si>
  <si>
    <t>行业人才培训及资格认证，若每年培训视距内学员500人，超视距学员400人，深圳定价为视距内8000元，超视距2万元</t>
  </si>
  <si>
    <t>无人机起降点</t>
  </si>
  <si>
    <t>为罗湖区低空运营企业共享起降点，收取一定费用，中小型物流无人机使用的物流起降场，从飞行成本及产业发展角度出发，按照30元/架次收取起降及充换电等服务费用，假设每天60架次/起降点，本项目共建设44个无人机起降点。</t>
  </si>
  <si>
    <t>2026年：5个
2027年：19个
2028年：20个</t>
  </si>
  <si>
    <t>evtol/直升机起降场</t>
  </si>
  <si>
    <r>
      <rPr>
        <sz val="10"/>
        <color rgb="FF000000"/>
        <rFont val="宋体"/>
        <charset val="134"/>
      </rPr>
      <t>根据《通用航空民用机场收费标准》规定，</t>
    </r>
    <r>
      <rPr>
        <b/>
        <sz val="10"/>
        <color rgb="FF000000"/>
        <rFont val="宋体"/>
        <charset val="134"/>
      </rPr>
      <t>起降费</t>
    </r>
    <r>
      <rPr>
        <sz val="10"/>
        <color rgb="FF000000"/>
        <rFont val="宋体"/>
        <charset val="134"/>
      </rPr>
      <t>基准价为120元/架次，允许上下浮动，本次按照150元/架次进行收费。假设每年飞行3万架次；通用航空器</t>
    </r>
    <r>
      <rPr>
        <b/>
        <sz val="10"/>
        <color rgb="FF000000"/>
        <rFont val="宋体"/>
        <charset val="134"/>
      </rPr>
      <t>停场费</t>
    </r>
    <r>
      <rPr>
        <sz val="10"/>
        <color rgb="FF000000"/>
        <rFont val="宋体"/>
        <charset val="134"/>
      </rPr>
      <t>收费标准为停场2小时以内免收；每停场24小时基准价为每架次100元；超过2小时，不足24小时按24小时计收。允许上下浮动，本次按照150元/架次进行收费。假设每年3万架次，其中停场超过2小时按照20%计算</t>
    </r>
  </si>
  <si>
    <t>2026年：3个
2027年：12个</t>
  </si>
  <si>
    <t>文锦渡口岸跨境低空综合枢纽、深圳火车站客运枢纽和罗湖物流转运中心货运枢纽的广告位出租收入</t>
  </si>
  <si>
    <r>
      <rPr>
        <sz val="10"/>
        <color rgb="FF000000"/>
        <rFont val="宋体"/>
        <charset val="134"/>
      </rPr>
      <t>在枢纽停机坪周边及枢纽墙体外可设置动态或静态广告牌,保守估测500㎡广告位/低空枢纽,参照深圳市广告位市场定价：</t>
    </r>
    <r>
      <rPr>
        <sz val="10"/>
        <color rgb="FF000000"/>
        <rFont val="Wingdings 2"/>
        <charset val="2"/>
      </rPr>
      <t></t>
    </r>
    <r>
      <rPr>
        <sz val="10"/>
        <color rgb="FF000000"/>
        <rFont val="宋体"/>
        <charset val="134"/>
      </rPr>
      <t>动态广告（LED屏等）：单价：500-1200元/㎡/月（动态广告溢价较高）。</t>
    </r>
    <r>
      <rPr>
        <sz val="10"/>
        <color rgb="FF000000"/>
        <rFont val="Wingdings 2"/>
        <charset val="2"/>
      </rPr>
      <t></t>
    </r>
    <r>
      <rPr>
        <sz val="10"/>
        <color rgb="FF000000"/>
        <rFont val="宋体"/>
        <charset val="134"/>
      </rPr>
      <t>静态广告（喷绘、灯箱等）：单价：200-600元/㎡/月。按动态30%+静态70%比例分配估算；</t>
    </r>
  </si>
  <si>
    <t>文锦渡口岸跨境低空综合枢纽、深圳火车站客运枢纽和罗湖物流转运中心货运枢纽的停车位收入</t>
  </si>
  <si>
    <t>按照每个枢纽可预留停车场面积约500㎡，可配置约20个停车位，面向社会开放并收取停车费，每个停车位停车收费平均按60元/天（按50%时长占用率）测算；</t>
  </si>
  <si>
    <t>文锦渡口岸跨境低空综合枢纽、深圳火车站客运枢纽和罗湖物流转运中心货运枢纽的商铺租赁收入</t>
  </si>
  <si>
    <t>按照每个枢纽可出租商铺面积1000㎡估算，商铺出租价格按每月100元/平方米进行测算</t>
  </si>
  <si>
    <t>无人机巡检：国土巡查、森林巡查、抢险救灾、城市治堵、城市治安、交通巡检、电力巡检、气象探测、水利监测、环境监测等场景应用。</t>
  </si>
  <si>
    <t>政府单位采购各类政务场景服务，按50万/年进行收费，预测平均每年有15个单位采购服务</t>
  </si>
  <si>
    <t>2026年：20个
2027年：10个</t>
  </si>
  <si>
    <t>利用低空飞行器搭载的高精度传感器和摄像头，采集地理信息、环境数据、城市运行数据等，为政府、企业和科研机构提供地理测绘数据服务。</t>
  </si>
  <si>
    <t>利用测绘数据定期更新城市三维建模，按每年收入100万进行测算</t>
  </si>
  <si>
    <t>利用无人机、管理平台收集的照片、视频数据，地理信息数据，应用场景数据（交通流量、人流密度、环境监测等），低空服务数据（通导监数据、气象数据、飞行数据等）各类数据，推动数据资产入表和入市流通，实现数据资产变现。</t>
  </si>
  <si>
    <t>按每年数据变现收入100万进行测算</t>
  </si>
  <si>
    <t>中小学生及社会科普研学收入</t>
  </si>
  <si>
    <t>根据目前市面上航天科普教育基地运营情况，市场普遍收费为200元/人左右，按照3.5万人次/年进行估算</t>
  </si>
  <si>
    <t>G.税金及附加测算表（万元）</t>
  </si>
  <si>
    <t>进项跟随E.1修改，销项跟随F修改</t>
  </si>
  <si>
    <t>建设投资进项税</t>
  </si>
  <si>
    <t xml:space="preserve">2025
</t>
  </si>
  <si>
    <t xml:space="preserve">2026
</t>
  </si>
  <si>
    <t xml:space="preserve">2027
</t>
  </si>
  <si>
    <t xml:space="preserve">2028
</t>
  </si>
  <si>
    <t xml:space="preserve">2029
</t>
  </si>
  <si>
    <t>G.1 进项税总计-建设投资
可一直累进抵扣，直至为0</t>
  </si>
  <si>
    <t>第一列单独赋值，需要做好对应；第二列往后的公式需对应好</t>
  </si>
  <si>
    <t>当期进项税额</t>
  </si>
  <si>
    <t>当期销项税额</t>
  </si>
  <si>
    <t>租赁收入</t>
  </si>
  <si>
    <t>引用F表的含税价，纵向不是连续复制</t>
  </si>
  <si>
    <t>停车收入</t>
  </si>
  <si>
    <t>充电桩收入</t>
  </si>
  <si>
    <t xml:space="preserve">当期应缴增值税 </t>
  </si>
  <si>
    <t>城建税及教育费附加</t>
  </si>
  <si>
    <t>G.1进项增值税率-建设投资</t>
  </si>
  <si>
    <t>行分项跟随D.3修改</t>
  </si>
  <si>
    <t>金额（万元）</t>
  </si>
  <si>
    <t>增值税（万元）</t>
  </si>
  <si>
    <t>工程类</t>
  </si>
  <si>
    <t>进项税总计-建设投资</t>
  </si>
  <si>
    <t>G.2进项增值税率-运营成本</t>
  </si>
  <si>
    <t>行分项跟随E.1修改</t>
  </si>
  <si>
    <t>G.3销项增值税率</t>
  </si>
  <si>
    <t>行分项跟随F修改</t>
  </si>
  <si>
    <t>低空文旅收入</t>
  </si>
  <si>
    <t>a.1财务现金流量表（万元）</t>
  </si>
  <si>
    <t>现金流入</t>
  </si>
  <si>
    <t>营业收入</t>
  </si>
  <si>
    <t>补贴收入</t>
  </si>
  <si>
    <t>回收固定资产余值</t>
  </si>
  <si>
    <t>回收流动资金</t>
  </si>
  <si>
    <t>现金流出</t>
  </si>
  <si>
    <t>经营成本</t>
  </si>
  <si>
    <t>营业税金及附加</t>
  </si>
  <si>
    <t>增值税</t>
  </si>
  <si>
    <t>维持运营投资</t>
  </si>
  <si>
    <t>所得税前净现金流量（1-2）</t>
  </si>
  <si>
    <t>累计所得税前净现金流量</t>
  </si>
  <si>
    <t>调整所得税</t>
  </si>
  <si>
    <t>所得税后净现金流量（3-5）</t>
  </si>
  <si>
    <t>累计所得税后净现金流量</t>
  </si>
  <si>
    <t>折现值-所得税前净现金流量</t>
  </si>
  <si>
    <t>折现值-累计所得税前净现金流量</t>
  </si>
  <si>
    <t>折现值-所得税后净现金流量</t>
  </si>
  <si>
    <t>折现值-累计所得税后净现金流量</t>
  </si>
  <si>
    <t>Ⅰ</t>
  </si>
  <si>
    <t>项目投资财务内部收益率（%）
（所得税前）</t>
  </si>
  <si>
    <t>Ⅱ</t>
  </si>
  <si>
    <t>项目投资财务内部收益率（%）
（所得税后）</t>
  </si>
  <si>
    <t>Ⅲ</t>
  </si>
  <si>
    <t>项目投资财务净现值（所得税前）
（ic = %）</t>
  </si>
  <si>
    <t>ic参考表A</t>
  </si>
  <si>
    <t>Ⅳ</t>
  </si>
  <si>
    <t>项目投资财务净现值（所得税后）
（ic = %）</t>
  </si>
  <si>
    <t>Ⅴ</t>
  </si>
  <si>
    <t>项目静态投资回收期（年）
（所得税前）</t>
  </si>
  <si>
    <t>看A列序号：行4转正年份 - 2025 + 行4[行4转正年份-1] / 行3[行4转正年份]</t>
  </si>
  <si>
    <t>Ⅵ</t>
  </si>
  <si>
    <t>项目动态投资回收期（年）
（所得税前）</t>
  </si>
  <si>
    <t>看A列序号：行9转正年份 - 2025 + 行9[行9转正年份-1] / 行8[行9转正年份]</t>
  </si>
  <si>
    <t>Ⅶ</t>
  </si>
  <si>
    <t>★项目静态投资回收期（年）
（所得税后）</t>
  </si>
  <si>
    <t>看A列序号：行7转正年份 - 2025 + 行7[行7转正年份-1] / 行6[行7转正年份]</t>
  </si>
  <si>
    <t>Ⅷ</t>
  </si>
  <si>
    <t>★项目动态投资回收期（年）
（所得税后）</t>
  </si>
  <si>
    <t>看A列序号：行11转正年份 - 2025 + 行11[行11转正年份-1] / 行10[行11转正年份]</t>
  </si>
  <si>
    <t>a.2项目资本金现金流量表（万元）</t>
  </si>
  <si>
    <t>借款本金偿还</t>
  </si>
  <si>
    <t>借款利息支付</t>
  </si>
  <si>
    <t>所得税</t>
  </si>
  <si>
    <t>净现金流量</t>
  </si>
  <si>
    <t>资本金财务内部收益率（%）</t>
  </si>
  <si>
    <t>b利润与利润分配表（损益和利润分配表）（万元）</t>
  </si>
  <si>
    <t>营业收入（不含增值税）</t>
  </si>
  <si>
    <t>总成本费用（不含增值税）</t>
  </si>
  <si>
    <t>利润总额（1-2-3+4）</t>
  </si>
  <si>
    <t>弥补以前年度亏损</t>
  </si>
  <si>
    <t>期末未弥补亏损</t>
  </si>
  <si>
    <t>应纳税所得额（5-6）</t>
  </si>
  <si>
    <t>净利润（5-8）</t>
  </si>
  <si>
    <t>期初未分配利润</t>
  </si>
  <si>
    <t>可供分配的利润（9+10）</t>
  </si>
  <si>
    <t>提取法定盈余公积金</t>
  </si>
  <si>
    <t>可供投资者分配的利润（11-12）</t>
  </si>
  <si>
    <t>应付优先股股利</t>
  </si>
  <si>
    <t>提取任意盈余公积金</t>
  </si>
  <si>
    <t>应付普通股股利（13-14-15）</t>
  </si>
  <si>
    <t>各投资方利润分配：</t>
  </si>
  <si>
    <t>其中：投资方</t>
  </si>
  <si>
    <t>未分配利润（13-14-15-17）</t>
  </si>
  <si>
    <t>其中：偿还借款</t>
  </si>
  <si>
    <t>累计未分配利润</t>
  </si>
  <si>
    <t>息税前利润
（利润总额+利息支出）</t>
  </si>
  <si>
    <t>息税折旧摊销前利润
（息税前利润+折旧+摊销）</t>
  </si>
  <si>
    <t>本息资金覆盖倍数</t>
  </si>
  <si>
    <t>c借款还本付息计划表（万元）</t>
  </si>
  <si>
    <t>期初借款余额</t>
  </si>
  <si>
    <t>当期还本付息</t>
  </si>
  <si>
    <t>其中：还本</t>
  </si>
  <si>
    <t>修改对应</t>
  </si>
  <si>
    <t>付息</t>
  </si>
  <si>
    <t>要注意：！！还款年的第一笔和最后一笔公式不一样！！对应好C.1</t>
  </si>
  <si>
    <t>期末借款余额</t>
  </si>
  <si>
    <t>还本付息兑付手续费</t>
  </si>
  <si>
    <t>债券发行及服务费</t>
  </si>
  <si>
    <t>对应好C.1</t>
  </si>
  <si>
    <t>建设期应付利息</t>
  </si>
  <si>
    <t>对应好C.1，最后一列不一样</t>
  </si>
  <si>
    <t>3.2.1</t>
  </si>
  <si>
    <t>3.2.2</t>
  </si>
  <si>
    <t>4.2.1</t>
  </si>
  <si>
    <t>4.2.2</t>
  </si>
  <si>
    <t>n</t>
  </si>
  <si>
    <t>借款合计</t>
  </si>
  <si>
    <t>n.1</t>
  </si>
  <si>
    <t>重新累加上面所有借款</t>
  </si>
  <si>
    <t>n.2</t>
  </si>
  <si>
    <t>n.2.1</t>
  </si>
  <si>
    <t>n.2.2</t>
  </si>
  <si>
    <t>n.3</t>
  </si>
  <si>
    <t>n.4</t>
  </si>
  <si>
    <t>n.5</t>
  </si>
  <si>
    <t>n.6</t>
  </si>
  <si>
    <t>各年度的应付利息</t>
  </si>
  <si>
    <t>计算指标</t>
  </si>
  <si>
    <t>利息备付率（%）</t>
  </si>
  <si>
    <t>偿债备付率（%）</t>
  </si>
  <si>
    <t>d财务计划现金流量表（万元）</t>
  </si>
  <si>
    <t>经营活动净现金流量</t>
  </si>
  <si>
    <t>增值税销项税额</t>
  </si>
  <si>
    <t>1.1.4</t>
  </si>
  <si>
    <t>其他流入</t>
  </si>
  <si>
    <t>增值税进项税额</t>
  </si>
  <si>
    <t>1.2.5</t>
  </si>
  <si>
    <t>1.2.6</t>
  </si>
  <si>
    <t>其他流出</t>
  </si>
  <si>
    <t>投资活动净现金流量</t>
  </si>
  <si>
    <t>2.2.4</t>
  </si>
  <si>
    <t>筹资活动净现金流量</t>
  </si>
  <si>
    <t>3.1.1</t>
  </si>
  <si>
    <t>项目资本金投入</t>
  </si>
  <si>
    <t>3.1.2</t>
  </si>
  <si>
    <t>建设投资借款</t>
  </si>
  <si>
    <t>各种利息支出</t>
  </si>
  <si>
    <t>偿还债务本金</t>
  </si>
  <si>
    <t>累计盈余资金</t>
  </si>
  <si>
    <t>e资产负债表（万元）</t>
  </si>
  <si>
    <t>资产</t>
  </si>
  <si>
    <t>流动资产总额</t>
  </si>
  <si>
    <t>货币资金</t>
  </si>
  <si>
    <t>预付账款</t>
  </si>
  <si>
    <t>1.1.5</t>
  </si>
  <si>
    <t>其他</t>
  </si>
  <si>
    <t>在建工程</t>
  </si>
  <si>
    <t>固定资产净值</t>
  </si>
  <si>
    <t>无形及其他资产净值</t>
  </si>
  <si>
    <t>负债及所有者权益</t>
  </si>
  <si>
    <t>流动负债总额</t>
  </si>
  <si>
    <t>短期借款</t>
  </si>
  <si>
    <t>预收账款</t>
  </si>
  <si>
    <t>2.1.4</t>
  </si>
  <si>
    <t>流动资金借款</t>
  </si>
  <si>
    <t>负债小计</t>
  </si>
  <si>
    <t>所有者权益</t>
  </si>
  <si>
    <t>2.5.1</t>
  </si>
  <si>
    <t>资本金</t>
  </si>
  <si>
    <t>2.5.2</t>
  </si>
  <si>
    <t>资本公积</t>
  </si>
  <si>
    <t>2.5.3</t>
  </si>
  <si>
    <t>累计盈余公积金</t>
  </si>
  <si>
    <t>2.5.4</t>
  </si>
  <si>
    <t>计算指标：资产负债率</t>
  </si>
  <si>
    <t>Ⅰ项目投资估算构成表</t>
  </si>
  <si>
    <t>投资构成类别</t>
  </si>
  <si>
    <t>工程费用</t>
  </si>
  <si>
    <t>预备费用</t>
  </si>
  <si>
    <t>投资估算金额（万元）</t>
  </si>
  <si>
    <t>占比</t>
  </si>
  <si>
    <t>Ⅱ项目分年度资金筹措计划表（万元）</t>
  </si>
  <si>
    <t>注：此表依据D.2自行填写，一般财政预算资金和单位自有资金二选一</t>
  </si>
  <si>
    <t>资金来源类型</t>
  </si>
  <si>
    <t>各类型占比</t>
  </si>
  <si>
    <t>财政预算资金</t>
  </si>
  <si>
    <t>单位自有资金</t>
  </si>
  <si>
    <t>专项债券
（用作项目资本金）</t>
  </si>
  <si>
    <t>专项债券
（不用做项目资本金）</t>
  </si>
  <si>
    <t>银行贷款</t>
  </si>
  <si>
    <t>其他来源资金</t>
  </si>
  <si>
    <t>分年度占比</t>
  </si>
  <si>
    <t>Ⅲ项目分年度收入合计表（经营性收入+补贴收入）（万元）</t>
  </si>
  <si>
    <t>注：不同类别的经营性收入可以分多个表填写。经营性收入分年度表、政府补贴收入分年度表，可以单独填写。</t>
  </si>
  <si>
    <t>收入类型</t>
  </si>
  <si>
    <t>分年收入</t>
  </si>
  <si>
    <t>经营性收入</t>
  </si>
  <si>
    <t>政府补贴收入</t>
  </si>
  <si>
    <t>Ⅳ项目分年度成本明细表（万元）</t>
  </si>
  <si>
    <t>复制E.1</t>
  </si>
  <si>
    <t>Ⅴ项目分年度收益表（万元）</t>
  </si>
  <si>
    <t>项目收入</t>
  </si>
  <si>
    <t>运营成本</t>
  </si>
  <si>
    <t>项目收益</t>
  </si>
  <si>
    <t>Ⅵ专项债券应付本息情况表（万元）</t>
  </si>
  <si>
    <t>年度</t>
  </si>
  <si>
    <t>本期新增</t>
  </si>
  <si>
    <t>此行最后一格不要拖动复制</t>
  </si>
  <si>
    <t>本期偿还</t>
  </si>
  <si>
    <t>行3 4 5 7公式做好对应</t>
  </si>
  <si>
    <t>期末本金</t>
  </si>
  <si>
    <t>融资利率</t>
  </si>
  <si>
    <t>应付利息</t>
  </si>
  <si>
    <t>应付本息</t>
  </si>
  <si>
    <t>VIII债券资金覆盖率压力测试表</t>
  </si>
  <si>
    <t>资金覆盖率-压力测试</t>
  </si>
  <si>
    <t>运营收入变动敏感性分析</t>
  </si>
  <si>
    <t>专项债券本息资金覆盖率</t>
  </si>
  <si>
    <t>运营成本变动敏感性分析</t>
  </si>
  <si>
    <t>债券利率变动敏感新分析</t>
  </si>
  <si>
    <t>如果公式失效修改F.1,E.1表</t>
  </si>
</sst>
</file>

<file path=xl/styles.xml><?xml version="1.0" encoding="utf-8"?>
<styleSheet xmlns="http://schemas.openxmlformats.org/spreadsheetml/2006/main" xmlns:mc="http://schemas.openxmlformats.org/markup-compatibility/2006" xmlns:xr9="http://schemas.microsoft.com/office/spreadsheetml/2016/revision9" mc:Ignorable="xr9">
  <numFmts count="11">
    <numFmt numFmtId="8" formatCode="&quot;￥&quot;#,##0.00;[Red]&quot;￥&quot;\-#,##0.00"/>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0_);[Red]\(0.00\)"/>
    <numFmt numFmtId="177" formatCode="0.00_ "/>
    <numFmt numFmtId="178" formatCode="0.0000_ "/>
    <numFmt numFmtId="179" formatCode="0_ "/>
    <numFmt numFmtId="180" formatCode="0.0000%"/>
    <numFmt numFmtId="181" formatCode="0.000%"/>
  </numFmts>
  <fonts count="60">
    <font>
      <sz val="11"/>
      <color theme="1"/>
      <name val="宋体"/>
      <charset val="134"/>
      <scheme val="minor"/>
    </font>
    <font>
      <b/>
      <sz val="13"/>
      <color theme="0"/>
      <name val="微软雅黑"/>
      <charset val="134"/>
    </font>
    <font>
      <b/>
      <sz val="11"/>
      <color theme="1"/>
      <name val="微软雅黑"/>
      <charset val="134"/>
    </font>
    <font>
      <sz val="11"/>
      <color theme="1"/>
      <name val="微软雅黑"/>
      <charset val="134"/>
    </font>
    <font>
      <sz val="11"/>
      <color rgb="FFFF0000"/>
      <name val="微软雅黑"/>
      <charset val="134"/>
    </font>
    <font>
      <b/>
      <sz val="11"/>
      <color rgb="FF0070C0"/>
      <name val="宋体"/>
      <charset val="134"/>
      <scheme val="minor"/>
    </font>
    <font>
      <b/>
      <sz val="11"/>
      <color rgb="FFFF0000"/>
      <name val="微软雅黑"/>
      <charset val="134"/>
    </font>
    <font>
      <b/>
      <sz val="10"/>
      <color rgb="FF0070C0"/>
      <name val="宋体"/>
      <charset val="134"/>
      <scheme val="minor"/>
    </font>
    <font>
      <b/>
      <sz val="14"/>
      <color theme="0"/>
      <name val="微软雅黑"/>
      <charset val="134"/>
    </font>
    <font>
      <b/>
      <sz val="11"/>
      <color theme="0"/>
      <name val="微软雅黑"/>
      <charset val="134"/>
    </font>
    <font>
      <b/>
      <sz val="11"/>
      <color rgb="FF0070C0"/>
      <name val="微软雅黑"/>
      <charset val="134"/>
    </font>
    <font>
      <b/>
      <sz val="14"/>
      <color rgb="FF000000"/>
      <name val="宋体"/>
      <charset val="134"/>
    </font>
    <font>
      <b/>
      <sz val="11"/>
      <color rgb="FF000000"/>
      <name val="宋体"/>
      <charset val="134"/>
    </font>
    <font>
      <sz val="11"/>
      <color rgb="FF000000"/>
      <name val="宋体"/>
      <charset val="134"/>
    </font>
    <font>
      <b/>
      <sz val="16"/>
      <color theme="0"/>
      <name val="微软雅黑"/>
      <charset val="134"/>
    </font>
    <font>
      <b/>
      <sz val="11"/>
      <color rgb="FF000000"/>
      <name val="微软雅黑"/>
      <charset val="134"/>
    </font>
    <font>
      <sz val="11"/>
      <color rgb="FF000000"/>
      <name val="微软雅黑"/>
      <charset val="134"/>
    </font>
    <font>
      <sz val="10"/>
      <color rgb="FFFF0000"/>
      <name val="微软雅黑"/>
      <charset val="134"/>
    </font>
    <font>
      <sz val="10"/>
      <color rgb="FF000000"/>
      <name val="宋体"/>
      <charset val="134"/>
    </font>
    <font>
      <sz val="10"/>
      <name val="宋体"/>
      <charset val="134"/>
    </font>
    <font>
      <b/>
      <sz val="10"/>
      <color rgb="FF000000"/>
      <name val="宋体"/>
      <charset val="134"/>
    </font>
    <font>
      <sz val="10"/>
      <color rgb="FFFF0000"/>
      <name val="宋体"/>
      <charset val="134"/>
    </font>
    <font>
      <b/>
      <sz val="10"/>
      <name val="宋体"/>
      <charset val="134"/>
    </font>
    <font>
      <sz val="10"/>
      <color theme="1"/>
      <name val="宋体"/>
      <charset val="134"/>
    </font>
    <font>
      <b/>
      <sz val="10"/>
      <color rgb="FFFF0000"/>
      <name val="宋体"/>
      <charset val="134"/>
    </font>
    <font>
      <b/>
      <sz val="14"/>
      <color theme="1"/>
      <name val="微软雅黑"/>
      <charset val="134"/>
    </font>
    <font>
      <sz val="11"/>
      <name val="微软雅黑"/>
      <charset val="134"/>
    </font>
    <font>
      <b/>
      <sz val="12"/>
      <color rgb="FF0070C0"/>
      <name val="宋体"/>
      <charset val="134"/>
      <scheme val="minor"/>
    </font>
    <font>
      <b/>
      <sz val="14"/>
      <name val="宋体"/>
      <charset val="134"/>
    </font>
    <font>
      <sz val="14"/>
      <name val="宋体"/>
      <charset val="134"/>
    </font>
    <font>
      <sz val="14"/>
      <color indexed="8"/>
      <name val="宋体"/>
      <charset val="134"/>
    </font>
    <font>
      <sz val="10"/>
      <color indexed="8"/>
      <name val="宋体"/>
      <charset val="134"/>
    </font>
    <font>
      <sz val="14"/>
      <color rgb="FF000000"/>
      <name val="宋体"/>
      <charset val="134"/>
    </font>
    <font>
      <b/>
      <sz val="11"/>
      <color theme="1"/>
      <name val="宋体"/>
      <charset val="134"/>
      <scheme val="minor"/>
    </font>
    <font>
      <sz val="10"/>
      <color theme="1"/>
      <name val="微软雅黑"/>
      <charset val="134"/>
    </font>
    <font>
      <b/>
      <sz val="12"/>
      <color theme="1"/>
      <name val="微软雅黑"/>
      <charset val="134"/>
    </font>
    <font>
      <sz val="12"/>
      <color rgb="FF404040"/>
      <name val="微软雅黑"/>
      <charset val="134"/>
    </font>
    <font>
      <u/>
      <sz val="11"/>
      <color rgb="FF0000FF"/>
      <name val="宋体"/>
      <charset val="0"/>
      <scheme val="minor"/>
    </font>
    <font>
      <u/>
      <sz val="11"/>
      <color rgb="FF800080"/>
      <name val="宋体"/>
      <charset val="0"/>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theme="3"/>
      <name val="宋体"/>
      <charset val="134"/>
      <scheme val="minor"/>
    </font>
    <font>
      <sz val="11"/>
      <color rgb="FF3F3F76"/>
      <name val="宋体"/>
      <charset val="0"/>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0006"/>
      <name val="宋体"/>
      <charset val="0"/>
      <scheme val="minor"/>
    </font>
    <font>
      <sz val="11"/>
      <color rgb="FF9C6500"/>
      <name val="宋体"/>
      <charset val="0"/>
      <scheme val="minor"/>
    </font>
    <font>
      <sz val="11"/>
      <color theme="0"/>
      <name val="宋体"/>
      <charset val="0"/>
      <scheme val="minor"/>
    </font>
    <font>
      <sz val="11"/>
      <color theme="1"/>
      <name val="宋体"/>
      <charset val="0"/>
      <scheme val="minor"/>
    </font>
    <font>
      <sz val="11"/>
      <name val="等线"/>
      <charset val="134"/>
    </font>
    <font>
      <sz val="10"/>
      <color rgb="FF000000"/>
      <name val="Wingdings 2"/>
      <charset val="2"/>
    </font>
    <font>
      <b/>
      <sz val="9"/>
      <name val="宋体"/>
      <charset val="134"/>
    </font>
    <font>
      <sz val="9"/>
      <name val="宋体"/>
      <charset val="134"/>
    </font>
  </fonts>
  <fills count="41">
    <fill>
      <patternFill patternType="none"/>
    </fill>
    <fill>
      <patternFill patternType="gray125"/>
    </fill>
    <fill>
      <patternFill patternType="solid">
        <fgColor rgb="FF0070C0"/>
        <bgColor indexed="64"/>
      </patternFill>
    </fill>
    <fill>
      <patternFill patternType="solid">
        <fgColor theme="4" tint="0.599993896298105"/>
        <bgColor indexed="64"/>
      </patternFill>
    </fill>
    <fill>
      <patternFill patternType="solid">
        <fgColor theme="2"/>
        <bgColor indexed="64"/>
      </patternFill>
    </fill>
    <fill>
      <patternFill patternType="solid">
        <fgColor theme="0"/>
        <bgColor indexed="64"/>
      </patternFill>
    </fill>
    <fill>
      <patternFill patternType="solid">
        <fgColor theme="4" tint="-0.249977111117893"/>
        <bgColor indexed="64"/>
      </patternFill>
    </fill>
    <fill>
      <patternFill patternType="solid">
        <fgColor rgb="FFFFFF00"/>
        <bgColor indexed="64"/>
      </patternFill>
    </fill>
    <fill>
      <patternFill patternType="solid">
        <fgColor rgb="FFFFC000"/>
        <bgColor indexed="64"/>
      </patternFill>
    </fill>
    <fill>
      <patternFill patternType="solid">
        <fgColor theme="5" tint="0.799951170384838"/>
        <bgColor indexed="64"/>
      </patternFill>
    </fill>
    <fill>
      <patternFill patternType="solid">
        <fgColor rgb="FFFFFFFF"/>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32">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style="thin">
        <color auto="1"/>
      </right>
      <top/>
      <bottom style="thin">
        <color auto="1"/>
      </bottom>
      <diagonal/>
    </border>
    <border>
      <left style="thin">
        <color auto="1"/>
      </left>
      <right/>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medium">
        <color auto="1"/>
      </left>
      <right style="thin">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right/>
      <top style="thin">
        <color auto="1"/>
      </top>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thin">
        <color auto="1"/>
      </top>
      <bottom style="medium">
        <color auto="1"/>
      </bottom>
      <diagonal/>
    </border>
    <border>
      <left style="thin">
        <color auto="1"/>
      </left>
      <right/>
      <top/>
      <bottom style="thin">
        <color auto="1"/>
      </bottom>
      <diagonal/>
    </border>
    <border>
      <left/>
      <right style="thin">
        <color auto="1"/>
      </right>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0">
    <xf numFmtId="0" fontId="0" fillId="0" borderId="0">
      <alignment vertical="center"/>
    </xf>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37"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0" fillId="11" borderId="24" applyNumberFormat="0" applyFont="0" applyAlignment="0" applyProtection="0">
      <alignment vertical="center"/>
    </xf>
    <xf numFmtId="0" fontId="39" fillId="0" borderId="0" applyNumberFormat="0" applyFill="0" applyBorder="0" applyAlignment="0" applyProtection="0">
      <alignment vertical="center"/>
    </xf>
    <xf numFmtId="0" fontId="40"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2" fillId="0" borderId="25" applyNumberFormat="0" applyFill="0" applyAlignment="0" applyProtection="0">
      <alignment vertical="center"/>
    </xf>
    <xf numFmtId="0" fontId="43" fillId="0" borderId="25" applyNumberFormat="0" applyFill="0" applyAlignment="0" applyProtection="0">
      <alignment vertical="center"/>
    </xf>
    <xf numFmtId="0" fontId="44" fillId="0" borderId="26" applyNumberFormat="0" applyFill="0" applyAlignment="0" applyProtection="0">
      <alignment vertical="center"/>
    </xf>
    <xf numFmtId="0" fontId="44" fillId="0" borderId="0" applyNumberFormat="0" applyFill="0" applyBorder="0" applyAlignment="0" applyProtection="0">
      <alignment vertical="center"/>
    </xf>
    <xf numFmtId="0" fontId="45" fillId="12" borderId="27" applyNumberFormat="0" applyAlignment="0" applyProtection="0">
      <alignment vertical="center"/>
    </xf>
    <xf numFmtId="0" fontId="46" fillId="13" borderId="28" applyNumberFormat="0" applyAlignment="0" applyProtection="0">
      <alignment vertical="center"/>
    </xf>
    <xf numFmtId="0" fontId="47" fillId="13" borderId="27" applyNumberFormat="0" applyAlignment="0" applyProtection="0">
      <alignment vertical="center"/>
    </xf>
    <xf numFmtId="0" fontId="48" fillId="14" borderId="29" applyNumberFormat="0" applyAlignment="0" applyProtection="0">
      <alignment vertical="center"/>
    </xf>
    <xf numFmtId="0" fontId="49" fillId="0" borderId="30" applyNumberFormat="0" applyFill="0" applyAlignment="0" applyProtection="0">
      <alignment vertical="center"/>
    </xf>
    <xf numFmtId="0" fontId="50" fillId="0" borderId="31" applyNumberFormat="0" applyFill="0" applyAlignment="0" applyProtection="0">
      <alignment vertical="center"/>
    </xf>
    <xf numFmtId="0" fontId="51" fillId="15" borderId="0" applyNumberFormat="0" applyBorder="0" applyAlignment="0" applyProtection="0">
      <alignment vertical="center"/>
    </xf>
    <xf numFmtId="0" fontId="52" fillId="16" borderId="0" applyNumberFormat="0" applyBorder="0" applyAlignment="0" applyProtection="0">
      <alignment vertical="center"/>
    </xf>
    <xf numFmtId="0" fontId="53" fillId="17" borderId="0" applyNumberFormat="0" applyBorder="0" applyAlignment="0" applyProtection="0">
      <alignment vertical="center"/>
    </xf>
    <xf numFmtId="0" fontId="54" fillId="18" borderId="0" applyNumberFormat="0" applyBorder="0" applyAlignment="0" applyProtection="0">
      <alignment vertical="center"/>
    </xf>
    <xf numFmtId="0" fontId="55" fillId="19" borderId="0" applyNumberFormat="0" applyBorder="0" applyAlignment="0" applyProtection="0">
      <alignment vertical="center"/>
    </xf>
    <xf numFmtId="0" fontId="55" fillId="3" borderId="0" applyNumberFormat="0" applyBorder="0" applyAlignment="0" applyProtection="0">
      <alignment vertical="center"/>
    </xf>
    <xf numFmtId="0" fontId="54" fillId="20" borderId="0" applyNumberFormat="0" applyBorder="0" applyAlignment="0" applyProtection="0">
      <alignment vertical="center"/>
    </xf>
    <xf numFmtId="0" fontId="54" fillId="21" borderId="0" applyNumberFormat="0" applyBorder="0" applyAlignment="0" applyProtection="0">
      <alignment vertical="center"/>
    </xf>
    <xf numFmtId="0" fontId="55" fillId="22" borderId="0" applyNumberFormat="0" applyBorder="0" applyAlignment="0" applyProtection="0">
      <alignment vertical="center"/>
    </xf>
    <xf numFmtId="0" fontId="55" fillId="23" borderId="0" applyNumberFormat="0" applyBorder="0" applyAlignment="0" applyProtection="0">
      <alignment vertical="center"/>
    </xf>
    <xf numFmtId="0" fontId="54" fillId="24" borderId="0" applyNumberFormat="0" applyBorder="0" applyAlignment="0" applyProtection="0">
      <alignment vertical="center"/>
    </xf>
    <xf numFmtId="0" fontId="54" fillId="25" borderId="0" applyNumberFormat="0" applyBorder="0" applyAlignment="0" applyProtection="0">
      <alignment vertical="center"/>
    </xf>
    <xf numFmtId="0" fontId="55" fillId="26" borderId="0" applyNumberFormat="0" applyBorder="0" applyAlignment="0" applyProtection="0">
      <alignment vertical="center"/>
    </xf>
    <xf numFmtId="0" fontId="55" fillId="27" borderId="0" applyNumberFormat="0" applyBorder="0" applyAlignment="0" applyProtection="0">
      <alignment vertical="center"/>
    </xf>
    <xf numFmtId="0" fontId="54" fillId="28" borderId="0" applyNumberFormat="0" applyBorder="0" applyAlignment="0" applyProtection="0">
      <alignment vertical="center"/>
    </xf>
    <xf numFmtId="0" fontId="54" fillId="29" borderId="0" applyNumberFormat="0" applyBorder="0" applyAlignment="0" applyProtection="0">
      <alignment vertical="center"/>
    </xf>
    <xf numFmtId="0" fontId="55" fillId="30" borderId="0" applyNumberFormat="0" applyBorder="0" applyAlignment="0" applyProtection="0">
      <alignment vertical="center"/>
    </xf>
    <xf numFmtId="0" fontId="55" fillId="31" borderId="0" applyNumberFormat="0" applyBorder="0" applyAlignment="0" applyProtection="0">
      <alignment vertical="center"/>
    </xf>
    <xf numFmtId="0" fontId="54" fillId="32" borderId="0" applyNumberFormat="0" applyBorder="0" applyAlignment="0" applyProtection="0">
      <alignment vertical="center"/>
    </xf>
    <xf numFmtId="0" fontId="54" fillId="33" borderId="0" applyNumberFormat="0" applyBorder="0" applyAlignment="0" applyProtection="0">
      <alignment vertical="center"/>
    </xf>
    <xf numFmtId="0" fontId="55" fillId="34" borderId="0" applyNumberFormat="0" applyBorder="0" applyAlignment="0" applyProtection="0">
      <alignment vertical="center"/>
    </xf>
    <xf numFmtId="0" fontId="55" fillId="35" borderId="0" applyNumberFormat="0" applyBorder="0" applyAlignment="0" applyProtection="0">
      <alignment vertical="center"/>
    </xf>
    <xf numFmtId="0" fontId="54" fillId="36" borderId="0" applyNumberFormat="0" applyBorder="0" applyAlignment="0" applyProtection="0">
      <alignment vertical="center"/>
    </xf>
    <xf numFmtId="0" fontId="54" fillId="37" borderId="0" applyNumberFormat="0" applyBorder="0" applyAlignment="0" applyProtection="0">
      <alignment vertical="center"/>
    </xf>
    <xf numFmtId="0" fontId="55" fillId="38" borderId="0" applyNumberFormat="0" applyBorder="0" applyAlignment="0" applyProtection="0">
      <alignment vertical="center"/>
    </xf>
    <xf numFmtId="0" fontId="55" fillId="39" borderId="0" applyNumberFormat="0" applyBorder="0" applyAlignment="0" applyProtection="0">
      <alignment vertical="center"/>
    </xf>
    <xf numFmtId="0" fontId="54" fillId="40" borderId="0" applyNumberFormat="0" applyBorder="0" applyAlignment="0" applyProtection="0">
      <alignment vertical="center"/>
    </xf>
    <xf numFmtId="0" fontId="56" fillId="0" borderId="0">
      <alignment vertical="center"/>
    </xf>
  </cellStyleXfs>
  <cellXfs count="241">
    <xf numFmtId="0" fontId="0" fillId="0" borderId="0" xfId="0">
      <alignment vertical="center"/>
    </xf>
    <xf numFmtId="0" fontId="1" fillId="2" borderId="1" xfId="0" applyFont="1" applyFill="1" applyBorder="1" applyAlignment="1">
      <alignment horizontal="center" vertical="center"/>
    </xf>
    <xf numFmtId="0" fontId="2" fillId="3" borderId="1" xfId="0" applyFont="1" applyFill="1" applyBorder="1" applyAlignment="1">
      <alignment horizontal="center" vertical="center"/>
    </xf>
    <xf numFmtId="9" fontId="2" fillId="3" borderId="1" xfId="0" applyNumberFormat="1" applyFont="1" applyFill="1" applyBorder="1" applyAlignment="1">
      <alignment horizontal="center" vertical="center"/>
    </xf>
    <xf numFmtId="0" fontId="2" fillId="4" borderId="2" xfId="0" applyFont="1" applyFill="1" applyBorder="1" applyAlignment="1">
      <alignment horizontal="center" vertical="center"/>
    </xf>
    <xf numFmtId="0" fontId="2" fillId="4" borderId="3" xfId="0" applyFont="1" applyFill="1" applyBorder="1" applyAlignment="1">
      <alignment horizontal="center" vertical="center"/>
    </xf>
    <xf numFmtId="0" fontId="2" fillId="4" borderId="4" xfId="0" applyFont="1" applyFill="1" applyBorder="1" applyAlignment="1">
      <alignment horizontal="center" vertical="center"/>
    </xf>
    <xf numFmtId="0" fontId="3" fillId="0" borderId="1" xfId="0" applyFont="1" applyBorder="1" applyAlignment="1">
      <alignment horizontal="center" vertical="center"/>
    </xf>
    <xf numFmtId="176" fontId="3" fillId="0" borderId="1" xfId="0" applyNumberFormat="1" applyFont="1" applyBorder="1" applyAlignment="1">
      <alignment horizontal="center" vertical="center"/>
    </xf>
    <xf numFmtId="10" fontId="4" fillId="0" borderId="1" xfId="0" applyNumberFormat="1" applyFont="1" applyBorder="1" applyAlignment="1">
      <alignment horizontal="center" vertical="center"/>
    </xf>
    <xf numFmtId="0" fontId="1" fillId="2" borderId="5" xfId="0" applyFont="1" applyFill="1" applyBorder="1" applyAlignment="1">
      <alignment horizontal="center" vertical="center" wrapText="1"/>
    </xf>
    <xf numFmtId="0" fontId="4" fillId="0" borderId="1" xfId="0" applyFont="1" applyBorder="1" applyAlignment="1">
      <alignment horizontal="center" vertical="center"/>
    </xf>
    <xf numFmtId="177" fontId="3" fillId="0" borderId="1" xfId="0" applyNumberFormat="1" applyFont="1" applyBorder="1" applyAlignment="1">
      <alignment horizontal="center" vertical="center"/>
    </xf>
    <xf numFmtId="0" fontId="5" fillId="0" borderId="0" xfId="0" applyFont="1" applyAlignment="1">
      <alignment horizontal="left" vertical="center"/>
    </xf>
    <xf numFmtId="0" fontId="1" fillId="2" borderId="2" xfId="0" applyFont="1" applyFill="1" applyBorder="1" applyAlignment="1">
      <alignment horizontal="center" vertical="center"/>
    </xf>
    <xf numFmtId="0" fontId="1" fillId="2" borderId="3" xfId="0" applyFont="1" applyFill="1" applyBorder="1" applyAlignment="1">
      <alignment horizontal="center" vertical="center"/>
    </xf>
    <xf numFmtId="0" fontId="2" fillId="3" borderId="6" xfId="0" applyFont="1" applyFill="1" applyBorder="1" applyAlignment="1">
      <alignment horizontal="center" vertical="center"/>
    </xf>
    <xf numFmtId="0" fontId="2" fillId="3" borderId="7" xfId="0" applyFont="1" applyFill="1" applyBorder="1" applyAlignment="1">
      <alignment horizontal="center" vertical="center"/>
    </xf>
    <xf numFmtId="0" fontId="0" fillId="0" borderId="0" xfId="0" applyAlignment="1">
      <alignment vertical="center" wrapText="1"/>
    </xf>
    <xf numFmtId="0" fontId="1" fillId="2" borderId="0" xfId="0" applyFont="1" applyFill="1" applyAlignment="1">
      <alignment horizontal="center" vertical="center"/>
    </xf>
    <xf numFmtId="0" fontId="2" fillId="3" borderId="8" xfId="0" applyFont="1" applyFill="1" applyBorder="1" applyAlignment="1">
      <alignment horizontal="center" vertical="center"/>
    </xf>
    <xf numFmtId="0" fontId="2" fillId="3" borderId="8" xfId="0" applyFont="1" applyFill="1" applyBorder="1" applyAlignment="1">
      <alignment horizontal="center" vertical="center" wrapText="1"/>
    </xf>
    <xf numFmtId="0" fontId="6" fillId="3" borderId="9" xfId="0" applyFont="1" applyFill="1" applyBorder="1" applyAlignment="1">
      <alignment horizontal="center" vertical="center"/>
    </xf>
    <xf numFmtId="0" fontId="2" fillId="3" borderId="7" xfId="0" applyFont="1" applyFill="1" applyBorder="1" applyAlignment="1">
      <alignment horizontal="center" vertical="center" wrapText="1"/>
    </xf>
    <xf numFmtId="0" fontId="2" fillId="0" borderId="1" xfId="0" applyFont="1" applyBorder="1" applyAlignment="1">
      <alignment horizontal="center" vertical="center"/>
    </xf>
    <xf numFmtId="0" fontId="4" fillId="0" borderId="1" xfId="0" applyFont="1" applyBorder="1" applyAlignment="1">
      <alignment horizontal="center" vertical="center" wrapText="1"/>
    </xf>
    <xf numFmtId="0" fontId="6" fillId="3" borderId="7" xfId="0" applyFont="1" applyFill="1" applyBorder="1" applyAlignment="1">
      <alignment horizontal="center" vertical="center"/>
    </xf>
    <xf numFmtId="10" fontId="3" fillId="0" borderId="1" xfId="0" applyNumberFormat="1" applyFont="1" applyBorder="1" applyAlignment="1">
      <alignment horizontal="center" vertical="center"/>
    </xf>
    <xf numFmtId="0" fontId="5" fillId="0" borderId="0" xfId="0" applyFont="1">
      <alignment vertical="center"/>
    </xf>
    <xf numFmtId="0" fontId="2" fillId="3" borderId="2" xfId="0" applyFont="1" applyFill="1" applyBorder="1" applyAlignment="1">
      <alignment horizontal="center" vertical="center"/>
    </xf>
    <xf numFmtId="0" fontId="2" fillId="3" borderId="3" xfId="0" applyFont="1" applyFill="1" applyBorder="1" applyAlignment="1">
      <alignment horizontal="center" vertical="center"/>
    </xf>
    <xf numFmtId="0" fontId="6" fillId="0" borderId="1" xfId="0" applyFont="1" applyBorder="1" applyAlignment="1">
      <alignment horizontal="center" vertical="center"/>
    </xf>
    <xf numFmtId="0" fontId="7" fillId="0" borderId="0" xfId="0" applyFont="1">
      <alignment vertical="center"/>
    </xf>
    <xf numFmtId="0" fontId="1" fillId="2" borderId="4" xfId="0" applyFont="1" applyFill="1" applyBorder="1" applyAlignment="1">
      <alignment horizontal="center" vertical="center"/>
    </xf>
    <xf numFmtId="0" fontId="6" fillId="3" borderId="1" xfId="0" applyFont="1" applyFill="1" applyBorder="1" applyAlignment="1">
      <alignment horizontal="center" vertical="center"/>
    </xf>
    <xf numFmtId="176" fontId="4" fillId="0" borderId="1" xfId="0" applyNumberFormat="1" applyFont="1" applyBorder="1" applyAlignment="1">
      <alignment horizontal="center" vertical="center"/>
    </xf>
    <xf numFmtId="0" fontId="3" fillId="0" borderId="1" xfId="0" applyFont="1" applyBorder="1" applyAlignment="1">
      <alignment horizontal="center" vertical="center" wrapText="1"/>
    </xf>
    <xf numFmtId="0" fontId="0" fillId="5" borderId="0" xfId="0" applyFill="1">
      <alignment vertical="center"/>
    </xf>
    <xf numFmtId="0" fontId="8" fillId="6" borderId="1" xfId="0" applyFont="1" applyFill="1" applyBorder="1" applyAlignment="1">
      <alignment horizontal="center" vertical="center"/>
    </xf>
    <xf numFmtId="177" fontId="4" fillId="0" borderId="1" xfId="0" applyNumberFormat="1" applyFont="1" applyBorder="1" applyAlignment="1">
      <alignment horizontal="center" vertical="center"/>
    </xf>
    <xf numFmtId="0" fontId="3" fillId="5" borderId="1" xfId="0" applyFont="1" applyFill="1" applyBorder="1" applyAlignment="1">
      <alignment horizontal="center" vertical="center"/>
    </xf>
    <xf numFmtId="177" fontId="3" fillId="5" borderId="1" xfId="0" applyNumberFormat="1" applyFont="1" applyFill="1" applyBorder="1" applyAlignment="1">
      <alignment horizontal="center" vertical="center"/>
    </xf>
    <xf numFmtId="0" fontId="3" fillId="7" borderId="1" xfId="0" applyFont="1" applyFill="1" applyBorder="1" applyAlignment="1">
      <alignment horizontal="center" vertical="center"/>
    </xf>
    <xf numFmtId="177" fontId="4" fillId="5" borderId="1" xfId="0" applyNumberFormat="1" applyFont="1" applyFill="1" applyBorder="1" applyAlignment="1">
      <alignment horizontal="center" vertical="center"/>
    </xf>
    <xf numFmtId="0" fontId="8" fillId="6" borderId="0" xfId="0" applyFont="1" applyFill="1" applyAlignment="1">
      <alignment horizontal="center" vertical="center"/>
    </xf>
    <xf numFmtId="0" fontId="9" fillId="6" borderId="0" xfId="0" applyFont="1" applyFill="1" applyAlignment="1">
      <alignment horizontal="center" vertical="center"/>
    </xf>
    <xf numFmtId="177" fontId="4" fillId="8" borderId="1" xfId="0" applyNumberFormat="1" applyFont="1" applyFill="1" applyBorder="1" applyAlignment="1">
      <alignment horizontal="center" vertical="center"/>
    </xf>
    <xf numFmtId="177" fontId="3" fillId="8" borderId="1" xfId="0" applyNumberFormat="1" applyFont="1" applyFill="1" applyBorder="1" applyAlignment="1">
      <alignment horizontal="center" vertical="center"/>
    </xf>
    <xf numFmtId="178" fontId="3" fillId="0" borderId="1" xfId="0" applyNumberFormat="1" applyFont="1" applyBorder="1" applyAlignment="1">
      <alignment horizontal="center" vertical="center"/>
    </xf>
    <xf numFmtId="177" fontId="3" fillId="0" borderId="1" xfId="0" applyNumberFormat="1" applyFont="1" applyBorder="1">
      <alignment vertical="center"/>
    </xf>
    <xf numFmtId="0" fontId="3" fillId="0" borderId="0" xfId="0" applyFont="1">
      <alignment vertical="center"/>
    </xf>
    <xf numFmtId="177" fontId="3" fillId="0" borderId="0" xfId="0" applyNumberFormat="1" applyFont="1">
      <alignment vertical="center"/>
    </xf>
    <xf numFmtId="0" fontId="0" fillId="0" borderId="1" xfId="0" applyBorder="1">
      <alignment vertical="center"/>
    </xf>
    <xf numFmtId="0" fontId="10" fillId="0" borderId="0" xfId="0" applyFont="1">
      <alignment vertical="center"/>
    </xf>
    <xf numFmtId="0" fontId="3" fillId="0" borderId="0" xfId="0" applyFont="1" applyAlignment="1">
      <alignment horizontal="center" vertical="center"/>
    </xf>
    <xf numFmtId="0" fontId="11" fillId="0" borderId="1" xfId="0" applyFont="1" applyBorder="1" applyAlignment="1">
      <alignment horizontal="center" vertical="center"/>
    </xf>
    <xf numFmtId="0" fontId="12" fillId="0" borderId="1" xfId="0" applyFont="1" applyBorder="1" applyAlignment="1">
      <alignment horizontal="center" vertical="center"/>
    </xf>
    <xf numFmtId="0" fontId="13" fillId="0" borderId="1" xfId="0" applyFont="1" applyBorder="1" applyAlignment="1">
      <alignment horizontal="center" vertical="center"/>
    </xf>
    <xf numFmtId="177" fontId="13" fillId="0" borderId="1" xfId="0" applyNumberFormat="1" applyFont="1" applyBorder="1" applyAlignment="1">
      <alignment horizontal="center" vertical="center"/>
    </xf>
    <xf numFmtId="0" fontId="13" fillId="0" borderId="1" xfId="0" applyFont="1" applyBorder="1" applyAlignment="1">
      <alignment horizontal="center" vertical="center" wrapText="1"/>
    </xf>
    <xf numFmtId="177" fontId="13" fillId="8" borderId="1" xfId="0" applyNumberFormat="1" applyFont="1" applyFill="1" applyBorder="1" applyAlignment="1">
      <alignment horizontal="center" vertical="center"/>
    </xf>
    <xf numFmtId="176" fontId="13" fillId="0" borderId="1" xfId="0" applyNumberFormat="1" applyFont="1" applyBorder="1" applyAlignment="1">
      <alignment vertical="center"/>
    </xf>
    <xf numFmtId="0" fontId="14" fillId="6" borderId="2" xfId="0" applyFont="1" applyFill="1" applyBorder="1" applyAlignment="1">
      <alignment horizontal="center" vertical="center"/>
    </xf>
    <xf numFmtId="0" fontId="14" fillId="6" borderId="3" xfId="0" applyFont="1" applyFill="1" applyBorder="1" applyAlignment="1">
      <alignment horizontal="center" vertical="center"/>
    </xf>
    <xf numFmtId="0" fontId="14" fillId="6" borderId="0" xfId="0" applyFont="1" applyFill="1" applyAlignment="1">
      <alignment horizontal="center" vertical="center"/>
    </xf>
    <xf numFmtId="9" fontId="3" fillId="8" borderId="1" xfId="0" applyNumberFormat="1" applyFont="1" applyFill="1" applyBorder="1" applyAlignment="1">
      <alignment vertical="center"/>
    </xf>
    <xf numFmtId="177" fontId="0" fillId="0" borderId="0" xfId="0" applyNumberFormat="1">
      <alignment vertical="center"/>
    </xf>
    <xf numFmtId="0" fontId="14" fillId="6" borderId="1" xfId="0" applyFont="1" applyFill="1" applyBorder="1" applyAlignment="1">
      <alignment horizontal="center" vertical="center"/>
    </xf>
    <xf numFmtId="0" fontId="15" fillId="0" borderId="1" xfId="0" applyFont="1" applyBorder="1" applyAlignment="1">
      <alignment horizontal="center" vertical="center"/>
    </xf>
    <xf numFmtId="0" fontId="16" fillId="0" borderId="1" xfId="0" applyFont="1" applyBorder="1" applyAlignment="1">
      <alignment horizontal="center" vertical="center"/>
    </xf>
    <xf numFmtId="177" fontId="16" fillId="0" borderId="1" xfId="0" applyNumberFormat="1" applyFont="1" applyBorder="1" applyAlignment="1">
      <alignment horizontal="center" vertical="center"/>
    </xf>
    <xf numFmtId="0" fontId="3" fillId="7" borderId="1" xfId="0" applyFont="1" applyFill="1" applyBorder="1" applyAlignment="1">
      <alignment horizontal="center" vertical="center" wrapText="1"/>
    </xf>
    <xf numFmtId="0" fontId="3" fillId="0" borderId="1" xfId="0" applyFont="1" applyBorder="1">
      <alignment vertical="center"/>
    </xf>
    <xf numFmtId="8" fontId="3" fillId="8" borderId="1" xfId="0" applyNumberFormat="1" applyFont="1" applyFill="1" applyBorder="1" applyAlignment="1">
      <alignment vertical="center"/>
    </xf>
    <xf numFmtId="2" fontId="3" fillId="8" borderId="1" xfId="0" applyNumberFormat="1" applyFont="1" applyFill="1" applyBorder="1" applyAlignment="1">
      <alignment horizontal="center" vertical="center"/>
    </xf>
    <xf numFmtId="0" fontId="3" fillId="5" borderId="2" xfId="0" applyFont="1" applyFill="1" applyBorder="1" applyAlignment="1">
      <alignment horizontal="center" vertical="center"/>
    </xf>
    <xf numFmtId="0" fontId="3" fillId="5" borderId="3" xfId="0" applyFont="1" applyFill="1" applyBorder="1" applyAlignment="1">
      <alignment horizontal="center" vertical="center"/>
    </xf>
    <xf numFmtId="0" fontId="3" fillId="0" borderId="2" xfId="0" applyFont="1" applyBorder="1" applyAlignment="1">
      <alignment horizontal="center" vertical="center"/>
    </xf>
    <xf numFmtId="0" fontId="3" fillId="0" borderId="3" xfId="0" applyFont="1" applyBorder="1" applyAlignment="1">
      <alignment horizontal="center" vertical="center"/>
    </xf>
    <xf numFmtId="0" fontId="8" fillId="6" borderId="1" xfId="0" applyFont="1" applyFill="1" applyBorder="1" applyAlignment="1">
      <alignment horizontal="center" vertical="center" wrapText="1"/>
    </xf>
    <xf numFmtId="9" fontId="4" fillId="0" borderId="1" xfId="0" applyNumberFormat="1" applyFont="1" applyBorder="1" applyAlignment="1">
      <alignment horizontal="center" vertical="center"/>
    </xf>
    <xf numFmtId="0" fontId="8" fillId="6" borderId="2" xfId="0" applyFont="1" applyFill="1" applyBorder="1" applyAlignment="1">
      <alignment horizontal="center" vertical="center" wrapText="1"/>
    </xf>
    <xf numFmtId="0" fontId="8" fillId="6" borderId="3" xfId="0" applyFont="1" applyFill="1" applyBorder="1" applyAlignment="1">
      <alignment horizontal="center" vertical="center" wrapText="1"/>
    </xf>
    <xf numFmtId="0" fontId="8" fillId="6" borderId="4" xfId="0" applyFont="1" applyFill="1" applyBorder="1" applyAlignment="1">
      <alignment horizontal="center" vertical="center" wrapText="1"/>
    </xf>
    <xf numFmtId="0" fontId="4" fillId="0" borderId="0" xfId="0" applyFont="1" applyAlignment="1">
      <alignment horizontal="center" vertical="center"/>
    </xf>
    <xf numFmtId="0" fontId="8" fillId="6" borderId="2" xfId="0" applyFont="1" applyFill="1" applyBorder="1" applyAlignment="1">
      <alignment horizontal="center" vertical="center"/>
    </xf>
    <xf numFmtId="0" fontId="8" fillId="6" borderId="3" xfId="0" applyFont="1" applyFill="1" applyBorder="1" applyAlignment="1">
      <alignment horizontal="center" vertical="center"/>
    </xf>
    <xf numFmtId="0" fontId="8" fillId="6" borderId="4" xfId="0" applyFont="1" applyFill="1" applyBorder="1" applyAlignment="1">
      <alignment horizontal="center" vertical="center"/>
    </xf>
    <xf numFmtId="0" fontId="10" fillId="0" borderId="0" xfId="0" applyFont="1" applyAlignment="1">
      <alignment horizontal="left" vertical="center"/>
    </xf>
    <xf numFmtId="0" fontId="3" fillId="0" borderId="1" xfId="0" applyFont="1" applyBorder="1" applyAlignment="1">
      <alignment horizontal="left" vertical="center" wrapText="1"/>
    </xf>
    <xf numFmtId="177" fontId="3" fillId="0" borderId="1" xfId="0" applyNumberFormat="1" applyFont="1" applyBorder="1" applyAlignment="1">
      <alignment horizontal="center" vertical="center" wrapText="1"/>
    </xf>
    <xf numFmtId="2" fontId="3" fillId="5" borderId="1" xfId="0" applyNumberFormat="1" applyFont="1" applyFill="1" applyBorder="1" applyAlignment="1">
      <alignment horizontal="center" vertical="center"/>
    </xf>
    <xf numFmtId="0" fontId="17" fillId="0" borderId="1" xfId="0" applyFont="1" applyBorder="1" applyAlignment="1">
      <alignment horizontal="center" vertical="center"/>
    </xf>
    <xf numFmtId="177" fontId="4" fillId="8" borderId="1" xfId="0" applyNumberFormat="1" applyFont="1" applyFill="1" applyBorder="1" applyAlignment="1">
      <alignment horizontal="center" vertical="center" wrapText="1"/>
    </xf>
    <xf numFmtId="177" fontId="4" fillId="0" borderId="1" xfId="0" applyNumberFormat="1" applyFont="1" applyBorder="1" applyAlignment="1">
      <alignment horizontal="center" vertical="center" wrapText="1"/>
    </xf>
    <xf numFmtId="0" fontId="17" fillId="0" borderId="1" xfId="0" applyFont="1" applyBorder="1" applyAlignment="1">
      <alignment horizontal="center" vertical="center" wrapText="1"/>
    </xf>
    <xf numFmtId="0" fontId="18" fillId="0" borderId="0" xfId="0" applyFont="1" applyAlignment="1">
      <alignment horizontal="left" vertical="center" wrapText="1"/>
    </xf>
    <xf numFmtId="0" fontId="4" fillId="0" borderId="6" xfId="0" applyFont="1" applyBorder="1" applyAlignment="1">
      <alignment horizontal="center" vertical="center"/>
    </xf>
    <xf numFmtId="177" fontId="3" fillId="7" borderId="1" xfId="0" applyNumberFormat="1" applyFont="1" applyFill="1" applyBorder="1" applyAlignment="1">
      <alignment horizontal="center" vertical="center"/>
    </xf>
    <xf numFmtId="0" fontId="4" fillId="5" borderId="1" xfId="0" applyFont="1" applyFill="1" applyBorder="1" applyAlignment="1">
      <alignment horizontal="center" vertical="center"/>
    </xf>
    <xf numFmtId="0" fontId="4" fillId="0" borderId="7" xfId="0" applyFont="1" applyBorder="1" applyAlignment="1">
      <alignment horizontal="center" vertical="center"/>
    </xf>
    <xf numFmtId="0" fontId="3" fillId="0" borderId="4" xfId="0" applyFont="1" applyBorder="1" applyAlignment="1">
      <alignment horizontal="center" vertical="center"/>
    </xf>
    <xf numFmtId="0" fontId="3" fillId="4" borderId="1" xfId="0" applyFont="1" applyFill="1" applyBorder="1" applyAlignment="1">
      <alignment horizontal="center" vertical="center" wrapText="1"/>
    </xf>
    <xf numFmtId="177" fontId="3" fillId="4" borderId="1" xfId="0" applyNumberFormat="1" applyFont="1" applyFill="1" applyBorder="1" applyAlignment="1">
      <alignment horizontal="center" vertical="center" wrapText="1"/>
    </xf>
    <xf numFmtId="0" fontId="19" fillId="0" borderId="10" xfId="0" applyFont="1" applyBorder="1" applyAlignment="1">
      <alignment horizontal="left" vertical="center" wrapText="1"/>
    </xf>
    <xf numFmtId="0" fontId="19" fillId="0" borderId="0" xfId="0" applyFont="1" applyAlignment="1">
      <alignment horizontal="left" vertical="center" wrapText="1"/>
    </xf>
    <xf numFmtId="0" fontId="20" fillId="5" borderId="11" xfId="0" applyFont="1" applyFill="1" applyBorder="1" applyAlignment="1">
      <alignment horizontal="center" vertical="center" wrapText="1"/>
    </xf>
    <xf numFmtId="0" fontId="20" fillId="5" borderId="12" xfId="0" applyFont="1" applyFill="1" applyBorder="1" applyAlignment="1">
      <alignment horizontal="left" vertical="center" wrapText="1"/>
    </xf>
    <xf numFmtId="0" fontId="20" fillId="5" borderId="12" xfId="0" applyFont="1" applyFill="1" applyBorder="1" applyAlignment="1">
      <alignment horizontal="center" vertical="center" wrapText="1"/>
    </xf>
    <xf numFmtId="0" fontId="18" fillId="5" borderId="13" xfId="0" applyFont="1" applyFill="1" applyBorder="1" applyAlignment="1">
      <alignment horizontal="center" vertical="center" wrapText="1"/>
    </xf>
    <xf numFmtId="0" fontId="18" fillId="5" borderId="6" xfId="0" applyFont="1" applyFill="1" applyBorder="1" applyAlignment="1">
      <alignment horizontal="left" vertical="center" wrapText="1"/>
    </xf>
    <xf numFmtId="0" fontId="18" fillId="5" borderId="1" xfId="0" applyFont="1" applyFill="1" applyBorder="1" applyAlignment="1">
      <alignment horizontal="left" vertical="center" wrapText="1"/>
    </xf>
    <xf numFmtId="0" fontId="21" fillId="5" borderId="1" xfId="0" applyFont="1" applyFill="1" applyBorder="1" applyAlignment="1">
      <alignment horizontal="center" vertical="center" wrapText="1"/>
    </xf>
    <xf numFmtId="0" fontId="18" fillId="5" borderId="1" xfId="0" applyFont="1" applyFill="1" applyBorder="1" applyAlignment="1">
      <alignment horizontal="center" vertical="center" wrapText="1"/>
    </xf>
    <xf numFmtId="9" fontId="19" fillId="5" borderId="1" xfId="0" applyNumberFormat="1" applyFont="1" applyFill="1" applyBorder="1" applyAlignment="1">
      <alignment horizontal="center" vertical="center" wrapText="1"/>
    </xf>
    <xf numFmtId="0" fontId="22" fillId="5" borderId="1" xfId="0" applyFont="1" applyFill="1" applyBorder="1" applyAlignment="1">
      <alignment horizontal="center" vertical="center" wrapText="1"/>
    </xf>
    <xf numFmtId="0" fontId="18" fillId="5" borderId="8" xfId="0" applyFont="1" applyFill="1" applyBorder="1" applyAlignment="1">
      <alignment horizontal="left" vertical="center" wrapText="1"/>
    </xf>
    <xf numFmtId="0" fontId="18" fillId="5" borderId="7" xfId="0" applyFont="1" applyFill="1" applyBorder="1" applyAlignment="1">
      <alignment horizontal="left" vertical="center" wrapText="1"/>
    </xf>
    <xf numFmtId="0" fontId="19" fillId="5" borderId="1" xfId="0" applyFont="1" applyFill="1" applyBorder="1" applyAlignment="1">
      <alignment horizontal="center" vertical="center" wrapText="1"/>
    </xf>
    <xf numFmtId="177" fontId="19" fillId="5" borderId="1" xfId="0" applyNumberFormat="1" applyFont="1" applyFill="1" applyBorder="1" applyAlignment="1">
      <alignment horizontal="center" vertical="center" wrapText="1"/>
    </xf>
    <xf numFmtId="0" fontId="19" fillId="5" borderId="1" xfId="0" applyFont="1" applyFill="1" applyBorder="1" applyAlignment="1">
      <alignment horizontal="left" vertical="center" wrapText="1"/>
    </xf>
    <xf numFmtId="0" fontId="20" fillId="5" borderId="14" xfId="0" applyFont="1" applyFill="1" applyBorder="1" applyAlignment="1">
      <alignment horizontal="center" vertical="center" wrapText="1"/>
    </xf>
    <xf numFmtId="0" fontId="20" fillId="5" borderId="15" xfId="0" applyFont="1" applyFill="1" applyBorder="1" applyAlignment="1">
      <alignment horizontal="left" vertical="center" wrapText="1"/>
    </xf>
    <xf numFmtId="0" fontId="20" fillId="5" borderId="16" xfId="0" applyFont="1" applyFill="1" applyBorder="1" applyAlignment="1">
      <alignment horizontal="left" vertical="center" wrapText="1"/>
    </xf>
    <xf numFmtId="177" fontId="20" fillId="5" borderId="17" xfId="0" applyNumberFormat="1" applyFont="1" applyFill="1" applyBorder="1" applyAlignment="1">
      <alignment horizontal="center" vertical="center" wrapText="1"/>
    </xf>
    <xf numFmtId="0" fontId="20" fillId="5" borderId="17" xfId="0" applyFont="1" applyFill="1" applyBorder="1" applyAlignment="1">
      <alignment horizontal="center" vertical="center" wrapText="1"/>
    </xf>
    <xf numFmtId="0" fontId="20" fillId="5" borderId="18" xfId="0" applyFont="1" applyFill="1" applyBorder="1" applyAlignment="1">
      <alignment horizontal="center" vertical="center" wrapText="1"/>
    </xf>
    <xf numFmtId="0" fontId="20" fillId="5" borderId="18" xfId="0" applyFont="1" applyFill="1" applyBorder="1" applyAlignment="1">
      <alignment horizontal="left" vertical="center" wrapText="1"/>
    </xf>
    <xf numFmtId="177" fontId="20" fillId="5" borderId="18" xfId="0" applyNumberFormat="1" applyFont="1" applyFill="1" applyBorder="1" applyAlignment="1">
      <alignment horizontal="center" vertical="center" wrapText="1"/>
    </xf>
    <xf numFmtId="10" fontId="4" fillId="5" borderId="1" xfId="0" applyNumberFormat="1" applyFont="1" applyFill="1" applyBorder="1" applyAlignment="1">
      <alignment horizontal="center" vertical="center"/>
    </xf>
    <xf numFmtId="0" fontId="20" fillId="9" borderId="12" xfId="0" applyFont="1" applyFill="1" applyBorder="1" applyAlignment="1">
      <alignment horizontal="center" vertical="center" wrapText="1"/>
    </xf>
    <xf numFmtId="0" fontId="20" fillId="7" borderId="12" xfId="0" applyFont="1" applyFill="1" applyBorder="1" applyAlignment="1">
      <alignment horizontal="center" vertical="center" wrapText="1"/>
    </xf>
    <xf numFmtId="0" fontId="23" fillId="5" borderId="1" xfId="0" applyFont="1" applyFill="1" applyBorder="1" applyAlignment="1">
      <alignment horizontal="center" vertical="center"/>
    </xf>
    <xf numFmtId="0" fontId="23" fillId="5" borderId="1" xfId="0" applyFont="1" applyFill="1" applyBorder="1" applyAlignment="1">
      <alignment horizontal="center" vertical="center" wrapText="1"/>
    </xf>
    <xf numFmtId="177" fontId="20" fillId="5" borderId="0" xfId="0" applyNumberFormat="1" applyFont="1" applyFill="1" applyAlignment="1">
      <alignment horizontal="center" vertical="center" wrapText="1"/>
    </xf>
    <xf numFmtId="0" fontId="20" fillId="5" borderId="19" xfId="0" applyFont="1" applyFill="1" applyBorder="1" applyAlignment="1">
      <alignment horizontal="center" vertical="center" wrapText="1"/>
    </xf>
    <xf numFmtId="177" fontId="19" fillId="5" borderId="20" xfId="0" applyNumberFormat="1" applyFont="1" applyFill="1" applyBorder="1" applyAlignment="1">
      <alignment horizontal="center" vertical="center" wrapText="1"/>
    </xf>
    <xf numFmtId="177" fontId="20" fillId="5" borderId="21" xfId="0" applyNumberFormat="1" applyFont="1" applyFill="1" applyBorder="1" applyAlignment="1">
      <alignment horizontal="center" vertical="center" wrapText="1"/>
    </xf>
    <xf numFmtId="177" fontId="24" fillId="0" borderId="0" xfId="0" applyNumberFormat="1" applyFont="1" applyAlignment="1">
      <alignment horizontal="left" vertical="center" wrapText="1"/>
    </xf>
    <xf numFmtId="0" fontId="8" fillId="6" borderId="1" xfId="0" applyFont="1" applyFill="1" applyBorder="1">
      <alignment vertical="center"/>
    </xf>
    <xf numFmtId="0" fontId="16" fillId="0" borderId="1" xfId="0" applyFont="1" applyBorder="1">
      <alignment vertical="center"/>
    </xf>
    <xf numFmtId="0" fontId="4" fillId="0" borderId="7" xfId="0" applyFont="1" applyBorder="1">
      <alignment vertical="center"/>
    </xf>
    <xf numFmtId="177" fontId="3" fillId="5" borderId="7" xfId="0" applyNumberFormat="1" applyFont="1" applyFill="1" applyBorder="1" applyAlignment="1">
      <alignment horizontal="center" vertical="center"/>
    </xf>
    <xf numFmtId="177" fontId="3" fillId="0" borderId="7" xfId="0" applyNumberFormat="1" applyFont="1" applyBorder="1" applyAlignment="1">
      <alignment horizontal="center" vertical="center"/>
    </xf>
    <xf numFmtId="0" fontId="3" fillId="5" borderId="2" xfId="0" applyFont="1" applyFill="1" applyBorder="1">
      <alignment vertical="center"/>
    </xf>
    <xf numFmtId="0" fontId="3" fillId="5" borderId="4" xfId="0" applyFont="1" applyFill="1" applyBorder="1">
      <alignment vertical="center"/>
    </xf>
    <xf numFmtId="0" fontId="3" fillId="0" borderId="2" xfId="0" applyFont="1" applyBorder="1">
      <alignment vertical="center"/>
    </xf>
    <xf numFmtId="0" fontId="3" fillId="0" borderId="4" xfId="0" applyFont="1" applyBorder="1">
      <alignment vertical="center"/>
    </xf>
    <xf numFmtId="177" fontId="3" fillId="0" borderId="0" xfId="0" applyNumberFormat="1" applyFont="1" applyAlignment="1">
      <alignment horizontal="center" vertical="center"/>
    </xf>
    <xf numFmtId="0" fontId="8" fillId="6" borderId="10" xfId="0" applyFont="1" applyFill="1" applyBorder="1" applyAlignment="1">
      <alignment horizontal="center" vertical="center"/>
    </xf>
    <xf numFmtId="0" fontId="25" fillId="6" borderId="0" xfId="0" applyFont="1" applyFill="1" applyAlignment="1">
      <alignment horizontal="center" vertical="center"/>
    </xf>
    <xf numFmtId="0" fontId="3" fillId="4" borderId="1" xfId="0" applyFont="1" applyFill="1" applyBorder="1" applyAlignment="1">
      <alignment horizontal="center" vertical="center"/>
    </xf>
    <xf numFmtId="177" fontId="3" fillId="4" borderId="1" xfId="0" applyNumberFormat="1" applyFont="1" applyFill="1" applyBorder="1" applyAlignment="1">
      <alignment horizontal="center" vertical="center"/>
    </xf>
    <xf numFmtId="9" fontId="3" fillId="0" borderId="1" xfId="0" applyNumberFormat="1" applyFont="1" applyBorder="1" applyAlignment="1">
      <alignment horizontal="center" vertical="center"/>
    </xf>
    <xf numFmtId="0" fontId="6" fillId="3" borderId="7" xfId="0" applyFont="1" applyFill="1" applyBorder="1" applyAlignment="1">
      <alignment horizontal="center" vertical="center" wrapText="1"/>
    </xf>
    <xf numFmtId="176" fontId="3" fillId="4" borderId="1" xfId="0" applyNumberFormat="1" applyFont="1" applyFill="1" applyBorder="1" applyAlignment="1">
      <alignment horizontal="center" vertical="center"/>
    </xf>
    <xf numFmtId="0" fontId="0" fillId="0" borderId="0" xfId="0" applyFont="1">
      <alignment vertical="center"/>
    </xf>
    <xf numFmtId="176" fontId="0" fillId="0" borderId="0" xfId="0" applyNumberFormat="1">
      <alignment vertical="center"/>
    </xf>
    <xf numFmtId="177" fontId="14" fillId="6" borderId="1" xfId="0" applyNumberFormat="1" applyFont="1" applyFill="1" applyBorder="1" applyAlignment="1">
      <alignment horizontal="center" vertical="center"/>
    </xf>
    <xf numFmtId="177" fontId="2" fillId="3" borderId="3" xfId="0" applyNumberFormat="1" applyFont="1" applyFill="1" applyBorder="1" applyAlignment="1">
      <alignment horizontal="center" vertical="center"/>
    </xf>
    <xf numFmtId="0" fontId="3" fillId="5" borderId="1" xfId="0" applyFont="1" applyFill="1" applyBorder="1" applyAlignment="1">
      <alignment horizontal="center" vertical="center" wrapText="1"/>
    </xf>
    <xf numFmtId="0" fontId="3" fillId="0" borderId="1" xfId="0" applyFont="1" applyBorder="1" applyAlignment="1">
      <alignment horizontal="left" vertical="center"/>
    </xf>
    <xf numFmtId="176" fontId="3" fillId="0" borderId="1" xfId="0" applyNumberFormat="1" applyFont="1" applyBorder="1" applyAlignment="1">
      <alignment horizontal="center" vertical="center" wrapText="1"/>
    </xf>
    <xf numFmtId="10" fontId="3" fillId="5" borderId="1" xfId="0" applyNumberFormat="1" applyFont="1" applyFill="1" applyBorder="1" applyAlignment="1">
      <alignment horizontal="center" vertical="center"/>
    </xf>
    <xf numFmtId="10" fontId="26" fillId="5" borderId="1" xfId="0" applyNumberFormat="1" applyFont="1" applyFill="1" applyBorder="1" applyAlignment="1">
      <alignment horizontal="center" vertical="center"/>
    </xf>
    <xf numFmtId="177" fontId="14" fillId="6" borderId="0" xfId="0" applyNumberFormat="1" applyFont="1" applyFill="1" applyAlignment="1">
      <alignment horizontal="center" vertical="center"/>
    </xf>
    <xf numFmtId="177" fontId="2" fillId="3" borderId="4" xfId="0" applyNumberFormat="1" applyFont="1" applyFill="1" applyBorder="1" applyAlignment="1">
      <alignment horizontal="center" vertical="center"/>
    </xf>
    <xf numFmtId="177" fontId="2" fillId="3" borderId="0" xfId="0" applyNumberFormat="1" applyFont="1" applyFill="1" applyAlignment="1">
      <alignment horizontal="center" vertical="center"/>
    </xf>
    <xf numFmtId="0" fontId="3" fillId="3" borderId="1" xfId="0" applyFont="1" applyFill="1" applyBorder="1" applyAlignment="1">
      <alignment horizontal="center" vertical="center"/>
    </xf>
    <xf numFmtId="0" fontId="3" fillId="3" borderId="2" xfId="0" applyFont="1" applyFill="1" applyBorder="1" applyAlignment="1">
      <alignment horizontal="center" vertical="center"/>
    </xf>
    <xf numFmtId="0" fontId="3" fillId="3" borderId="3" xfId="0" applyFont="1" applyFill="1" applyBorder="1" applyAlignment="1">
      <alignment horizontal="center" vertical="center"/>
    </xf>
    <xf numFmtId="176" fontId="4" fillId="8" borderId="1" xfId="0" applyNumberFormat="1" applyFont="1" applyFill="1" applyBorder="1" applyAlignment="1">
      <alignment horizontal="center" vertical="center" wrapText="1"/>
    </xf>
    <xf numFmtId="10" fontId="4" fillId="8" borderId="1" xfId="0" applyNumberFormat="1" applyFont="1" applyFill="1" applyBorder="1" applyAlignment="1">
      <alignment horizontal="center" vertical="center" wrapText="1"/>
    </xf>
    <xf numFmtId="176" fontId="4" fillId="0" borderId="1" xfId="0" applyNumberFormat="1" applyFont="1" applyBorder="1" applyAlignment="1">
      <alignment horizontal="center" vertical="center" wrapText="1"/>
    </xf>
    <xf numFmtId="176" fontId="3" fillId="8" borderId="1" xfId="0" applyNumberFormat="1" applyFont="1" applyFill="1" applyBorder="1" applyAlignment="1">
      <alignment horizontal="center" vertical="center" wrapText="1"/>
    </xf>
    <xf numFmtId="0" fontId="14" fillId="6" borderId="10" xfId="0" applyFont="1" applyFill="1" applyBorder="1" applyAlignment="1">
      <alignment horizontal="center" vertical="center"/>
    </xf>
    <xf numFmtId="0" fontId="27" fillId="0" borderId="0" xfId="0" applyFont="1" applyAlignment="1">
      <alignment horizontal="left" vertical="center"/>
    </xf>
    <xf numFmtId="0" fontId="18" fillId="0" borderId="0" xfId="0" applyFont="1" applyAlignment="1">
      <alignment horizontal="center" vertical="center"/>
    </xf>
    <xf numFmtId="0" fontId="14" fillId="6" borderId="0" xfId="0" applyFont="1" applyFill="1" applyBorder="1" applyAlignment="1">
      <alignment horizontal="center" vertical="center"/>
    </xf>
    <xf numFmtId="176" fontId="26" fillId="5" borderId="1" xfId="0" applyNumberFormat="1" applyFont="1" applyFill="1" applyBorder="1" applyAlignment="1">
      <alignment horizontal="center" vertical="center" wrapText="1"/>
    </xf>
    <xf numFmtId="176" fontId="26" fillId="0" borderId="1" xfId="0" applyNumberFormat="1" applyFont="1" applyBorder="1" applyAlignment="1">
      <alignment horizontal="center" vertical="center" wrapText="1"/>
    </xf>
    <xf numFmtId="0" fontId="18" fillId="5" borderId="6" xfId="0" applyFont="1" applyFill="1" applyBorder="1" applyAlignment="1">
      <alignment horizontal="center" vertical="center" wrapText="1"/>
    </xf>
    <xf numFmtId="177" fontId="18" fillId="5" borderId="1" xfId="0" applyNumberFormat="1" applyFont="1" applyFill="1" applyBorder="1" applyAlignment="1">
      <alignment horizontal="center" vertical="center"/>
    </xf>
    <xf numFmtId="0" fontId="18" fillId="5" borderId="8" xfId="0" applyFont="1" applyFill="1" applyBorder="1" applyAlignment="1">
      <alignment horizontal="center" vertical="center" wrapText="1"/>
    </xf>
    <xf numFmtId="0" fontId="18" fillId="5" borderId="7" xfId="0" applyFont="1" applyFill="1" applyBorder="1" applyAlignment="1">
      <alignment horizontal="center" vertical="center" wrapText="1"/>
    </xf>
    <xf numFmtId="0" fontId="20" fillId="5" borderId="15" xfId="0" applyFont="1" applyFill="1" applyBorder="1" applyAlignment="1">
      <alignment horizontal="center" vertical="center" wrapText="1"/>
    </xf>
    <xf numFmtId="0" fontId="20" fillId="5" borderId="16" xfId="0" applyFont="1" applyFill="1" applyBorder="1" applyAlignment="1">
      <alignment horizontal="center" vertical="center" wrapText="1"/>
    </xf>
    <xf numFmtId="0" fontId="20" fillId="5" borderId="0" xfId="0" applyFont="1" applyFill="1" applyAlignment="1">
      <alignment horizontal="center" vertical="center" wrapText="1"/>
    </xf>
    <xf numFmtId="0" fontId="14" fillId="0" borderId="0" xfId="0" applyFont="1" applyFill="1" applyAlignment="1">
      <alignment vertical="center"/>
    </xf>
    <xf numFmtId="177" fontId="18" fillId="5" borderId="20" xfId="0" applyNumberFormat="1" applyFont="1" applyFill="1" applyBorder="1" applyAlignment="1">
      <alignment horizontal="center" vertical="center"/>
    </xf>
    <xf numFmtId="177" fontId="24" fillId="0" borderId="0" xfId="0" applyNumberFormat="1" applyFont="1" applyAlignment="1">
      <alignment horizontal="center" vertical="center"/>
    </xf>
    <xf numFmtId="0" fontId="6" fillId="3" borderId="1" xfId="0" applyFont="1" applyFill="1" applyBorder="1" applyAlignment="1">
      <alignment horizontal="center" vertical="center" wrapText="1"/>
    </xf>
    <xf numFmtId="0" fontId="0" fillId="0" borderId="0" xfId="0" applyAlignment="1">
      <alignment horizontal="center" vertical="center"/>
    </xf>
    <xf numFmtId="0" fontId="14" fillId="6" borderId="22" xfId="0" applyFont="1" applyFill="1" applyBorder="1" applyAlignment="1">
      <alignment horizontal="center" vertical="center"/>
    </xf>
    <xf numFmtId="0" fontId="14" fillId="6" borderId="5" xfId="0" applyFont="1" applyFill="1" applyBorder="1" applyAlignment="1">
      <alignment horizontal="center" vertical="center"/>
    </xf>
    <xf numFmtId="0" fontId="26" fillId="0" borderId="1" xfId="0" applyFont="1" applyBorder="1" applyAlignment="1">
      <alignment horizontal="center" vertical="center"/>
    </xf>
    <xf numFmtId="0" fontId="3" fillId="0" borderId="6" xfId="0" applyFont="1" applyBorder="1" applyAlignment="1">
      <alignment horizontal="center" vertical="center"/>
    </xf>
    <xf numFmtId="10" fontId="3" fillId="4" borderId="1" xfId="0" applyNumberFormat="1" applyFont="1" applyFill="1" applyBorder="1" applyAlignment="1">
      <alignment horizontal="center" vertical="center"/>
    </xf>
    <xf numFmtId="0" fontId="14" fillId="6" borderId="4" xfId="0" applyFont="1" applyFill="1" applyBorder="1" applyAlignment="1">
      <alignment horizontal="center" vertical="center"/>
    </xf>
    <xf numFmtId="0" fontId="4" fillId="0" borderId="0" xfId="0" applyFont="1">
      <alignment vertical="center"/>
    </xf>
    <xf numFmtId="0" fontId="22" fillId="10" borderId="11" xfId="49" applyFont="1" applyFill="1" applyBorder="1" applyAlignment="1">
      <alignment horizontal="center" vertical="center"/>
    </xf>
    <xf numFmtId="0" fontId="22" fillId="10" borderId="12" xfId="49" applyFont="1" applyFill="1" applyBorder="1" applyAlignment="1">
      <alignment horizontal="center" vertical="center" wrapText="1"/>
    </xf>
    <xf numFmtId="0" fontId="22" fillId="10" borderId="12" xfId="49" applyFont="1" applyFill="1" applyBorder="1" applyAlignment="1">
      <alignment horizontal="center" vertical="center"/>
    </xf>
    <xf numFmtId="0" fontId="22" fillId="10" borderId="12" xfId="49" applyFont="1" applyFill="1" applyBorder="1" applyAlignment="1">
      <alignment horizontal="left" vertical="center"/>
    </xf>
    <xf numFmtId="0" fontId="22" fillId="10" borderId="19" xfId="49" applyFont="1" applyFill="1" applyBorder="1" applyAlignment="1">
      <alignment horizontal="center" vertical="center"/>
    </xf>
    <xf numFmtId="0" fontId="28" fillId="10" borderId="13" xfId="49" applyFont="1" applyFill="1" applyBorder="1" applyAlignment="1">
      <alignment horizontal="center" vertical="center"/>
    </xf>
    <xf numFmtId="0" fontId="28" fillId="10" borderId="2" xfId="49" applyFont="1" applyFill="1" applyBorder="1" applyAlignment="1">
      <alignment horizontal="center" vertical="center" wrapText="1"/>
    </xf>
    <xf numFmtId="0" fontId="28" fillId="10" borderId="3" xfId="49" applyFont="1" applyFill="1" applyBorder="1" applyAlignment="1">
      <alignment horizontal="center" vertical="center" wrapText="1"/>
    </xf>
    <xf numFmtId="0" fontId="28" fillId="10" borderId="4" xfId="49" applyFont="1" applyFill="1" applyBorder="1" applyAlignment="1">
      <alignment horizontal="center" vertical="center" wrapText="1"/>
    </xf>
    <xf numFmtId="177" fontId="22" fillId="10" borderId="1" xfId="49" applyNumberFormat="1" applyFont="1" applyFill="1" applyBorder="1" applyAlignment="1">
      <alignment horizontal="center" vertical="center" wrapText="1"/>
    </xf>
    <xf numFmtId="0" fontId="29" fillId="0" borderId="1" xfId="0" applyFont="1" applyBorder="1" applyAlignment="1">
      <alignment horizontal="center" vertical="center"/>
    </xf>
    <xf numFmtId="0" fontId="29" fillId="0" borderId="1" xfId="0" applyFont="1" applyBorder="1" applyAlignment="1">
      <alignment horizontal="center" vertical="center" wrapText="1"/>
    </xf>
    <xf numFmtId="0" fontId="30" fillId="0" borderId="1" xfId="0" applyFont="1" applyBorder="1" applyAlignment="1">
      <alignment horizontal="center" vertical="center" wrapText="1"/>
    </xf>
    <xf numFmtId="176" fontId="31" fillId="0" borderId="1" xfId="0" applyNumberFormat="1" applyFont="1" applyBorder="1" applyAlignment="1">
      <alignment horizontal="center" vertical="center" wrapText="1"/>
    </xf>
    <xf numFmtId="0" fontId="32" fillId="0" borderId="1" xfId="0" applyFont="1" applyBorder="1" applyAlignment="1">
      <alignment horizontal="center" vertical="center" wrapText="1"/>
    </xf>
    <xf numFmtId="0" fontId="30" fillId="0" borderId="1" xfId="0" applyFont="1" applyBorder="1" applyAlignment="1">
      <alignment vertical="center" wrapText="1"/>
    </xf>
    <xf numFmtId="179" fontId="32" fillId="0" borderId="1" xfId="0" applyNumberFormat="1" applyFont="1" applyBorder="1" applyAlignment="1">
      <alignment horizontal="center" vertical="center" wrapText="1"/>
    </xf>
    <xf numFmtId="0" fontId="28" fillId="10" borderId="1" xfId="49" applyFont="1" applyFill="1" applyBorder="1" applyAlignment="1">
      <alignment horizontal="center" vertical="center"/>
    </xf>
    <xf numFmtId="0" fontId="28" fillId="10" borderId="1" xfId="49" applyFont="1" applyFill="1" applyBorder="1" applyAlignment="1">
      <alignment horizontal="center" vertical="center" wrapText="1"/>
    </xf>
    <xf numFmtId="0" fontId="28" fillId="10" borderId="1" xfId="49" applyFont="1" applyFill="1" applyBorder="1" applyAlignment="1">
      <alignment horizontal="left" vertical="center"/>
    </xf>
    <xf numFmtId="0" fontId="29" fillId="10" borderId="1" xfId="49" applyFont="1" applyFill="1" applyBorder="1" applyAlignment="1">
      <alignment horizontal="center" vertical="center"/>
    </xf>
    <xf numFmtId="0" fontId="29" fillId="10" borderId="1" xfId="49" applyFont="1" applyFill="1" applyBorder="1" applyAlignment="1">
      <alignment horizontal="center" vertical="center" wrapText="1"/>
    </xf>
    <xf numFmtId="0" fontId="29" fillId="10" borderId="1" xfId="49" applyFont="1" applyFill="1" applyBorder="1" applyAlignment="1">
      <alignment horizontal="left" vertical="center" wrapText="1"/>
    </xf>
    <xf numFmtId="177" fontId="19" fillId="10" borderId="1" xfId="49" applyNumberFormat="1" applyFont="1" applyFill="1" applyBorder="1" applyAlignment="1">
      <alignment horizontal="center" vertical="center"/>
    </xf>
    <xf numFmtId="177" fontId="19" fillId="10" borderId="1" xfId="49" applyNumberFormat="1" applyFont="1" applyFill="1" applyBorder="1" applyAlignment="1">
      <alignment horizontal="center" vertical="center" wrapText="1"/>
    </xf>
    <xf numFmtId="0" fontId="29" fillId="10" borderId="1" xfId="49" applyFont="1" applyFill="1" applyBorder="1" applyAlignment="1">
      <alignment horizontal="left" vertical="center"/>
    </xf>
    <xf numFmtId="177" fontId="22" fillId="10" borderId="1" xfId="0" applyNumberFormat="1" applyFont="1" applyFill="1" applyBorder="1" applyAlignment="1">
      <alignment horizontal="center" vertical="center" wrapText="1"/>
    </xf>
    <xf numFmtId="0" fontId="33" fillId="0" borderId="0" xfId="0" applyFont="1">
      <alignment vertical="center"/>
    </xf>
    <xf numFmtId="0" fontId="34" fillId="0" borderId="1" xfId="0" applyFont="1" applyBorder="1" applyAlignment="1">
      <alignment horizontal="center" vertical="center"/>
    </xf>
    <xf numFmtId="176" fontId="34" fillId="0" borderId="1" xfId="0" applyNumberFormat="1" applyFont="1" applyBorder="1" applyAlignment="1">
      <alignment horizontal="center" vertical="center"/>
    </xf>
    <xf numFmtId="0" fontId="2" fillId="3" borderId="1" xfId="0" applyFont="1" applyFill="1" applyBorder="1" applyAlignment="1">
      <alignment horizontal="center" vertical="center" wrapText="1"/>
    </xf>
    <xf numFmtId="57" fontId="4" fillId="0" borderId="1" xfId="0" applyNumberFormat="1" applyFont="1" applyBorder="1" applyAlignment="1">
      <alignment horizontal="center" vertical="center"/>
    </xf>
    <xf numFmtId="177" fontId="26" fillId="5" borderId="1" xfId="0" applyNumberFormat="1" applyFont="1" applyFill="1" applyBorder="1" applyAlignment="1">
      <alignment horizontal="center" vertical="center"/>
    </xf>
    <xf numFmtId="0" fontId="35" fillId="3" borderId="1" xfId="0" applyFont="1" applyFill="1" applyBorder="1" applyAlignment="1">
      <alignment horizontal="center" vertical="center"/>
    </xf>
    <xf numFmtId="0" fontId="4" fillId="4" borderId="1" xfId="0" applyFont="1" applyFill="1" applyBorder="1" applyAlignment="1">
      <alignment horizontal="center" vertical="center"/>
    </xf>
    <xf numFmtId="0" fontId="14" fillId="6" borderId="23" xfId="0" applyFont="1" applyFill="1" applyBorder="1" applyAlignment="1">
      <alignment horizontal="center" vertical="center"/>
    </xf>
    <xf numFmtId="0" fontId="35" fillId="3" borderId="7" xfId="0" applyFont="1" applyFill="1" applyBorder="1" applyAlignment="1">
      <alignment horizontal="center" vertical="center"/>
    </xf>
    <xf numFmtId="0" fontId="36" fillId="0" borderId="1" xfId="0" applyFont="1" applyBorder="1" applyAlignment="1">
      <alignment horizontal="center" vertical="center"/>
    </xf>
    <xf numFmtId="0" fontId="3" fillId="0" borderId="7" xfId="0" applyFont="1" applyBorder="1" applyAlignment="1">
      <alignment horizontal="center" vertical="center"/>
    </xf>
    <xf numFmtId="180" fontId="4" fillId="0" borderId="1" xfId="0" applyNumberFormat="1" applyFont="1" applyBorder="1" applyAlignment="1">
      <alignment horizontal="center" vertical="center"/>
    </xf>
    <xf numFmtId="181" fontId="4" fillId="0" borderId="1" xfId="0" applyNumberFormat="1" applyFont="1" applyBorder="1" applyAlignment="1">
      <alignment horizontal="center" vertical="center"/>
    </xf>
  </cellXfs>
  <cellStyles count="50">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常规 3" xfId="49"/>
  </cellStyles>
  <tableStyles count="0" defaultTableStyle="TableStyleMedium2" defaultPivotStyle="PivotStyleLight16"/>
  <colors>
    <mruColors>
      <color rgb="000000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9" Type="http://schemas.openxmlformats.org/officeDocument/2006/relationships/styles" Target="styles.xml"/><Relationship Id="rId38" Type="http://schemas.microsoft.com/office/2006/relationships/vbaProject" Target="vbaProject.bin"/><Relationship Id="rId37" Type="http://schemas.openxmlformats.org/officeDocument/2006/relationships/sheetMetadata" Target="metadata.xml"/><Relationship Id="rId36" Type="http://schemas.openxmlformats.org/officeDocument/2006/relationships/sharedStrings" Target="sharedStrings.xml"/><Relationship Id="rId35" Type="http://schemas.openxmlformats.org/officeDocument/2006/relationships/theme" Target="theme/theme1.xml"/><Relationship Id="rId34" Type="http://schemas.openxmlformats.org/officeDocument/2006/relationships/worksheet" Target="worksheets/sheet34.xml"/><Relationship Id="rId33" Type="http://schemas.openxmlformats.org/officeDocument/2006/relationships/worksheet" Target="worksheets/sheet33.xml"/><Relationship Id="rId32" Type="http://schemas.openxmlformats.org/officeDocument/2006/relationships/worksheet" Target="worksheets/sheet32.xml"/><Relationship Id="rId31" Type="http://schemas.openxmlformats.org/officeDocument/2006/relationships/worksheet" Target="worksheets/sheet31.xml"/><Relationship Id="rId30" Type="http://schemas.openxmlformats.org/officeDocument/2006/relationships/worksheet" Target="worksheets/sheet30.xml"/><Relationship Id="rId3" Type="http://schemas.openxmlformats.org/officeDocument/2006/relationships/worksheet" Target="worksheets/sheet3.xml"/><Relationship Id="rId29" Type="http://schemas.openxmlformats.org/officeDocument/2006/relationships/worksheet" Target="worksheets/sheet29.xml"/><Relationship Id="rId28" Type="http://schemas.openxmlformats.org/officeDocument/2006/relationships/worksheet" Target="worksheets/sheet28.xml"/><Relationship Id="rId27" Type="http://schemas.openxmlformats.org/officeDocument/2006/relationships/worksheet" Target="worksheets/sheet27.xml"/><Relationship Id="rId26" Type="http://schemas.openxmlformats.org/officeDocument/2006/relationships/worksheet" Target="worksheets/sheet26.xml"/><Relationship Id="rId25" Type="http://schemas.openxmlformats.org/officeDocument/2006/relationships/worksheet" Target="worksheets/sheet25.xml"/><Relationship Id="rId24" Type="http://schemas.openxmlformats.org/officeDocument/2006/relationships/worksheet" Target="worksheets/sheet24.xml"/><Relationship Id="rId23" Type="http://schemas.openxmlformats.org/officeDocument/2006/relationships/worksheet" Target="worksheets/sheet23.xml"/><Relationship Id="rId22" Type="http://schemas.openxmlformats.org/officeDocument/2006/relationships/worksheet" Target="worksheets/sheet22.xml"/><Relationship Id="rId21" Type="http://schemas.openxmlformats.org/officeDocument/2006/relationships/worksheet" Target="worksheets/sheet21.xml"/><Relationship Id="rId20" Type="http://schemas.openxmlformats.org/officeDocument/2006/relationships/worksheet" Target="worksheets/sheet20.xml"/><Relationship Id="rId2" Type="http://schemas.openxmlformats.org/officeDocument/2006/relationships/worksheet" Target="worksheets/sheet2.xml"/><Relationship Id="rId19" Type="http://schemas.openxmlformats.org/officeDocument/2006/relationships/worksheet" Target="worksheets/sheet19.xml"/><Relationship Id="rId18" Type="http://schemas.openxmlformats.org/officeDocument/2006/relationships/worksheet" Target="worksheets/sheet18.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40-EC42-11CE-9E0D-00AA006002F3}" r:id="rId1" ax:persistence="persistStreamInit"/>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ctrlProps/ctrlProp3.xml><?xml version="1.0" encoding="utf-8"?>
<formControlPr xmlns="http://schemas.microsoft.com/office/spreadsheetml/2009/9/main" objectType="Button" val="0"/>
</file>

<file path=xl/drawings/_rels/vmlDrawing1.vml.rels><?xml version="1.0" encoding="UTF-8" standalone="yes"?>
<Relationships xmlns="http://schemas.openxmlformats.org/package/2006/relationships"><Relationship Id="rId1" Type="http://schemas.openxmlformats.org/officeDocument/2006/relationships/image" Target="../media/image1.wmf"/></Relationships>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5</xdr:col>
          <xdr:colOff>228600</xdr:colOff>
          <xdr:row>4</xdr:row>
          <xdr:rowOff>152400</xdr:rowOff>
        </xdr:from>
        <xdr:to>
          <xdr:col>8</xdr:col>
          <xdr:colOff>53340</xdr:colOff>
          <xdr:row>4</xdr:row>
          <xdr:rowOff>662940</xdr:rowOff>
        </xdr:to>
        <xdr:sp macro="[0]!ProcessWorkbookForExternalShare">
          <xdr:nvSpPr>
            <xdr:cNvPr id="20481" name="Button 1" hidden="1">
              <a:extLst>
                <a:ext uri="{63B3BB69-23CF-44E3-9099-C40C66FF867C}">
                  <a14:compatExt spid="_x0000_s20481"/>
                </a:ext>
              </a:extLst>
            </xdr:cNvPr>
            <xdr:cNvSpPr/>
          </xdr:nvSpPr>
          <xdr:spPr>
            <a:xfrm>
              <a:off x="9418320" y="1676400"/>
              <a:ext cx="1687830" cy="510540"/>
            </a:xfrm>
            <a:prstGeom prst="rect">
              <a:avLst/>
            </a:prstGeom>
          </xdr:spPr>
          <xdr:txBody>
            <a:bodyPr vertOverflow="clip" wrap="square" lIns="45720" tIns="45720" rIns="45720" bIns="45720" anchor="ctr" upright="1"/>
            <a:lstStyle/>
            <a:p>
              <a:pPr algn="ctr" rtl="0">
                <a:defRPr sz="1000"/>
              </a:pPr>
              <a:r>
                <a:rPr lang="zh-CN" altLang="en-US" sz="1400" b="1" i="0" u="none" strike="noStrike" baseline="0">
                  <a:solidFill>
                    <a:srgbClr val="FF0000"/>
                  </a:solidFill>
                  <a:latin typeface="微软雅黑" panose="020B0503020204020204" charset="-122"/>
                  <a:ea typeface="微软雅黑" panose="020B0503020204020204" charset="-122"/>
                </a:rPr>
                <a:t>生成外发文件</a:t>
              </a:r>
              <a:endParaRPr lang="zh-CN" altLang="en-US" sz="1400" b="1" i="0" u="none" strike="noStrike" baseline="0">
                <a:solidFill>
                  <a:srgbClr val="FF0000"/>
                </a:solidFill>
                <a:latin typeface="微软雅黑" panose="020B0503020204020204" charset="-122"/>
                <a:ea typeface="微软雅黑" panose="020B0503020204020204"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220980</xdr:colOff>
          <xdr:row>4</xdr:row>
          <xdr:rowOff>129540</xdr:rowOff>
        </xdr:from>
        <xdr:to>
          <xdr:col>9</xdr:col>
          <xdr:colOff>281940</xdr:colOff>
          <xdr:row>4</xdr:row>
          <xdr:rowOff>693420</xdr:rowOff>
        </xdr:to>
        <xdr:sp>
          <xdr:nvSpPr>
            <xdr:cNvPr id="20483" name="chkKeepFormulas" hidden="1">
              <a:extLst>
                <a:ext uri="{63B3BB69-23CF-44E3-9099-C40C66FF867C}">
                  <a14:compatExt spid="_x0000_s20483"/>
                </a:ext>
              </a:extLst>
            </xdr:cNvPr>
            <xdr:cNvSpPr/>
          </xdr:nvSpPr>
          <xdr:spPr>
            <a:xfrm>
              <a:off x="11273790" y="1653540"/>
              <a:ext cx="2101850" cy="563880"/>
            </a:xfrm>
            <a:prstGeom prst="rect">
              <a:avLst/>
            </a:prstGeom>
          </xdr:spPr>
        </xdr:sp>
        <xdr:clientData/>
      </xdr:twoCellAnchor>
    </mc:Choice>
    <mc:Fallback/>
  </mc:AlternateContent>
</xdr:wsDr>
</file>

<file path=xl/drawings/drawing2.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7</xdr:col>
          <xdr:colOff>137160</xdr:colOff>
          <xdr:row>9</xdr:row>
          <xdr:rowOff>0</xdr:rowOff>
        </xdr:from>
        <xdr:to>
          <xdr:col>7</xdr:col>
          <xdr:colOff>1013460</xdr:colOff>
          <xdr:row>9</xdr:row>
          <xdr:rowOff>297180</xdr:rowOff>
        </xdr:to>
        <xdr:sp macro="[0]!Cal_Click">
          <xdr:nvSpPr>
            <xdr:cNvPr id="18435" name="Button 3" hidden="1">
              <a:extLst>
                <a:ext uri="{63B3BB69-23CF-44E3-9099-C40C66FF867C}">
                  <a14:compatExt spid="_x0000_s18435"/>
                </a:ext>
              </a:extLst>
            </xdr:cNvPr>
            <xdr:cNvSpPr/>
          </xdr:nvSpPr>
          <xdr:spPr>
            <a:xfrm>
              <a:off x="8605520" y="3206115"/>
              <a:ext cx="876300" cy="297180"/>
            </a:xfrm>
            <a:prstGeom prst="rect">
              <a:avLst/>
            </a:prstGeom>
          </xdr:spPr>
          <xdr:txBody>
            <a:bodyPr vertOverflow="clip" wrap="square" lIns="36576" tIns="18288" rIns="36576" bIns="18288" anchor="ctr" upright="1"/>
            <a:lstStyle/>
            <a:p>
              <a:pPr algn="ctr" rtl="0">
                <a:defRPr sz="1000"/>
              </a:pPr>
              <a:r>
                <a:rPr lang="zh-CN" altLang="en-US" sz="1100" b="1" i="0" u="none" strike="noStrike" baseline="0">
                  <a:solidFill>
                    <a:srgbClr val="000000"/>
                  </a:solidFill>
                  <a:latin typeface="宋体" panose="02010600030101010101" pitchFamily="7" charset="-122"/>
                  <a:ea typeface="宋体" panose="02010600030101010101" pitchFamily="7" charset="-122"/>
                </a:rPr>
                <a:t>计算</a:t>
              </a:r>
              <a:endParaRPr lang="zh-CN" altLang="en-US" sz="1100" b="1"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182880</xdr:colOff>
          <xdr:row>8</xdr:row>
          <xdr:rowOff>358140</xdr:rowOff>
        </xdr:from>
        <xdr:to>
          <xdr:col>6</xdr:col>
          <xdr:colOff>1036320</xdr:colOff>
          <xdr:row>9</xdr:row>
          <xdr:rowOff>297180</xdr:rowOff>
        </xdr:to>
        <xdr:sp macro="[0]!ClearAll_Click">
          <xdr:nvSpPr>
            <xdr:cNvPr id="18436" name="Button 4" hidden="1">
              <a:extLst>
                <a:ext uri="{63B3BB69-23CF-44E3-9099-C40C66FF867C}">
                  <a14:compatExt spid="_x0000_s18436"/>
                </a:ext>
              </a:extLst>
            </xdr:cNvPr>
            <xdr:cNvSpPr/>
          </xdr:nvSpPr>
          <xdr:spPr>
            <a:xfrm>
              <a:off x="7548880" y="3206115"/>
              <a:ext cx="853440" cy="297180"/>
            </a:xfrm>
            <a:prstGeom prst="rect">
              <a:avLst/>
            </a:prstGeom>
          </xdr:spPr>
          <xdr:txBody>
            <a:bodyPr vertOverflow="clip" wrap="square" lIns="36576" tIns="18288" rIns="36576" bIns="18288" anchor="ctr" upright="1"/>
            <a:lstStyle/>
            <a:p>
              <a:pPr algn="ctr" rtl="0">
                <a:defRPr sz="1000"/>
              </a:pPr>
              <a:r>
                <a:rPr lang="zh-CN" altLang="en-US" sz="1100" b="1" i="0" u="none" strike="noStrike" baseline="0">
                  <a:solidFill>
                    <a:srgbClr val="000000"/>
                  </a:solidFill>
                  <a:latin typeface="宋体" panose="02010600030101010101" pitchFamily="7" charset="-122"/>
                  <a:ea typeface="宋体" panose="02010600030101010101" pitchFamily="7" charset="-122"/>
                </a:rPr>
                <a:t>清空</a:t>
              </a:r>
              <a:endParaRPr lang="zh-CN" altLang="en-US" sz="1100" b="1"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5" Type="http://schemas.openxmlformats.org/officeDocument/2006/relationships/ctrlProp" Target="../ctrlProps/ctrlProp1.xml"/><Relationship Id="rId4" Type="http://schemas.openxmlformats.org/officeDocument/2006/relationships/image" Target="../media/image1.wmf"/><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1.xml"/></Relationships>
</file>

<file path=xl/worksheets/_rels/sheet16.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comments" Target="../comments2.xml"/></Relationships>
</file>

<file path=xl/worksheets/_rels/sheet34.xml.rels><?xml version="1.0" encoding="UTF-8" standalone="yes"?>
<Relationships xmlns="http://schemas.openxmlformats.org/package/2006/relationships"><Relationship Id="rId4" Type="http://schemas.openxmlformats.org/officeDocument/2006/relationships/ctrlProp" Target="../ctrlProps/ctrlProp3.xml"/><Relationship Id="rId3" Type="http://schemas.openxmlformats.org/officeDocument/2006/relationships/ctrlProp" Target="../ctrlProps/ctrlProp2.xml"/><Relationship Id="rId2" Type="http://schemas.openxmlformats.org/officeDocument/2006/relationships/vmlDrawing" Target="../drawings/vmlDrawing4.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tabColor rgb="FFFFFF00"/>
  </sheetPr>
  <dimension ref="A1:D21"/>
  <sheetViews>
    <sheetView zoomScale="70" zoomScaleNormal="70" workbookViewId="0">
      <selection activeCell="I8" sqref="I8"/>
    </sheetView>
  </sheetViews>
  <sheetFormatPr defaultColWidth="8.89090909090909" defaultRowHeight="30" customHeight="1" outlineLevelCol="3"/>
  <cols>
    <col min="2" max="2" width="30.3363636363636" customWidth="1"/>
    <col min="3" max="3" width="70.6636363636364" customWidth="1"/>
    <col min="4" max="4" width="12.7818181818182" customWidth="1"/>
    <col min="9" max="9" width="29.2181818181818" customWidth="1"/>
  </cols>
  <sheetData>
    <row r="1" s="50" customFormat="1" customHeight="1" spans="1:4">
      <c r="A1" s="64" t="s">
        <v>0</v>
      </c>
      <c r="B1" s="64"/>
      <c r="C1" s="64"/>
      <c r="D1" s="235"/>
    </row>
    <row r="2" s="50" customFormat="1" customHeight="1" spans="1:4">
      <c r="A2" s="236" t="s">
        <v>1</v>
      </c>
      <c r="B2" s="236" t="s">
        <v>2</v>
      </c>
      <c r="C2" s="236" t="s">
        <v>3</v>
      </c>
      <c r="D2" s="236" t="s">
        <v>4</v>
      </c>
    </row>
    <row r="3" s="50" customFormat="1" customHeight="1" spans="1:4">
      <c r="A3" s="7">
        <v>1</v>
      </c>
      <c r="B3" s="7" t="s">
        <v>5</v>
      </c>
      <c r="C3" s="7" t="s">
        <v>6</v>
      </c>
      <c r="D3" s="80">
        <v>0.05</v>
      </c>
    </row>
    <row r="4" s="50" customFormat="1" customHeight="1" spans="1:4">
      <c r="A4" s="7">
        <v>2</v>
      </c>
      <c r="B4" s="7" t="s">
        <v>7</v>
      </c>
      <c r="C4" s="7" t="s">
        <v>6</v>
      </c>
      <c r="D4" s="80">
        <v>0.03</v>
      </c>
    </row>
    <row r="5" s="50" customFormat="1" ht="78" customHeight="1" spans="1:4">
      <c r="A5" s="7">
        <v>3</v>
      </c>
      <c r="B5" s="7" t="s">
        <v>8</v>
      </c>
      <c r="C5" s="89" t="s">
        <v>9</v>
      </c>
      <c r="D5" s="80">
        <v>0.08</v>
      </c>
    </row>
    <row r="6" s="50" customFormat="1" ht="55.05" customHeight="1" spans="1:4">
      <c r="A6" s="7">
        <v>4</v>
      </c>
      <c r="B6" s="7" t="s">
        <v>10</v>
      </c>
      <c r="C6" s="36" t="s">
        <v>11</v>
      </c>
      <c r="D6" s="80">
        <v>0.07</v>
      </c>
    </row>
    <row r="7" s="50" customFormat="1" customHeight="1" spans="1:4">
      <c r="A7" s="7">
        <v>5</v>
      </c>
      <c r="B7" s="7" t="s">
        <v>12</v>
      </c>
      <c r="C7" s="7" t="s">
        <v>13</v>
      </c>
      <c r="D7" s="80">
        <v>0.03</v>
      </c>
    </row>
    <row r="8" s="50" customFormat="1" customHeight="1" spans="1:4">
      <c r="A8" s="7">
        <v>6</v>
      </c>
      <c r="B8" s="7" t="s">
        <v>14</v>
      </c>
      <c r="C8" s="7" t="s">
        <v>13</v>
      </c>
      <c r="D8" s="80">
        <v>0.02</v>
      </c>
    </row>
    <row r="9" s="50" customFormat="1" customHeight="1" spans="1:4">
      <c r="A9" s="7">
        <v>7</v>
      </c>
      <c r="B9" s="7" t="s">
        <v>15</v>
      </c>
      <c r="C9" s="7" t="s">
        <v>16</v>
      </c>
      <c r="D9" s="80">
        <v>0.25</v>
      </c>
    </row>
    <row r="10" s="50" customFormat="1" customHeight="1" spans="1:4">
      <c r="A10" s="7">
        <v>8</v>
      </c>
      <c r="B10" s="7" t="s">
        <v>17</v>
      </c>
      <c r="C10" s="7" t="s">
        <v>18</v>
      </c>
      <c r="D10" s="80">
        <v>0.1</v>
      </c>
    </row>
    <row r="11" s="50" customFormat="1" customHeight="1" spans="1:4">
      <c r="A11" s="7">
        <v>9</v>
      </c>
      <c r="B11" s="7" t="s">
        <v>19</v>
      </c>
      <c r="C11" s="7" t="s">
        <v>20</v>
      </c>
      <c r="D11" s="80">
        <v>0.05</v>
      </c>
    </row>
    <row r="12" s="50" customFormat="1" customHeight="1" spans="1:4">
      <c r="A12" s="7">
        <v>10</v>
      </c>
      <c r="B12" s="7" t="s">
        <v>21</v>
      </c>
      <c r="C12" s="237" t="s">
        <v>22</v>
      </c>
      <c r="D12" s="80">
        <v>0.05</v>
      </c>
    </row>
    <row r="13" s="50" customFormat="1" customHeight="1" spans="1:4">
      <c r="A13" s="7">
        <v>11</v>
      </c>
      <c r="B13" s="7" t="s">
        <v>23</v>
      </c>
      <c r="C13" s="7" t="s">
        <v>24</v>
      </c>
      <c r="D13" s="80">
        <v>1</v>
      </c>
    </row>
    <row r="14" ht="61.95" customHeight="1" spans="1:4">
      <c r="A14" s="7">
        <v>12</v>
      </c>
      <c r="B14" s="7" t="s">
        <v>25</v>
      </c>
      <c r="C14" s="89" t="s">
        <v>26</v>
      </c>
      <c r="D14" s="80">
        <v>0.03</v>
      </c>
    </row>
    <row r="15" ht="34.95" customHeight="1" spans="1:4">
      <c r="A15" s="196">
        <v>13</v>
      </c>
      <c r="B15" s="196" t="s">
        <v>27</v>
      </c>
      <c r="C15" s="36" t="s">
        <v>28</v>
      </c>
      <c r="D15" s="9">
        <v>0.0004</v>
      </c>
    </row>
    <row r="16" ht="33" customHeight="1" spans="1:4">
      <c r="A16" s="238"/>
      <c r="B16" s="238"/>
      <c r="C16" s="36" t="s">
        <v>29</v>
      </c>
      <c r="D16" s="9">
        <v>0.0008</v>
      </c>
    </row>
    <row r="17" customHeight="1" spans="1:4">
      <c r="A17" s="7">
        <v>14</v>
      </c>
      <c r="B17" s="7" t="s">
        <v>30</v>
      </c>
      <c r="C17" s="7" t="s">
        <v>31</v>
      </c>
      <c r="D17" s="239">
        <v>6.4e-5</v>
      </c>
    </row>
    <row r="18" customHeight="1" spans="1:4">
      <c r="A18" s="7">
        <v>15</v>
      </c>
      <c r="B18" s="7" t="s">
        <v>32</v>
      </c>
      <c r="C18" s="7" t="s">
        <v>33</v>
      </c>
      <c r="D18" s="240">
        <v>5e-5</v>
      </c>
    </row>
    <row r="19" customHeight="1" spans="1:4">
      <c r="A19" s="7">
        <v>16</v>
      </c>
      <c r="B19" s="7" t="s">
        <v>34</v>
      </c>
      <c r="C19" s="7" t="s">
        <v>35</v>
      </c>
      <c r="D19" s="9">
        <v>0</v>
      </c>
    </row>
    <row r="20" customHeight="1" spans="1:4">
      <c r="A20" s="7">
        <v>17</v>
      </c>
      <c r="B20" s="7" t="s">
        <v>36</v>
      </c>
      <c r="C20" s="7" t="s">
        <v>35</v>
      </c>
      <c r="D20" s="9">
        <v>0</v>
      </c>
    </row>
    <row r="21" customHeight="1" spans="1:4">
      <c r="A21" s="7">
        <v>18</v>
      </c>
      <c r="B21" s="7" t="s">
        <v>37</v>
      </c>
      <c r="C21" s="7" t="s">
        <v>35</v>
      </c>
      <c r="D21" s="9">
        <v>0</v>
      </c>
    </row>
  </sheetData>
  <mergeCells count="3">
    <mergeCell ref="A1:D1"/>
    <mergeCell ref="A15:A16"/>
    <mergeCell ref="B15:B16"/>
  </mergeCells>
  <pageMargins left="0.75" right="0.75" top="1" bottom="1" header="0.5" footer="0.5"/>
  <pageSetup paperSize="9" orientation="portrait"/>
  <headerFooter/>
  <drawing r:id="rId1"/>
  <legacyDrawing r:id="rId2"/>
  <controls>
    <mc:AlternateContent xmlns:mc="http://schemas.openxmlformats.org/markup-compatibility/2006">
      <mc:Choice Requires="x14">
        <control shapeId="20483" r:id="rId3" name="chkKeepFormulas">
          <controlPr defaultSize="0" r:id="rId4">
            <anchor moveWithCells="1">
              <from>
                <xdr:col>8</xdr:col>
                <xdr:colOff>220980</xdr:colOff>
                <xdr:row>4</xdr:row>
                <xdr:rowOff>129540</xdr:rowOff>
              </from>
              <to>
                <xdr:col>9</xdr:col>
                <xdr:colOff>281940</xdr:colOff>
                <xdr:row>4</xdr:row>
                <xdr:rowOff>693420</xdr:rowOff>
              </to>
            </anchor>
          </controlPr>
        </control>
      </mc:Choice>
      <mc:Fallback>
        <control shapeId="20483" r:id="rId3" name="chkKeepFormulas"/>
      </mc:Fallback>
    </mc:AlternateContent>
    <mc:AlternateContent xmlns:mc="http://schemas.openxmlformats.org/markup-compatibility/2006">
      <mc:Choice Requires="x14">
        <control shapeId="20481" name="Button 1" r:id="rId5">
          <controlPr print="0" defaultSize="0">
            <anchor moveWithCells="1" sizeWithCells="1">
              <from>
                <xdr:col>5</xdr:col>
                <xdr:colOff>228600</xdr:colOff>
                <xdr:row>4</xdr:row>
                <xdr:rowOff>152400</xdr:rowOff>
              </from>
              <to>
                <xdr:col>8</xdr:col>
                <xdr:colOff>53340</xdr:colOff>
                <xdr:row>4</xdr:row>
                <xdr:rowOff>662940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tabColor rgb="FFFFFF00"/>
  </sheetPr>
  <dimension ref="A1:E14"/>
  <sheetViews>
    <sheetView tabSelected="1" topLeftCell="A2" workbookViewId="0">
      <selection activeCell="D12" sqref="D12"/>
    </sheetView>
  </sheetViews>
  <sheetFormatPr defaultColWidth="8.89090909090909" defaultRowHeight="28.05" customHeight="1" outlineLevelCol="4"/>
  <cols>
    <col min="2" max="2" width="22.6636363636364" customWidth="1"/>
    <col min="3" max="3" width="58.4454545454545" customWidth="1"/>
    <col min="4" max="4" width="17.1090909090909" customWidth="1"/>
    <col min="5" max="5" width="29.8909090909091" customWidth="1"/>
  </cols>
  <sheetData>
    <row r="1" customHeight="1" spans="1:4">
      <c r="A1" s="67" t="s">
        <v>38</v>
      </c>
      <c r="B1" s="67"/>
      <c r="C1" s="67"/>
      <c r="D1" s="67"/>
    </row>
    <row r="2" customHeight="1" spans="1:4">
      <c r="A2" s="233" t="s">
        <v>1</v>
      </c>
      <c r="B2" s="233" t="s">
        <v>2</v>
      </c>
      <c r="C2" s="233" t="s">
        <v>3</v>
      </c>
      <c r="D2" s="233" t="s">
        <v>39</v>
      </c>
    </row>
    <row r="3" customHeight="1" spans="1:4">
      <c r="A3" s="234">
        <v>1</v>
      </c>
      <c r="B3" s="234" t="s">
        <v>40</v>
      </c>
      <c r="C3" s="151"/>
      <c r="D3" s="151"/>
    </row>
    <row r="4" customHeight="1" spans="1:4">
      <c r="A4" s="7">
        <v>1.1</v>
      </c>
      <c r="B4" s="7" t="s">
        <v>41</v>
      </c>
      <c r="C4" s="231">
        <v>45901</v>
      </c>
      <c r="D4" s="231">
        <v>45931</v>
      </c>
    </row>
    <row r="5" customHeight="1" spans="1:4">
      <c r="A5" s="7">
        <v>1.2</v>
      </c>
      <c r="B5" s="7" t="s">
        <v>42</v>
      </c>
      <c r="C5" s="231">
        <v>46966</v>
      </c>
      <c r="D5" s="231">
        <v>46387</v>
      </c>
    </row>
    <row r="6" customHeight="1" spans="1:4">
      <c r="A6" s="7">
        <v>1.3</v>
      </c>
      <c r="B6" s="7" t="s">
        <v>43</v>
      </c>
      <c r="C6" s="40" t="s">
        <v>44</v>
      </c>
      <c r="D6" s="99">
        <v>15</v>
      </c>
    </row>
    <row r="7" customHeight="1" spans="1:4">
      <c r="A7" s="7">
        <v>1.4</v>
      </c>
      <c r="B7" s="7" t="s">
        <v>45</v>
      </c>
      <c r="C7" s="7" t="s">
        <v>46</v>
      </c>
      <c r="D7" s="231">
        <f>D5+31</f>
        <v>46418</v>
      </c>
    </row>
    <row r="8" customHeight="1" spans="1:5">
      <c r="A8" s="7">
        <v>1.5</v>
      </c>
      <c r="B8" s="7" t="s">
        <v>47</v>
      </c>
      <c r="C8" s="7" t="s">
        <v>48</v>
      </c>
      <c r="D8" s="11">
        <v>22</v>
      </c>
      <c r="E8" s="13" t="s">
        <v>49</v>
      </c>
    </row>
    <row r="9" customHeight="1" spans="1:4">
      <c r="A9" s="234">
        <v>2</v>
      </c>
      <c r="B9" s="234" t="s">
        <v>50</v>
      </c>
      <c r="C9" s="151"/>
      <c r="D9" s="234"/>
    </row>
    <row r="10" customHeight="1" spans="1:4">
      <c r="A10" s="7">
        <v>2.1</v>
      </c>
      <c r="B10" s="7" t="s">
        <v>41</v>
      </c>
      <c r="C10" s="231">
        <v>46266</v>
      </c>
      <c r="D10" s="231">
        <v>46388</v>
      </c>
    </row>
    <row r="11" customHeight="1" spans="1:4">
      <c r="A11" s="7">
        <v>2.2</v>
      </c>
      <c r="B11" s="7" t="s">
        <v>42</v>
      </c>
      <c r="C11" s="231">
        <v>46966</v>
      </c>
      <c r="D11" s="231">
        <v>47026</v>
      </c>
    </row>
    <row r="12" customHeight="1" spans="1:4">
      <c r="A12" s="7">
        <v>2.3</v>
      </c>
      <c r="B12" s="7" t="s">
        <v>43</v>
      </c>
      <c r="C12" s="40" t="s">
        <v>44</v>
      </c>
      <c r="D12" s="99">
        <v>21</v>
      </c>
    </row>
    <row r="13" customHeight="1" spans="1:4">
      <c r="A13" s="7">
        <v>2.4</v>
      </c>
      <c r="B13" s="7" t="s">
        <v>45</v>
      </c>
      <c r="C13" s="7" t="s">
        <v>46</v>
      </c>
      <c r="D13" s="231">
        <f>D11</f>
        <v>47026</v>
      </c>
    </row>
    <row r="14" customHeight="1" spans="1:5">
      <c r="A14" s="7">
        <v>2.5</v>
      </c>
      <c r="B14" s="7" t="s">
        <v>47</v>
      </c>
      <c r="C14" s="7" t="s">
        <v>48</v>
      </c>
      <c r="D14" s="11">
        <v>20</v>
      </c>
      <c r="E14" s="13" t="s">
        <v>49</v>
      </c>
    </row>
  </sheetData>
  <mergeCells count="1">
    <mergeCell ref="A1:D1"/>
  </mergeCells>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tabColor rgb="FFFFFF00"/>
  </sheetPr>
  <dimension ref="A1:N7"/>
  <sheetViews>
    <sheetView zoomScale="80" zoomScaleNormal="80" workbookViewId="0">
      <selection activeCell="M7" sqref="M7"/>
    </sheetView>
  </sheetViews>
  <sheetFormatPr defaultColWidth="8.89090909090909" defaultRowHeight="28.05" customHeight="1" outlineLevelRow="6"/>
  <cols>
    <col min="1" max="1" width="7.78181818181818" customWidth="1"/>
    <col min="2" max="2" width="9.55454545454545" customWidth="1"/>
    <col min="3" max="3" width="16.5545454545455" customWidth="1"/>
    <col min="4" max="4" width="15.6636363636364" customWidth="1"/>
    <col min="5" max="5" width="11.3363636363636" customWidth="1"/>
    <col min="6" max="6" width="12.7818181818182" customWidth="1"/>
    <col min="7" max="7" width="21.7818181818182" customWidth="1"/>
    <col min="8" max="8" width="21.8909090909091" customWidth="1"/>
    <col min="9" max="9" width="28.6636363636364" customWidth="1"/>
    <col min="10" max="10" width="13.7818181818182" customWidth="1"/>
    <col min="11" max="11" width="29" customWidth="1"/>
    <col min="12" max="12" width="23.2181818181818" customWidth="1"/>
    <col min="13" max="13" width="26" customWidth="1"/>
    <col min="15" max="15" width="18.8909090909091" customWidth="1"/>
  </cols>
  <sheetData>
    <row r="1" s="54" customFormat="1" customHeight="1" spans="1:13">
      <c r="A1" s="67" t="s">
        <v>51</v>
      </c>
      <c r="B1" s="67"/>
      <c r="C1" s="67"/>
      <c r="D1" s="67"/>
      <c r="E1" s="67"/>
      <c r="F1" s="67"/>
      <c r="G1" s="67"/>
      <c r="H1" s="67"/>
      <c r="I1" s="67"/>
      <c r="J1" s="67"/>
      <c r="K1" s="67"/>
      <c r="L1" s="67"/>
      <c r="M1" s="67"/>
    </row>
    <row r="2" s="54" customFormat="1" ht="40.05" customHeight="1" spans="1:13">
      <c r="A2" s="2" t="s">
        <v>1</v>
      </c>
      <c r="B2" s="2" t="s">
        <v>52</v>
      </c>
      <c r="C2" s="2" t="s">
        <v>53</v>
      </c>
      <c r="D2" s="230" t="s">
        <v>54</v>
      </c>
      <c r="E2" s="2" t="s">
        <v>55</v>
      </c>
      <c r="F2" s="2" t="s">
        <v>56</v>
      </c>
      <c r="G2" s="2" t="s">
        <v>57</v>
      </c>
      <c r="H2" s="2" t="s">
        <v>58</v>
      </c>
      <c r="I2" s="2" t="s">
        <v>59</v>
      </c>
      <c r="J2" s="2" t="s">
        <v>60</v>
      </c>
      <c r="K2" s="2" t="s">
        <v>61</v>
      </c>
      <c r="L2" s="230" t="s">
        <v>62</v>
      </c>
      <c r="M2" s="230" t="s">
        <v>63</v>
      </c>
    </row>
    <row r="3" s="54" customFormat="1" ht="82.05" customHeight="1" spans="1:13">
      <c r="A3" s="151"/>
      <c r="B3" s="151"/>
      <c r="C3" s="102" t="s">
        <v>64</v>
      </c>
      <c r="D3" s="151"/>
      <c r="E3" s="151"/>
      <c r="F3" s="151"/>
      <c r="G3" s="102" t="s">
        <v>65</v>
      </c>
      <c r="H3" s="102" t="s">
        <v>66</v>
      </c>
      <c r="I3" s="102" t="s">
        <v>67</v>
      </c>
      <c r="J3" s="151"/>
      <c r="K3" s="102" t="s">
        <v>68</v>
      </c>
      <c r="L3" s="102" t="s">
        <v>69</v>
      </c>
      <c r="M3" s="102" t="s">
        <v>70</v>
      </c>
    </row>
    <row r="4" s="54" customFormat="1" customHeight="1" spans="1:14">
      <c r="A4" s="7">
        <v>1</v>
      </c>
      <c r="B4" s="11" t="s">
        <v>71</v>
      </c>
      <c r="C4" s="11" t="s">
        <v>72</v>
      </c>
      <c r="D4" s="39">
        <v>1175</v>
      </c>
      <c r="E4" s="231">
        <v>45901</v>
      </c>
      <c r="F4" s="231">
        <f>DATE(YEAR(E4)+G4,MONTH(E4),DAY(E4))</f>
        <v>53206</v>
      </c>
      <c r="G4" s="11">
        <v>20</v>
      </c>
      <c r="H4" s="9">
        <f>2.12%*(1+A财务假设!$D$21)</f>
        <v>0.0212</v>
      </c>
      <c r="I4" s="99" t="s">
        <v>73</v>
      </c>
      <c r="J4" s="231">
        <f>IF(G4&lt;10,DATE(YEAR(E4)+1,MONTH(E4),DAY(E4)),DATE(YEAR(E4),MONTH(E4)+6,DAY(E4)))</f>
        <v>46082</v>
      </c>
      <c r="K4" s="232">
        <f>IF(G4&gt;4,D4*A财务假设!$D$16,D4*A财务假设!$D$15)</f>
        <v>0.94</v>
      </c>
      <c r="L4" s="40">
        <f>D4*A财务假设!$D$17</f>
        <v>0.0752</v>
      </c>
      <c r="M4" s="47">
        <f>c借款还本付息计划表!C9</f>
        <v>0.08366</v>
      </c>
      <c r="N4" s="88" t="s">
        <v>74</v>
      </c>
    </row>
    <row r="5" s="54" customFormat="1" customHeight="1" spans="1:14">
      <c r="A5" s="7">
        <v>2</v>
      </c>
      <c r="B5" s="11" t="s">
        <v>75</v>
      </c>
      <c r="C5" s="11" t="s">
        <v>72</v>
      </c>
      <c r="D5" s="39">
        <v>11590</v>
      </c>
      <c r="E5" s="231">
        <v>46266</v>
      </c>
      <c r="F5" s="231">
        <f>DATE(YEAR(E5)+G5,MONTH(E5),DAY(E5))</f>
        <v>53571</v>
      </c>
      <c r="G5" s="11">
        <v>20</v>
      </c>
      <c r="H5" s="9">
        <f>2.12%*(1+A财务假设!$D$21)</f>
        <v>0.0212</v>
      </c>
      <c r="I5" s="99" t="s">
        <v>73</v>
      </c>
      <c r="J5" s="231">
        <f>IF(G5&lt;10,DATE(YEAR(E5)+1,MONTH(E5),DAY(E5)),DATE(YEAR(E5),MONTH(E5)+6,DAY(E5)))</f>
        <v>46447</v>
      </c>
      <c r="K5" s="232">
        <f>IF(G5&gt;4,D5*A财务假设!$D$16,D5*A财务假设!$D$15)</f>
        <v>9.272</v>
      </c>
      <c r="L5" s="40">
        <f>D5*A财务假设!$D$17</f>
        <v>0.74176</v>
      </c>
      <c r="M5" s="47">
        <f>c借款还本付息计划表!C18</f>
        <v>0.825208</v>
      </c>
      <c r="N5" s="88" t="s">
        <v>74</v>
      </c>
    </row>
    <row r="6" s="54" customFormat="1" customHeight="1" spans="1:14">
      <c r="A6" s="7">
        <v>3</v>
      </c>
      <c r="B6" s="11" t="s">
        <v>76</v>
      </c>
      <c r="C6" s="11" t="s">
        <v>72</v>
      </c>
      <c r="D6" s="39">
        <v>8705</v>
      </c>
      <c r="E6" s="231">
        <v>46631</v>
      </c>
      <c r="F6" s="231">
        <f>DATE(YEAR(E6)+G6,MONTH(E6),DAY(E6))</f>
        <v>53936</v>
      </c>
      <c r="G6" s="11">
        <v>20</v>
      </c>
      <c r="H6" s="9">
        <f>2.12%*(1+A财务假设!$D$21)</f>
        <v>0.0212</v>
      </c>
      <c r="I6" s="99" t="s">
        <v>73</v>
      </c>
      <c r="J6" s="231">
        <f>IF(G6&lt;10,DATE(YEAR(E6)+1,MONTH(E6),DAY(E6)),DATE(YEAR(E6),MONTH(E6)+6,DAY(E6)))</f>
        <v>46813</v>
      </c>
      <c r="K6" s="232">
        <f>IF(G6&gt;4,D6*A财务假设!$D$16,D6*A财务假设!$D$15)</f>
        <v>6.964</v>
      </c>
      <c r="L6" s="40">
        <f>D6*A财务假设!$D$17</f>
        <v>0.55712</v>
      </c>
      <c r="M6" s="47">
        <f>c借款还本付息计划表!C27</f>
        <v>0.619796</v>
      </c>
      <c r="N6" s="88" t="s">
        <v>74</v>
      </c>
    </row>
    <row r="7" s="54" customFormat="1" customHeight="1" spans="1:14">
      <c r="A7" s="7">
        <v>4</v>
      </c>
      <c r="B7" s="11" t="s">
        <v>77</v>
      </c>
      <c r="C7" s="11" t="s">
        <v>72</v>
      </c>
      <c r="D7" s="39">
        <v>7530</v>
      </c>
      <c r="E7" s="231">
        <v>46997</v>
      </c>
      <c r="F7" s="231">
        <f>DATE(YEAR(E7)+G7,MONTH(E7),DAY(E7))</f>
        <v>54302</v>
      </c>
      <c r="G7" s="11">
        <v>20</v>
      </c>
      <c r="H7" s="9">
        <f>2.12%*(1+A财务假设!$D$21)</f>
        <v>0.0212</v>
      </c>
      <c r="I7" s="99" t="s">
        <v>73</v>
      </c>
      <c r="J7" s="231">
        <f>IF(G7&lt;10,DATE(YEAR(E7)+1,MONTH(E7),DAY(E7)),DATE(YEAR(E7),MONTH(E7)+6,DAY(E7)))</f>
        <v>47178</v>
      </c>
      <c r="K7" s="232">
        <f>IF(G7&gt;4,D7*A财务假设!$D$16,D7*A财务假设!$D$15)</f>
        <v>6.024</v>
      </c>
      <c r="L7" s="40">
        <f>D7*A财务假设!$D$17</f>
        <v>0.48192</v>
      </c>
      <c r="M7" s="47">
        <f>c借款还本付息计划表!C36</f>
        <v>0.536136</v>
      </c>
      <c r="N7" s="88" t="s">
        <v>74</v>
      </c>
    </row>
  </sheetData>
  <mergeCells count="1">
    <mergeCell ref="A1:M1"/>
  </mergeCells>
  <dataValidations count="1">
    <dataValidation type="list" allowBlank="1" showInputMessage="1" showErrorMessage="1" sqref="I4:I7">
      <formula1>"贷款期内本期等额本金还款,贷款期内本期等额本息还款,后五年每年还本20%,后十年每年还本10%,后二十年每年还本5%,到期一次性还清,自定义还款"</formula1>
    </dataValidation>
  </dataValidations>
  <pageMargins left="0.75" right="0.75" top="1" bottom="1" header="0.5" footer="0.5"/>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tabColor rgb="FFFFFF00"/>
  </sheetPr>
  <dimension ref="A1:F7"/>
  <sheetViews>
    <sheetView workbookViewId="0">
      <selection activeCell="E14" sqref="E14"/>
    </sheetView>
  </sheetViews>
  <sheetFormatPr defaultColWidth="15.3363636363636" defaultRowHeight="28.05" customHeight="1" outlineLevelRow="6" outlineLevelCol="5"/>
  <sheetData>
    <row r="1" customHeight="1" spans="1:6">
      <c r="A1" s="38" t="s">
        <v>78</v>
      </c>
      <c r="B1" s="38"/>
      <c r="C1" s="38"/>
      <c r="D1" s="38"/>
      <c r="E1" s="38"/>
      <c r="F1" s="38"/>
    </row>
    <row r="2" s="227" customFormat="1" customHeight="1" spans="1:6">
      <c r="A2" s="2" t="s">
        <v>1</v>
      </c>
      <c r="B2" s="2" t="s">
        <v>79</v>
      </c>
      <c r="C2" s="34">
        <v>2025</v>
      </c>
      <c r="D2" s="34">
        <v>2026</v>
      </c>
      <c r="E2" s="34">
        <v>2027</v>
      </c>
      <c r="F2" s="34">
        <v>2028</v>
      </c>
    </row>
    <row r="3" customHeight="1" spans="1:6">
      <c r="A3" s="7">
        <v>1</v>
      </c>
      <c r="B3" s="11" t="s">
        <v>71</v>
      </c>
      <c r="C3" s="39">
        <f>C.1项目融资信息!D4</f>
        <v>1175</v>
      </c>
      <c r="D3" s="39">
        <v>0</v>
      </c>
      <c r="E3" s="39">
        <v>0</v>
      </c>
      <c r="F3" s="39">
        <v>0</v>
      </c>
    </row>
    <row r="4" customHeight="1" spans="1:6">
      <c r="A4" s="7">
        <v>2</v>
      </c>
      <c r="B4" s="11" t="s">
        <v>75</v>
      </c>
      <c r="C4" s="39"/>
      <c r="D4" s="39">
        <f>C.1项目融资信息!D5</f>
        <v>11590</v>
      </c>
      <c r="E4" s="39"/>
      <c r="F4" s="39"/>
    </row>
    <row r="5" customHeight="1" spans="1:6">
      <c r="A5" s="7">
        <v>2</v>
      </c>
      <c r="B5" s="11" t="s">
        <v>76</v>
      </c>
      <c r="C5" s="39"/>
      <c r="D5" s="39"/>
      <c r="E5" s="39">
        <f>C.1项目融资信息!D6</f>
        <v>8705</v>
      </c>
      <c r="F5" s="39"/>
    </row>
    <row r="6" customHeight="1" spans="1:6">
      <c r="A6" s="7">
        <v>2</v>
      </c>
      <c r="B6" s="11" t="s">
        <v>77</v>
      </c>
      <c r="C6" s="39"/>
      <c r="D6" s="39"/>
      <c r="E6" s="39"/>
      <c r="F6" s="39">
        <f>C.1项目融资信息!D7</f>
        <v>7530</v>
      </c>
    </row>
    <row r="7" customHeight="1" spans="1:6">
      <c r="A7" s="228">
        <v>4</v>
      </c>
      <c r="B7" s="228" t="s">
        <v>80</v>
      </c>
      <c r="C7" s="229">
        <f>SUM(C3:C6)</f>
        <v>1175</v>
      </c>
      <c r="D7" s="229">
        <f>SUM(D3:D6)</f>
        <v>11590</v>
      </c>
      <c r="E7" s="229">
        <f>SUM(E3:E6)</f>
        <v>8705</v>
      </c>
      <c r="F7" s="229">
        <f>SUM(F3:F6)</f>
        <v>7530</v>
      </c>
    </row>
  </sheetData>
  <mergeCells count="1">
    <mergeCell ref="A1:F1"/>
  </mergeCells>
  <pageMargins left="0.75" right="0.75" top="1" bottom="1" header="0.5" footer="0.5"/>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tabColor rgb="FF0070C0"/>
  </sheetPr>
  <dimension ref="A1:H39"/>
  <sheetViews>
    <sheetView zoomScale="85" zoomScaleNormal="85" workbookViewId="0">
      <selection activeCell="D27" sqref="D27"/>
    </sheetView>
  </sheetViews>
  <sheetFormatPr defaultColWidth="8.89090909090909" defaultRowHeight="28.05" customHeight="1" outlineLevelCol="7"/>
  <cols>
    <col min="2" max="4" width="20.6636363636364" customWidth="1"/>
    <col min="5" max="5" width="55.6636363636364" customWidth="1"/>
    <col min="6" max="6" width="18.8909090909091" customWidth="1"/>
  </cols>
  <sheetData>
    <row r="1" s="50" customFormat="1" customHeight="1" spans="1:8">
      <c r="A1" s="62" t="s">
        <v>81</v>
      </c>
      <c r="B1" s="63"/>
      <c r="C1" s="63"/>
      <c r="D1" s="63"/>
      <c r="E1" s="63"/>
      <c r="F1" s="198"/>
      <c r="H1" s="199" t="s">
        <v>82</v>
      </c>
    </row>
    <row r="2" s="50" customFormat="1" customHeight="1" spans="1:7">
      <c r="A2" s="200" t="s">
        <v>1</v>
      </c>
      <c r="B2" s="201" t="s">
        <v>83</v>
      </c>
      <c r="C2" s="202" t="s">
        <v>84</v>
      </c>
      <c r="D2" s="203" t="s">
        <v>85</v>
      </c>
      <c r="E2" s="202" t="s">
        <v>86</v>
      </c>
      <c r="F2" s="202" t="s">
        <v>87</v>
      </c>
      <c r="G2" s="204" t="s">
        <v>88</v>
      </c>
    </row>
    <row r="3" s="50" customFormat="1" customHeight="1" spans="1:6">
      <c r="A3" s="205" t="s">
        <v>89</v>
      </c>
      <c r="B3" s="206" t="s">
        <v>90</v>
      </c>
      <c r="C3" s="207"/>
      <c r="D3" s="207"/>
      <c r="E3" s="208"/>
      <c r="F3" s="209">
        <v>24474.93</v>
      </c>
    </row>
    <row r="4" s="50" customFormat="1" customHeight="1" spans="1:6">
      <c r="A4" s="210">
        <v>1</v>
      </c>
      <c r="B4" s="211" t="s">
        <v>91</v>
      </c>
      <c r="C4" s="210" t="s">
        <v>92</v>
      </c>
      <c r="D4" s="212" t="s">
        <v>93</v>
      </c>
      <c r="E4" s="210">
        <v>1</v>
      </c>
      <c r="F4" s="213">
        <v>3990</v>
      </c>
    </row>
    <row r="5" s="50" customFormat="1" ht="87" customHeight="1" spans="1:6">
      <c r="A5" s="210">
        <v>2</v>
      </c>
      <c r="B5" s="211"/>
      <c r="C5" s="210"/>
      <c r="D5" s="212" t="s">
        <v>94</v>
      </c>
      <c r="E5" s="210">
        <v>1</v>
      </c>
      <c r="F5" s="213">
        <v>3036</v>
      </c>
    </row>
    <row r="6" s="50" customFormat="1" ht="87" customHeight="1" spans="1:6">
      <c r="A6" s="210">
        <v>3</v>
      </c>
      <c r="B6" s="211"/>
      <c r="C6" s="210"/>
      <c r="D6" s="212" t="s">
        <v>95</v>
      </c>
      <c r="E6" s="210">
        <v>1</v>
      </c>
      <c r="F6" s="213">
        <v>1880</v>
      </c>
    </row>
    <row r="7" s="50" customFormat="1" ht="87" customHeight="1" spans="1:6">
      <c r="A7" s="210">
        <v>4</v>
      </c>
      <c r="B7" s="211"/>
      <c r="C7" s="212" t="s">
        <v>96</v>
      </c>
      <c r="D7" s="212" t="s">
        <v>96</v>
      </c>
      <c r="E7" s="210">
        <v>1</v>
      </c>
      <c r="F7" s="213">
        <v>866</v>
      </c>
    </row>
    <row r="8" s="50" customFormat="1" ht="87" customHeight="1" spans="1:6">
      <c r="A8" s="210">
        <v>5</v>
      </c>
      <c r="B8" s="211"/>
      <c r="C8" s="212" t="s">
        <v>97</v>
      </c>
      <c r="D8" s="212" t="s">
        <v>97</v>
      </c>
      <c r="E8" s="210">
        <v>1</v>
      </c>
      <c r="F8" s="213">
        <v>7128.5</v>
      </c>
    </row>
    <row r="9" s="50" customFormat="1" customHeight="1" spans="1:6">
      <c r="A9" s="210">
        <v>6</v>
      </c>
      <c r="B9" s="211"/>
      <c r="C9" s="212" t="s">
        <v>98</v>
      </c>
      <c r="D9" s="212" t="s">
        <v>98</v>
      </c>
      <c r="E9" s="210">
        <v>1</v>
      </c>
      <c r="F9" s="213">
        <v>1420</v>
      </c>
    </row>
    <row r="10" s="50" customFormat="1" ht="46.95" customHeight="1" spans="1:6">
      <c r="A10" s="210">
        <v>7</v>
      </c>
      <c r="B10" s="211"/>
      <c r="C10" s="212" t="s">
        <v>99</v>
      </c>
      <c r="D10" s="212" t="s">
        <v>99</v>
      </c>
      <c r="E10" s="210">
        <v>1</v>
      </c>
      <c r="F10" s="213">
        <v>926.43</v>
      </c>
    </row>
    <row r="11" s="50" customFormat="1" customHeight="1" spans="1:6">
      <c r="A11" s="210">
        <v>8</v>
      </c>
      <c r="B11" s="211"/>
      <c r="C11" s="212" t="s">
        <v>100</v>
      </c>
      <c r="D11" s="212" t="s">
        <v>100</v>
      </c>
      <c r="E11" s="210">
        <v>1</v>
      </c>
      <c r="F11" s="213">
        <v>288</v>
      </c>
    </row>
    <row r="12" s="50" customFormat="1" ht="52.05" customHeight="1" spans="1:6">
      <c r="A12" s="210">
        <v>9</v>
      </c>
      <c r="B12" s="210" t="s">
        <v>101</v>
      </c>
      <c r="C12" s="214" t="s">
        <v>102</v>
      </c>
      <c r="D12" s="215" t="s">
        <v>103</v>
      </c>
      <c r="E12" s="210">
        <v>1</v>
      </c>
      <c r="F12" s="213">
        <v>580</v>
      </c>
    </row>
    <row r="13" s="50" customFormat="1" customHeight="1" spans="1:6">
      <c r="A13" s="210">
        <v>10</v>
      </c>
      <c r="B13" s="210"/>
      <c r="C13" s="212"/>
      <c r="D13" s="215" t="s">
        <v>104</v>
      </c>
      <c r="E13" s="210">
        <v>1</v>
      </c>
      <c r="F13" s="213">
        <v>650</v>
      </c>
    </row>
    <row r="14" s="50" customFormat="1" customHeight="1" spans="1:6">
      <c r="A14" s="210">
        <v>11</v>
      </c>
      <c r="B14" s="210"/>
      <c r="C14" s="212"/>
      <c r="D14" s="215" t="s">
        <v>105</v>
      </c>
      <c r="E14" s="210">
        <v>1</v>
      </c>
      <c r="F14" s="213">
        <v>680</v>
      </c>
    </row>
    <row r="15" s="50" customFormat="1" customHeight="1" spans="1:6">
      <c r="A15" s="210">
        <v>12</v>
      </c>
      <c r="B15" s="210"/>
      <c r="C15" s="212"/>
      <c r="D15" s="215" t="s">
        <v>106</v>
      </c>
      <c r="E15" s="210">
        <v>1</v>
      </c>
      <c r="F15" s="213">
        <v>500</v>
      </c>
    </row>
    <row r="16" s="50" customFormat="1" customHeight="1" spans="1:6">
      <c r="A16" s="210">
        <v>13</v>
      </c>
      <c r="B16" s="210"/>
      <c r="C16" s="212"/>
      <c r="D16" s="215" t="s">
        <v>107</v>
      </c>
      <c r="E16" s="210">
        <v>1</v>
      </c>
      <c r="F16" s="213">
        <v>380</v>
      </c>
    </row>
    <row r="17" s="50" customFormat="1" customHeight="1" spans="1:6">
      <c r="A17" s="210">
        <v>14</v>
      </c>
      <c r="B17" s="210"/>
      <c r="C17" s="212"/>
      <c r="D17" s="215" t="s">
        <v>108</v>
      </c>
      <c r="E17" s="210">
        <v>1</v>
      </c>
      <c r="F17" s="213">
        <v>800</v>
      </c>
    </row>
    <row r="18" s="50" customFormat="1" customHeight="1" spans="1:6">
      <c r="A18" s="210">
        <v>15</v>
      </c>
      <c r="B18" s="210"/>
      <c r="C18" s="216" t="s">
        <v>109</v>
      </c>
      <c r="D18" s="215" t="s">
        <v>110</v>
      </c>
      <c r="E18" s="210">
        <v>1</v>
      </c>
      <c r="F18" s="213">
        <v>800</v>
      </c>
    </row>
    <row r="19" s="50" customFormat="1" customHeight="1" spans="1:6">
      <c r="A19" s="210">
        <v>16</v>
      </c>
      <c r="B19" s="210"/>
      <c r="C19" s="216"/>
      <c r="D19" s="215" t="s">
        <v>111</v>
      </c>
      <c r="E19" s="210">
        <v>1</v>
      </c>
      <c r="F19" s="213">
        <v>550</v>
      </c>
    </row>
    <row r="20" s="50" customFormat="1" customHeight="1" spans="1:6">
      <c r="A20" s="217" t="s">
        <v>112</v>
      </c>
      <c r="B20" s="218" t="s">
        <v>113</v>
      </c>
      <c r="C20" s="217"/>
      <c r="D20" s="219"/>
      <c r="E20" s="217"/>
      <c r="F20" s="209">
        <v>2408.1821113962</v>
      </c>
    </row>
    <row r="21" s="50" customFormat="1" customHeight="1" spans="1:6">
      <c r="A21" s="220">
        <v>1</v>
      </c>
      <c r="B21" s="221" t="s">
        <v>114</v>
      </c>
      <c r="C21" s="221"/>
      <c r="D21" s="222" t="s">
        <v>115</v>
      </c>
      <c r="E21" s="221"/>
      <c r="F21" s="223">
        <v>284.7493</v>
      </c>
    </row>
    <row r="22" s="50" customFormat="1" customHeight="1" spans="1:6">
      <c r="A22" s="220">
        <v>2</v>
      </c>
      <c r="B22" s="221" t="s">
        <v>116</v>
      </c>
      <c r="C22" s="221"/>
      <c r="D22" s="222" t="s">
        <v>117</v>
      </c>
      <c r="E22" s="221"/>
      <c r="F22" s="223">
        <v>146.84958</v>
      </c>
    </row>
    <row r="23" s="50" customFormat="1" customHeight="1" spans="1:6">
      <c r="A23" s="220">
        <v>3</v>
      </c>
      <c r="B23" s="221" t="s">
        <v>118</v>
      </c>
      <c r="C23" s="221"/>
      <c r="D23" s="222" t="s">
        <v>119</v>
      </c>
      <c r="E23" s="221"/>
      <c r="F23" s="223">
        <v>675.8092948</v>
      </c>
    </row>
    <row r="24" s="50" customFormat="1" customHeight="1" spans="1:6">
      <c r="A24" s="220">
        <v>4</v>
      </c>
      <c r="B24" s="221" t="s">
        <v>120</v>
      </c>
      <c r="C24" s="221"/>
      <c r="D24" s="222" t="s">
        <v>121</v>
      </c>
      <c r="E24" s="221"/>
      <c r="F24" s="223">
        <v>463.8353982</v>
      </c>
    </row>
    <row r="25" s="50" customFormat="1" customHeight="1" spans="1:6">
      <c r="A25" s="220">
        <v>5</v>
      </c>
      <c r="B25" s="221" t="s">
        <v>122</v>
      </c>
      <c r="C25" s="221"/>
      <c r="D25" s="222" t="s">
        <v>117</v>
      </c>
      <c r="E25" s="221"/>
      <c r="F25" s="223">
        <v>244.7493</v>
      </c>
    </row>
    <row r="26" s="50" customFormat="1" customHeight="1" spans="1:6">
      <c r="A26" s="220">
        <v>6</v>
      </c>
      <c r="B26" s="221" t="s">
        <v>123</v>
      </c>
      <c r="C26" s="221"/>
      <c r="D26" s="222" t="s">
        <v>124</v>
      </c>
      <c r="E26" s="221"/>
      <c r="F26" s="223">
        <v>29.369916</v>
      </c>
    </row>
    <row r="27" s="50" customFormat="1" customHeight="1" spans="1:6">
      <c r="A27" s="220">
        <v>7</v>
      </c>
      <c r="B27" s="221" t="s">
        <v>125</v>
      </c>
      <c r="C27" s="221"/>
      <c r="D27" s="222" t="s">
        <v>126</v>
      </c>
      <c r="E27" s="221"/>
      <c r="F27" s="223">
        <v>53.0052788122</v>
      </c>
    </row>
    <row r="28" s="50" customFormat="1" customHeight="1" spans="1:6">
      <c r="A28" s="220">
        <v>8</v>
      </c>
      <c r="B28" s="221" t="s">
        <v>127</v>
      </c>
      <c r="C28" s="221"/>
      <c r="D28" s="222" t="s">
        <v>128</v>
      </c>
      <c r="E28" s="221"/>
      <c r="F28" s="223">
        <v>244.7493</v>
      </c>
    </row>
    <row r="29" s="50" customFormat="1" customHeight="1" spans="1:6">
      <c r="A29" s="220">
        <v>9</v>
      </c>
      <c r="B29" s="221" t="s">
        <v>129</v>
      </c>
      <c r="C29" s="221"/>
      <c r="D29" s="222"/>
      <c r="E29" s="221"/>
      <c r="F29" s="223">
        <v>80</v>
      </c>
    </row>
    <row r="30" s="50" customFormat="1" customHeight="1" spans="1:6">
      <c r="A30" s="220">
        <v>10</v>
      </c>
      <c r="B30" s="221" t="s">
        <v>130</v>
      </c>
      <c r="C30" s="221"/>
      <c r="D30" s="222"/>
      <c r="E30" s="217"/>
      <c r="F30" s="223">
        <v>80</v>
      </c>
    </row>
    <row r="31" s="50" customFormat="1" customHeight="1" spans="1:6">
      <c r="A31" s="220">
        <v>11</v>
      </c>
      <c r="B31" s="221" t="s">
        <v>131</v>
      </c>
      <c r="C31" s="221"/>
      <c r="D31" s="222"/>
      <c r="E31" s="217"/>
      <c r="F31" s="223">
        <v>35</v>
      </c>
    </row>
    <row r="32" s="50" customFormat="1" customHeight="1" spans="1:6">
      <c r="A32" s="220">
        <v>12</v>
      </c>
      <c r="B32" s="221" t="s">
        <v>132</v>
      </c>
      <c r="C32" s="221"/>
      <c r="D32" s="222"/>
      <c r="E32" s="217"/>
      <c r="F32" s="223">
        <v>7</v>
      </c>
    </row>
    <row r="33" s="50" customFormat="1" customHeight="1" spans="1:6">
      <c r="A33" s="220">
        <v>13</v>
      </c>
      <c r="B33" s="221" t="s">
        <v>133</v>
      </c>
      <c r="C33" s="221"/>
      <c r="D33" s="222"/>
      <c r="E33" s="217"/>
      <c r="F33" s="223">
        <v>7</v>
      </c>
    </row>
    <row r="34" s="50" customFormat="1" customHeight="1" spans="1:6">
      <c r="A34" s="220">
        <v>14</v>
      </c>
      <c r="B34" s="221" t="s">
        <v>134</v>
      </c>
      <c r="C34" s="221"/>
      <c r="D34" s="222"/>
      <c r="E34" s="217"/>
      <c r="F34" s="223">
        <v>2</v>
      </c>
    </row>
    <row r="35" s="50" customFormat="1" customHeight="1" spans="1:6">
      <c r="A35" s="220">
        <v>15</v>
      </c>
      <c r="B35" s="221" t="s">
        <v>135</v>
      </c>
      <c r="C35" s="221"/>
      <c r="D35" s="222" t="s">
        <v>115</v>
      </c>
      <c r="E35" s="217"/>
      <c r="F35" s="224">
        <v>54.064743584</v>
      </c>
    </row>
    <row r="36" s="50" customFormat="1" customHeight="1" spans="1:6">
      <c r="A36" s="217" t="s">
        <v>136</v>
      </c>
      <c r="B36" s="218" t="s">
        <v>137</v>
      </c>
      <c r="C36" s="217"/>
      <c r="D36" s="219"/>
      <c r="E36" s="217"/>
      <c r="F36" s="209">
        <v>1344.15560556981</v>
      </c>
    </row>
    <row r="37" s="50" customFormat="1" customHeight="1" spans="1:6">
      <c r="A37" s="220">
        <v>1</v>
      </c>
      <c r="B37" s="221" t="s">
        <v>138</v>
      </c>
      <c r="C37" s="221"/>
      <c r="D37" s="225"/>
      <c r="E37" s="221"/>
      <c r="F37" s="224">
        <v>1344.15560556981</v>
      </c>
    </row>
    <row r="38" s="50" customFormat="1" customHeight="1" spans="1:6">
      <c r="A38" s="220" t="s">
        <v>139</v>
      </c>
      <c r="B38" s="218" t="s">
        <v>140</v>
      </c>
      <c r="C38" s="218"/>
      <c r="D38" s="218"/>
      <c r="E38" s="221"/>
      <c r="F38" s="209">
        <v>772.736</v>
      </c>
    </row>
    <row r="39" s="50" customFormat="1" customHeight="1" spans="1:6">
      <c r="A39" s="217" t="s">
        <v>141</v>
      </c>
      <c r="B39" s="217"/>
      <c r="C39" s="217"/>
      <c r="D39" s="217"/>
      <c r="E39" s="220"/>
      <c r="F39" s="226">
        <v>29000.003716966</v>
      </c>
    </row>
  </sheetData>
  <mergeCells count="27">
    <mergeCell ref="A1:F1"/>
    <mergeCell ref="B3:E3"/>
    <mergeCell ref="B20:E20"/>
    <mergeCell ref="B21:C21"/>
    <mergeCell ref="B22:C22"/>
    <mergeCell ref="B23:C23"/>
    <mergeCell ref="B24:C24"/>
    <mergeCell ref="B25:C25"/>
    <mergeCell ref="B26:C26"/>
    <mergeCell ref="B27:C27"/>
    <mergeCell ref="B28:C28"/>
    <mergeCell ref="B29:C29"/>
    <mergeCell ref="B30:C30"/>
    <mergeCell ref="B31:C31"/>
    <mergeCell ref="B32:C32"/>
    <mergeCell ref="B33:C33"/>
    <mergeCell ref="B34:C34"/>
    <mergeCell ref="B35:C35"/>
    <mergeCell ref="B36:E36"/>
    <mergeCell ref="B37:C37"/>
    <mergeCell ref="B38:D38"/>
    <mergeCell ref="A39:D39"/>
    <mergeCell ref="B4:B11"/>
    <mergeCell ref="B12:B19"/>
    <mergeCell ref="C4:C6"/>
    <mergeCell ref="C12:C17"/>
    <mergeCell ref="C18:C19"/>
  </mergeCells>
  <pageMargins left="0.75" right="0.75" top="1" bottom="1" header="0.5" footer="0.5"/>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tabColor rgb="FFFFFF00"/>
  </sheetPr>
  <dimension ref="A1:I22"/>
  <sheetViews>
    <sheetView zoomScale="70" zoomScaleNormal="70" workbookViewId="0">
      <pane xSplit="3" ySplit="2" topLeftCell="D3" activePane="bottomRight" state="frozen"/>
      <selection/>
      <selection pane="topRight"/>
      <selection pane="bottomLeft"/>
      <selection pane="bottomRight" activeCell="W13" sqref="W13"/>
    </sheetView>
  </sheetViews>
  <sheetFormatPr defaultColWidth="16" defaultRowHeight="28.05" customHeight="1"/>
  <cols>
    <col min="2" max="2" width="21.4454545454545" customWidth="1"/>
    <col min="3" max="8" width="16" customWidth="1"/>
  </cols>
  <sheetData>
    <row r="1" s="54" customFormat="1" customHeight="1" spans="1:8">
      <c r="A1" s="193" t="s">
        <v>142</v>
      </c>
      <c r="B1" s="194"/>
      <c r="C1" s="194"/>
      <c r="D1" s="194"/>
      <c r="E1" s="194"/>
      <c r="F1" s="194"/>
      <c r="G1" s="194"/>
      <c r="H1" s="194"/>
    </row>
    <row r="2" s="54" customFormat="1" customHeight="1" spans="1:8">
      <c r="A2" s="2" t="s">
        <v>1</v>
      </c>
      <c r="B2" s="2" t="s">
        <v>143</v>
      </c>
      <c r="C2" s="2" t="s">
        <v>80</v>
      </c>
      <c r="D2" s="34">
        <v>2025</v>
      </c>
      <c r="E2" s="34">
        <v>2026</v>
      </c>
      <c r="F2" s="34">
        <v>2027</v>
      </c>
      <c r="G2" s="34">
        <f>F2+1</f>
        <v>2028</v>
      </c>
      <c r="H2" s="34">
        <f t="shared" ref="H2" si="0">G2+1</f>
        <v>2029</v>
      </c>
    </row>
    <row r="3" s="54" customFormat="1" customHeight="1" spans="1:8">
      <c r="A3" s="151">
        <v>1</v>
      </c>
      <c r="B3" s="151" t="s">
        <v>144</v>
      </c>
      <c r="C3" s="152">
        <f t="shared" ref="C3:C16" si="1">SUM(D3:H3)</f>
        <v>29253.9728493886</v>
      </c>
      <c r="D3" s="152">
        <f t="shared" ref="D3:H3" si="2">SUM(D4:D6)</f>
        <v>2047.73040785312</v>
      </c>
      <c r="E3" s="152">
        <f t="shared" si="2"/>
        <v>11667.8270489455</v>
      </c>
      <c r="F3" s="152">
        <f t="shared" si="2"/>
        <v>14455.2304058001</v>
      </c>
      <c r="G3" s="152">
        <f t="shared" si="2"/>
        <v>1079.72423151372</v>
      </c>
      <c r="H3" s="152">
        <f t="shared" si="2"/>
        <v>3.46075527611296</v>
      </c>
    </row>
    <row r="4" s="54" customFormat="1" customHeight="1" spans="1:8">
      <c r="A4" s="7">
        <v>1.1</v>
      </c>
      <c r="B4" s="7" t="s">
        <v>145</v>
      </c>
      <c r="C4" s="152">
        <f t="shared" si="1"/>
        <v>28227.267716966</v>
      </c>
      <c r="D4" s="12">
        <f>D.3建设投资分年计划表!E17</f>
        <v>2038.41187451979</v>
      </c>
      <c r="E4" s="12">
        <f>D.3建设投资分年计划表!F17</f>
        <v>11551.0006222788</v>
      </c>
      <c r="F4" s="12">
        <f>D.3建设投资分年计划表!G17</f>
        <v>14084.2647296474</v>
      </c>
      <c r="G4" s="12">
        <f>D.3建设投资分年计划表!H17</f>
        <v>553.590490520042</v>
      </c>
      <c r="H4" s="12">
        <f>D.3建设投资分年计划表!I17</f>
        <v>0</v>
      </c>
    </row>
    <row r="5" s="54" customFormat="1" customHeight="1" spans="1:9">
      <c r="A5" s="7">
        <v>1.2</v>
      </c>
      <c r="B5" s="7" t="s">
        <v>140</v>
      </c>
      <c r="C5" s="152">
        <f t="shared" si="1"/>
        <v>980.681333333333</v>
      </c>
      <c r="D5" s="12">
        <f>c借款还本付息计划表!D47+c借款还本付息计划表!D46</f>
        <v>9.31853333333333</v>
      </c>
      <c r="E5" s="12">
        <f>c借款还本付息计划表!E47+c借款还本付息计划表!E46</f>
        <v>116.826426666667</v>
      </c>
      <c r="F5" s="12">
        <f>c借款还本付息计划表!F47+c借款还本付息计划表!F46</f>
        <v>339.654453333333</v>
      </c>
      <c r="G5" s="12">
        <f>c借款还本付息计划表!G47+c借款还本付息计划表!G46</f>
        <v>514.88192</v>
      </c>
      <c r="H5" s="12"/>
      <c r="I5" s="88" t="s">
        <v>146</v>
      </c>
    </row>
    <row r="6" s="54" customFormat="1" customHeight="1" spans="1:8">
      <c r="A6" s="7">
        <v>1.3</v>
      </c>
      <c r="B6" s="7" t="s">
        <v>147</v>
      </c>
      <c r="C6" s="152">
        <f t="shared" si="1"/>
        <v>46.0237990891992</v>
      </c>
      <c r="D6" s="12">
        <f>D.4流动资金估算表!E14</f>
        <v>0</v>
      </c>
      <c r="E6" s="12">
        <f>D.4流动资金估算表!F14</f>
        <v>0</v>
      </c>
      <c r="F6" s="12">
        <f>D.4流动资金估算表!G14</f>
        <v>31.3112228194095</v>
      </c>
      <c r="G6" s="12">
        <f>D.4流动资金估算表!H14</f>
        <v>11.2518209936768</v>
      </c>
      <c r="H6" s="12">
        <f>D.4流动资金估算表!I14</f>
        <v>3.46075527611296</v>
      </c>
    </row>
    <row r="7" s="54" customFormat="1" customHeight="1" spans="1:8">
      <c r="A7" s="151">
        <v>2</v>
      </c>
      <c r="B7" s="151" t="s">
        <v>148</v>
      </c>
      <c r="C7" s="152">
        <f t="shared" si="1"/>
        <v>29253.9728493886</v>
      </c>
      <c r="D7" s="152">
        <f>D8+D12+D16</f>
        <v>2047.73040785312</v>
      </c>
      <c r="E7" s="152">
        <f t="shared" ref="E7:H7" si="3">E8+E12+E16</f>
        <v>11667.8270489455</v>
      </c>
      <c r="F7" s="152">
        <f t="shared" si="3"/>
        <v>14455.2304058001</v>
      </c>
      <c r="G7" s="152">
        <f t="shared" si="3"/>
        <v>1079.72423151372</v>
      </c>
      <c r="H7" s="152">
        <f t="shared" si="3"/>
        <v>3.46075527611296</v>
      </c>
    </row>
    <row r="8" s="54" customFormat="1" customHeight="1" spans="1:8">
      <c r="A8" s="7">
        <v>2.1</v>
      </c>
      <c r="B8" s="7" t="s">
        <v>149</v>
      </c>
      <c r="C8" s="152">
        <f t="shared" si="1"/>
        <v>253.972849388565</v>
      </c>
      <c r="D8" s="12">
        <f>SUM(D9:D11)</f>
        <v>872.730407853123</v>
      </c>
      <c r="E8" s="12">
        <f t="shared" ref="E8:H8" si="4">SUM(E9:E11)</f>
        <v>77.8270489454664</v>
      </c>
      <c r="F8" s="12">
        <f t="shared" si="4"/>
        <v>5750.23040580014</v>
      </c>
      <c r="G8" s="12">
        <f t="shared" si="4"/>
        <v>-6450.27576848628</v>
      </c>
      <c r="H8" s="12">
        <f t="shared" si="4"/>
        <v>3.46075527611296</v>
      </c>
    </row>
    <row r="9" s="54" customFormat="1" customHeight="1" spans="1:8">
      <c r="A9" s="7" t="s">
        <v>150</v>
      </c>
      <c r="B9" s="7" t="s">
        <v>151</v>
      </c>
      <c r="C9" s="152">
        <f t="shared" si="1"/>
        <v>-772.732283033967</v>
      </c>
      <c r="D9" s="41">
        <f t="shared" ref="D9" si="5">D4-D13</f>
        <v>863.41187451979</v>
      </c>
      <c r="E9" s="41">
        <f t="shared" ref="E9:H9" si="6">E4-E13</f>
        <v>-38.9993777212003</v>
      </c>
      <c r="F9" s="41">
        <f t="shared" si="6"/>
        <v>5379.2647296474</v>
      </c>
      <c r="G9" s="41">
        <f t="shared" si="6"/>
        <v>-6976.40950947996</v>
      </c>
      <c r="H9" s="41">
        <f t="shared" si="6"/>
        <v>0</v>
      </c>
    </row>
    <row r="10" s="54" customFormat="1" customHeight="1" spans="1:8">
      <c r="A10" s="7" t="s">
        <v>152</v>
      </c>
      <c r="B10" s="7" t="s">
        <v>153</v>
      </c>
      <c r="C10" s="152">
        <f t="shared" si="1"/>
        <v>980.681333333333</v>
      </c>
      <c r="D10" s="39">
        <f t="shared" ref="D10" si="7">D5</f>
        <v>9.31853333333333</v>
      </c>
      <c r="E10" s="39">
        <f t="shared" ref="E10:H10" si="8">E5</f>
        <v>116.826426666667</v>
      </c>
      <c r="F10" s="39">
        <f t="shared" si="8"/>
        <v>339.654453333333</v>
      </c>
      <c r="G10" s="39">
        <f t="shared" si="8"/>
        <v>514.88192</v>
      </c>
      <c r="H10" s="39">
        <f t="shared" si="8"/>
        <v>0</v>
      </c>
    </row>
    <row r="11" s="54" customFormat="1" customHeight="1" spans="1:8">
      <c r="A11" s="7" t="s">
        <v>154</v>
      </c>
      <c r="B11" s="7" t="s">
        <v>155</v>
      </c>
      <c r="C11" s="152">
        <f t="shared" si="1"/>
        <v>46.0237990891992</v>
      </c>
      <c r="D11" s="39">
        <f>D6*A财务假设!$D$13</f>
        <v>0</v>
      </c>
      <c r="E11" s="39">
        <f>E6*A财务假设!$D$13</f>
        <v>0</v>
      </c>
      <c r="F11" s="39">
        <f>F6*A财务假设!$D$13</f>
        <v>31.3112228194095</v>
      </c>
      <c r="G11" s="39">
        <f>G6*A财务假设!$D$13</f>
        <v>11.2518209936768</v>
      </c>
      <c r="H11" s="39">
        <f>H6*A财务假设!$D$13</f>
        <v>3.46075527611296</v>
      </c>
    </row>
    <row r="12" s="54" customFormat="1" customHeight="1" spans="1:9">
      <c r="A12" s="7">
        <v>2.2</v>
      </c>
      <c r="B12" s="7" t="s">
        <v>156</v>
      </c>
      <c r="C12" s="152">
        <f t="shared" si="1"/>
        <v>29000</v>
      </c>
      <c r="D12" s="12">
        <f>C.2项目每年借款信息!C7</f>
        <v>1175</v>
      </c>
      <c r="E12" s="12">
        <f>C.2项目每年借款信息!D7</f>
        <v>11590</v>
      </c>
      <c r="F12" s="12">
        <f>C.2项目每年借款信息!E7</f>
        <v>8705</v>
      </c>
      <c r="G12" s="12">
        <f>C.2项目每年借款信息!F7</f>
        <v>7530</v>
      </c>
      <c r="H12" s="12">
        <f>C.2项目每年借款信息!G7</f>
        <v>0</v>
      </c>
      <c r="I12" s="88" t="s">
        <v>157</v>
      </c>
    </row>
    <row r="13" s="54" customFormat="1" customHeight="1" spans="1:8">
      <c r="A13" s="7" t="s">
        <v>158</v>
      </c>
      <c r="B13" s="7" t="s">
        <v>151</v>
      </c>
      <c r="C13" s="152">
        <f t="shared" si="1"/>
        <v>29000</v>
      </c>
      <c r="D13" s="41">
        <f t="shared" ref="D13" si="9">D12-D14-D15-D16</f>
        <v>1175</v>
      </c>
      <c r="E13" s="41">
        <f t="shared" ref="E13:H13" si="10">E12-E14-E15-E16</f>
        <v>11590</v>
      </c>
      <c r="F13" s="41">
        <f t="shared" si="10"/>
        <v>8705</v>
      </c>
      <c r="G13" s="41">
        <f t="shared" si="10"/>
        <v>7530</v>
      </c>
      <c r="H13" s="41">
        <f t="shared" si="10"/>
        <v>0</v>
      </c>
    </row>
    <row r="14" s="54" customFormat="1" customHeight="1" spans="1:8">
      <c r="A14" s="7" t="s">
        <v>159</v>
      </c>
      <c r="B14" s="7" t="s">
        <v>153</v>
      </c>
      <c r="C14" s="152">
        <f t="shared" si="1"/>
        <v>0</v>
      </c>
      <c r="D14" s="39">
        <v>0</v>
      </c>
      <c r="E14" s="39">
        <v>0</v>
      </c>
      <c r="F14" s="39">
        <v>0</v>
      </c>
      <c r="G14" s="39">
        <v>0</v>
      </c>
      <c r="H14" s="39">
        <v>0</v>
      </c>
    </row>
    <row r="15" s="54" customFormat="1" customHeight="1" spans="1:8">
      <c r="A15" s="7" t="s">
        <v>160</v>
      </c>
      <c r="B15" s="7" t="s">
        <v>155</v>
      </c>
      <c r="C15" s="152">
        <f t="shared" si="1"/>
        <v>0</v>
      </c>
      <c r="D15" s="39">
        <f>D6-D11</f>
        <v>0</v>
      </c>
      <c r="E15" s="39">
        <f t="shared" ref="E15:H15" si="11">E6-E11</f>
        <v>0</v>
      </c>
      <c r="F15" s="39">
        <f t="shared" si="11"/>
        <v>0</v>
      </c>
      <c r="G15" s="39">
        <f t="shared" si="11"/>
        <v>0</v>
      </c>
      <c r="H15" s="39">
        <f t="shared" si="11"/>
        <v>0</v>
      </c>
    </row>
    <row r="16" s="54" customFormat="1" customHeight="1" spans="1:8">
      <c r="A16" s="7">
        <v>2.3</v>
      </c>
      <c r="B16" s="7" t="s">
        <v>161</v>
      </c>
      <c r="C16" s="152">
        <f t="shared" si="1"/>
        <v>0</v>
      </c>
      <c r="D16" s="39">
        <v>0</v>
      </c>
      <c r="E16" s="39">
        <v>0</v>
      </c>
      <c r="F16" s="39">
        <v>0</v>
      </c>
      <c r="G16" s="39">
        <v>0</v>
      </c>
      <c r="H16" s="39">
        <v>0</v>
      </c>
    </row>
    <row r="17" s="54" customFormat="1" customHeight="1" spans="1:8">
      <c r="A17" s="151">
        <v>3</v>
      </c>
      <c r="B17" s="151" t="s">
        <v>162</v>
      </c>
      <c r="C17" s="152">
        <f>SUM(C18:C20)</f>
        <v>253.972849388565</v>
      </c>
      <c r="D17" s="152" t="s">
        <v>163</v>
      </c>
      <c r="E17" s="152" t="s">
        <v>163</v>
      </c>
      <c r="F17" s="152" t="s">
        <v>163</v>
      </c>
      <c r="G17" s="152" t="s">
        <v>163</v>
      </c>
      <c r="H17" s="152" t="s">
        <v>163</v>
      </c>
    </row>
    <row r="18" s="54" customFormat="1" customHeight="1" spans="1:8">
      <c r="A18" s="7">
        <v>3.1</v>
      </c>
      <c r="B18" s="7" t="s">
        <v>145</v>
      </c>
      <c r="C18" s="12">
        <f>C9</f>
        <v>-772.732283033967</v>
      </c>
      <c r="D18" s="12" t="s">
        <v>163</v>
      </c>
      <c r="E18" s="12" t="s">
        <v>163</v>
      </c>
      <c r="F18" s="12" t="s">
        <v>163</v>
      </c>
      <c r="G18" s="12" t="s">
        <v>163</v>
      </c>
      <c r="H18" s="12" t="s">
        <v>163</v>
      </c>
    </row>
    <row r="19" s="54" customFormat="1" customHeight="1" spans="1:8">
      <c r="A19" s="7">
        <v>3.2</v>
      </c>
      <c r="B19" s="7" t="s">
        <v>140</v>
      </c>
      <c r="C19" s="12">
        <f>C10</f>
        <v>980.681333333333</v>
      </c>
      <c r="D19" s="12" t="s">
        <v>163</v>
      </c>
      <c r="E19" s="12" t="s">
        <v>163</v>
      </c>
      <c r="F19" s="12" t="s">
        <v>163</v>
      </c>
      <c r="G19" s="12" t="s">
        <v>163</v>
      </c>
      <c r="H19" s="12" t="s">
        <v>163</v>
      </c>
    </row>
    <row r="20" s="54" customFormat="1" customHeight="1" spans="1:8">
      <c r="A20" s="7">
        <v>3.3</v>
      </c>
      <c r="B20" s="7" t="s">
        <v>164</v>
      </c>
      <c r="C20" s="12">
        <f>C11</f>
        <v>46.0237990891992</v>
      </c>
      <c r="D20" s="12" t="s">
        <v>163</v>
      </c>
      <c r="E20" s="12" t="s">
        <v>163</v>
      </c>
      <c r="F20" s="12" t="s">
        <v>163</v>
      </c>
      <c r="G20" s="12" t="s">
        <v>163</v>
      </c>
      <c r="H20" s="12" t="s">
        <v>163</v>
      </c>
    </row>
    <row r="21" s="54" customFormat="1" ht="16.5" spans="1:8">
      <c r="A21" s="151">
        <v>4</v>
      </c>
      <c r="B21" s="102" t="s">
        <v>165</v>
      </c>
      <c r="C21" s="197">
        <f>C17/C3</f>
        <v>0.0086816532816285</v>
      </c>
      <c r="D21" s="197" t="s">
        <v>163</v>
      </c>
      <c r="E21" s="197" t="s">
        <v>163</v>
      </c>
      <c r="F21" s="197" t="s">
        <v>163</v>
      </c>
      <c r="G21" s="197" t="s">
        <v>163</v>
      </c>
      <c r="H21" s="197" t="s">
        <v>163</v>
      </c>
    </row>
    <row r="22" s="192" customFormat="1" customHeight="1"/>
  </sheetData>
  <mergeCells count="1">
    <mergeCell ref="A1:H1"/>
  </mergeCells>
  <pageMargins left="0.75" right="0.75" top="1" bottom="1" header="0.5" footer="0.5"/>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tabColor rgb="FFFFFF00"/>
  </sheetPr>
  <dimension ref="A1:I21"/>
  <sheetViews>
    <sheetView zoomScale="85" zoomScaleNormal="85" topLeftCell="F1" workbookViewId="0">
      <selection activeCell="C20" sqref="B20:C22"/>
    </sheetView>
  </sheetViews>
  <sheetFormatPr defaultColWidth="33.6636363636364" defaultRowHeight="14"/>
  <cols>
    <col min="1" max="1" width="6" customWidth="1"/>
    <col min="2" max="2" width="19.3363636363636" customWidth="1"/>
    <col min="3" max="3" width="56.8909090909091" customWidth="1"/>
    <col min="4" max="4" width="14.5545454545455" customWidth="1"/>
    <col min="5" max="5" width="26.3363636363636" customWidth="1"/>
    <col min="6" max="6" width="27" customWidth="1"/>
    <col min="7" max="8" width="26" customWidth="1"/>
  </cols>
  <sheetData>
    <row r="1" s="54" customFormat="1" ht="22.5" spans="1:9">
      <c r="A1" s="67" t="s">
        <v>166</v>
      </c>
      <c r="B1" s="67"/>
      <c r="C1" s="67"/>
      <c r="D1" s="67"/>
      <c r="E1" s="67"/>
      <c r="F1" s="67"/>
      <c r="G1" s="67"/>
      <c r="H1" s="67"/>
      <c r="I1" s="88" t="s">
        <v>167</v>
      </c>
    </row>
    <row r="2" s="54" customFormat="1" ht="16.5" spans="1:8">
      <c r="A2" s="2" t="s">
        <v>1</v>
      </c>
      <c r="B2" s="2" t="s">
        <v>168</v>
      </c>
      <c r="C2" s="2" t="s">
        <v>169</v>
      </c>
      <c r="D2" s="2" t="s">
        <v>87</v>
      </c>
      <c r="E2" s="34">
        <v>2025</v>
      </c>
      <c r="F2" s="34">
        <v>2026</v>
      </c>
      <c r="G2" s="34">
        <v>2027</v>
      </c>
      <c r="H2" s="34">
        <v>2028</v>
      </c>
    </row>
    <row r="3" s="54" customFormat="1" ht="16.5" spans="1:8">
      <c r="A3" s="7" t="s">
        <v>89</v>
      </c>
      <c r="B3" s="7" t="s">
        <v>170</v>
      </c>
      <c r="C3" s="7"/>
      <c r="D3" s="12">
        <f>SUM(D4+D8)</f>
        <v>24474.93</v>
      </c>
      <c r="E3" s="12">
        <f>E4+E8</f>
        <v>1767.4395</v>
      </c>
      <c r="F3" s="12">
        <f>F4+F8</f>
        <v>10015.4905</v>
      </c>
      <c r="G3" s="12">
        <f>G4+G8</f>
        <v>12212</v>
      </c>
      <c r="H3" s="12">
        <f>H4+H8</f>
        <v>480</v>
      </c>
    </row>
    <row r="4" s="54" customFormat="1" ht="16.5" spans="1:8">
      <c r="A4" s="151">
        <v>1</v>
      </c>
      <c r="B4" s="151" t="s">
        <v>171</v>
      </c>
      <c r="C4" s="151"/>
      <c r="D4" s="152">
        <f>SUM(D5:D7)</f>
        <v>19534.93</v>
      </c>
      <c r="E4" s="152">
        <f>E5+E6+E7</f>
        <v>1267.9395</v>
      </c>
      <c r="F4" s="152">
        <f>F5+F6+F7</f>
        <v>7184.9905</v>
      </c>
      <c r="G4" s="152">
        <f>G5+G6+G7</f>
        <v>10602</v>
      </c>
      <c r="H4" s="152">
        <f>H5+H6+H7</f>
        <v>480</v>
      </c>
    </row>
    <row r="5" s="54" customFormat="1" ht="66" spans="1:8">
      <c r="A5" s="7">
        <v>1.1</v>
      </c>
      <c r="B5" s="11" t="s">
        <v>172</v>
      </c>
      <c r="C5" s="89" t="s">
        <v>173</v>
      </c>
      <c r="D5" s="12">
        <f>SUM(E5:H5)</f>
        <v>9772</v>
      </c>
      <c r="E5" s="39">
        <v>260.4</v>
      </c>
      <c r="F5" s="39">
        <v>1475.6</v>
      </c>
      <c r="G5" s="39">
        <v>7796</v>
      </c>
      <c r="H5" s="39">
        <v>240</v>
      </c>
    </row>
    <row r="6" s="54" customFormat="1" ht="16.5" spans="1:8">
      <c r="A6" s="7">
        <v>1.2</v>
      </c>
      <c r="B6" s="11" t="s">
        <v>174</v>
      </c>
      <c r="C6" s="7"/>
      <c r="D6" s="12">
        <f>SUM(E6:H6)</f>
        <v>9762.93</v>
      </c>
      <c r="E6" s="39">
        <v>1007.5395</v>
      </c>
      <c r="F6" s="39">
        <v>5709.3905</v>
      </c>
      <c r="G6" s="39">
        <v>2806</v>
      </c>
      <c r="H6" s="39">
        <v>240</v>
      </c>
    </row>
    <row r="7" s="54" customFormat="1" ht="33" spans="1:8">
      <c r="A7" s="7">
        <v>1.3</v>
      </c>
      <c r="B7" s="11" t="s">
        <v>175</v>
      </c>
      <c r="C7" s="89" t="s">
        <v>176</v>
      </c>
      <c r="D7" s="12">
        <f>SUM(E7:H7)</f>
        <v>0</v>
      </c>
      <c r="E7" s="39"/>
      <c r="F7" s="39"/>
      <c r="G7" s="39"/>
      <c r="H7" s="39"/>
    </row>
    <row r="8" s="54" customFormat="1" ht="16.5" spans="1:8">
      <c r="A8" s="151">
        <v>2</v>
      </c>
      <c r="B8" s="151" t="s">
        <v>177</v>
      </c>
      <c r="C8" s="151"/>
      <c r="D8" s="152">
        <f>SUM(D9:D12)</f>
        <v>4940</v>
      </c>
      <c r="E8" s="152">
        <f>SUM(E9:E12)</f>
        <v>499.5</v>
      </c>
      <c r="F8" s="152">
        <f>SUM(F9:F12)</f>
        <v>2830.5</v>
      </c>
      <c r="G8" s="152">
        <f>SUM(G9:G12)</f>
        <v>1610</v>
      </c>
      <c r="H8" s="152">
        <f>SUM(H9:H12)</f>
        <v>0</v>
      </c>
    </row>
    <row r="9" s="54" customFormat="1" ht="16.5" spans="1:8">
      <c r="A9" s="7">
        <v>2.1</v>
      </c>
      <c r="B9" s="11" t="s">
        <v>178</v>
      </c>
      <c r="C9" s="7" t="s">
        <v>179</v>
      </c>
      <c r="D9" s="12">
        <f>SUM(E9:H9)</f>
        <v>0</v>
      </c>
      <c r="E9" s="39"/>
      <c r="F9" s="39"/>
      <c r="G9" s="39"/>
      <c r="H9" s="39"/>
    </row>
    <row r="10" s="54" customFormat="1" ht="16.5" spans="1:8">
      <c r="A10" s="7">
        <v>2.2</v>
      </c>
      <c r="B10" s="11" t="s">
        <v>180</v>
      </c>
      <c r="C10" s="7"/>
      <c r="D10" s="12">
        <f>SUM(E10:H10)</f>
        <v>4940</v>
      </c>
      <c r="E10" s="39">
        <v>499.5</v>
      </c>
      <c r="F10" s="39">
        <v>2830.5</v>
      </c>
      <c r="G10" s="39">
        <v>1610</v>
      </c>
      <c r="H10" s="39">
        <v>0</v>
      </c>
    </row>
    <row r="11" s="54" customFormat="1" ht="16.5" spans="1:8">
      <c r="A11" s="7">
        <v>2.3</v>
      </c>
      <c r="B11" s="11" t="s">
        <v>181</v>
      </c>
      <c r="C11" s="7"/>
      <c r="D11" s="12">
        <f>SUM(E11:H11)</f>
        <v>0</v>
      </c>
      <c r="E11" s="39"/>
      <c r="F11" s="39"/>
      <c r="G11" s="39"/>
      <c r="H11" s="39"/>
    </row>
    <row r="12" s="54" customFormat="1" ht="16.5" spans="1:8">
      <c r="A12" s="7">
        <v>2.4</v>
      </c>
      <c r="B12" s="11" t="s">
        <v>182</v>
      </c>
      <c r="C12" s="7"/>
      <c r="D12" s="12">
        <f>SUM(E12:H12)</f>
        <v>0</v>
      </c>
      <c r="E12" s="39"/>
      <c r="F12" s="39"/>
      <c r="G12" s="39"/>
      <c r="H12" s="39"/>
    </row>
    <row r="13" s="54" customFormat="1" ht="16.5" spans="1:8">
      <c r="A13" s="151" t="s">
        <v>112</v>
      </c>
      <c r="B13" s="151" t="s">
        <v>113</v>
      </c>
      <c r="C13" s="151"/>
      <c r="D13" s="151">
        <f>SUM(D14:D14)</f>
        <v>2408.1821113962</v>
      </c>
      <c r="E13" s="152">
        <f>SUM(E14:E14)</f>
        <v>173.905142399796</v>
      </c>
      <c r="F13" s="152">
        <f>SUM(F14:F14)</f>
        <v>985.462473598845</v>
      </c>
      <c r="G13" s="152">
        <f>SUM(G14:G14)</f>
        <v>1201.58545680704</v>
      </c>
      <c r="H13" s="152">
        <f>SUM(H14:H14)</f>
        <v>47.2290385905159</v>
      </c>
    </row>
    <row r="14" s="54" customFormat="1" ht="16.5" spans="1:8">
      <c r="A14" s="7">
        <v>1</v>
      </c>
      <c r="B14" s="11" t="s">
        <v>183</v>
      </c>
      <c r="C14" s="7"/>
      <c r="D14" s="12">
        <f>SUM(E14:H14)</f>
        <v>2408.1821113962</v>
      </c>
      <c r="E14" s="39">
        <v>173.905142399796</v>
      </c>
      <c r="F14" s="39">
        <v>985.462473598845</v>
      </c>
      <c r="G14" s="39">
        <v>1201.58545680704</v>
      </c>
      <c r="H14" s="39">
        <v>47.2290385905159</v>
      </c>
    </row>
    <row r="15" s="54" customFormat="1" ht="16.5" spans="1:8">
      <c r="A15" s="151" t="s">
        <v>136</v>
      </c>
      <c r="B15" s="151" t="s">
        <v>137</v>
      </c>
      <c r="C15" s="151"/>
      <c r="D15" s="152">
        <f>D16</f>
        <v>1344.15560556981</v>
      </c>
      <c r="E15" s="152">
        <f>E16</f>
        <v>97.0672321199898</v>
      </c>
      <c r="F15" s="152">
        <f>F16</f>
        <v>550.047648679942</v>
      </c>
      <c r="G15" s="152">
        <f>G16</f>
        <v>670.679272840352</v>
      </c>
      <c r="H15" s="152">
        <f>H16</f>
        <v>26.3614519295258</v>
      </c>
    </row>
    <row r="16" s="54" customFormat="1" ht="16.5" spans="1:8">
      <c r="A16" s="7">
        <v>1</v>
      </c>
      <c r="B16" s="196" t="s">
        <v>138</v>
      </c>
      <c r="C16" s="196"/>
      <c r="D16" s="12">
        <f>SUM(E16:H16)</f>
        <v>1344.15560556981</v>
      </c>
      <c r="E16" s="39">
        <v>97.0672321199898</v>
      </c>
      <c r="F16" s="39">
        <v>550.047648679942</v>
      </c>
      <c r="G16" s="39">
        <v>670.679272840352</v>
      </c>
      <c r="H16" s="39">
        <v>26.3614519295258</v>
      </c>
    </row>
    <row r="17" s="54" customFormat="1" ht="16.5" spans="1:8">
      <c r="A17" s="7"/>
      <c r="B17" s="7" t="s">
        <v>184</v>
      </c>
      <c r="C17" s="7"/>
      <c r="D17" s="12">
        <f>SUM(E17:H17)</f>
        <v>28227.267716966</v>
      </c>
      <c r="E17" s="12">
        <f>E15+E13+E3</f>
        <v>2038.41187451979</v>
      </c>
      <c r="F17" s="12">
        <f t="shared" ref="F17:H17" si="0">F15+F13+F3</f>
        <v>11551.0006222788</v>
      </c>
      <c r="G17" s="12">
        <f t="shared" si="0"/>
        <v>14084.2647296474</v>
      </c>
      <c r="H17" s="12">
        <f t="shared" si="0"/>
        <v>553.590490520042</v>
      </c>
    </row>
    <row r="20" spans="2:3">
      <c r="B20" s="156"/>
      <c r="C20" s="66"/>
    </row>
    <row r="21" spans="2:3">
      <c r="B21" s="156"/>
      <c r="C21" s="66"/>
    </row>
  </sheetData>
  <mergeCells count="2">
    <mergeCell ref="A1:H1"/>
    <mergeCell ref="B17:C17"/>
  </mergeCells>
  <pageMargins left="0.75" right="0.75" top="1" bottom="1" header="0.5" footer="0.5"/>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tabColor rgb="FFFFFF00"/>
  </sheetPr>
  <dimension ref="A1:J15"/>
  <sheetViews>
    <sheetView zoomScale="85" zoomScaleNormal="85" workbookViewId="0">
      <pane xSplit="4" ySplit="2" topLeftCell="E3" activePane="bottomRight" state="frozen"/>
      <selection/>
      <selection pane="topRight"/>
      <selection pane="bottomLeft"/>
      <selection pane="bottomRight" activeCell="N10" sqref="N10"/>
    </sheetView>
  </sheetViews>
  <sheetFormatPr defaultColWidth="8.89090909090909" defaultRowHeight="28.05" customHeight="1"/>
  <cols>
    <col min="1" max="1" width="6.10909090909091" customWidth="1"/>
    <col min="2" max="2" width="20.4454545454545" customWidth="1"/>
    <col min="3" max="3" width="17.7818181818182" customWidth="1"/>
    <col min="4" max="4" width="9.55454545454545" customWidth="1"/>
    <col min="5" max="5" width="6.44545454545455" customWidth="1"/>
    <col min="6" max="9" width="7.44545454545455" customWidth="1"/>
    <col min="14" max="14" width="80.4454545454546" customWidth="1"/>
  </cols>
  <sheetData>
    <row r="1" s="54" customFormat="1" customHeight="1" spans="1:10">
      <c r="A1" s="193" t="s">
        <v>185</v>
      </c>
      <c r="B1" s="194"/>
      <c r="C1" s="194"/>
      <c r="D1" s="194"/>
      <c r="E1" s="194"/>
      <c r="F1" s="194"/>
      <c r="G1" s="194"/>
      <c r="H1" s="194"/>
      <c r="I1" s="194"/>
      <c r="J1" s="88" t="s">
        <v>186</v>
      </c>
    </row>
    <row r="2" s="54" customFormat="1" ht="33" customHeight="1" spans="1:9">
      <c r="A2" s="2" t="s">
        <v>1</v>
      </c>
      <c r="B2" s="2" t="s">
        <v>187</v>
      </c>
      <c r="C2" s="2" t="s">
        <v>188</v>
      </c>
      <c r="D2" s="2" t="s">
        <v>189</v>
      </c>
      <c r="E2" s="34">
        <v>2025</v>
      </c>
      <c r="F2" s="34">
        <v>2026</v>
      </c>
      <c r="G2" s="34">
        <v>2027</v>
      </c>
      <c r="H2" s="34">
        <v>2028</v>
      </c>
      <c r="I2" s="34">
        <v>2029</v>
      </c>
    </row>
    <row r="3" s="54" customFormat="1" customHeight="1" spans="1:9">
      <c r="A3" s="7">
        <v>1</v>
      </c>
      <c r="B3" s="7" t="s">
        <v>190</v>
      </c>
      <c r="C3" s="11">
        <v>2</v>
      </c>
      <c r="D3" s="7">
        <f t="shared" ref="D3:D15" si="0">360/C3</f>
        <v>180</v>
      </c>
      <c r="E3" s="195"/>
      <c r="F3" s="12">
        <f>F4+F5+F10</f>
        <v>0</v>
      </c>
      <c r="G3" s="12">
        <f t="shared" ref="G3:I3" si="1">G4+G5+G10</f>
        <v>31.3876754187979</v>
      </c>
      <c r="H3" s="12">
        <f t="shared" si="1"/>
        <v>42.6394964124746</v>
      </c>
      <c r="I3" s="12">
        <f t="shared" si="1"/>
        <v>46.1013984775784</v>
      </c>
    </row>
    <row r="4" s="54" customFormat="1" customHeight="1" spans="1:9">
      <c r="A4" s="7">
        <v>1.1</v>
      </c>
      <c r="B4" s="7" t="s">
        <v>191</v>
      </c>
      <c r="C4" s="11">
        <v>1</v>
      </c>
      <c r="D4" s="7">
        <f t="shared" si="0"/>
        <v>360</v>
      </c>
      <c r="E4" s="195"/>
      <c r="F4" s="12">
        <f>F项目收入!E23/$D$4</f>
        <v>0</v>
      </c>
      <c r="G4" s="12">
        <f>F项目收入!F23/$D$4</f>
        <v>2.3519</v>
      </c>
      <c r="H4" s="12">
        <f>F项目收入!G23/$D$4</f>
        <v>6.09958333333333</v>
      </c>
      <c r="I4" s="12">
        <f>F项目收入!H23/$D$4</f>
        <v>9.01275</v>
      </c>
    </row>
    <row r="5" s="54" customFormat="1" customHeight="1" spans="1:9">
      <c r="A5" s="7">
        <v>1.2</v>
      </c>
      <c r="B5" s="7" t="s">
        <v>192</v>
      </c>
      <c r="C5" s="11">
        <v>3</v>
      </c>
      <c r="D5" s="7">
        <f t="shared" si="0"/>
        <v>120</v>
      </c>
      <c r="E5" s="195"/>
      <c r="F5" s="12">
        <f>SUM(F6:F9)</f>
        <v>0</v>
      </c>
      <c r="G5" s="12">
        <f t="shared" ref="G5:I5" si="2">SUM(G6:G9)</f>
        <v>21.5663564585532</v>
      </c>
      <c r="H5" s="12">
        <f t="shared" si="2"/>
        <v>27.5404938727957</v>
      </c>
      <c r="I5" s="12">
        <f t="shared" si="2"/>
        <v>27.9539196320127</v>
      </c>
    </row>
    <row r="6" s="54" customFormat="1" customHeight="1" spans="1:9">
      <c r="A6" s="7" t="s">
        <v>193</v>
      </c>
      <c r="B6" s="7" t="s">
        <v>194</v>
      </c>
      <c r="C6" s="11">
        <v>30</v>
      </c>
      <c r="D6" s="7">
        <f t="shared" si="0"/>
        <v>12</v>
      </c>
      <c r="E6" s="195"/>
      <c r="F6" s="12">
        <f>E总成本费用估算表!D3/$D$6</f>
        <v>0</v>
      </c>
      <c r="G6" s="12">
        <f>E总成本费用估算表!E3/$D$6</f>
        <v>0</v>
      </c>
      <c r="H6" s="12">
        <f>E总成本费用估算表!F3/$D$6</f>
        <v>0</v>
      </c>
      <c r="I6" s="12">
        <f>E总成本费用估算表!G3/$D$6</f>
        <v>0</v>
      </c>
    </row>
    <row r="7" s="54" customFormat="1" customHeight="1" spans="1:9">
      <c r="A7" s="7" t="s">
        <v>195</v>
      </c>
      <c r="B7" s="7" t="s">
        <v>196</v>
      </c>
      <c r="C7" s="11">
        <v>15</v>
      </c>
      <c r="D7" s="7">
        <f t="shared" si="0"/>
        <v>24</v>
      </c>
      <c r="E7" s="195"/>
      <c r="F7" s="12">
        <f>E总成本费用估算表!D4/$D$7</f>
        <v>0</v>
      </c>
      <c r="G7" s="12">
        <f>E总成本费用估算表!E4/$D$7</f>
        <v>0.382262996941896</v>
      </c>
      <c r="H7" s="12">
        <f>E总成本费用估算表!F4/$D$7</f>
        <v>0.382262996941896</v>
      </c>
      <c r="I7" s="12">
        <f>E总成本费用估算表!G4/$D$7</f>
        <v>0.387996941896024</v>
      </c>
    </row>
    <row r="8" s="54" customFormat="1" customHeight="1" spans="1:10">
      <c r="A8" s="7" t="s">
        <v>197</v>
      </c>
      <c r="B8" s="7" t="s">
        <v>198</v>
      </c>
      <c r="C8" s="11">
        <v>3</v>
      </c>
      <c r="D8" s="7">
        <f t="shared" si="0"/>
        <v>120</v>
      </c>
      <c r="E8" s="195"/>
      <c r="F8" s="39">
        <v>0</v>
      </c>
      <c r="G8" s="39">
        <v>0</v>
      </c>
      <c r="H8" s="39">
        <v>0</v>
      </c>
      <c r="I8" s="39">
        <v>0</v>
      </c>
      <c r="J8" s="88" t="s">
        <v>199</v>
      </c>
    </row>
    <row r="9" s="54" customFormat="1" customHeight="1" spans="1:9">
      <c r="A9" s="7" t="s">
        <v>200</v>
      </c>
      <c r="B9" s="7" t="s">
        <v>201</v>
      </c>
      <c r="C9" s="11">
        <v>15</v>
      </c>
      <c r="D9" s="7">
        <f t="shared" si="0"/>
        <v>24</v>
      </c>
      <c r="E9" s="195"/>
      <c r="F9" s="12">
        <f>(E总成本费用估算表!D11-E总成本费用估算表!D10)/$D$9</f>
        <v>0</v>
      </c>
      <c r="G9" s="12">
        <f>(E总成本费用估算表!E11-E总成本费用估算表!E10)/$D$9</f>
        <v>21.1840934616113</v>
      </c>
      <c r="H9" s="12">
        <f>(E总成本费用估算表!F11-E总成本费用估算表!F10)/$D$9</f>
        <v>27.1582308758538</v>
      </c>
      <c r="I9" s="12">
        <f>(E总成本费用估算表!G11-E总成本费用估算表!G10)/$D$9</f>
        <v>27.5659226901166</v>
      </c>
    </row>
    <row r="10" s="54" customFormat="1" customHeight="1" spans="1:9">
      <c r="A10" s="7">
        <v>1.3</v>
      </c>
      <c r="B10" s="7" t="s">
        <v>202</v>
      </c>
      <c r="C10" s="11">
        <v>15</v>
      </c>
      <c r="D10" s="7">
        <f t="shared" si="0"/>
        <v>24</v>
      </c>
      <c r="E10" s="195"/>
      <c r="F10" s="12">
        <f>(E总成本费用估算表!D5+E总成本费用估算表!D7)/$D$10</f>
        <v>0</v>
      </c>
      <c r="G10" s="12">
        <f>(E总成本费用估算表!E5+E总成本费用估算表!E7)/$D$10</f>
        <v>7.46941896024465</v>
      </c>
      <c r="H10" s="12">
        <f>(E总成本费用估算表!F5+E总成本费用估算表!F7)/$D$10</f>
        <v>8.99941920634557</v>
      </c>
      <c r="I10" s="12">
        <f>(E总成本费用估算表!G5+E总成本费用估算表!G7)/$D$10</f>
        <v>9.13472884556575</v>
      </c>
    </row>
    <row r="11" s="54" customFormat="1" customHeight="1" spans="1:9">
      <c r="A11" s="7">
        <v>2</v>
      </c>
      <c r="B11" s="7" t="s">
        <v>203</v>
      </c>
      <c r="C11" s="11">
        <v>3</v>
      </c>
      <c r="D11" s="7">
        <f t="shared" si="0"/>
        <v>120</v>
      </c>
      <c r="E11" s="195"/>
      <c r="F11" s="12">
        <f>F12</f>
        <v>0</v>
      </c>
      <c r="G11" s="12">
        <f t="shared" ref="G11:I11" si="3">G12</f>
        <v>0.0764525993883792</v>
      </c>
      <c r="H11" s="12">
        <f t="shared" si="3"/>
        <v>0.0764525993883792</v>
      </c>
      <c r="I11" s="12">
        <f t="shared" si="3"/>
        <v>0.0775993883792049</v>
      </c>
    </row>
    <row r="12" s="54" customFormat="1" customHeight="1" spans="1:9">
      <c r="A12" s="7">
        <v>2.1</v>
      </c>
      <c r="B12" s="7" t="s">
        <v>204</v>
      </c>
      <c r="C12" s="11">
        <v>3</v>
      </c>
      <c r="D12" s="7">
        <f t="shared" si="0"/>
        <v>120</v>
      </c>
      <c r="E12" s="195"/>
      <c r="F12" s="12">
        <f>(E总成本费用估算表!D3+E总成本费用估算表!D4)/$D$12</f>
        <v>0</v>
      </c>
      <c r="G12" s="12">
        <f>(E总成本费用估算表!E3+E总成本费用估算表!E4)/$D$12</f>
        <v>0.0764525993883792</v>
      </c>
      <c r="H12" s="12">
        <f>(E总成本费用估算表!F3+E总成本费用估算表!F4)/$D$12</f>
        <v>0.0764525993883792</v>
      </c>
      <c r="I12" s="12">
        <f>(E总成本费用估算表!G3+E总成本费用估算表!G4)/$D$12</f>
        <v>0.0775993883792049</v>
      </c>
    </row>
    <row r="13" s="54" customFormat="1" customHeight="1" spans="1:9">
      <c r="A13" s="7">
        <v>3</v>
      </c>
      <c r="B13" s="7" t="s">
        <v>205</v>
      </c>
      <c r="C13" s="11">
        <v>3</v>
      </c>
      <c r="D13" s="7">
        <f t="shared" si="0"/>
        <v>120</v>
      </c>
      <c r="E13" s="195"/>
      <c r="F13" s="12">
        <f>F3-F11</f>
        <v>0</v>
      </c>
      <c r="G13" s="12">
        <f t="shared" ref="G13:I13" si="4">G3-G11</f>
        <v>31.3112228194095</v>
      </c>
      <c r="H13" s="12">
        <f t="shared" si="4"/>
        <v>42.5630438130862</v>
      </c>
      <c r="I13" s="12">
        <f t="shared" si="4"/>
        <v>46.0237990891992</v>
      </c>
    </row>
    <row r="14" s="54" customFormat="1" customHeight="1" spans="1:9">
      <c r="A14" s="7">
        <v>4</v>
      </c>
      <c r="B14" s="7" t="s">
        <v>206</v>
      </c>
      <c r="C14" s="11">
        <v>3</v>
      </c>
      <c r="D14" s="7">
        <f t="shared" si="0"/>
        <v>120</v>
      </c>
      <c r="E14" s="195"/>
      <c r="F14" s="12">
        <f>F13-E13</f>
        <v>0</v>
      </c>
      <c r="G14" s="12">
        <f t="shared" ref="G14:I14" si="5">G13-F13</f>
        <v>31.3112228194095</v>
      </c>
      <c r="H14" s="12">
        <f t="shared" si="5"/>
        <v>11.2518209936768</v>
      </c>
      <c r="I14" s="12">
        <f t="shared" si="5"/>
        <v>3.46075527611296</v>
      </c>
    </row>
    <row r="15" s="54" customFormat="1" customHeight="1" spans="1:9">
      <c r="A15" s="7">
        <v>5</v>
      </c>
      <c r="B15" s="7" t="s">
        <v>207</v>
      </c>
      <c r="C15" s="11">
        <v>3</v>
      </c>
      <c r="D15" s="7">
        <f t="shared" si="0"/>
        <v>120</v>
      </c>
      <c r="E15" s="8"/>
      <c r="F15" s="12">
        <f>D.2项目总投资使用计划与资金筹措表!E15</f>
        <v>0</v>
      </c>
      <c r="G15" s="12">
        <f>D.2项目总投资使用计划与资金筹措表!F15</f>
        <v>0</v>
      </c>
      <c r="H15" s="12">
        <f>D.2项目总投资使用计划与资金筹措表!G15</f>
        <v>0</v>
      </c>
      <c r="I15" s="12">
        <f>D.2项目总投资使用计划与资金筹措表!H15</f>
        <v>0</v>
      </c>
    </row>
  </sheetData>
  <mergeCells count="1">
    <mergeCell ref="A1:I1"/>
  </mergeCells>
  <pageMargins left="0.75" right="0.75" top="1" bottom="1" header="0.5" footer="0.5"/>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tabColor theme="4" tint="-0.249977111117893"/>
  </sheetPr>
  <dimension ref="A1:H18"/>
  <sheetViews>
    <sheetView zoomScale="70" zoomScaleNormal="70" workbookViewId="0">
      <pane xSplit="2" ySplit="2" topLeftCell="C3" activePane="bottomRight" state="frozen"/>
      <selection/>
      <selection pane="topRight"/>
      <selection pane="bottomLeft"/>
      <selection pane="bottomRight" activeCell="H17" sqref="H17"/>
    </sheetView>
  </sheetViews>
  <sheetFormatPr defaultColWidth="8.89090909090909" defaultRowHeight="28.05" customHeight="1" outlineLevelCol="7"/>
  <cols>
    <col min="2" max="2" width="29.7818181818182" customWidth="1"/>
    <col min="3" max="3" width="6.44545454545455" customWidth="1"/>
    <col min="4" max="4" width="8.66363636363636" customWidth="1"/>
    <col min="5" max="7" width="10.8909090909091" customWidth="1"/>
    <col min="8" max="8" width="40.4454545454545" customWidth="1"/>
  </cols>
  <sheetData>
    <row r="1" s="54" customFormat="1" customHeight="1" spans="1:8">
      <c r="A1" s="67" t="s">
        <v>208</v>
      </c>
      <c r="B1" s="67"/>
      <c r="C1" s="67"/>
      <c r="D1" s="67"/>
      <c r="E1" s="67"/>
      <c r="F1" s="67"/>
      <c r="G1" s="67"/>
      <c r="H1" s="88" t="s">
        <v>209</v>
      </c>
    </row>
    <row r="2" s="54" customFormat="1" ht="28.2" customHeight="1" spans="1:7">
      <c r="A2" s="2" t="s">
        <v>1</v>
      </c>
      <c r="B2" s="2" t="s">
        <v>143</v>
      </c>
      <c r="C2" s="191">
        <v>2025</v>
      </c>
      <c r="D2" s="34">
        <v>2026</v>
      </c>
      <c r="E2" s="34">
        <v>2027</v>
      </c>
      <c r="F2" s="34">
        <v>2028</v>
      </c>
      <c r="G2" s="34">
        <v>2029</v>
      </c>
    </row>
    <row r="3" s="54" customFormat="1" customHeight="1" spans="1:7">
      <c r="A3" s="7">
        <v>1</v>
      </c>
      <c r="B3" s="7" t="s">
        <v>210</v>
      </c>
      <c r="C3" s="8"/>
      <c r="D3" s="39">
        <f>'E.1.1项目运营期费用(不含税）'!I7+'E.1.1项目运营期费用(不含税）'!I13</f>
        <v>0</v>
      </c>
      <c r="E3" s="39">
        <f>'E.1.1项目运营期费用(不含税）'!J7+'E.1.1项目运营期费用(不含税）'!J13</f>
        <v>0</v>
      </c>
      <c r="F3" s="39">
        <f>'E.1.1项目运营期费用(不含税）'!K7+'E.1.1项目运营期费用(不含税）'!K13</f>
        <v>0</v>
      </c>
      <c r="G3" s="39">
        <f>'E.1.1项目运营期费用(不含税）'!L7+'E.1.1项目运营期费用(不含税）'!L13</f>
        <v>0</v>
      </c>
    </row>
    <row r="4" s="54" customFormat="1" customHeight="1" spans="1:8">
      <c r="A4" s="7">
        <v>2</v>
      </c>
      <c r="B4" s="7" t="s">
        <v>211</v>
      </c>
      <c r="C4" s="8"/>
      <c r="D4" s="39">
        <f>'E.1.1项目运营期费用(不含税）'!I8+'E.1.1项目运营期费用(不含税）'!I9+'E.1.1项目运营期费用(不含税）'!I10</f>
        <v>0</v>
      </c>
      <c r="E4" s="39">
        <f>'E.1.1项目运营期费用(不含税）'!J8+'E.1.1项目运营期费用(不含税）'!J9+'E.1.1项目运营期费用(不含税）'!J10</f>
        <v>9.1743119266055</v>
      </c>
      <c r="F4" s="39">
        <f>'E.1.1项目运营期费用(不含税）'!K8+'E.1.1项目运营期费用(不含税）'!K9+'E.1.1项目运营期费用(不含税）'!K10</f>
        <v>9.1743119266055</v>
      </c>
      <c r="G4" s="39">
        <f>'E.1.1项目运营期费用(不含税）'!L8+'E.1.1项目运营期费用(不含税）'!L9+'E.1.1项目运营期费用(不含税）'!L10</f>
        <v>9.31192660550458</v>
      </c>
      <c r="H4" s="88" t="s">
        <v>212</v>
      </c>
    </row>
    <row r="5" s="54" customFormat="1" customHeight="1" spans="1:7">
      <c r="A5" s="7">
        <v>3</v>
      </c>
      <c r="B5" s="7" t="s">
        <v>213</v>
      </c>
      <c r="C5" s="8"/>
      <c r="D5" s="39">
        <f>'E.1.1项目运营期费用(不含税）'!I16</f>
        <v>0</v>
      </c>
      <c r="E5" s="39">
        <f>'E.1.1项目运营期费用(不含税）'!J16</f>
        <v>60</v>
      </c>
      <c r="F5" s="39">
        <f>'E.1.1项目运营期费用(不含税）'!K16</f>
        <v>60</v>
      </c>
      <c r="G5" s="39">
        <f>'E.1.1项目运营期费用(不含税）'!L16</f>
        <v>60.9</v>
      </c>
    </row>
    <row r="6" s="54" customFormat="1" customHeight="1" spans="1:7">
      <c r="A6" s="7">
        <v>4</v>
      </c>
      <c r="B6" s="7" t="s">
        <v>214</v>
      </c>
      <c r="C6" s="8"/>
      <c r="D6" s="39">
        <f>'E.1.1项目运营期费用(不含税）'!I5+'E.1.1项目运营期费用(不含税）'!I12</f>
        <v>0</v>
      </c>
      <c r="E6" s="39">
        <f>'E.1.1项目运营期费用(不含税）'!J5+'E.1.1项目运营期费用(不含税）'!J12</f>
        <v>319.977876106195</v>
      </c>
      <c r="F6" s="39">
        <f>'E.1.1项目运营期费用(不含税）'!K5+'E.1.1项目运营期费用(不含税）'!K12</f>
        <v>426.637168141593</v>
      </c>
      <c r="G6" s="39">
        <f>'E.1.1项目运营期费用(不含税）'!L5+'E.1.1项目运营期费用(不含税）'!L12</f>
        <v>433.036725663717</v>
      </c>
    </row>
    <row r="7" s="54" customFormat="1" customHeight="1" spans="1:7">
      <c r="A7" s="7">
        <v>5</v>
      </c>
      <c r="B7" s="7" t="s">
        <v>215</v>
      </c>
      <c r="C7" s="8"/>
      <c r="D7" s="41">
        <f>D8+D9+D10</f>
        <v>0</v>
      </c>
      <c r="E7" s="41">
        <f t="shared" ref="E7:G7" si="0">E8+E9+E10</f>
        <v>119.266055045872</v>
      </c>
      <c r="F7" s="41">
        <f t="shared" si="0"/>
        <v>155.986060952294</v>
      </c>
      <c r="G7" s="41">
        <f t="shared" si="0"/>
        <v>158.333492293578</v>
      </c>
    </row>
    <row r="8" s="54" customFormat="1" customHeight="1" spans="1:7">
      <c r="A8" s="7">
        <v>5.1</v>
      </c>
      <c r="B8" s="7" t="s">
        <v>216</v>
      </c>
      <c r="C8" s="8"/>
      <c r="D8" s="43">
        <f>'E.1.1项目运营期费用(不含税）'!I4+'E.1.1项目运营期费用(不含税）'!I14</f>
        <v>0</v>
      </c>
      <c r="E8" s="43">
        <f>'E.1.1项目运营期费用(不含税）'!J4+'E.1.1项目运营期费用(不含税）'!J14</f>
        <v>110.091743119266</v>
      </c>
      <c r="F8" s="43">
        <f>'E.1.1项目运营期费用(不含税）'!K4+'E.1.1项目运营期费用(不含税）'!K14</f>
        <v>146.788990825688</v>
      </c>
      <c r="G8" s="43">
        <f>'E.1.1项目运营期费用(不含税）'!L4+'E.1.1项目运营期费用(不含税）'!L14</f>
        <v>148.990825688073</v>
      </c>
    </row>
    <row r="9" s="54" customFormat="1" customHeight="1" spans="1:7">
      <c r="A9" s="7">
        <v>5.2</v>
      </c>
      <c r="B9" s="7" t="s">
        <v>217</v>
      </c>
      <c r="C9" s="8"/>
      <c r="D9" s="39">
        <f>'E.1.1项目运营期费用(不含税）'!I6+'E.1.1项目运营期费用(不含税）'!I11+'E.1.1项目运营期费用(不含税）'!I17+'E.1.1项目运营期费用(不含税）'!I18+'E.1.1项目运营期费用(不含税）'!I19+'E.1.1项目运营期费用(不含税）'!I20+'E.1.1项目运营期费用(不含税）'!I21+'E.1.1项目运营期费用(不含税）'!I22</f>
        <v>0</v>
      </c>
      <c r="E9" s="39">
        <f>'E.1.1项目运营期费用(不含税）'!J6+'E.1.1项目运营期费用(不含税）'!J11+'E.1.1项目运营期费用(不含税）'!J17+'E.1.1项目运营期费用(不含税）'!J18+'E.1.1项目运营期费用(不含税）'!J19+'E.1.1项目运营期费用(不含税）'!J20+'E.1.1项目运营期费用(不含税）'!J21+'E.1.1项目运营期费用(不含税）'!J22+'E.1.1项目运营期费用(不含税）'!J23</f>
        <v>9.1743119266055</v>
      </c>
      <c r="F9" s="39">
        <f>'E.1.1项目运营期费用(不含税）'!K6+'E.1.1项目运营期费用(不含税）'!K11+'E.1.1项目运营期费用(不含税）'!K17+'E.1.1项目运营期费用(不含税）'!K18+'E.1.1项目运营期费用(不含税）'!K19+'E.1.1项目运营期费用(不含税）'!K20+'E.1.1项目运营期费用(不含税）'!K21+'E.1.1项目运营期费用(不含税）'!K22+'E.1.1项目运营期费用(不含税）'!K23+c借款还本付息计划表!G45</f>
        <v>9.1970701266055</v>
      </c>
      <c r="G9" s="39">
        <f>'E.1.1项目运营期费用(不含税）'!L6+'E.1.1项目运营期费用(不含税）'!L11+'E.1.1项目运营期费用(不含税）'!L17+'E.1.1项目运营期费用(不含税）'!L18+'E.1.1项目运营期费用(不含税）'!L19+'E.1.1项目运营期费用(不含税）'!L20+'E.1.1项目运营期费用(不含税）'!L21+'E.1.1项目运营期费用(不含税）'!L22+'E.1.1项目运营期费用(不含税）'!L23+c借款还本付息计划表!H45</f>
        <v>9.34266660550458</v>
      </c>
    </row>
    <row r="10" s="54" customFormat="1" customHeight="1" spans="1:7">
      <c r="A10" s="7">
        <v>5.3</v>
      </c>
      <c r="B10" s="7" t="s">
        <v>218</v>
      </c>
      <c r="C10" s="8"/>
      <c r="D10" s="39">
        <f>'E.1.1项目运营期费用(不含税）'!I15</f>
        <v>0</v>
      </c>
      <c r="E10" s="39">
        <f>'E.1.1项目运营期费用(不含税）'!J15</f>
        <v>0</v>
      </c>
      <c r="F10" s="39">
        <f>'E.1.1项目运营期费用(不含税）'!K15</f>
        <v>0</v>
      </c>
      <c r="G10" s="39">
        <f>'E.1.1项目运营期费用(不含税）'!L15</f>
        <v>0</v>
      </c>
    </row>
    <row r="11" s="54" customFormat="1" customHeight="1" spans="1:7">
      <c r="A11" s="7">
        <v>6</v>
      </c>
      <c r="B11" s="7" t="s">
        <v>219</v>
      </c>
      <c r="C11" s="8"/>
      <c r="D11" s="12">
        <f>D3+D4+D5+D6+D7</f>
        <v>0</v>
      </c>
      <c r="E11" s="12">
        <f t="shared" ref="E11:G11" si="1">E3+E4+E5+E6+E7</f>
        <v>508.418243078672</v>
      </c>
      <c r="F11" s="12">
        <f t="shared" si="1"/>
        <v>651.797541020492</v>
      </c>
      <c r="G11" s="12">
        <f t="shared" si="1"/>
        <v>661.582144562799</v>
      </c>
    </row>
    <row r="12" s="54" customFormat="1" customHeight="1" spans="1:8">
      <c r="A12" s="7">
        <v>7</v>
      </c>
      <c r="B12" s="7" t="s">
        <v>220</v>
      </c>
      <c r="C12" s="180">
        <f>E.2固定资产折旧费估算表!F9</f>
        <v>0</v>
      </c>
      <c r="D12" s="180">
        <f>E.2固定资产折旧费估算表!G9</f>
        <v>0</v>
      </c>
      <c r="E12" s="180">
        <f>E.2固定资产折旧费估算表!H9</f>
        <v>406.07530921051</v>
      </c>
      <c r="F12" s="180">
        <f>E.2固定资产折旧费估算表!I9</f>
        <v>406.07530921051</v>
      </c>
      <c r="G12" s="180">
        <f>E.2固定资产折旧费估算表!J9</f>
        <v>1013.96873184612</v>
      </c>
      <c r="H12" s="88" t="s">
        <v>221</v>
      </c>
    </row>
    <row r="13" s="54" customFormat="1" customHeight="1" spans="1:8">
      <c r="A13" s="7">
        <v>8</v>
      </c>
      <c r="B13" s="7" t="s">
        <v>222</v>
      </c>
      <c r="C13" s="180">
        <f>E.3无形资产和其他资产摊销费估算表!F18</f>
        <v>0</v>
      </c>
      <c r="D13" s="180">
        <f>E.3无形资产和其他资产摊销费估算表!G18</f>
        <v>0</v>
      </c>
      <c r="E13" s="180">
        <f>E.3无形资产和其他资产摊销费估算表!H18</f>
        <v>142.795883361921</v>
      </c>
      <c r="F13" s="180">
        <f>E.3无形资产和其他资产摊销费估算表!I18</f>
        <v>142.795883361921</v>
      </c>
      <c r="G13" s="180">
        <f>E.3无形资产和其他资产摊销费估算表!J18</f>
        <v>218.739279588336</v>
      </c>
      <c r="H13" s="88" t="s">
        <v>221</v>
      </c>
    </row>
    <row r="14" s="54" customFormat="1" customHeight="1" spans="1:8">
      <c r="A14" s="7">
        <v>9</v>
      </c>
      <c r="B14" s="7" t="s">
        <v>223</v>
      </c>
      <c r="C14" s="162"/>
      <c r="D14" s="12"/>
      <c r="E14" s="12"/>
      <c r="F14" s="12"/>
      <c r="G14" s="12">
        <f>c借款还本付息计划表!H47+c借款还本付息计划表!H45</f>
        <v>614.83074</v>
      </c>
      <c r="H14" s="88" t="s">
        <v>221</v>
      </c>
    </row>
    <row r="15" s="54" customFormat="1" customHeight="1" spans="1:7">
      <c r="A15" s="7">
        <v>10</v>
      </c>
      <c r="B15" s="7" t="s">
        <v>224</v>
      </c>
      <c r="C15" s="8"/>
      <c r="D15" s="12">
        <f>D11+D12+D13+D14</f>
        <v>0</v>
      </c>
      <c r="E15" s="12">
        <f t="shared" ref="E15:G15" si="2">E11+E12+E13+E14</f>
        <v>1057.2894356511</v>
      </c>
      <c r="F15" s="12">
        <f t="shared" si="2"/>
        <v>1200.66873359292</v>
      </c>
      <c r="G15" s="12">
        <f t="shared" si="2"/>
        <v>2509.12089599726</v>
      </c>
    </row>
    <row r="16" s="54" customFormat="1" customHeight="1" spans="1:7">
      <c r="A16" s="7">
        <v>10.1</v>
      </c>
      <c r="B16" s="7" t="s">
        <v>225</v>
      </c>
      <c r="C16" s="8"/>
      <c r="D16" s="12">
        <f>D15-D17</f>
        <v>0</v>
      </c>
      <c r="E16" s="12">
        <f t="shared" ref="E16:G16" si="3">E15-E17</f>
        <v>988.115123724497</v>
      </c>
      <c r="F16" s="12">
        <f t="shared" si="3"/>
        <v>1131.49442166632</v>
      </c>
      <c r="G16" s="12">
        <f t="shared" si="3"/>
        <v>2438.90896939175</v>
      </c>
    </row>
    <row r="17" s="54" customFormat="1" customHeight="1" spans="1:7">
      <c r="A17" s="7">
        <v>10.2</v>
      </c>
      <c r="B17" s="7" t="s">
        <v>226</v>
      </c>
      <c r="C17" s="8"/>
      <c r="D17" s="12">
        <f>D3+D4+D5+D10</f>
        <v>0</v>
      </c>
      <c r="E17" s="12">
        <f t="shared" ref="E17:G17" si="4">E3+E4+E5+E10</f>
        <v>69.1743119266055</v>
      </c>
      <c r="F17" s="12">
        <f t="shared" si="4"/>
        <v>69.1743119266055</v>
      </c>
      <c r="G17" s="12">
        <f t="shared" si="4"/>
        <v>70.2119266055046</v>
      </c>
    </row>
    <row r="18" customHeight="1" spans="3:3">
      <c r="C18" s="192"/>
    </row>
  </sheetData>
  <mergeCells count="1">
    <mergeCell ref="A1:G1"/>
  </mergeCells>
  <pageMargins left="0.75" right="0.75" top="1" bottom="1" header="0.5" footer="0.5"/>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tabColor rgb="FFFFFF00"/>
  </sheetPr>
  <dimension ref="A1:AF33"/>
  <sheetViews>
    <sheetView zoomScale="70" zoomScaleNormal="70" topLeftCell="A20" workbookViewId="0">
      <selection activeCell="Q13" sqref="Q13"/>
    </sheetView>
  </sheetViews>
  <sheetFormatPr defaultColWidth="8.89090909090909" defaultRowHeight="28.05" customHeight="1"/>
  <cols>
    <col min="1" max="1" width="19.6636363636364" customWidth="1"/>
    <col min="3" max="3" width="32.3363636363636" customWidth="1"/>
    <col min="4" max="4" width="58.1090909090909" customWidth="1"/>
    <col min="5" max="5" width="14.1090909090909" customWidth="1"/>
    <col min="6" max="6" width="12.3363636363636" customWidth="1"/>
    <col min="7" max="8" width="15.1090909090909" customWidth="1"/>
    <col min="9" max="9" width="15.4454545454545" customWidth="1"/>
    <col min="10" max="10" width="16.1090909090909" customWidth="1"/>
    <col min="11" max="11" width="17" customWidth="1"/>
    <col min="12" max="12" width="15.4454545454545" customWidth="1"/>
    <col min="13" max="13" width="16.1090909090909" customWidth="1"/>
    <col min="14" max="14" width="17" customWidth="1"/>
    <col min="15" max="15" width="15.4454545454545" customWidth="1"/>
    <col min="16" max="16" width="16.1090909090909" customWidth="1"/>
    <col min="17" max="17" width="17" customWidth="1"/>
    <col min="18" max="18" width="15.4454545454545" customWidth="1"/>
    <col min="19" max="19" width="16.1090909090909" customWidth="1"/>
    <col min="20" max="20" width="17" customWidth="1"/>
    <col min="21" max="21" width="15.4454545454545" customWidth="1"/>
    <col min="22" max="22" width="16.1090909090909" customWidth="1"/>
    <col min="23" max="23" width="17" customWidth="1"/>
    <col min="24" max="24" width="15.4454545454545" customWidth="1"/>
    <col min="25" max="25" width="16.1090909090909" customWidth="1"/>
    <col min="26" max="26" width="17" customWidth="1"/>
    <col min="27" max="27" width="15.4454545454545" customWidth="1"/>
    <col min="28" max="28" width="16.1090909090909" customWidth="1"/>
    <col min="29" max="31" width="17" customWidth="1"/>
    <col min="32" max="32" width="16.5545454545455" customWidth="1"/>
  </cols>
  <sheetData>
    <row r="1" s="54" customFormat="1" customHeight="1" spans="1:32">
      <c r="A1" s="175" t="s">
        <v>227</v>
      </c>
      <c r="B1" s="178"/>
      <c r="C1" s="178"/>
      <c r="D1" s="178"/>
      <c r="E1" s="178"/>
      <c r="F1" s="178"/>
      <c r="G1" s="178"/>
      <c r="H1" s="178"/>
      <c r="I1" s="178"/>
      <c r="J1" s="178"/>
      <c r="K1" s="178"/>
      <c r="L1" s="178"/>
      <c r="M1" s="178"/>
      <c r="N1" s="188"/>
      <c r="O1" s="188"/>
      <c r="P1" s="188"/>
      <c r="Q1" s="188"/>
      <c r="R1" s="188"/>
      <c r="S1" s="188"/>
      <c r="T1" s="188"/>
      <c r="U1" s="188"/>
      <c r="V1" s="188"/>
      <c r="W1" s="188"/>
      <c r="X1" s="188"/>
      <c r="Y1" s="188"/>
      <c r="Z1" s="188"/>
      <c r="AA1" s="188"/>
      <c r="AB1" s="188"/>
      <c r="AC1" s="188"/>
      <c r="AD1" s="188"/>
      <c r="AE1" s="188"/>
      <c r="AF1" s="188"/>
    </row>
    <row r="2" s="54" customFormat="1" customHeight="1" spans="1:13">
      <c r="A2" s="20" t="s">
        <v>228</v>
      </c>
      <c r="B2" s="20" t="s">
        <v>1</v>
      </c>
      <c r="C2" s="20" t="s">
        <v>143</v>
      </c>
      <c r="D2" s="20" t="s">
        <v>229</v>
      </c>
      <c r="E2" s="20" t="s">
        <v>86</v>
      </c>
      <c r="F2" s="21" t="s">
        <v>230</v>
      </c>
      <c r="G2" s="21" t="s">
        <v>231</v>
      </c>
      <c r="H2" s="22">
        <v>2025</v>
      </c>
      <c r="I2" s="26">
        <v>2026</v>
      </c>
      <c r="J2" s="22">
        <v>2027</v>
      </c>
      <c r="K2" s="26">
        <v>2028</v>
      </c>
      <c r="L2" s="22">
        <v>2029</v>
      </c>
      <c r="M2" s="17" t="s">
        <v>80</v>
      </c>
    </row>
    <row r="3" s="54" customFormat="1" customHeight="1" spans="1:13">
      <c r="A3" s="17"/>
      <c r="B3" s="17"/>
      <c r="C3" s="17"/>
      <c r="D3" s="17"/>
      <c r="E3" s="17"/>
      <c r="F3" s="17"/>
      <c r="G3" s="17"/>
      <c r="H3" s="24" t="s">
        <v>232</v>
      </c>
      <c r="I3" s="9">
        <v>0.7</v>
      </c>
      <c r="J3" s="9">
        <v>0.7</v>
      </c>
      <c r="K3" s="80">
        <v>0.8</v>
      </c>
      <c r="L3" s="9">
        <v>0.9</v>
      </c>
      <c r="M3" s="7" t="s">
        <v>163</v>
      </c>
    </row>
    <row r="4" s="54" customFormat="1" customHeight="1" spans="1:13">
      <c r="A4" s="11" t="s">
        <v>233</v>
      </c>
      <c r="B4" s="11">
        <v>1</v>
      </c>
      <c r="C4" s="11" t="s">
        <v>234</v>
      </c>
      <c r="D4" s="11" t="s">
        <v>235</v>
      </c>
      <c r="E4" s="39"/>
      <c r="F4" s="39"/>
      <c r="G4" s="179">
        <f>A财务假设!D19</f>
        <v>0</v>
      </c>
      <c r="H4" s="180">
        <f>F30*(1+$G4)</f>
        <v>0</v>
      </c>
      <c r="I4" s="180">
        <f>G30*(1+$G4)</f>
        <v>0</v>
      </c>
      <c r="J4" s="180">
        <f>H30*(1+$G4)</f>
        <v>120</v>
      </c>
      <c r="K4" s="180">
        <f>I30*(1+$G4)</f>
        <v>160</v>
      </c>
      <c r="L4" s="180">
        <f>J30*(1+$G4)</f>
        <v>162.4</v>
      </c>
      <c r="M4" s="12">
        <f t="shared" ref="M4:M23" si="0">SUM(H4:L4)</f>
        <v>442.4</v>
      </c>
    </row>
    <row r="5" s="54" customFormat="1" ht="48" customHeight="1" spans="1:13">
      <c r="A5" s="11"/>
      <c r="B5" s="11">
        <v>2</v>
      </c>
      <c r="C5" s="25" t="s">
        <v>236</v>
      </c>
      <c r="D5" s="11" t="s">
        <v>237</v>
      </c>
      <c r="E5" s="39"/>
      <c r="F5" s="39"/>
      <c r="G5" s="179"/>
      <c r="H5" s="180"/>
      <c r="I5" s="180"/>
      <c r="J5" s="180"/>
      <c r="K5" s="180"/>
      <c r="L5" s="180"/>
      <c r="M5" s="12">
        <f t="shared" si="0"/>
        <v>0</v>
      </c>
    </row>
    <row r="6" s="54" customFormat="1" customHeight="1" spans="1:13">
      <c r="A6" s="11"/>
      <c r="B6" s="11">
        <v>3</v>
      </c>
      <c r="C6" s="11" t="s">
        <v>238</v>
      </c>
      <c r="D6" s="11" t="s">
        <v>239</v>
      </c>
      <c r="E6" s="39"/>
      <c r="F6" s="39"/>
      <c r="G6" s="179"/>
      <c r="H6" s="180"/>
      <c r="I6" s="180"/>
      <c r="J6" s="180"/>
      <c r="K6" s="180"/>
      <c r="L6" s="180"/>
      <c r="M6" s="12">
        <f t="shared" si="0"/>
        <v>0</v>
      </c>
    </row>
    <row r="7" s="54" customFormat="1" customHeight="1" spans="1:13">
      <c r="A7" s="11"/>
      <c r="B7" s="11">
        <v>4</v>
      </c>
      <c r="C7" s="11" t="s">
        <v>240</v>
      </c>
      <c r="D7" s="11" t="s">
        <v>241</v>
      </c>
      <c r="E7" s="39"/>
      <c r="F7" s="39"/>
      <c r="G7" s="179"/>
      <c r="H7" s="180"/>
      <c r="I7" s="180"/>
      <c r="J7" s="180"/>
      <c r="K7" s="180"/>
      <c r="L7" s="180"/>
      <c r="M7" s="12">
        <f t="shared" si="0"/>
        <v>0</v>
      </c>
    </row>
    <row r="8" s="54" customFormat="1" customHeight="1" spans="1:13">
      <c r="A8" s="11" t="s">
        <v>242</v>
      </c>
      <c r="B8" s="11">
        <v>5</v>
      </c>
      <c r="C8" s="11" t="s">
        <v>243</v>
      </c>
      <c r="D8" s="11" t="s">
        <v>244</v>
      </c>
      <c r="E8" s="39"/>
      <c r="F8" s="39"/>
      <c r="G8" s="179"/>
      <c r="H8" s="180"/>
      <c r="I8" s="180"/>
      <c r="J8" s="180"/>
      <c r="K8" s="180"/>
      <c r="L8" s="180"/>
      <c r="M8" s="12">
        <f t="shared" si="0"/>
        <v>0</v>
      </c>
    </row>
    <row r="9" s="54" customFormat="1" customHeight="1" spans="1:13">
      <c r="A9" s="11"/>
      <c r="B9" s="11">
        <v>6</v>
      </c>
      <c r="C9" s="11" t="s">
        <v>245</v>
      </c>
      <c r="D9" s="11" t="s">
        <v>246</v>
      </c>
      <c r="E9" s="39"/>
      <c r="F9" s="39"/>
      <c r="G9" s="179"/>
      <c r="H9" s="180"/>
      <c r="I9" s="180"/>
      <c r="J9" s="180"/>
      <c r="K9" s="180"/>
      <c r="L9" s="180"/>
      <c r="M9" s="12">
        <f t="shared" si="0"/>
        <v>0</v>
      </c>
    </row>
    <row r="10" s="54" customFormat="1" customHeight="1" spans="1:13">
      <c r="A10" s="11"/>
      <c r="B10" s="11">
        <v>7</v>
      </c>
      <c r="C10" s="11" t="s">
        <v>247</v>
      </c>
      <c r="D10" s="11" t="s">
        <v>248</v>
      </c>
      <c r="E10" s="39"/>
      <c r="F10" s="39"/>
      <c r="G10" s="179">
        <f>G4</f>
        <v>0</v>
      </c>
      <c r="H10" s="180">
        <f>F28*(1+$G10)</f>
        <v>0</v>
      </c>
      <c r="I10" s="180">
        <f>G28*(1+$G10)</f>
        <v>0</v>
      </c>
      <c r="J10" s="180">
        <f>H28*(1+$G10)</f>
        <v>10</v>
      </c>
      <c r="K10" s="180">
        <f>I28*(1+$G10)</f>
        <v>10</v>
      </c>
      <c r="L10" s="180">
        <f>J28*(1+$G10)</f>
        <v>10.15</v>
      </c>
      <c r="M10" s="12">
        <f t="shared" si="0"/>
        <v>30.15</v>
      </c>
    </row>
    <row r="11" s="54" customFormat="1" customHeight="1" spans="1:13">
      <c r="A11" s="11" t="s">
        <v>249</v>
      </c>
      <c r="B11" s="11">
        <v>8</v>
      </c>
      <c r="C11" s="11" t="s">
        <v>250</v>
      </c>
      <c r="D11" s="11" t="s">
        <v>251</v>
      </c>
      <c r="E11" s="39"/>
      <c r="F11" s="39"/>
      <c r="G11" s="179">
        <f>G4</f>
        <v>0</v>
      </c>
      <c r="H11" s="180">
        <f>F29*(1+$G11)</f>
        <v>0</v>
      </c>
      <c r="I11" s="180">
        <f>G29*(1+$G11)</f>
        <v>0</v>
      </c>
      <c r="J11" s="180">
        <f>H29*(1+$G11)</f>
        <v>10</v>
      </c>
      <c r="K11" s="180">
        <f>I29*(1+$G11)</f>
        <v>10</v>
      </c>
      <c r="L11" s="180">
        <f>J29*(1+$G11)</f>
        <v>10.15</v>
      </c>
      <c r="M11" s="12">
        <f t="shared" si="0"/>
        <v>30.15</v>
      </c>
    </row>
    <row r="12" s="54" customFormat="1" customHeight="1" spans="1:13">
      <c r="A12" s="11" t="s">
        <v>252</v>
      </c>
      <c r="B12" s="11">
        <v>9</v>
      </c>
      <c r="C12" s="11" t="s">
        <v>253</v>
      </c>
      <c r="D12" s="11" t="s">
        <v>254</v>
      </c>
      <c r="E12" s="39"/>
      <c r="F12" s="39"/>
      <c r="G12" s="179">
        <f>G4</f>
        <v>0</v>
      </c>
      <c r="H12" s="180">
        <f>F26*(1+$G12)</f>
        <v>0</v>
      </c>
      <c r="I12" s="180">
        <f>G26*(1+$G12)</f>
        <v>0</v>
      </c>
      <c r="J12" s="180">
        <f>H26*(1+$G12)</f>
        <v>361.575</v>
      </c>
      <c r="K12" s="180">
        <f>I26*(1+$G12)</f>
        <v>482.1</v>
      </c>
      <c r="L12" s="180">
        <f>J26*(1+$G12)</f>
        <v>489.3315</v>
      </c>
      <c r="M12" s="12">
        <f t="shared" si="0"/>
        <v>1333.0065</v>
      </c>
    </row>
    <row r="13" s="54" customFormat="1" customHeight="1" spans="1:13">
      <c r="A13" s="11"/>
      <c r="B13" s="11">
        <v>10</v>
      </c>
      <c r="C13" s="11" t="s">
        <v>255</v>
      </c>
      <c r="D13" s="11" t="s">
        <v>256</v>
      </c>
      <c r="E13" s="39"/>
      <c r="F13" s="39"/>
      <c r="G13" s="179"/>
      <c r="H13" s="180"/>
      <c r="I13" s="180"/>
      <c r="J13" s="180"/>
      <c r="K13" s="180"/>
      <c r="L13" s="180"/>
      <c r="M13" s="12">
        <f t="shared" si="0"/>
        <v>0</v>
      </c>
    </row>
    <row r="14" s="54" customFormat="1" customHeight="1" spans="1:13">
      <c r="A14" s="11" t="s">
        <v>257</v>
      </c>
      <c r="B14" s="11">
        <v>11</v>
      </c>
      <c r="C14" s="11" t="s">
        <v>258</v>
      </c>
      <c r="D14" s="11" t="s">
        <v>259</v>
      </c>
      <c r="E14" s="39"/>
      <c r="F14" s="39"/>
      <c r="G14" s="179"/>
      <c r="H14" s="180"/>
      <c r="I14" s="180"/>
      <c r="J14" s="180"/>
      <c r="K14" s="180"/>
      <c r="L14" s="180"/>
      <c r="M14" s="12">
        <f t="shared" si="0"/>
        <v>0</v>
      </c>
    </row>
    <row r="15" s="54" customFormat="1" customHeight="1" spans="1:13">
      <c r="A15" s="11" t="s">
        <v>260</v>
      </c>
      <c r="B15" s="11">
        <v>12</v>
      </c>
      <c r="C15" s="11" t="s">
        <v>261</v>
      </c>
      <c r="D15" s="11" t="s">
        <v>262</v>
      </c>
      <c r="E15" s="39"/>
      <c r="F15" s="39"/>
      <c r="G15" s="179"/>
      <c r="H15" s="180"/>
      <c r="I15" s="180"/>
      <c r="J15" s="180"/>
      <c r="K15" s="180"/>
      <c r="L15" s="180"/>
      <c r="M15" s="12">
        <f t="shared" si="0"/>
        <v>0</v>
      </c>
    </row>
    <row r="16" s="54" customFormat="1" customHeight="1" spans="1:13">
      <c r="A16" s="11" t="s">
        <v>263</v>
      </c>
      <c r="B16" s="11">
        <v>13</v>
      </c>
      <c r="C16" s="11" t="s">
        <v>264</v>
      </c>
      <c r="D16" s="11" t="s">
        <v>265</v>
      </c>
      <c r="E16" s="39"/>
      <c r="F16" s="39"/>
      <c r="G16" s="179">
        <f>G4</f>
        <v>0</v>
      </c>
      <c r="H16" s="180">
        <f>F27*(1+$G16)</f>
        <v>0</v>
      </c>
      <c r="I16" s="180">
        <f>G27*(1+$G16)</f>
        <v>0</v>
      </c>
      <c r="J16" s="180">
        <f>H27*(1+$G16)</f>
        <v>60</v>
      </c>
      <c r="K16" s="180">
        <f>I27*(1+$G16)</f>
        <v>60</v>
      </c>
      <c r="L16" s="180">
        <f>J27*(1+$G16)</f>
        <v>60.9</v>
      </c>
      <c r="M16" s="12">
        <f t="shared" si="0"/>
        <v>180.9</v>
      </c>
    </row>
    <row r="17" s="54" customFormat="1" customHeight="1" spans="1:13">
      <c r="A17" s="11"/>
      <c r="B17" s="11">
        <v>14</v>
      </c>
      <c r="C17" s="11" t="s">
        <v>266</v>
      </c>
      <c r="D17" s="11" t="s">
        <v>267</v>
      </c>
      <c r="E17" s="39"/>
      <c r="F17" s="39"/>
      <c r="G17" s="179"/>
      <c r="H17" s="180"/>
      <c r="I17" s="180"/>
      <c r="J17" s="180"/>
      <c r="K17" s="180"/>
      <c r="L17" s="180"/>
      <c r="M17" s="12">
        <f t="shared" si="0"/>
        <v>0</v>
      </c>
    </row>
    <row r="18" s="54" customFormat="1" customHeight="1" spans="1:13">
      <c r="A18" s="11"/>
      <c r="B18" s="11">
        <v>15</v>
      </c>
      <c r="C18" s="11" t="s">
        <v>268</v>
      </c>
      <c r="D18" s="11" t="s">
        <v>269</v>
      </c>
      <c r="E18" s="39"/>
      <c r="F18" s="39"/>
      <c r="G18" s="179"/>
      <c r="H18" s="180"/>
      <c r="I18" s="180"/>
      <c r="J18" s="180"/>
      <c r="K18" s="180"/>
      <c r="L18" s="180"/>
      <c r="M18" s="12">
        <f t="shared" si="0"/>
        <v>0</v>
      </c>
    </row>
    <row r="19" s="54" customFormat="1" customHeight="1" spans="1:13">
      <c r="A19" s="11" t="s">
        <v>270</v>
      </c>
      <c r="B19" s="11">
        <v>16</v>
      </c>
      <c r="C19" s="11" t="s">
        <v>271</v>
      </c>
      <c r="D19" s="11" t="s">
        <v>272</v>
      </c>
      <c r="E19" s="39"/>
      <c r="F19" s="39"/>
      <c r="G19" s="179"/>
      <c r="H19" s="180"/>
      <c r="I19" s="180"/>
      <c r="J19" s="180"/>
      <c r="K19" s="180"/>
      <c r="L19" s="180"/>
      <c r="M19" s="12">
        <f t="shared" si="0"/>
        <v>0</v>
      </c>
    </row>
    <row r="20" s="54" customFormat="1" customHeight="1" spans="1:13">
      <c r="A20" s="11"/>
      <c r="B20" s="11">
        <v>17</v>
      </c>
      <c r="C20" s="11" t="s">
        <v>273</v>
      </c>
      <c r="D20" s="11" t="s">
        <v>274</v>
      </c>
      <c r="E20" s="39"/>
      <c r="F20" s="39"/>
      <c r="G20" s="179"/>
      <c r="H20" s="180"/>
      <c r="I20" s="180"/>
      <c r="J20" s="180"/>
      <c r="K20" s="180"/>
      <c r="L20" s="180"/>
      <c r="M20" s="12">
        <f t="shared" si="0"/>
        <v>0</v>
      </c>
    </row>
    <row r="21" s="54" customFormat="1" customHeight="1" spans="1:13">
      <c r="A21" s="11"/>
      <c r="B21" s="11">
        <v>18</v>
      </c>
      <c r="C21" s="11" t="s">
        <v>275</v>
      </c>
      <c r="D21" s="11" t="s">
        <v>276</v>
      </c>
      <c r="E21" s="39"/>
      <c r="F21" s="39"/>
      <c r="G21" s="179"/>
      <c r="H21" s="180"/>
      <c r="I21" s="180"/>
      <c r="J21" s="180"/>
      <c r="K21" s="180"/>
      <c r="L21" s="180"/>
      <c r="M21" s="12">
        <f t="shared" si="0"/>
        <v>0</v>
      </c>
    </row>
    <row r="22" s="54" customFormat="1" customHeight="1" spans="1:13">
      <c r="A22" s="11" t="s">
        <v>277</v>
      </c>
      <c r="B22" s="11">
        <v>19</v>
      </c>
      <c r="C22" s="11" t="s">
        <v>278</v>
      </c>
      <c r="D22" s="11" t="s">
        <v>279</v>
      </c>
      <c r="E22" s="39"/>
      <c r="F22" s="39"/>
      <c r="G22" s="179"/>
      <c r="H22" s="180"/>
      <c r="I22" s="180"/>
      <c r="J22" s="180"/>
      <c r="K22" s="180"/>
      <c r="L22" s="180"/>
      <c r="M22" s="12">
        <f t="shared" si="0"/>
        <v>0</v>
      </c>
    </row>
    <row r="23" s="54" customFormat="1" customHeight="1" spans="1:13">
      <c r="A23" s="11"/>
      <c r="B23" s="11">
        <v>20</v>
      </c>
      <c r="C23" s="11" t="s">
        <v>280</v>
      </c>
      <c r="D23" s="11" t="s">
        <v>281</v>
      </c>
      <c r="E23" s="39"/>
      <c r="F23" s="39"/>
      <c r="G23" s="179"/>
      <c r="H23" s="180"/>
      <c r="I23" s="180"/>
      <c r="J23" s="180"/>
      <c r="K23" s="180"/>
      <c r="L23" s="180"/>
      <c r="M23" s="12">
        <f t="shared" si="0"/>
        <v>0</v>
      </c>
    </row>
    <row r="24" s="177" customFormat="1" ht="58.05" customHeight="1" spans="1:29">
      <c r="A24" s="105" t="s">
        <v>282</v>
      </c>
      <c r="B24" s="105"/>
      <c r="C24" s="105"/>
      <c r="D24" s="105"/>
      <c r="E24" s="105"/>
      <c r="F24" s="105"/>
      <c r="G24" s="105"/>
      <c r="H24" s="105"/>
      <c r="I24" s="105"/>
      <c r="J24" s="105"/>
      <c r="K24" s="105"/>
      <c r="L24" s="105"/>
      <c r="M24" s="105"/>
      <c r="N24" s="105"/>
      <c r="O24" s="105"/>
      <c r="P24" s="105"/>
      <c r="Q24" s="105"/>
      <c r="R24" s="105"/>
      <c r="S24" s="105"/>
      <c r="T24" s="105"/>
      <c r="U24" s="105"/>
      <c r="V24" s="105"/>
      <c r="W24" s="105"/>
      <c r="X24" s="105"/>
      <c r="Y24" s="105"/>
      <c r="Z24" s="105"/>
      <c r="AA24" s="105"/>
      <c r="AB24" s="105"/>
      <c r="AC24" s="105"/>
    </row>
    <row r="25" s="177" customFormat="1" ht="26" spans="1:29">
      <c r="A25" s="106" t="s">
        <v>1</v>
      </c>
      <c r="B25" s="108" t="s">
        <v>283</v>
      </c>
      <c r="C25" s="108" t="s">
        <v>187</v>
      </c>
      <c r="D25" s="108" t="s">
        <v>284</v>
      </c>
      <c r="E25" s="108" t="s">
        <v>285</v>
      </c>
      <c r="F25" s="130" t="s">
        <v>286</v>
      </c>
      <c r="G25" s="130" t="s">
        <v>287</v>
      </c>
      <c r="H25" s="130" t="s">
        <v>288</v>
      </c>
      <c r="I25" s="130" t="s">
        <v>289</v>
      </c>
      <c r="J25" s="131" t="s">
        <v>290</v>
      </c>
      <c r="K25" s="108" t="s">
        <v>291</v>
      </c>
      <c r="L25" s="108" t="s">
        <v>292</v>
      </c>
      <c r="M25" s="108" t="s">
        <v>293</v>
      </c>
      <c r="N25" s="108" t="s">
        <v>294</v>
      </c>
      <c r="O25" s="108" t="s">
        <v>295</v>
      </c>
      <c r="P25" s="108" t="s">
        <v>296</v>
      </c>
      <c r="Q25" s="108" t="s">
        <v>297</v>
      </c>
      <c r="R25" s="108" t="s">
        <v>298</v>
      </c>
      <c r="S25" s="108" t="s">
        <v>299</v>
      </c>
      <c r="T25" s="108" t="s">
        <v>300</v>
      </c>
      <c r="U25" s="108" t="s">
        <v>301</v>
      </c>
      <c r="V25" s="108" t="s">
        <v>302</v>
      </c>
      <c r="W25" s="108" t="s">
        <v>303</v>
      </c>
      <c r="X25" s="108" t="s">
        <v>304</v>
      </c>
      <c r="Y25" s="108" t="s">
        <v>305</v>
      </c>
      <c r="Z25" s="108" t="s">
        <v>306</v>
      </c>
      <c r="AA25" s="108" t="s">
        <v>307</v>
      </c>
      <c r="AB25" s="108" t="s">
        <v>308</v>
      </c>
      <c r="AC25" s="135" t="s">
        <v>309</v>
      </c>
    </row>
    <row r="26" s="177" customFormat="1" ht="37.95" customHeight="1" spans="1:29">
      <c r="A26" s="109">
        <v>1</v>
      </c>
      <c r="B26" s="181" t="s">
        <v>310</v>
      </c>
      <c r="C26" s="113" t="s">
        <v>311</v>
      </c>
      <c r="D26" s="113" t="s">
        <v>312</v>
      </c>
      <c r="E26" s="119">
        <v>602.625</v>
      </c>
      <c r="F26" s="182"/>
      <c r="G26" s="182"/>
      <c r="H26" s="182">
        <f>E26*60%</f>
        <v>361.575</v>
      </c>
      <c r="I26" s="182">
        <f>E26*80%</f>
        <v>482.1</v>
      </c>
      <c r="J26" s="182">
        <f t="shared" ref="J26:AC29" si="1">I26*1.015</f>
        <v>489.3315</v>
      </c>
      <c r="K26" s="182">
        <f t="shared" si="1"/>
        <v>496.6714725</v>
      </c>
      <c r="L26" s="182">
        <f t="shared" si="1"/>
        <v>504.1215445875</v>
      </c>
      <c r="M26" s="182">
        <f t="shared" si="1"/>
        <v>511.683367756312</v>
      </c>
      <c r="N26" s="182">
        <f t="shared" si="1"/>
        <v>519.358618272657</v>
      </c>
      <c r="O26" s="182">
        <f t="shared" si="1"/>
        <v>527.148997546747</v>
      </c>
      <c r="P26" s="182">
        <f t="shared" si="1"/>
        <v>535.056232509948</v>
      </c>
      <c r="Q26" s="182">
        <f t="shared" si="1"/>
        <v>543.082075997597</v>
      </c>
      <c r="R26" s="182">
        <f t="shared" si="1"/>
        <v>551.228307137561</v>
      </c>
      <c r="S26" s="182">
        <f t="shared" si="1"/>
        <v>559.496731744624</v>
      </c>
      <c r="T26" s="182">
        <f t="shared" si="1"/>
        <v>567.889182720794</v>
      </c>
      <c r="U26" s="182">
        <f t="shared" si="1"/>
        <v>576.407520461605</v>
      </c>
      <c r="V26" s="182">
        <f t="shared" si="1"/>
        <v>585.05363326853</v>
      </c>
      <c r="W26" s="182">
        <f t="shared" si="1"/>
        <v>593.829437767557</v>
      </c>
      <c r="X26" s="182">
        <f t="shared" si="1"/>
        <v>602.736879334071</v>
      </c>
      <c r="Y26" s="182">
        <f t="shared" si="1"/>
        <v>611.777932524082</v>
      </c>
      <c r="Z26" s="182">
        <f t="shared" si="1"/>
        <v>620.954601511943</v>
      </c>
      <c r="AA26" s="182">
        <f t="shared" si="1"/>
        <v>630.268920534622</v>
      </c>
      <c r="AB26" s="182">
        <f t="shared" si="1"/>
        <v>639.722954342641</v>
      </c>
      <c r="AC26" s="189">
        <f t="shared" si="1"/>
        <v>649.318798657781</v>
      </c>
    </row>
    <row r="27" s="177" customFormat="1" customHeight="1" spans="1:29">
      <c r="A27" s="109">
        <v>2</v>
      </c>
      <c r="B27" s="183"/>
      <c r="C27" s="113" t="s">
        <v>313</v>
      </c>
      <c r="D27" s="113" t="s">
        <v>314</v>
      </c>
      <c r="E27" s="119">
        <v>60</v>
      </c>
      <c r="F27" s="119"/>
      <c r="G27" s="119"/>
      <c r="H27" s="119">
        <v>60</v>
      </c>
      <c r="I27" s="119">
        <v>60</v>
      </c>
      <c r="J27" s="182">
        <f t="shared" si="1"/>
        <v>60.9</v>
      </c>
      <c r="K27" s="182">
        <f t="shared" ref="K27:K29" si="2">J27*1.015</f>
        <v>61.8135</v>
      </c>
      <c r="L27" s="182">
        <f t="shared" ref="L27:L29" si="3">K27*1.015</f>
        <v>62.7407025</v>
      </c>
      <c r="M27" s="182">
        <f t="shared" ref="M27:M29" si="4">L27*1.015</f>
        <v>63.6818130375</v>
      </c>
      <c r="N27" s="182">
        <f t="shared" ref="N27:N29" si="5">M27*1.015</f>
        <v>64.6370402330625</v>
      </c>
      <c r="O27" s="182">
        <f t="shared" ref="O27:O29" si="6">N27*1.015</f>
        <v>65.6065958365584</v>
      </c>
      <c r="P27" s="182">
        <f t="shared" ref="P27:P29" si="7">O27*1.015</f>
        <v>66.5906947741068</v>
      </c>
      <c r="Q27" s="182">
        <f t="shared" ref="Q27:Q29" si="8">P27*1.015</f>
        <v>67.5895551957184</v>
      </c>
      <c r="R27" s="182">
        <f t="shared" ref="R27:R29" si="9">Q27*1.015</f>
        <v>68.6033985236541</v>
      </c>
      <c r="S27" s="182">
        <f t="shared" ref="S27:S29" si="10">R27*1.015</f>
        <v>69.6324495015089</v>
      </c>
      <c r="T27" s="182">
        <f t="shared" ref="T27:T29" si="11">S27*1.015</f>
        <v>70.6769362440316</v>
      </c>
      <c r="U27" s="182">
        <f t="shared" ref="U27:U29" si="12">T27*1.015</f>
        <v>71.737090287692</v>
      </c>
      <c r="V27" s="182">
        <f t="shared" ref="V27:V29" si="13">U27*1.015</f>
        <v>72.8131466420074</v>
      </c>
      <c r="W27" s="182">
        <f t="shared" ref="W27:W29" si="14">V27*1.015</f>
        <v>73.9053438416375</v>
      </c>
      <c r="X27" s="182">
        <f t="shared" ref="X27:X29" si="15">W27*1.015</f>
        <v>75.0139239992621</v>
      </c>
      <c r="Y27" s="182">
        <f t="shared" ref="Y27:Y29" si="16">X27*1.015</f>
        <v>76.139132859251</v>
      </c>
      <c r="Z27" s="182">
        <f t="shared" ref="Z27:Z29" si="17">Y27*1.015</f>
        <v>77.2812198521398</v>
      </c>
      <c r="AA27" s="182">
        <f t="shared" ref="AA27:AA29" si="18">Z27*1.015</f>
        <v>78.4404381499218</v>
      </c>
      <c r="AB27" s="182">
        <f t="shared" ref="AB27:AB29" si="19">AA27*1.015</f>
        <v>79.6170447221707</v>
      </c>
      <c r="AC27" s="182">
        <f t="shared" ref="AC27:AC29" si="20">AB27*1.015</f>
        <v>80.8113003930032</v>
      </c>
    </row>
    <row r="28" s="177" customFormat="1" customHeight="1" spans="1:29">
      <c r="A28" s="109">
        <v>2</v>
      </c>
      <c r="B28" s="183"/>
      <c r="C28" s="113" t="s">
        <v>315</v>
      </c>
      <c r="D28" s="113" t="s">
        <v>316</v>
      </c>
      <c r="E28" s="119">
        <v>10</v>
      </c>
      <c r="F28" s="119"/>
      <c r="G28" s="119"/>
      <c r="H28" s="119">
        <v>10</v>
      </c>
      <c r="I28" s="119">
        <v>10</v>
      </c>
      <c r="J28" s="182">
        <f t="shared" si="1"/>
        <v>10.15</v>
      </c>
      <c r="K28" s="182">
        <f t="shared" si="2"/>
        <v>10.30225</v>
      </c>
      <c r="L28" s="182">
        <f t="shared" si="3"/>
        <v>10.45678375</v>
      </c>
      <c r="M28" s="182">
        <f t="shared" si="4"/>
        <v>10.61363550625</v>
      </c>
      <c r="N28" s="182">
        <f t="shared" si="5"/>
        <v>10.7728400388437</v>
      </c>
      <c r="O28" s="182">
        <f t="shared" si="6"/>
        <v>10.9344326394264</v>
      </c>
      <c r="P28" s="182">
        <f t="shared" si="7"/>
        <v>11.0984491290178</v>
      </c>
      <c r="Q28" s="182">
        <f t="shared" si="8"/>
        <v>11.2649258659531</v>
      </c>
      <c r="R28" s="182">
        <f t="shared" si="9"/>
        <v>11.4338997539424</v>
      </c>
      <c r="S28" s="182">
        <f t="shared" si="10"/>
        <v>11.6054082502515</v>
      </c>
      <c r="T28" s="182">
        <f t="shared" si="11"/>
        <v>11.7794893740053</v>
      </c>
      <c r="U28" s="182">
        <f t="shared" si="12"/>
        <v>11.9561817146153</v>
      </c>
      <c r="V28" s="182">
        <f t="shared" si="13"/>
        <v>12.1355244403346</v>
      </c>
      <c r="W28" s="182">
        <f t="shared" si="14"/>
        <v>12.3175573069396</v>
      </c>
      <c r="X28" s="182">
        <f t="shared" si="15"/>
        <v>12.5023206665437</v>
      </c>
      <c r="Y28" s="182">
        <f t="shared" si="16"/>
        <v>12.6898554765418</v>
      </c>
      <c r="Z28" s="182">
        <f t="shared" si="17"/>
        <v>12.88020330869</v>
      </c>
      <c r="AA28" s="182">
        <f t="shared" si="18"/>
        <v>13.0734063583203</v>
      </c>
      <c r="AB28" s="182">
        <f t="shared" si="19"/>
        <v>13.2695074536951</v>
      </c>
      <c r="AC28" s="182">
        <f t="shared" si="20"/>
        <v>13.4685500655005</v>
      </c>
    </row>
    <row r="29" s="177" customFormat="1" customHeight="1" spans="1:29">
      <c r="A29" s="109">
        <v>2</v>
      </c>
      <c r="B29" s="183"/>
      <c r="C29" s="113" t="s">
        <v>317</v>
      </c>
      <c r="D29" s="113" t="s">
        <v>316</v>
      </c>
      <c r="E29" s="119">
        <v>10</v>
      </c>
      <c r="F29" s="119"/>
      <c r="G29" s="119"/>
      <c r="H29" s="119">
        <v>10</v>
      </c>
      <c r="I29" s="119">
        <v>10</v>
      </c>
      <c r="J29" s="182">
        <f t="shared" si="1"/>
        <v>10.15</v>
      </c>
      <c r="K29" s="182">
        <f t="shared" si="2"/>
        <v>10.30225</v>
      </c>
      <c r="L29" s="182">
        <f t="shared" si="3"/>
        <v>10.45678375</v>
      </c>
      <c r="M29" s="182">
        <f t="shared" si="4"/>
        <v>10.61363550625</v>
      </c>
      <c r="N29" s="182">
        <f t="shared" si="5"/>
        <v>10.7728400388437</v>
      </c>
      <c r="O29" s="182">
        <f t="shared" si="6"/>
        <v>10.9344326394264</v>
      </c>
      <c r="P29" s="182">
        <f t="shared" si="7"/>
        <v>11.0984491290178</v>
      </c>
      <c r="Q29" s="182">
        <f t="shared" si="8"/>
        <v>11.2649258659531</v>
      </c>
      <c r="R29" s="182">
        <f t="shared" si="9"/>
        <v>11.4338997539424</v>
      </c>
      <c r="S29" s="182">
        <f t="shared" si="10"/>
        <v>11.6054082502515</v>
      </c>
      <c r="T29" s="182">
        <f t="shared" si="11"/>
        <v>11.7794893740053</v>
      </c>
      <c r="U29" s="182">
        <f t="shared" si="12"/>
        <v>11.9561817146153</v>
      </c>
      <c r="V29" s="182">
        <f t="shared" si="13"/>
        <v>12.1355244403346</v>
      </c>
      <c r="W29" s="182">
        <f t="shared" si="14"/>
        <v>12.3175573069396</v>
      </c>
      <c r="X29" s="182">
        <f t="shared" si="15"/>
        <v>12.5023206665437</v>
      </c>
      <c r="Y29" s="182">
        <f t="shared" si="16"/>
        <v>12.6898554765418</v>
      </c>
      <c r="Z29" s="182">
        <f t="shared" si="17"/>
        <v>12.88020330869</v>
      </c>
      <c r="AA29" s="182">
        <f t="shared" si="18"/>
        <v>13.0734063583203</v>
      </c>
      <c r="AB29" s="182">
        <f t="shared" si="19"/>
        <v>13.2695074536951</v>
      </c>
      <c r="AC29" s="182">
        <f t="shared" si="20"/>
        <v>13.4685500655005</v>
      </c>
    </row>
    <row r="30" s="177" customFormat="1" ht="24" customHeight="1" spans="1:29">
      <c r="A30" s="109">
        <v>3</v>
      </c>
      <c r="B30" s="184"/>
      <c r="C30" s="113" t="s">
        <v>234</v>
      </c>
      <c r="D30" s="113" t="s">
        <v>318</v>
      </c>
      <c r="E30" s="119">
        <v>200</v>
      </c>
      <c r="F30" s="182"/>
      <c r="G30" s="182"/>
      <c r="H30" s="182">
        <f>E30*60%</f>
        <v>120</v>
      </c>
      <c r="I30" s="182">
        <f>E30*80%</f>
        <v>160</v>
      </c>
      <c r="J30" s="182">
        <f>I30*1.015</f>
        <v>162.4</v>
      </c>
      <c r="K30" s="182">
        <f t="shared" ref="K30:AC30" si="21">J30*1.015</f>
        <v>164.836</v>
      </c>
      <c r="L30" s="182">
        <f t="shared" si="21"/>
        <v>167.30854</v>
      </c>
      <c r="M30" s="182">
        <f t="shared" si="21"/>
        <v>169.8181681</v>
      </c>
      <c r="N30" s="182">
        <f t="shared" si="21"/>
        <v>172.3654406215</v>
      </c>
      <c r="O30" s="182">
        <f t="shared" si="21"/>
        <v>174.950922230822</v>
      </c>
      <c r="P30" s="182">
        <f t="shared" si="21"/>
        <v>177.575186064285</v>
      </c>
      <c r="Q30" s="182">
        <f t="shared" si="21"/>
        <v>180.238813855249</v>
      </c>
      <c r="R30" s="182">
        <f t="shared" si="21"/>
        <v>182.942396063078</v>
      </c>
      <c r="S30" s="182">
        <f t="shared" si="21"/>
        <v>185.686532004024</v>
      </c>
      <c r="T30" s="182">
        <f t="shared" si="21"/>
        <v>188.471829984084</v>
      </c>
      <c r="U30" s="182">
        <f t="shared" si="21"/>
        <v>191.298907433845</v>
      </c>
      <c r="V30" s="182">
        <f t="shared" si="21"/>
        <v>194.168391045353</v>
      </c>
      <c r="W30" s="182">
        <f t="shared" si="21"/>
        <v>197.080916911033</v>
      </c>
      <c r="X30" s="182">
        <f t="shared" si="21"/>
        <v>200.037130664699</v>
      </c>
      <c r="Y30" s="182">
        <f t="shared" si="21"/>
        <v>203.037687624669</v>
      </c>
      <c r="Z30" s="182">
        <f t="shared" si="21"/>
        <v>206.083252939039</v>
      </c>
      <c r="AA30" s="182">
        <f t="shared" si="21"/>
        <v>209.174501733125</v>
      </c>
      <c r="AB30" s="182">
        <f t="shared" si="21"/>
        <v>212.312119259122</v>
      </c>
      <c r="AC30" s="189">
        <f t="shared" si="21"/>
        <v>215.496801048009</v>
      </c>
    </row>
    <row r="31" s="177" customFormat="1" ht="15" customHeight="1" spans="1:30">
      <c r="A31" s="121" t="s">
        <v>80</v>
      </c>
      <c r="B31" s="185"/>
      <c r="C31" s="185"/>
      <c r="D31" s="186"/>
      <c r="E31" s="124">
        <f t="shared" ref="E31:AC31" si="22">SUM(E26:E30)</f>
        <v>882.625</v>
      </c>
      <c r="F31" s="124">
        <f t="shared" si="22"/>
        <v>0</v>
      </c>
      <c r="G31" s="124">
        <f t="shared" si="22"/>
        <v>0</v>
      </c>
      <c r="H31" s="124">
        <f t="shared" si="22"/>
        <v>561.575</v>
      </c>
      <c r="I31" s="124">
        <f t="shared" si="22"/>
        <v>722.1</v>
      </c>
      <c r="J31" s="124">
        <f t="shared" si="22"/>
        <v>732.9315</v>
      </c>
      <c r="K31" s="124">
        <f t="shared" si="22"/>
        <v>743.9254725</v>
      </c>
      <c r="L31" s="124">
        <f t="shared" si="22"/>
        <v>755.0843545875</v>
      </c>
      <c r="M31" s="124">
        <f t="shared" si="22"/>
        <v>766.410619906312</v>
      </c>
      <c r="N31" s="124">
        <f t="shared" si="22"/>
        <v>777.906779204907</v>
      </c>
      <c r="O31" s="124">
        <f t="shared" si="22"/>
        <v>789.57538089298</v>
      </c>
      <c r="P31" s="124">
        <f t="shared" si="22"/>
        <v>801.419011606375</v>
      </c>
      <c r="Q31" s="124">
        <f t="shared" si="22"/>
        <v>813.44029678047</v>
      </c>
      <c r="R31" s="124">
        <f t="shared" si="22"/>
        <v>825.641901232177</v>
      </c>
      <c r="S31" s="124">
        <f t="shared" si="22"/>
        <v>838.02652975066</v>
      </c>
      <c r="T31" s="124">
        <f t="shared" si="22"/>
        <v>850.59692769692</v>
      </c>
      <c r="U31" s="124">
        <f t="shared" si="22"/>
        <v>863.355881612374</v>
      </c>
      <c r="V31" s="124">
        <f t="shared" si="22"/>
        <v>876.306219836559</v>
      </c>
      <c r="W31" s="124">
        <f t="shared" si="22"/>
        <v>889.450813134107</v>
      </c>
      <c r="X31" s="124">
        <f t="shared" si="22"/>
        <v>902.792575331119</v>
      </c>
      <c r="Y31" s="124">
        <f t="shared" si="22"/>
        <v>916.334463961086</v>
      </c>
      <c r="Z31" s="124">
        <f t="shared" si="22"/>
        <v>930.079480920502</v>
      </c>
      <c r="AA31" s="124">
        <f t="shared" si="22"/>
        <v>944.030673134309</v>
      </c>
      <c r="AB31" s="124">
        <f t="shared" si="22"/>
        <v>958.191133231324</v>
      </c>
      <c r="AC31" s="137">
        <f t="shared" si="22"/>
        <v>972.564000229793</v>
      </c>
      <c r="AD31" s="190">
        <f>SUM(F31:AC31)</f>
        <v>18231.7390155495</v>
      </c>
    </row>
    <row r="32" s="177" customFormat="1" ht="15" customHeight="1" spans="1:30">
      <c r="A32" s="187"/>
      <c r="B32" s="187"/>
      <c r="C32" s="187"/>
      <c r="D32" s="187"/>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90"/>
    </row>
    <row r="33" s="177" customFormat="1" ht="15" customHeight="1" spans="1:30">
      <c r="A33" s="187"/>
      <c r="B33" s="187"/>
      <c r="C33" s="187"/>
      <c r="D33" s="187"/>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90"/>
    </row>
  </sheetData>
  <mergeCells count="17">
    <mergeCell ref="A1:M1"/>
    <mergeCell ref="A24:AC24"/>
    <mergeCell ref="A31:D31"/>
    <mergeCell ref="A2:A3"/>
    <mergeCell ref="A4:A7"/>
    <mergeCell ref="A8:A10"/>
    <mergeCell ref="A12:A13"/>
    <mergeCell ref="A16:A18"/>
    <mergeCell ref="A19:A21"/>
    <mergeCell ref="A22:A23"/>
    <mergeCell ref="B2:B3"/>
    <mergeCell ref="B26:B30"/>
    <mergeCell ref="C2:C3"/>
    <mergeCell ref="D2:D3"/>
    <mergeCell ref="E2:E3"/>
    <mergeCell ref="F2:F3"/>
    <mergeCell ref="G2:G3"/>
  </mergeCells>
  <pageMargins left="0.75" right="0.75" top="1" bottom="1" header="0.5" footer="0.5"/>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6">
    <tabColor rgb="FF0070C0"/>
  </sheetPr>
  <dimension ref="A1:N23"/>
  <sheetViews>
    <sheetView zoomScale="70" zoomScaleNormal="70" workbookViewId="0">
      <pane xSplit="7" ySplit="3" topLeftCell="H10" activePane="bottomRight" state="frozen"/>
      <selection/>
      <selection pane="topRight"/>
      <selection pane="bottomLeft"/>
      <selection pane="bottomRight" activeCell="O13" sqref="O13"/>
    </sheetView>
  </sheetViews>
  <sheetFormatPr defaultColWidth="20.7818181818182" defaultRowHeight="30" customHeight="1"/>
  <cols>
    <col min="1" max="1" width="18.4454545454545" customWidth="1"/>
    <col min="2" max="2" width="13.3363636363636" customWidth="1"/>
    <col min="3" max="3" width="24.7818181818182" style="18" customWidth="1"/>
    <col min="4" max="4" width="23.8909090909091" style="18" customWidth="1"/>
    <col min="5" max="6" width="6.78181818181818" customWidth="1"/>
    <col min="7" max="7" width="12.3363636363636" customWidth="1"/>
    <col min="8" max="8" width="10.1090909090909" customWidth="1"/>
    <col min="9" max="10" width="9.33636363636364" customWidth="1"/>
    <col min="11" max="11" width="8" customWidth="1"/>
    <col min="12" max="12" width="9.33636363636364" customWidth="1"/>
    <col min="13" max="13" width="11.7818181818182" customWidth="1"/>
  </cols>
  <sheetData>
    <row r="1" customHeight="1" spans="1:14">
      <c r="A1" s="175" t="s">
        <v>319</v>
      </c>
      <c r="B1" s="64"/>
      <c r="C1" s="64"/>
      <c r="D1" s="64"/>
      <c r="E1" s="64"/>
      <c r="F1" s="64"/>
      <c r="G1" s="64"/>
      <c r="H1" s="64"/>
      <c r="I1" s="64"/>
      <c r="J1" s="64"/>
      <c r="K1" s="64"/>
      <c r="L1" s="64"/>
      <c r="M1" s="64"/>
      <c r="N1" s="176" t="s">
        <v>320</v>
      </c>
    </row>
    <row r="2" customHeight="1" spans="1:13">
      <c r="A2" s="20" t="s">
        <v>228</v>
      </c>
      <c r="B2" s="20" t="s">
        <v>1</v>
      </c>
      <c r="C2" s="21" t="s">
        <v>143</v>
      </c>
      <c r="D2" s="21" t="s">
        <v>229</v>
      </c>
      <c r="E2" s="20" t="s">
        <v>86</v>
      </c>
      <c r="F2" s="21" t="s">
        <v>230</v>
      </c>
      <c r="G2" s="21" t="s">
        <v>321</v>
      </c>
      <c r="H2" s="22">
        <v>2025</v>
      </c>
      <c r="I2" s="26">
        <v>2026</v>
      </c>
      <c r="J2" s="22">
        <v>2027</v>
      </c>
      <c r="K2" s="26">
        <v>2028</v>
      </c>
      <c r="L2" s="22">
        <v>2029</v>
      </c>
      <c r="M2" s="17" t="s">
        <v>80</v>
      </c>
    </row>
    <row r="3" customHeight="1" spans="1:13">
      <c r="A3" s="17"/>
      <c r="B3" s="17"/>
      <c r="C3" s="23"/>
      <c r="D3" s="23"/>
      <c r="E3" s="17"/>
      <c r="F3" s="17"/>
      <c r="G3" s="17"/>
      <c r="H3" s="24" t="s">
        <v>232</v>
      </c>
      <c r="I3" s="27">
        <f>E.1项目运营期费用!I3</f>
        <v>0.7</v>
      </c>
      <c r="J3" s="27">
        <f>E.1项目运营期费用!J3</f>
        <v>0.7</v>
      </c>
      <c r="K3" s="153">
        <f>E.1项目运营期费用!K3</f>
        <v>0.8</v>
      </c>
      <c r="L3" s="27">
        <f>E.1项目运营期费用!L3</f>
        <v>0.9</v>
      </c>
      <c r="M3" s="7" t="s">
        <v>163</v>
      </c>
    </row>
    <row r="4" customHeight="1" spans="1:14">
      <c r="A4" s="11" t="s">
        <v>233</v>
      </c>
      <c r="B4" s="11">
        <f>E.1项目运营期费用!B4</f>
        <v>1</v>
      </c>
      <c r="C4" s="25" t="str">
        <f>E.1项目运营期费用!C4</f>
        <v>场地租金</v>
      </c>
      <c r="D4" s="25" t="str">
        <f>E.1项目运营期费用!D4</f>
        <v>按面积×租金单价</v>
      </c>
      <c r="E4" s="12">
        <f>E.1项目运营期费用!E4</f>
        <v>0</v>
      </c>
      <c r="F4" s="12">
        <f>E.1项目运营期费用!F4</f>
        <v>0</v>
      </c>
      <c r="G4" s="12">
        <f>E.1项目运营期费用!G4</f>
        <v>0</v>
      </c>
      <c r="H4" s="12">
        <f>E.1项目运营期费用!H4*(1-'G.2进项增值税率-运营成本'!$C3)</f>
        <v>0</v>
      </c>
      <c r="I4" s="12">
        <f>E.1项目运营期费用!I4/(1+'G.2进项增值税率-运营成本'!$C3)</f>
        <v>0</v>
      </c>
      <c r="J4" s="12">
        <f>E.1项目运营期费用!J4/(1+'G.2进项增值税率-运营成本'!$C3)</f>
        <v>110.091743119266</v>
      </c>
      <c r="K4" s="12">
        <f>E.1项目运营期费用!K4/(1+'G.2进项增值税率-运营成本'!$C3)</f>
        <v>146.788990825688</v>
      </c>
      <c r="L4" s="12">
        <f>E.1项目运营期费用!L4/(1+'G.2进项增值税率-运营成本'!$C3)</f>
        <v>148.990825688073</v>
      </c>
      <c r="M4" s="12">
        <f t="shared" ref="M4:M23" si="0">SUM(H4:L4)</f>
        <v>405.871559633027</v>
      </c>
      <c r="N4" s="176" t="s">
        <v>322</v>
      </c>
    </row>
    <row r="5" ht="37.95" customHeight="1" spans="1:13">
      <c r="A5" s="11"/>
      <c r="B5" s="11">
        <f>E.1项目运营期费用!B5</f>
        <v>2</v>
      </c>
      <c r="C5" s="25" t="str">
        <f>E.1项目运营期费用!C5</f>
        <v>场地日常维护（停机坪/起降场/交通枢纽/飞行营地/指挥中心等）</v>
      </c>
      <c r="D5" s="25" t="str">
        <f>E.1项目运营期费用!D5</f>
        <v>按面积 × 单位维护单价（元 / ㎡・年）</v>
      </c>
      <c r="E5" s="12">
        <f>E.1项目运营期费用!E5</f>
        <v>0</v>
      </c>
      <c r="F5" s="12">
        <f>E.1项目运营期费用!F5</f>
        <v>0</v>
      </c>
      <c r="G5" s="12">
        <f>E.1项目运营期费用!G5</f>
        <v>0</v>
      </c>
      <c r="H5" s="12">
        <f>E.1项目运营期费用!H5*(1-'G.2进项增值税率-运营成本'!$C4)</f>
        <v>0</v>
      </c>
      <c r="I5" s="12">
        <f>E.1项目运营期费用!I5/(1+'G.2进项增值税率-运营成本'!$C4)</f>
        <v>0</v>
      </c>
      <c r="J5" s="12">
        <f>E.1项目运营期费用!J5/(1+'G.2进项增值税率-运营成本'!$C4)</f>
        <v>0</v>
      </c>
      <c r="K5" s="12">
        <f>E.1项目运营期费用!K5/(1+'G.2进项增值税率-运营成本'!$C4)</f>
        <v>0</v>
      </c>
      <c r="L5" s="12">
        <f>E.1项目运营期费用!L5/(1+'G.2进项增值税率-运营成本'!$C4)</f>
        <v>0</v>
      </c>
      <c r="M5" s="12">
        <f t="shared" si="0"/>
        <v>0</v>
      </c>
    </row>
    <row r="6" customHeight="1" spans="1:13">
      <c r="A6" s="11"/>
      <c r="B6" s="11">
        <f>E.1项目运营期费用!B6</f>
        <v>3</v>
      </c>
      <c r="C6" s="25" t="str">
        <f>E.1项目运营期费用!C6</f>
        <v>消防设施年检</v>
      </c>
      <c r="D6" s="25" t="str">
        <f>E.1项目运营期费用!D6</f>
        <v>按设备数量 × 单台年检费（元 / 台・次）</v>
      </c>
      <c r="E6" s="12">
        <f>E.1项目运营期费用!E6</f>
        <v>0</v>
      </c>
      <c r="F6" s="12">
        <f>E.1项目运营期费用!F6</f>
        <v>0</v>
      </c>
      <c r="G6" s="12">
        <f>E.1项目运营期费用!G6</f>
        <v>0</v>
      </c>
      <c r="H6" s="12">
        <f>E.1项目运营期费用!H6*(1-'G.2进项增值税率-运营成本'!$C5)</f>
        <v>0</v>
      </c>
      <c r="I6" s="12">
        <f>E.1项目运营期费用!I6/(1+'G.2进项增值税率-运营成本'!$C5)</f>
        <v>0</v>
      </c>
      <c r="J6" s="12">
        <f>E.1项目运营期费用!J6/(1+'G.2进项增值税率-运营成本'!$C5)</f>
        <v>0</v>
      </c>
      <c r="K6" s="12">
        <f>E.1项目运营期费用!K6/(1+'G.2进项增值税率-运营成本'!$C5)</f>
        <v>0</v>
      </c>
      <c r="L6" s="12">
        <f>E.1项目运营期费用!L6/(1+'G.2进项增值税率-运营成本'!$C5)</f>
        <v>0</v>
      </c>
      <c r="M6" s="12">
        <f t="shared" si="0"/>
        <v>0</v>
      </c>
    </row>
    <row r="7" customHeight="1" spans="1:13">
      <c r="A7" s="11"/>
      <c r="B7" s="11">
        <f>E.1项目运营期费用!B7</f>
        <v>4</v>
      </c>
      <c r="C7" s="25" t="str">
        <f>E.1项目运营期费用!C7</f>
        <v>防鸟措施（驱鸟器维护）</v>
      </c>
      <c r="D7" s="25" t="str">
        <f>E.1项目运营期费用!D7</f>
        <v>按套数 × 年费（元 / 套・年）+ 耗材费（如驱鸟剂）</v>
      </c>
      <c r="E7" s="12">
        <f>E.1项目运营期费用!E7</f>
        <v>0</v>
      </c>
      <c r="F7" s="12">
        <f>E.1项目运营期费用!F7</f>
        <v>0</v>
      </c>
      <c r="G7" s="12">
        <f>E.1项目运营期费用!G7</f>
        <v>0</v>
      </c>
      <c r="H7" s="12">
        <f>E.1项目运营期费用!H7*(1-'G.2进项增值税率-运营成本'!$C6)</f>
        <v>0</v>
      </c>
      <c r="I7" s="12">
        <f>E.1项目运营期费用!I7/(1+'G.2进项增值税率-运营成本'!$C6)</f>
        <v>0</v>
      </c>
      <c r="J7" s="12">
        <f>E.1项目运营期费用!J7/(1+'G.2进项增值税率-运营成本'!$C6)</f>
        <v>0</v>
      </c>
      <c r="K7" s="12">
        <f>E.1项目运营期费用!K7/(1+'G.2进项增值税率-运营成本'!$C6)</f>
        <v>0</v>
      </c>
      <c r="L7" s="12">
        <f>E.1项目运营期费用!L7/(1+'G.2进项增值税率-运营成本'!$C6)</f>
        <v>0</v>
      </c>
      <c r="M7" s="12">
        <f t="shared" si="0"/>
        <v>0</v>
      </c>
    </row>
    <row r="8" customHeight="1" spans="1:13">
      <c r="A8" s="11" t="s">
        <v>242</v>
      </c>
      <c r="B8" s="11">
        <f>E.1项目运营期费用!B8</f>
        <v>5</v>
      </c>
      <c r="C8" s="25" t="str">
        <f>E.1项目运营期费用!C8</f>
        <v>飞行器能耗</v>
      </c>
      <c r="D8" s="25" t="str">
        <f>E.1项目运营期费用!D8</f>
        <v>按电耗或油耗计算</v>
      </c>
      <c r="E8" s="12">
        <f>E.1项目运营期费用!E8</f>
        <v>0</v>
      </c>
      <c r="F8" s="12">
        <f>E.1项目运营期费用!F8</f>
        <v>0</v>
      </c>
      <c r="G8" s="12">
        <f>E.1项目运营期费用!G8</f>
        <v>0</v>
      </c>
      <c r="H8" s="12">
        <f>E.1项目运营期费用!H8*(1-'G.2进项增值税率-运营成本'!$C7)</f>
        <v>0</v>
      </c>
      <c r="I8" s="12">
        <f>E.1项目运营期费用!I8/(1+'G.2进项增值税率-运营成本'!$C7)</f>
        <v>0</v>
      </c>
      <c r="J8" s="12">
        <f>E.1项目运营期费用!J8/(1+'G.2进项增值税率-运营成本'!$C7)</f>
        <v>0</v>
      </c>
      <c r="K8" s="12">
        <f>E.1项目运营期费用!K8/(1+'G.2进项增值税率-运营成本'!$C7)</f>
        <v>0</v>
      </c>
      <c r="L8" s="12">
        <f>E.1项目运营期费用!L8/(1+'G.2进项增值税率-运营成本'!$C7)</f>
        <v>0</v>
      </c>
      <c r="M8" s="12">
        <f t="shared" si="0"/>
        <v>0</v>
      </c>
    </row>
    <row r="9" customHeight="1" spans="1:13">
      <c r="A9" s="11"/>
      <c r="B9" s="11">
        <f>E.1项目运营期费用!B9</f>
        <v>6</v>
      </c>
      <c r="C9" s="25" t="str">
        <f>E.1项目运营期费用!C9</f>
        <v>核心设备电力能耗</v>
      </c>
      <c r="D9" s="25" t="str">
        <f>E.1项目运营期费用!D9</f>
        <v>按实际用电量 × 电价（元 / 千瓦 时）</v>
      </c>
      <c r="E9" s="12">
        <f>E.1项目运营期费用!E9</f>
        <v>0</v>
      </c>
      <c r="F9" s="12">
        <f>E.1项目运营期费用!F9</f>
        <v>0</v>
      </c>
      <c r="G9" s="12">
        <f>E.1项目运营期费用!G9</f>
        <v>0</v>
      </c>
      <c r="H9" s="12">
        <f>E.1项目运营期费用!H9*(1-'G.2进项增值税率-运营成本'!$C8)</f>
        <v>0</v>
      </c>
      <c r="I9" s="12">
        <f>E.1项目运营期费用!I9/(1+'G.2进项增值税率-运营成本'!$C8)</f>
        <v>0</v>
      </c>
      <c r="J9" s="12">
        <f>E.1项目运营期费用!J9/(1+'G.2进项增值税率-运营成本'!$C8)</f>
        <v>0</v>
      </c>
      <c r="K9" s="12">
        <f>E.1项目运营期费用!K9/(1+'G.2进项增值税率-运营成本'!$C8)</f>
        <v>0</v>
      </c>
      <c r="L9" s="12">
        <f>E.1项目运营期费用!L9/(1+'G.2进项增值税率-运营成本'!$C8)</f>
        <v>0</v>
      </c>
      <c r="M9" s="12">
        <f t="shared" si="0"/>
        <v>0</v>
      </c>
    </row>
    <row r="10" customHeight="1" spans="1:13">
      <c r="A10" s="11"/>
      <c r="B10" s="11">
        <f>E.1项目运营期费用!B10</f>
        <v>7</v>
      </c>
      <c r="C10" s="25" t="str">
        <f>E.1项目运营期费用!C10</f>
        <v>水电能耗</v>
      </c>
      <c r="D10" s="25" t="str">
        <f>E.1项目运营期费用!D10</f>
        <v>按面积估算</v>
      </c>
      <c r="E10" s="12">
        <f>E.1项目运营期费用!E10</f>
        <v>0</v>
      </c>
      <c r="F10" s="12">
        <f>E.1项目运营期费用!F10</f>
        <v>0</v>
      </c>
      <c r="G10" s="12">
        <f>E.1项目运营期费用!G10</f>
        <v>0</v>
      </c>
      <c r="H10" s="12">
        <f>E.1项目运营期费用!H10*(1-'G.2进项增值税率-运营成本'!$C9)</f>
        <v>0</v>
      </c>
      <c r="I10" s="12">
        <f>E.1项目运营期费用!I10/(1+'G.2进项增值税率-运营成本'!$C9)</f>
        <v>0</v>
      </c>
      <c r="J10" s="12">
        <f>E.1项目运营期费用!J10/(1+'G.2进项增值税率-运营成本'!$C9)</f>
        <v>9.1743119266055</v>
      </c>
      <c r="K10" s="12">
        <f>E.1项目运营期费用!K10/(1+'G.2进项增值税率-运营成本'!$C9)</f>
        <v>9.1743119266055</v>
      </c>
      <c r="L10" s="12">
        <f>E.1项目运营期费用!L10/(1+'G.2进项增值税率-运营成本'!$C9)</f>
        <v>9.31192660550458</v>
      </c>
      <c r="M10" s="12">
        <f t="shared" si="0"/>
        <v>27.6605504587156</v>
      </c>
    </row>
    <row r="11" customHeight="1" spans="1:13">
      <c r="A11" s="11" t="s">
        <v>249</v>
      </c>
      <c r="B11" s="11">
        <f>E.1项目运营期费用!B11</f>
        <v>8</v>
      </c>
      <c r="C11" s="25" t="str">
        <f>E.1项目运营期费用!C11</f>
        <v>网络通信费用</v>
      </c>
      <c r="D11" s="25" t="str">
        <f>E.1项目运营期费用!D11</f>
        <v>按年计算租金</v>
      </c>
      <c r="E11" s="12">
        <f>E.1项目运营期费用!E11</f>
        <v>0</v>
      </c>
      <c r="F11" s="12">
        <f>E.1项目运营期费用!F11</f>
        <v>0</v>
      </c>
      <c r="G11" s="12">
        <f>E.1项目运营期费用!G11</f>
        <v>0</v>
      </c>
      <c r="H11" s="12">
        <f>E.1项目运营期费用!H11*(1-'G.2进项增值税率-运营成本'!$C10)</f>
        <v>0</v>
      </c>
      <c r="I11" s="12">
        <f>E.1项目运营期费用!I11/(1+'G.2进项增值税率-运营成本'!$C10)</f>
        <v>0</v>
      </c>
      <c r="J11" s="12">
        <f>E.1项目运营期费用!J11/(1+'G.2进项增值税率-运营成本'!$C10)</f>
        <v>9.1743119266055</v>
      </c>
      <c r="K11" s="12">
        <f>E.1项目运营期费用!K11/(1+'G.2进项增值税率-运营成本'!$C10)</f>
        <v>9.1743119266055</v>
      </c>
      <c r="L11" s="12">
        <f>E.1项目运营期费用!L11/(1+'G.2进项增值税率-运营成本'!$C10)</f>
        <v>9.31192660550458</v>
      </c>
      <c r="M11" s="12">
        <f t="shared" si="0"/>
        <v>27.6605504587156</v>
      </c>
    </row>
    <row r="12" customHeight="1" spans="1:13">
      <c r="A12" s="11" t="s">
        <v>252</v>
      </c>
      <c r="B12" s="11">
        <f>E.1项目运营期费用!B12</f>
        <v>9</v>
      </c>
      <c r="C12" s="25" t="str">
        <f>E.1项目运营期费用!C12</f>
        <v>硬件设备维护</v>
      </c>
      <c r="D12" s="25" t="str">
        <f>E.1项目运营期费用!D12</f>
        <v>按照固定资产15%计算</v>
      </c>
      <c r="E12" s="12">
        <f>E.1项目运营期费用!E12</f>
        <v>0</v>
      </c>
      <c r="F12" s="12">
        <f>E.1项目运营期费用!F12</f>
        <v>0</v>
      </c>
      <c r="G12" s="12">
        <f>E.1项目运营期费用!G12</f>
        <v>0</v>
      </c>
      <c r="H12" s="12">
        <f>E.1项目运营期费用!H12*(1-'G.2进项增值税率-运营成本'!$C11)</f>
        <v>0</v>
      </c>
      <c r="I12" s="12">
        <f>E.1项目运营期费用!I12/(1+'G.2进项增值税率-运营成本'!$C11)</f>
        <v>0</v>
      </c>
      <c r="J12" s="12">
        <f>E.1项目运营期费用!J12/(1+'G.2进项增值税率-运营成本'!$C11)</f>
        <v>319.977876106195</v>
      </c>
      <c r="K12" s="12">
        <f>E.1项目运营期费用!K12/(1+'G.2进项增值税率-运营成本'!$C11)</f>
        <v>426.637168141593</v>
      </c>
      <c r="L12" s="12">
        <f>E.1项目运营期费用!L12/(1+'G.2进项增值税率-运营成本'!$C11)</f>
        <v>433.036725663717</v>
      </c>
      <c r="M12" s="12">
        <f t="shared" si="0"/>
        <v>1179.6517699115</v>
      </c>
    </row>
    <row r="13" customHeight="1" spans="1:13">
      <c r="A13" s="11"/>
      <c r="B13" s="11">
        <f>E.1项目运营期费用!B13</f>
        <v>10</v>
      </c>
      <c r="C13" s="25" t="str">
        <f>E.1项目运营期费用!C13</f>
        <v>备品备件储备</v>
      </c>
      <c r="D13" s="25" t="str">
        <f>E.1项目运营期费用!D13</f>
        <v>按年度设备维护预算 × 储备比例 （10%-20%）</v>
      </c>
      <c r="E13" s="12">
        <f>E.1项目运营期费用!E13</f>
        <v>0</v>
      </c>
      <c r="F13" s="12">
        <f>E.1项目运营期费用!F13</f>
        <v>0</v>
      </c>
      <c r="G13" s="12">
        <f>E.1项目运营期费用!G13</f>
        <v>0</v>
      </c>
      <c r="H13" s="12">
        <f>E.1项目运营期费用!H13*(1-'G.2进项增值税率-运营成本'!$C12)</f>
        <v>0</v>
      </c>
      <c r="I13" s="12">
        <f>E.1项目运营期费用!I13/(1+'G.2进项增值税率-运营成本'!$C12)</f>
        <v>0</v>
      </c>
      <c r="J13" s="12">
        <f>E.1项目运营期费用!J13/(1+'G.2进项增值税率-运营成本'!$C12)</f>
        <v>0</v>
      </c>
      <c r="K13" s="12">
        <f>E.1项目运营期费用!K13/(1+'G.2进项增值税率-运营成本'!$C12)</f>
        <v>0</v>
      </c>
      <c r="L13" s="12">
        <f>E.1项目运营期费用!L13/(1+'G.2进项增值税率-运营成本'!$C12)</f>
        <v>0</v>
      </c>
      <c r="M13" s="12">
        <f t="shared" si="0"/>
        <v>0</v>
      </c>
    </row>
    <row r="14" customHeight="1" spans="1:13">
      <c r="A14" s="11" t="s">
        <v>257</v>
      </c>
      <c r="B14" s="11">
        <f>E.1项目运营期费用!B14</f>
        <v>11</v>
      </c>
      <c r="C14" s="25" t="str">
        <f>E.1项目运营期费用!C14</f>
        <v>软件维护</v>
      </c>
      <c r="D14" s="25" t="str">
        <f>E.1项目运营期费用!D14</f>
        <v>按无形资产造价的20%计算</v>
      </c>
      <c r="E14" s="12">
        <f>E.1项目运营期费用!E14</f>
        <v>0</v>
      </c>
      <c r="F14" s="12">
        <f>E.1项目运营期费用!F14</f>
        <v>0</v>
      </c>
      <c r="G14" s="12">
        <f>E.1项目运营期费用!G14</f>
        <v>0</v>
      </c>
      <c r="H14" s="12">
        <f>E.1项目运营期费用!H14*(1-'G.2进项增值税率-运营成本'!$C13)</f>
        <v>0</v>
      </c>
      <c r="I14" s="12">
        <f>E.1项目运营期费用!I14/(1+'G.2进项增值税率-运营成本'!$C13)</f>
        <v>0</v>
      </c>
      <c r="J14" s="12">
        <f>E.1项目运营期费用!J14/(1+'G.2进项增值税率-运营成本'!$C13)</f>
        <v>0</v>
      </c>
      <c r="K14" s="12">
        <f>E.1项目运营期费用!K14/(1+'G.2进项增值税率-运营成本'!$C13)</f>
        <v>0</v>
      </c>
      <c r="L14" s="12">
        <f>E.1项目运营期费用!L14/(1+'G.2进项增值税率-运营成本'!$C13)</f>
        <v>0</v>
      </c>
      <c r="M14" s="12">
        <f t="shared" si="0"/>
        <v>0</v>
      </c>
    </row>
    <row r="15" customHeight="1" spans="1:13">
      <c r="A15" s="11" t="s">
        <v>260</v>
      </c>
      <c r="B15" s="11">
        <f>E.1项目运营期费用!B15</f>
        <v>12</v>
      </c>
      <c r="C15" s="25" t="str">
        <f>E.1项目运营期费用!C15</f>
        <v>营销及活动</v>
      </c>
      <c r="D15" s="25" t="str">
        <f>E.1项目运营期费用!D15</f>
        <v>按年平均营业收入的2%计算</v>
      </c>
      <c r="E15" s="12">
        <f>E.1项目运营期费用!E15</f>
        <v>0</v>
      </c>
      <c r="F15" s="12">
        <f>E.1项目运营期费用!F15</f>
        <v>0</v>
      </c>
      <c r="G15" s="12">
        <f>E.1项目运营期费用!G15</f>
        <v>0</v>
      </c>
      <c r="H15" s="12">
        <f>E.1项目运营期费用!H15*(1-'G.2进项增值税率-运营成本'!$C14)</f>
        <v>0</v>
      </c>
      <c r="I15" s="12">
        <f>E.1项目运营期费用!I15/(1+'G.2进项增值税率-运营成本'!$C14)</f>
        <v>0</v>
      </c>
      <c r="J15" s="12">
        <f>E.1项目运营期费用!J15/(1+'G.2进项增值税率-运营成本'!$C14)</f>
        <v>0</v>
      </c>
      <c r="K15" s="12">
        <f>E.1项目运营期费用!K15/(1+'G.2进项增值税率-运营成本'!$C14)</f>
        <v>0</v>
      </c>
      <c r="L15" s="12">
        <f>E.1项目运营期费用!L15/(1+'G.2进项增值税率-运营成本'!$C14)</f>
        <v>0</v>
      </c>
      <c r="M15" s="12">
        <f t="shared" si="0"/>
        <v>0</v>
      </c>
    </row>
    <row r="16" customHeight="1" spans="1:13">
      <c r="A16" s="11" t="s">
        <v>263</v>
      </c>
      <c r="B16" s="11">
        <f>E.1项目运营期费用!B16</f>
        <v>13</v>
      </c>
      <c r="C16" s="25" t="str">
        <f>E.1项目运营期费用!C16</f>
        <v>人员薪酬</v>
      </c>
      <c r="D16" s="25" t="str">
        <f>E.1项目运营期费用!D16</f>
        <v>按岗位月薪 ×12 + 福利（月薪 ×20%-30%）</v>
      </c>
      <c r="E16" s="12">
        <f>E.1项目运营期费用!E16</f>
        <v>0</v>
      </c>
      <c r="F16" s="12">
        <f>E.1项目运营期费用!F16</f>
        <v>0</v>
      </c>
      <c r="G16" s="12">
        <f>E.1项目运营期费用!G16</f>
        <v>0</v>
      </c>
      <c r="H16" s="12">
        <f>E.1项目运营期费用!H16*(1-'G.2进项增值税率-运营成本'!$C15)</f>
        <v>0</v>
      </c>
      <c r="I16" s="12">
        <f>E.1项目运营期费用!I16/(1+'G.2进项增值税率-运营成本'!$C15)</f>
        <v>0</v>
      </c>
      <c r="J16" s="12">
        <f>E.1项目运营期费用!J16/(1+'G.2进项增值税率-运营成本'!$C15)</f>
        <v>60</v>
      </c>
      <c r="K16" s="12">
        <f>E.1项目运营期费用!K16/(1+'G.2进项增值税率-运营成本'!$C15)</f>
        <v>60</v>
      </c>
      <c r="L16" s="12">
        <f>E.1项目运营期费用!L16/(1+'G.2进项增值税率-运营成本'!$C15)</f>
        <v>60.9</v>
      </c>
      <c r="M16" s="12">
        <f t="shared" si="0"/>
        <v>180.9</v>
      </c>
    </row>
    <row r="17" customHeight="1" spans="1:13">
      <c r="A17" s="11"/>
      <c r="B17" s="11">
        <f>E.1项目运营期费用!B17</f>
        <v>14</v>
      </c>
      <c r="C17" s="25" t="str">
        <f>E.1项目运营期费用!C17</f>
        <v>培训与资质认证</v>
      </c>
      <c r="D17" s="25" t="str">
        <f>E.1项目运营期费用!D17</f>
        <v>按人次 × 人均培训费（元 / 人 次）</v>
      </c>
      <c r="E17" s="12">
        <f>E.1项目运营期费用!E17</f>
        <v>0</v>
      </c>
      <c r="F17" s="12">
        <f>E.1项目运营期费用!F17</f>
        <v>0</v>
      </c>
      <c r="G17" s="12">
        <f>E.1项目运营期费用!G17</f>
        <v>0</v>
      </c>
      <c r="H17" s="12">
        <f>E.1项目运营期费用!H17*(1-'G.2进项增值税率-运营成本'!$C16)</f>
        <v>0</v>
      </c>
      <c r="I17" s="12">
        <f>E.1项目运营期费用!I17/(1+'G.2进项增值税率-运营成本'!$C16)</f>
        <v>0</v>
      </c>
      <c r="J17" s="12">
        <f>E.1项目运营期费用!J17/(1+'G.2进项增值税率-运营成本'!$C16)</f>
        <v>0</v>
      </c>
      <c r="K17" s="12">
        <f>E.1项目运营期费用!K17/(1+'G.2进项增值税率-运营成本'!$C16)</f>
        <v>0</v>
      </c>
      <c r="L17" s="12">
        <f>E.1项目运营期费用!L17/(1+'G.2进项增值税率-运营成本'!$C16)</f>
        <v>0</v>
      </c>
      <c r="M17" s="12">
        <f t="shared" si="0"/>
        <v>0</v>
      </c>
    </row>
    <row r="18" customHeight="1" spans="1:13">
      <c r="A18" s="11"/>
      <c r="B18" s="11">
        <f>E.1项目运营期费用!B18</f>
        <v>15</v>
      </c>
      <c r="C18" s="25" t="str">
        <f>E.1项目运营期费用!C18</f>
        <v>办公与行政支出</v>
      </c>
      <c r="D18" s="25" t="str">
        <f>E.1项目运营期费用!D18</f>
        <v>按人员数量 × 人均办公费（元 / 人・月）</v>
      </c>
      <c r="E18" s="12">
        <f>E.1项目运营期费用!E18</f>
        <v>0</v>
      </c>
      <c r="F18" s="12">
        <f>E.1项目运营期费用!F18</f>
        <v>0</v>
      </c>
      <c r="G18" s="12">
        <f>E.1项目运营期费用!G18</f>
        <v>0</v>
      </c>
      <c r="H18" s="12">
        <f>E.1项目运营期费用!H18*(1-'G.2进项增值税率-运营成本'!$C17)</f>
        <v>0</v>
      </c>
      <c r="I18" s="12">
        <f>E.1项目运营期费用!I18/(1+'G.2进项增值税率-运营成本'!$C17)</f>
        <v>0</v>
      </c>
      <c r="J18" s="12">
        <f>E.1项目运营期费用!J18/(1+'G.2进项增值税率-运营成本'!$C17)</f>
        <v>0</v>
      </c>
      <c r="K18" s="12">
        <f>E.1项目运营期费用!K18/(1+'G.2进项增值税率-运营成本'!$C17)</f>
        <v>0</v>
      </c>
      <c r="L18" s="12">
        <f>E.1项目运营期费用!L18/(1+'G.2进项增值税率-运营成本'!$C17)</f>
        <v>0</v>
      </c>
      <c r="M18" s="12">
        <f t="shared" si="0"/>
        <v>0</v>
      </c>
    </row>
    <row r="19" customHeight="1" spans="1:13">
      <c r="A19" s="11" t="s">
        <v>270</v>
      </c>
      <c r="B19" s="11">
        <f>E.1项目运营期费用!B19</f>
        <v>16</v>
      </c>
      <c r="C19" s="25" t="str">
        <f>E.1项目运营期费用!C19</f>
        <v>空域使用审批费</v>
      </c>
      <c r="D19" s="25" t="str">
        <f>E.1项目运营期费用!D19</f>
        <v>按空域面积 × 年费率（元 / 平方 公里・年）</v>
      </c>
      <c r="E19" s="12">
        <f>E.1项目运营期费用!E19</f>
        <v>0</v>
      </c>
      <c r="F19" s="12">
        <f>E.1项目运营期费用!F19</f>
        <v>0</v>
      </c>
      <c r="G19" s="12">
        <f>E.1项目运营期费用!G19</f>
        <v>0</v>
      </c>
      <c r="H19" s="12">
        <f>E.1项目运营期费用!H19*(1-'G.2进项增值税率-运营成本'!$C18)</f>
        <v>0</v>
      </c>
      <c r="I19" s="12">
        <f>E.1项目运营期费用!I19/(1+'G.2进项增值税率-运营成本'!$C18)</f>
        <v>0</v>
      </c>
      <c r="J19" s="12">
        <f>E.1项目运营期费用!J19/(1+'G.2进项增值税率-运营成本'!$C18)</f>
        <v>0</v>
      </c>
      <c r="K19" s="12">
        <f>E.1项目运营期费用!K19/(1+'G.2进项增值税率-运营成本'!$C18)</f>
        <v>0</v>
      </c>
      <c r="L19" s="12">
        <f>E.1项目运营期费用!L19/(1+'G.2进项增值税率-运营成本'!$C18)</f>
        <v>0</v>
      </c>
      <c r="M19" s="12">
        <f t="shared" si="0"/>
        <v>0</v>
      </c>
    </row>
    <row r="20" customHeight="1" spans="1:13">
      <c r="A20" s="11"/>
      <c r="B20" s="11">
        <f>E.1项目运营期费用!B20</f>
        <v>17</v>
      </c>
      <c r="C20" s="25" t="str">
        <f>E.1项目运营期费用!C20</f>
        <v>场地责任险</v>
      </c>
      <c r="D20" s="25" t="str">
        <f>E.1项目运营期费用!D20</f>
        <v>按保额 × 保险费率（年费率 0.1%-0.3%）</v>
      </c>
      <c r="E20" s="12">
        <f>E.1项目运营期费用!E20</f>
        <v>0</v>
      </c>
      <c r="F20" s="12">
        <f>E.1项目运营期费用!F20</f>
        <v>0</v>
      </c>
      <c r="G20" s="12">
        <f>E.1项目运营期费用!G20</f>
        <v>0</v>
      </c>
      <c r="H20" s="12">
        <f>E.1项目运营期费用!H20*(1-'G.2进项增值税率-运营成本'!$C19)</f>
        <v>0</v>
      </c>
      <c r="I20" s="12">
        <f>E.1项目运营期费用!I20/(1+'G.2进项增值税率-运营成本'!$C19)</f>
        <v>0</v>
      </c>
      <c r="J20" s="12">
        <f>E.1项目运营期费用!J20/(1+'G.2进项增值税率-运营成本'!$C19)</f>
        <v>0</v>
      </c>
      <c r="K20" s="12">
        <f>E.1项目运营期费用!K20/(1+'G.2进项增值税率-运营成本'!$C19)</f>
        <v>0</v>
      </c>
      <c r="L20" s="12">
        <f>E.1项目运营期费用!L20/(1+'G.2进项增值税率-运营成本'!$C19)</f>
        <v>0</v>
      </c>
      <c r="M20" s="12">
        <f t="shared" si="0"/>
        <v>0</v>
      </c>
    </row>
    <row r="21" customHeight="1" spans="1:13">
      <c r="A21" s="11"/>
      <c r="B21" s="11">
        <f>E.1项目运营期费用!B21</f>
        <v>18</v>
      </c>
      <c r="C21" s="25" t="str">
        <f>E.1项目运营期费用!C21</f>
        <v>安全演练与应急处置</v>
      </c>
      <c r="D21" s="25" t="str">
        <f>E.1项目运营期费用!D21</f>
        <v>按次数 × 单次演练成本（元 / 次）</v>
      </c>
      <c r="E21" s="12">
        <f>E.1项目运营期费用!E21</f>
        <v>0</v>
      </c>
      <c r="F21" s="12">
        <f>E.1项目运营期费用!F21</f>
        <v>0</v>
      </c>
      <c r="G21" s="12">
        <f>E.1项目运营期费用!G21</f>
        <v>0</v>
      </c>
      <c r="H21" s="12">
        <f>E.1项目运营期费用!H21*(1-'G.2进项增值税率-运营成本'!$C20)</f>
        <v>0</v>
      </c>
      <c r="I21" s="12">
        <f>E.1项目运营期费用!I21/(1+'G.2进项增值税率-运营成本'!$C20)</f>
        <v>0</v>
      </c>
      <c r="J21" s="12">
        <f>E.1项目运营期费用!J21/(1+'G.2进项增值税率-运营成本'!$C20)</f>
        <v>0</v>
      </c>
      <c r="K21" s="12">
        <f>E.1项目运营期费用!K21/(1+'G.2进项增值税率-运营成本'!$C20)</f>
        <v>0</v>
      </c>
      <c r="L21" s="12">
        <f>E.1项目运营期费用!L21/(1+'G.2进项增值税率-运营成本'!$C20)</f>
        <v>0</v>
      </c>
      <c r="M21" s="12">
        <f t="shared" si="0"/>
        <v>0</v>
      </c>
    </row>
    <row r="22" customHeight="1" spans="1:13">
      <c r="A22" s="11" t="s">
        <v>277</v>
      </c>
      <c r="B22" s="11">
        <f>E.1项目运营期费用!B22</f>
        <v>19</v>
      </c>
      <c r="C22" s="25" t="str">
        <f>E.1项目运营期费用!C22</f>
        <v>第三方安全评估</v>
      </c>
      <c r="D22" s="25" t="str">
        <f>E.1项目运营期费用!D22</f>
        <v>按项目投资额 × 评估费率 （0.1%-0.3%）</v>
      </c>
      <c r="E22" s="12">
        <f>E.1项目运营期费用!E22</f>
        <v>0</v>
      </c>
      <c r="F22" s="12">
        <f>E.1项目运营期费用!F22</f>
        <v>0</v>
      </c>
      <c r="G22" s="12">
        <f>E.1项目运营期费用!G22</f>
        <v>0</v>
      </c>
      <c r="H22" s="12">
        <f>E.1项目运营期费用!H22*(1-'G.2进项增值税率-运营成本'!$C21)</f>
        <v>0</v>
      </c>
      <c r="I22" s="12">
        <f>E.1项目运营期费用!I22/(1+'G.2进项增值税率-运营成本'!$C21)</f>
        <v>0</v>
      </c>
      <c r="J22" s="12">
        <f>E.1项目运营期费用!J22/(1+'G.2进项增值税率-运营成本'!$C21)</f>
        <v>0</v>
      </c>
      <c r="K22" s="12">
        <f>E.1项目运营期费用!K22/(1+'G.2进项增值税率-运营成本'!$C21)</f>
        <v>0</v>
      </c>
      <c r="L22" s="12">
        <f>E.1项目运营期费用!L22/(1+'G.2进项增值税率-运营成本'!$C21)</f>
        <v>0</v>
      </c>
      <c r="M22" s="12">
        <f t="shared" si="0"/>
        <v>0</v>
      </c>
    </row>
    <row r="23" customHeight="1" spans="1:13">
      <c r="A23" s="11"/>
      <c r="B23" s="11">
        <f>E.1项目运营期费用!B23</f>
        <v>20</v>
      </c>
      <c r="C23" s="25" t="str">
        <f>E.1项目运营期费用!C23</f>
        <v>不可预见支出</v>
      </c>
      <c r="D23" s="25" t="str">
        <f>E.1项目运营期费用!D23</f>
        <v>按年度总成本 × 计提比例 （5%-10%）</v>
      </c>
      <c r="E23" s="12">
        <f>E.1项目运营期费用!E23</f>
        <v>0</v>
      </c>
      <c r="F23" s="12">
        <f>E.1项目运营期费用!F23</f>
        <v>0</v>
      </c>
      <c r="G23" s="12">
        <f>E.1项目运营期费用!G23</f>
        <v>0</v>
      </c>
      <c r="H23" s="12">
        <f>E.1项目运营期费用!H23*(1-'G.2进项增值税率-运营成本'!$C22)</f>
        <v>0</v>
      </c>
      <c r="I23" s="12">
        <f>E.1项目运营期费用!I23/(1+'G.2进项增值税率-运营成本'!$C22)</f>
        <v>0</v>
      </c>
      <c r="J23" s="12">
        <f>E.1项目运营期费用!J23/(1+'G.2进项增值税率-运营成本'!$C22)</f>
        <v>0</v>
      </c>
      <c r="K23" s="12">
        <f>E.1项目运营期费用!K23/(1+'G.2进项增值税率-运营成本'!$C22)</f>
        <v>0</v>
      </c>
      <c r="L23" s="12">
        <f>E.1项目运营期费用!L23/(1+'G.2进项增值税率-运营成本'!$C22)</f>
        <v>0</v>
      </c>
      <c r="M23" s="12">
        <f t="shared" si="0"/>
        <v>0</v>
      </c>
    </row>
  </sheetData>
  <mergeCells count="14">
    <mergeCell ref="A1:M1"/>
    <mergeCell ref="A2:A3"/>
    <mergeCell ref="A4:A7"/>
    <mergeCell ref="A8:A10"/>
    <mergeCell ref="A12:A13"/>
    <mergeCell ref="A16:A18"/>
    <mergeCell ref="A19:A21"/>
    <mergeCell ref="A22:A23"/>
    <mergeCell ref="B2:B3"/>
    <mergeCell ref="C2:C3"/>
    <mergeCell ref="D2:D3"/>
    <mergeCell ref="E2:E3"/>
    <mergeCell ref="F2:F3"/>
    <mergeCell ref="G2:G3"/>
  </mergeCells>
  <pageMargins left="0.75" right="0.75" top="1" bottom="1" header="0.5" footer="0.5"/>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tabColor theme="4" tint="-0.249977111117893"/>
  </sheetPr>
  <dimension ref="A1:AD15"/>
  <sheetViews>
    <sheetView workbookViewId="0">
      <pane xSplit="5" ySplit="3" topLeftCell="Z4" activePane="bottomRight" state="frozen"/>
      <selection/>
      <selection pane="topRight"/>
      <selection pane="bottomLeft"/>
      <selection pane="bottomRight" activeCell="AD15" sqref="AD15"/>
    </sheetView>
  </sheetViews>
  <sheetFormatPr defaultColWidth="8.89090909090909" defaultRowHeight="14"/>
  <cols>
    <col min="1" max="1" width="8.78181818181818" customWidth="1"/>
    <col min="2" max="2" width="13.8909090909091" customWidth="1"/>
    <col min="3" max="3" width="23.7818181818182" customWidth="1"/>
    <col min="4" max="4" width="13.8909090909091" customWidth="1"/>
    <col min="5" max="5" width="15.5545454545455" customWidth="1"/>
    <col min="6" max="6" width="6.44545454545455" customWidth="1"/>
    <col min="7" max="7" width="12.5545454545455" customWidth="1"/>
    <col min="8" max="8" width="11.7818181818182" customWidth="1"/>
    <col min="9" max="9" width="13.1090909090909" customWidth="1"/>
    <col min="10" max="29" width="11.2181818181818" customWidth="1"/>
    <col min="30" max="30" width="84.8909090909091" customWidth="1"/>
  </cols>
  <sheetData>
    <row r="1" s="54" customFormat="1" ht="20" spans="1:30">
      <c r="A1" s="38" t="s">
        <v>323</v>
      </c>
      <c r="B1" s="38"/>
      <c r="C1" s="38"/>
      <c r="D1" s="38"/>
      <c r="E1" s="38"/>
      <c r="F1" s="38"/>
      <c r="G1" s="38"/>
      <c r="H1" s="38"/>
      <c r="I1" s="38"/>
      <c r="J1" s="38"/>
      <c r="K1" s="38"/>
      <c r="L1" s="38"/>
      <c r="M1" s="38"/>
      <c r="N1" s="38"/>
      <c r="O1" s="38"/>
      <c r="P1" s="38"/>
      <c r="Q1" s="38"/>
      <c r="R1" s="38"/>
      <c r="S1" s="38"/>
      <c r="T1" s="38"/>
      <c r="U1" s="38"/>
      <c r="V1" s="38"/>
      <c r="W1" s="38"/>
      <c r="X1" s="38"/>
      <c r="Y1" s="38"/>
      <c r="Z1" s="38"/>
      <c r="AA1" s="38"/>
      <c r="AB1" s="38"/>
      <c r="AC1" s="38"/>
      <c r="AD1" s="88" t="s">
        <v>324</v>
      </c>
    </row>
    <row r="2" s="54" customFormat="1" ht="16.5" spans="1:29">
      <c r="A2" s="168" t="s">
        <v>1</v>
      </c>
      <c r="B2" s="168" t="s">
        <v>187</v>
      </c>
      <c r="C2" s="168" t="s">
        <v>325</v>
      </c>
      <c r="D2" s="168" t="s">
        <v>326</v>
      </c>
      <c r="E2" s="168" t="s">
        <v>327</v>
      </c>
      <c r="F2" s="169" t="s">
        <v>328</v>
      </c>
      <c r="G2" s="170"/>
      <c r="H2" s="170"/>
      <c r="I2" s="170"/>
      <c r="J2" s="170"/>
      <c r="K2" s="170"/>
      <c r="L2" s="170"/>
      <c r="M2" s="170"/>
      <c r="N2" s="170"/>
      <c r="O2" s="170"/>
      <c r="P2" s="170"/>
      <c r="Q2" s="170"/>
      <c r="R2" s="170"/>
      <c r="S2" s="170"/>
      <c r="T2" s="170"/>
      <c r="U2" s="170"/>
      <c r="V2" s="170"/>
      <c r="W2" s="170"/>
      <c r="X2" s="170"/>
      <c r="Y2" s="170"/>
      <c r="Z2" s="170"/>
      <c r="AA2" s="170"/>
      <c r="AB2" s="170"/>
      <c r="AC2" s="170"/>
    </row>
    <row r="3" s="54" customFormat="1" ht="66" spans="1:29">
      <c r="A3" s="7"/>
      <c r="B3" s="7"/>
      <c r="C3" s="89" t="s">
        <v>329</v>
      </c>
      <c r="D3" s="89" t="s">
        <v>330</v>
      </c>
      <c r="E3" s="89" t="s">
        <v>331</v>
      </c>
      <c r="F3" s="25">
        <v>2025</v>
      </c>
      <c r="G3" s="25">
        <v>2026</v>
      </c>
      <c r="H3" s="25">
        <v>2027</v>
      </c>
      <c r="I3" s="25">
        <v>2028</v>
      </c>
      <c r="J3" s="25">
        <v>2029</v>
      </c>
      <c r="K3" s="25">
        <v>2030</v>
      </c>
      <c r="L3" s="25">
        <v>2031</v>
      </c>
      <c r="M3" s="25">
        <v>2032</v>
      </c>
      <c r="N3" s="25">
        <v>2033</v>
      </c>
      <c r="O3" s="25">
        <v>2034</v>
      </c>
      <c r="P3" s="25">
        <v>2035</v>
      </c>
      <c r="Q3" s="25">
        <v>2036</v>
      </c>
      <c r="R3" s="25">
        <v>2037</v>
      </c>
      <c r="S3" s="25">
        <v>2038</v>
      </c>
      <c r="T3" s="25">
        <v>2039</v>
      </c>
      <c r="U3" s="25">
        <v>2040</v>
      </c>
      <c r="V3" s="25">
        <v>2041</v>
      </c>
      <c r="W3" s="25">
        <v>2042</v>
      </c>
      <c r="X3" s="25">
        <v>2043</v>
      </c>
      <c r="Y3" s="25">
        <v>2044</v>
      </c>
      <c r="Z3" s="25">
        <v>2045</v>
      </c>
      <c r="AA3" s="25">
        <v>2046</v>
      </c>
      <c r="AB3" s="25">
        <v>2047</v>
      </c>
      <c r="AC3" s="25">
        <v>2048</v>
      </c>
    </row>
    <row r="4" s="54" customFormat="1" ht="16.5" spans="1:30">
      <c r="A4" s="11" t="s">
        <v>332</v>
      </c>
      <c r="B4" s="7" t="s">
        <v>333</v>
      </c>
      <c r="C4" s="171">
        <f>E.4建设投资税后金额表!I4+E.4建设投资税后金额表!I9+E.4建设投资税后金额表!I13+E.4建设投资税后金额表!I15+E.4建设投资税后金额表!J4+E.4建设投资税后金额表!J9+E.4建设投资税后金额表!J13+E.4建设投资税后金额表!J15+c借款还本付息计划表!D47+c借款还本付息计划表!D46+c借款还本付息计划表!E47+c借款还本付息计划表!E46</f>
        <v>9403.84926592759</v>
      </c>
      <c r="D4" s="172">
        <f>1/B项目信息!$D$8*100%</f>
        <v>0.0454545454545455</v>
      </c>
      <c r="E4" s="162">
        <f>C4*(1-A财务假设!$D$12)*D4</f>
        <v>406.07530921051</v>
      </c>
      <c r="F4" s="162"/>
      <c r="G4" s="173"/>
      <c r="H4" s="171">
        <f>$C4-$E4*(H3-$G$3)</f>
        <v>8997.77395671708</v>
      </c>
      <c r="I4" s="171">
        <f t="shared" ref="I4:AC4" si="0">$C4-$E4*(I3-$G$3)</f>
        <v>8591.69864750658</v>
      </c>
      <c r="J4" s="171">
        <f t="shared" si="0"/>
        <v>8185.62333829606</v>
      </c>
      <c r="K4" s="171">
        <f t="shared" si="0"/>
        <v>7779.54802908555</v>
      </c>
      <c r="L4" s="171">
        <f t="shared" si="0"/>
        <v>7373.47271987504</v>
      </c>
      <c r="M4" s="171">
        <f t="shared" si="0"/>
        <v>6967.39741066453</v>
      </c>
      <c r="N4" s="171">
        <f t="shared" si="0"/>
        <v>6561.32210145402</v>
      </c>
      <c r="O4" s="171">
        <f t="shared" si="0"/>
        <v>6155.24679224351</v>
      </c>
      <c r="P4" s="171">
        <f t="shared" si="0"/>
        <v>5749.171483033</v>
      </c>
      <c r="Q4" s="171">
        <f t="shared" si="0"/>
        <v>5343.09617382249</v>
      </c>
      <c r="R4" s="171">
        <f t="shared" si="0"/>
        <v>4937.02086461198</v>
      </c>
      <c r="S4" s="171">
        <f t="shared" si="0"/>
        <v>4530.94555540147</v>
      </c>
      <c r="T4" s="171">
        <f t="shared" si="0"/>
        <v>4124.87024619096</v>
      </c>
      <c r="U4" s="171">
        <f t="shared" si="0"/>
        <v>3718.79493698045</v>
      </c>
      <c r="V4" s="171">
        <f t="shared" si="0"/>
        <v>3312.71962776994</v>
      </c>
      <c r="W4" s="171">
        <f t="shared" si="0"/>
        <v>2906.64431855943</v>
      </c>
      <c r="X4" s="171">
        <f t="shared" si="0"/>
        <v>2500.56900934892</v>
      </c>
      <c r="Y4" s="171">
        <f t="shared" si="0"/>
        <v>2094.49370013841</v>
      </c>
      <c r="Z4" s="171">
        <f t="shared" si="0"/>
        <v>1688.4183909279</v>
      </c>
      <c r="AA4" s="171">
        <f t="shared" si="0"/>
        <v>1282.34308171739</v>
      </c>
      <c r="AB4" s="171">
        <f t="shared" si="0"/>
        <v>876.267772506882</v>
      </c>
      <c r="AC4" s="171">
        <f t="shared" si="0"/>
        <v>470.192463296371</v>
      </c>
      <c r="AD4" s="88" t="s">
        <v>334</v>
      </c>
    </row>
    <row r="5" s="54" customFormat="1" ht="16.5" spans="1:30">
      <c r="A5" s="11" t="s">
        <v>335</v>
      </c>
      <c r="B5" s="7" t="s">
        <v>333</v>
      </c>
      <c r="C5" s="171">
        <f>E.4建设投资税后金额表!K4+E.4建设投资税后金额表!K9+E.4建设投资税后金额表!K13+E.4建设投资税后金额表!K15+E.4建设投资税后金额表!L4+E.4建设投资税后金额表!L9+E.4建设投资税后金额表!L13+E.4建设投资税后金额表!L15+c借款还本付息计划表!F47+c借款还本付息计划表!F46+c借款还本付息计划表!G47+c借款还本付息计划表!G46</f>
        <v>12797.7562660129</v>
      </c>
      <c r="D5" s="172">
        <f>1/B项目信息!$D$14*100%</f>
        <v>0.05</v>
      </c>
      <c r="E5" s="162">
        <f>C5*(1-A财务假设!$D$12)*D5</f>
        <v>607.893422635611</v>
      </c>
      <c r="F5" s="162"/>
      <c r="G5" s="173"/>
      <c r="H5" s="171"/>
      <c r="I5" s="171"/>
      <c r="J5" s="171">
        <f>$C5-$E5*(J3-$I$3)</f>
        <v>12189.8628433773</v>
      </c>
      <c r="K5" s="171">
        <f t="shared" ref="K5:AC5" si="1">$C5-$E5*(K3-$I$3)</f>
        <v>11581.9694207416</v>
      </c>
      <c r="L5" s="171">
        <f t="shared" si="1"/>
        <v>10974.075998106</v>
      </c>
      <c r="M5" s="171">
        <f t="shared" si="1"/>
        <v>10366.1825754704</v>
      </c>
      <c r="N5" s="171">
        <f t="shared" si="1"/>
        <v>9758.28915283481</v>
      </c>
      <c r="O5" s="171">
        <f t="shared" si="1"/>
        <v>9150.3957301992</v>
      </c>
      <c r="P5" s="171">
        <f t="shared" si="1"/>
        <v>8542.50230756359</v>
      </c>
      <c r="Q5" s="171">
        <f t="shared" si="1"/>
        <v>7934.60888492797</v>
      </c>
      <c r="R5" s="171">
        <f t="shared" si="1"/>
        <v>7326.71546229236</v>
      </c>
      <c r="S5" s="171">
        <f t="shared" si="1"/>
        <v>6718.82203965675</v>
      </c>
      <c r="T5" s="171">
        <f t="shared" si="1"/>
        <v>6110.92861702114</v>
      </c>
      <c r="U5" s="171">
        <f t="shared" si="1"/>
        <v>5503.03519438553</v>
      </c>
      <c r="V5" s="171">
        <f t="shared" si="1"/>
        <v>4895.14177174992</v>
      </c>
      <c r="W5" s="171">
        <f t="shared" si="1"/>
        <v>4287.24834911431</v>
      </c>
      <c r="X5" s="171">
        <f t="shared" si="1"/>
        <v>3679.3549264787</v>
      </c>
      <c r="Y5" s="171">
        <f t="shared" si="1"/>
        <v>3071.46150384309</v>
      </c>
      <c r="Z5" s="171">
        <f t="shared" si="1"/>
        <v>2463.56808120748</v>
      </c>
      <c r="AA5" s="171">
        <f t="shared" si="1"/>
        <v>1855.67465857187</v>
      </c>
      <c r="AB5" s="171">
        <f t="shared" si="1"/>
        <v>1247.78123593625</v>
      </c>
      <c r="AC5" s="171">
        <f t="shared" si="1"/>
        <v>639.887813300644</v>
      </c>
      <c r="AD5" s="88" t="s">
        <v>336</v>
      </c>
    </row>
    <row r="6" s="54" customFormat="1" ht="16.5" spans="1:29">
      <c r="A6" s="7" t="s">
        <v>337</v>
      </c>
      <c r="B6" s="7" t="s">
        <v>333</v>
      </c>
      <c r="C6" s="90">
        <f>SUM(C4:C5)</f>
        <v>22201.6055319405</v>
      </c>
      <c r="D6" s="27" t="s">
        <v>163</v>
      </c>
      <c r="E6" s="90">
        <f t="shared" ref="E6:AC6" si="2">SUM(E4:E5)</f>
        <v>1013.96873184612</v>
      </c>
      <c r="F6" s="90">
        <f t="shared" si="2"/>
        <v>0</v>
      </c>
      <c r="G6" s="90">
        <f t="shared" si="2"/>
        <v>0</v>
      </c>
      <c r="H6" s="90">
        <f t="shared" si="2"/>
        <v>8997.77395671708</v>
      </c>
      <c r="I6" s="90">
        <f t="shared" si="2"/>
        <v>8591.69864750658</v>
      </c>
      <c r="J6" s="90">
        <f t="shared" si="2"/>
        <v>20375.4861816733</v>
      </c>
      <c r="K6" s="90">
        <f t="shared" si="2"/>
        <v>19361.5174498272</v>
      </c>
      <c r="L6" s="90">
        <f t="shared" si="2"/>
        <v>18347.5487179811</v>
      </c>
      <c r="M6" s="90">
        <f t="shared" si="2"/>
        <v>17333.579986135</v>
      </c>
      <c r="N6" s="90">
        <f t="shared" si="2"/>
        <v>16319.6112542888</v>
      </c>
      <c r="O6" s="90">
        <f t="shared" si="2"/>
        <v>15305.6425224427</v>
      </c>
      <c r="P6" s="90">
        <f t="shared" si="2"/>
        <v>14291.6737905966</v>
      </c>
      <c r="Q6" s="90">
        <f t="shared" si="2"/>
        <v>13277.7050587505</v>
      </c>
      <c r="R6" s="90">
        <f t="shared" si="2"/>
        <v>12263.7363269043</v>
      </c>
      <c r="S6" s="90">
        <f t="shared" si="2"/>
        <v>11249.7675950582</v>
      </c>
      <c r="T6" s="90">
        <f t="shared" si="2"/>
        <v>10235.7988632121</v>
      </c>
      <c r="U6" s="90">
        <f t="shared" si="2"/>
        <v>9221.83013136598</v>
      </c>
      <c r="V6" s="90">
        <f t="shared" si="2"/>
        <v>8207.86139951986</v>
      </c>
      <c r="W6" s="90">
        <f t="shared" si="2"/>
        <v>7193.89266767374</v>
      </c>
      <c r="X6" s="90">
        <f t="shared" si="2"/>
        <v>6179.92393582762</v>
      </c>
      <c r="Y6" s="90">
        <f t="shared" si="2"/>
        <v>5165.9552039815</v>
      </c>
      <c r="Z6" s="90">
        <f t="shared" si="2"/>
        <v>4151.98647213538</v>
      </c>
      <c r="AA6" s="90">
        <f t="shared" si="2"/>
        <v>3138.01774028926</v>
      </c>
      <c r="AB6" s="90">
        <f t="shared" si="2"/>
        <v>2124.04900844314</v>
      </c>
      <c r="AC6" s="90">
        <f t="shared" si="2"/>
        <v>1110.08027659701</v>
      </c>
    </row>
    <row r="7" ht="16.5" spans="1:30">
      <c r="A7" s="11" t="s">
        <v>332</v>
      </c>
      <c r="B7" s="7" t="s">
        <v>333</v>
      </c>
      <c r="C7" s="72"/>
      <c r="D7" s="72"/>
      <c r="E7" s="72"/>
      <c r="F7" s="72"/>
      <c r="G7" s="174">
        <f>IF(G4&lt;&gt;"",$E4,0)</f>
        <v>0</v>
      </c>
      <c r="H7" s="174">
        <f t="shared" ref="H7:AC8" si="3">IF(H4&lt;&gt;"",$E4,0)</f>
        <v>406.07530921051</v>
      </c>
      <c r="I7" s="174">
        <f t="shared" si="3"/>
        <v>406.07530921051</v>
      </c>
      <c r="J7" s="174">
        <f t="shared" si="3"/>
        <v>406.07530921051</v>
      </c>
      <c r="K7" s="174">
        <f t="shared" si="3"/>
        <v>406.07530921051</v>
      </c>
      <c r="L7" s="174">
        <f t="shared" si="3"/>
        <v>406.07530921051</v>
      </c>
      <c r="M7" s="174">
        <f t="shared" si="3"/>
        <v>406.07530921051</v>
      </c>
      <c r="N7" s="174">
        <f t="shared" si="3"/>
        <v>406.07530921051</v>
      </c>
      <c r="O7" s="174">
        <f t="shared" si="3"/>
        <v>406.07530921051</v>
      </c>
      <c r="P7" s="174">
        <f t="shared" si="3"/>
        <v>406.07530921051</v>
      </c>
      <c r="Q7" s="174">
        <f t="shared" si="3"/>
        <v>406.07530921051</v>
      </c>
      <c r="R7" s="174">
        <f t="shared" si="3"/>
        <v>406.07530921051</v>
      </c>
      <c r="S7" s="174">
        <f t="shared" si="3"/>
        <v>406.07530921051</v>
      </c>
      <c r="T7" s="174">
        <f t="shared" si="3"/>
        <v>406.07530921051</v>
      </c>
      <c r="U7" s="174">
        <f t="shared" si="3"/>
        <v>406.07530921051</v>
      </c>
      <c r="V7" s="174">
        <f t="shared" si="3"/>
        <v>406.07530921051</v>
      </c>
      <c r="W7" s="174">
        <f t="shared" si="3"/>
        <v>406.07530921051</v>
      </c>
      <c r="X7" s="174">
        <f t="shared" si="3"/>
        <v>406.07530921051</v>
      </c>
      <c r="Y7" s="174">
        <f t="shared" si="3"/>
        <v>406.07530921051</v>
      </c>
      <c r="Z7" s="174">
        <f t="shared" si="3"/>
        <v>406.07530921051</v>
      </c>
      <c r="AA7" s="174">
        <f t="shared" si="3"/>
        <v>406.07530921051</v>
      </c>
      <c r="AB7" s="174">
        <f t="shared" si="3"/>
        <v>406.07530921051</v>
      </c>
      <c r="AC7" s="174">
        <f t="shared" si="3"/>
        <v>406.07530921051</v>
      </c>
      <c r="AD7" s="88" t="s">
        <v>338</v>
      </c>
    </row>
    <row r="8" ht="16.5" spans="1:29">
      <c r="A8" s="11" t="s">
        <v>335</v>
      </c>
      <c r="B8" s="7" t="s">
        <v>333</v>
      </c>
      <c r="C8" s="72"/>
      <c r="D8" s="72"/>
      <c r="E8" s="72"/>
      <c r="F8" s="72"/>
      <c r="G8" s="174">
        <f>IF(G5&lt;&gt;"",$E5,0)</f>
        <v>0</v>
      </c>
      <c r="H8" s="174">
        <f t="shared" si="3"/>
        <v>0</v>
      </c>
      <c r="I8" s="174">
        <f t="shared" si="3"/>
        <v>0</v>
      </c>
      <c r="J8" s="174">
        <f t="shared" si="3"/>
        <v>607.893422635611</v>
      </c>
      <c r="K8" s="174">
        <f t="shared" si="3"/>
        <v>607.893422635611</v>
      </c>
      <c r="L8" s="174">
        <f t="shared" si="3"/>
        <v>607.893422635611</v>
      </c>
      <c r="M8" s="174">
        <f t="shared" si="3"/>
        <v>607.893422635611</v>
      </c>
      <c r="N8" s="174">
        <f t="shared" si="3"/>
        <v>607.893422635611</v>
      </c>
      <c r="O8" s="174">
        <f t="shared" si="3"/>
        <v>607.893422635611</v>
      </c>
      <c r="P8" s="174">
        <f t="shared" si="3"/>
        <v>607.893422635611</v>
      </c>
      <c r="Q8" s="174">
        <f t="shared" si="3"/>
        <v>607.893422635611</v>
      </c>
      <c r="R8" s="174">
        <f t="shared" si="3"/>
        <v>607.893422635611</v>
      </c>
      <c r="S8" s="174">
        <f t="shared" si="3"/>
        <v>607.893422635611</v>
      </c>
      <c r="T8" s="174">
        <f t="shared" si="3"/>
        <v>607.893422635611</v>
      </c>
      <c r="U8" s="174">
        <f t="shared" si="3"/>
        <v>607.893422635611</v>
      </c>
      <c r="V8" s="174">
        <f t="shared" si="3"/>
        <v>607.893422635611</v>
      </c>
      <c r="W8" s="174">
        <f t="shared" si="3"/>
        <v>607.893422635611</v>
      </c>
      <c r="X8" s="174">
        <f t="shared" si="3"/>
        <v>607.893422635611</v>
      </c>
      <c r="Y8" s="174">
        <f t="shared" si="3"/>
        <v>607.893422635611</v>
      </c>
      <c r="Z8" s="174">
        <f t="shared" si="3"/>
        <v>607.893422635611</v>
      </c>
      <c r="AA8" s="174">
        <f t="shared" si="3"/>
        <v>607.893422635611</v>
      </c>
      <c r="AB8" s="174">
        <f t="shared" si="3"/>
        <v>607.893422635611</v>
      </c>
      <c r="AC8" s="174">
        <f t="shared" si="3"/>
        <v>607.893422635611</v>
      </c>
    </row>
    <row r="9" ht="16.5" spans="1:29">
      <c r="A9" s="7" t="s">
        <v>339</v>
      </c>
      <c r="B9" s="7" t="s">
        <v>333</v>
      </c>
      <c r="C9" s="72"/>
      <c r="D9" s="72"/>
      <c r="E9" s="72">
        <f>SUM(F9:AC9)</f>
        <v>21091.5252553435</v>
      </c>
      <c r="F9" s="72">
        <f>F7+F8</f>
        <v>0</v>
      </c>
      <c r="G9" s="72">
        <f t="shared" ref="G9:AC9" si="4">G7+G8</f>
        <v>0</v>
      </c>
      <c r="H9" s="72">
        <f t="shared" si="4"/>
        <v>406.07530921051</v>
      </c>
      <c r="I9" s="72">
        <f t="shared" si="4"/>
        <v>406.07530921051</v>
      </c>
      <c r="J9" s="72">
        <f t="shared" si="4"/>
        <v>1013.96873184612</v>
      </c>
      <c r="K9" s="72">
        <f t="shared" si="4"/>
        <v>1013.96873184612</v>
      </c>
      <c r="L9" s="72">
        <f t="shared" si="4"/>
        <v>1013.96873184612</v>
      </c>
      <c r="M9" s="72">
        <f t="shared" si="4"/>
        <v>1013.96873184612</v>
      </c>
      <c r="N9" s="72">
        <f t="shared" si="4"/>
        <v>1013.96873184612</v>
      </c>
      <c r="O9" s="72">
        <f t="shared" si="4"/>
        <v>1013.96873184612</v>
      </c>
      <c r="P9" s="72">
        <f t="shared" si="4"/>
        <v>1013.96873184612</v>
      </c>
      <c r="Q9" s="72">
        <f t="shared" si="4"/>
        <v>1013.96873184612</v>
      </c>
      <c r="R9" s="72">
        <f t="shared" si="4"/>
        <v>1013.96873184612</v>
      </c>
      <c r="S9" s="72">
        <f t="shared" si="4"/>
        <v>1013.96873184612</v>
      </c>
      <c r="T9" s="72">
        <f t="shared" si="4"/>
        <v>1013.96873184612</v>
      </c>
      <c r="U9" s="72">
        <f t="shared" si="4"/>
        <v>1013.96873184612</v>
      </c>
      <c r="V9" s="72">
        <f t="shared" si="4"/>
        <v>1013.96873184612</v>
      </c>
      <c r="W9" s="72">
        <f t="shared" si="4"/>
        <v>1013.96873184612</v>
      </c>
      <c r="X9" s="72">
        <f t="shared" si="4"/>
        <v>1013.96873184612</v>
      </c>
      <c r="Y9" s="72">
        <f t="shared" si="4"/>
        <v>1013.96873184612</v>
      </c>
      <c r="Z9" s="72">
        <f t="shared" si="4"/>
        <v>1013.96873184612</v>
      </c>
      <c r="AA9" s="72">
        <f t="shared" si="4"/>
        <v>1013.96873184612</v>
      </c>
      <c r="AB9" s="72">
        <f t="shared" si="4"/>
        <v>1013.96873184612</v>
      </c>
      <c r="AC9" s="72">
        <f t="shared" si="4"/>
        <v>1013.96873184612</v>
      </c>
    </row>
    <row r="15" spans="3:3">
      <c r="C15" s="156"/>
    </row>
  </sheetData>
  <mergeCells count="2">
    <mergeCell ref="A1:AC1"/>
    <mergeCell ref="F2:AC2"/>
  </mergeCells>
  <pageMargins left="0.75" right="0.75" top="1" bottom="1" header="0.5" footer="0.5"/>
  <headerFooter/>
  <ignoredErrors>
    <ignoredError sqref="F6" formulaRange="1"/>
  </ignoredError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tabColor theme="4" tint="-0.249977111117893"/>
  </sheetPr>
  <dimension ref="A1:AD33"/>
  <sheetViews>
    <sheetView zoomScale="70" zoomScaleNormal="70" workbookViewId="0">
      <pane xSplit="5" ySplit="3" topLeftCell="AA4" activePane="bottomRight" state="frozen"/>
      <selection/>
      <selection pane="topRight"/>
      <selection pane="bottomLeft"/>
      <selection pane="bottomRight" activeCell="AD21" sqref="AD21"/>
    </sheetView>
  </sheetViews>
  <sheetFormatPr defaultColWidth="8.89090909090909" defaultRowHeight="16.5"/>
  <cols>
    <col min="1" max="1" width="9.21818181818182" style="54" customWidth="1"/>
    <col min="2" max="2" width="21.6636363636364" style="54" customWidth="1"/>
    <col min="3" max="3" width="33" style="54" customWidth="1"/>
    <col min="4" max="4" width="14.7818181818182" style="54" customWidth="1"/>
    <col min="5" max="5" width="15.4454545454545" style="54" customWidth="1"/>
    <col min="6" max="7" width="6.55454545454545" style="54" customWidth="1"/>
    <col min="8" max="11" width="10" style="148" customWidth="1"/>
    <col min="12" max="15" width="12.2181818181818" style="148" customWidth="1"/>
    <col min="16" max="19" width="12.5545454545455" style="148" customWidth="1"/>
    <col min="20" max="23" width="14.8909090909091" style="148" customWidth="1"/>
    <col min="24" max="27" width="15.2181818181818" style="148" customWidth="1"/>
    <col min="28" max="29" width="17.5545454545455" style="148" customWidth="1"/>
    <col min="30" max="30" width="142.445454545455" style="54" customWidth="1"/>
    <col min="31" max="16384" width="8.89090909090909" style="54"/>
  </cols>
  <sheetData>
    <row r="1" ht="22.5" spans="1:30">
      <c r="A1" s="67" t="s">
        <v>340</v>
      </c>
      <c r="B1" s="67"/>
      <c r="C1" s="67"/>
      <c r="D1" s="67"/>
      <c r="E1" s="67"/>
      <c r="F1" s="67"/>
      <c r="G1" s="67"/>
      <c r="H1" s="158"/>
      <c r="I1" s="158"/>
      <c r="J1" s="158"/>
      <c r="K1" s="158"/>
      <c r="L1" s="158"/>
      <c r="M1" s="158"/>
      <c r="N1" s="158"/>
      <c r="O1" s="158"/>
      <c r="P1" s="158"/>
      <c r="Q1" s="158"/>
      <c r="R1" s="158"/>
      <c r="S1" s="158"/>
      <c r="T1" s="158"/>
      <c r="U1" s="158"/>
      <c r="V1" s="158"/>
      <c r="W1" s="158"/>
      <c r="X1" s="158"/>
      <c r="Y1" s="158"/>
      <c r="Z1" s="165"/>
      <c r="AA1" s="165"/>
      <c r="AB1" s="165"/>
      <c r="AC1" s="165"/>
      <c r="AD1" s="88" t="s">
        <v>341</v>
      </c>
    </row>
    <row r="2" spans="1:29">
      <c r="A2" s="2" t="s">
        <v>1</v>
      </c>
      <c r="B2" s="2" t="s">
        <v>187</v>
      </c>
      <c r="C2" s="2" t="s">
        <v>325</v>
      </c>
      <c r="D2" s="2" t="s">
        <v>326</v>
      </c>
      <c r="E2" s="2" t="s">
        <v>327</v>
      </c>
      <c r="F2" s="29" t="s">
        <v>342</v>
      </c>
      <c r="G2" s="30"/>
      <c r="H2" s="159"/>
      <c r="I2" s="159"/>
      <c r="J2" s="159"/>
      <c r="K2" s="159"/>
      <c r="L2" s="159"/>
      <c r="M2" s="159"/>
      <c r="N2" s="159"/>
      <c r="O2" s="159"/>
      <c r="P2" s="159"/>
      <c r="Q2" s="159"/>
      <c r="R2" s="159"/>
      <c r="S2" s="159"/>
      <c r="T2" s="159"/>
      <c r="U2" s="159"/>
      <c r="V2" s="159"/>
      <c r="W2" s="159"/>
      <c r="X2" s="159"/>
      <c r="Y2" s="166"/>
      <c r="Z2" s="167"/>
      <c r="AA2" s="167"/>
      <c r="AB2" s="167"/>
      <c r="AC2" s="167"/>
    </row>
    <row r="3" ht="66" spans="1:29">
      <c r="A3" s="7"/>
      <c r="B3" s="7"/>
      <c r="C3" s="36" t="s">
        <v>343</v>
      </c>
      <c r="D3" s="160" t="s">
        <v>330</v>
      </c>
      <c r="E3" s="36" t="s">
        <v>344</v>
      </c>
      <c r="F3" s="25">
        <v>2025</v>
      </c>
      <c r="G3" s="25">
        <v>2026</v>
      </c>
      <c r="H3" s="25">
        <v>2027</v>
      </c>
      <c r="I3" s="25">
        <v>2028</v>
      </c>
      <c r="J3" s="25">
        <v>2029</v>
      </c>
      <c r="K3" s="25">
        <v>2030</v>
      </c>
      <c r="L3" s="25">
        <v>2031</v>
      </c>
      <c r="M3" s="25">
        <v>2032</v>
      </c>
      <c r="N3" s="25">
        <v>2033</v>
      </c>
      <c r="O3" s="25">
        <v>2034</v>
      </c>
      <c r="P3" s="25">
        <v>2035</v>
      </c>
      <c r="Q3" s="25">
        <v>2036</v>
      </c>
      <c r="R3" s="25">
        <v>2037</v>
      </c>
      <c r="S3" s="25">
        <v>2038</v>
      </c>
      <c r="T3" s="25">
        <v>2039</v>
      </c>
      <c r="U3" s="25">
        <v>2040</v>
      </c>
      <c r="V3" s="25">
        <v>2041</v>
      </c>
      <c r="W3" s="25">
        <v>2042</v>
      </c>
      <c r="X3" s="25">
        <v>2043</v>
      </c>
      <c r="Y3" s="25">
        <v>2044</v>
      </c>
      <c r="Z3" s="25">
        <v>2045</v>
      </c>
      <c r="AA3" s="25">
        <v>2046</v>
      </c>
      <c r="AB3" s="25">
        <v>2047</v>
      </c>
      <c r="AC3" s="25">
        <v>2048</v>
      </c>
    </row>
    <row r="4" spans="1:29">
      <c r="A4" s="11" t="s">
        <v>332</v>
      </c>
      <c r="B4" s="161" t="s">
        <v>345</v>
      </c>
      <c r="C4" s="162">
        <f>C5+C9</f>
        <v>3141.50943396226</v>
      </c>
      <c r="D4" s="160" t="s">
        <v>163</v>
      </c>
      <c r="E4" s="90">
        <f>E5+E9</f>
        <v>142.795883361921</v>
      </c>
      <c r="F4" s="90"/>
      <c r="G4" s="90"/>
      <c r="H4" s="90">
        <f t="shared" ref="H4:J4" si="0">H5+H9</f>
        <v>142.795883361921</v>
      </c>
      <c r="I4" s="90">
        <f t="shared" si="0"/>
        <v>142.795883361921</v>
      </c>
      <c r="J4" s="90">
        <f t="shared" si="0"/>
        <v>142.795883361921</v>
      </c>
      <c r="K4" s="90">
        <f t="shared" ref="K4:AA4" si="1">K5+K9</f>
        <v>142.795883361921</v>
      </c>
      <c r="L4" s="90">
        <f t="shared" si="1"/>
        <v>142.795883361921</v>
      </c>
      <c r="M4" s="90">
        <f t="shared" si="1"/>
        <v>142.795883361921</v>
      </c>
      <c r="N4" s="90">
        <f t="shared" si="1"/>
        <v>142.795883361921</v>
      </c>
      <c r="O4" s="90">
        <f t="shared" si="1"/>
        <v>142.795883361921</v>
      </c>
      <c r="P4" s="90">
        <f t="shared" si="1"/>
        <v>142.795883361921</v>
      </c>
      <c r="Q4" s="90">
        <f t="shared" si="1"/>
        <v>142.795883361921</v>
      </c>
      <c r="R4" s="90">
        <f t="shared" si="1"/>
        <v>142.795883361921</v>
      </c>
      <c r="S4" s="90">
        <f t="shared" si="1"/>
        <v>142.795883361921</v>
      </c>
      <c r="T4" s="90">
        <f t="shared" si="1"/>
        <v>142.795883361921</v>
      </c>
      <c r="U4" s="90">
        <f t="shared" si="1"/>
        <v>142.795883361921</v>
      </c>
      <c r="V4" s="90">
        <f t="shared" si="1"/>
        <v>142.795883361921</v>
      </c>
      <c r="W4" s="90">
        <f t="shared" si="1"/>
        <v>142.795883361921</v>
      </c>
      <c r="X4" s="90">
        <f t="shared" si="1"/>
        <v>142.795883361921</v>
      </c>
      <c r="Y4" s="90">
        <f t="shared" si="1"/>
        <v>142.795883361921</v>
      </c>
      <c r="Z4" s="90">
        <f t="shared" si="1"/>
        <v>142.795883361921</v>
      </c>
      <c r="AA4" s="90">
        <f t="shared" si="1"/>
        <v>142.795883361921</v>
      </c>
      <c r="AB4" s="90">
        <f t="shared" ref="AB4:AC4" si="2">AB5+AB9</f>
        <v>142.795883361921</v>
      </c>
      <c r="AC4" s="90">
        <f t="shared" si="2"/>
        <v>142.795883361921</v>
      </c>
    </row>
    <row r="5" spans="1:29">
      <c r="A5" s="7">
        <v>1.1</v>
      </c>
      <c r="B5" s="7" t="s">
        <v>346</v>
      </c>
      <c r="C5" s="12">
        <f>SUM(C6:C8)</f>
        <v>3141.50943396226</v>
      </c>
      <c r="D5" s="163" t="s">
        <v>163</v>
      </c>
      <c r="E5" s="12">
        <f>SUM(E6:E8)</f>
        <v>142.795883361921</v>
      </c>
      <c r="F5" s="12"/>
      <c r="G5" s="12"/>
      <c r="H5" s="12">
        <f t="shared" ref="H5:J5" si="3">SUM(H6:H8)</f>
        <v>142.795883361921</v>
      </c>
      <c r="I5" s="12">
        <f t="shared" si="3"/>
        <v>142.795883361921</v>
      </c>
      <c r="J5" s="12">
        <f t="shared" si="3"/>
        <v>142.795883361921</v>
      </c>
      <c r="K5" s="12">
        <f t="shared" ref="K5:AA5" si="4">SUM(K6:K8)</f>
        <v>142.795883361921</v>
      </c>
      <c r="L5" s="12">
        <f t="shared" si="4"/>
        <v>142.795883361921</v>
      </c>
      <c r="M5" s="12">
        <f t="shared" si="4"/>
        <v>142.795883361921</v>
      </c>
      <c r="N5" s="12">
        <f t="shared" si="4"/>
        <v>142.795883361921</v>
      </c>
      <c r="O5" s="12">
        <f t="shared" si="4"/>
        <v>142.795883361921</v>
      </c>
      <c r="P5" s="12">
        <f t="shared" si="4"/>
        <v>142.795883361921</v>
      </c>
      <c r="Q5" s="12">
        <f t="shared" si="4"/>
        <v>142.795883361921</v>
      </c>
      <c r="R5" s="12">
        <f t="shared" si="4"/>
        <v>142.795883361921</v>
      </c>
      <c r="S5" s="12">
        <f t="shared" si="4"/>
        <v>142.795883361921</v>
      </c>
      <c r="T5" s="12">
        <f t="shared" si="4"/>
        <v>142.795883361921</v>
      </c>
      <c r="U5" s="12">
        <f t="shared" si="4"/>
        <v>142.795883361921</v>
      </c>
      <c r="V5" s="12">
        <f t="shared" si="4"/>
        <v>142.795883361921</v>
      </c>
      <c r="W5" s="12">
        <f t="shared" si="4"/>
        <v>142.795883361921</v>
      </c>
      <c r="X5" s="12">
        <f t="shared" si="4"/>
        <v>142.795883361921</v>
      </c>
      <c r="Y5" s="12">
        <f t="shared" si="4"/>
        <v>142.795883361921</v>
      </c>
      <c r="Z5" s="12">
        <f t="shared" si="4"/>
        <v>142.795883361921</v>
      </c>
      <c r="AA5" s="12">
        <f t="shared" si="4"/>
        <v>142.795883361921</v>
      </c>
      <c r="AB5" s="12">
        <f t="shared" ref="AB5:AC5" si="5">SUM(AB6:AB8)</f>
        <v>142.795883361921</v>
      </c>
      <c r="AC5" s="12">
        <f t="shared" si="5"/>
        <v>142.795883361921</v>
      </c>
    </row>
    <row r="6" spans="1:29">
      <c r="A6" s="7" t="s">
        <v>347</v>
      </c>
      <c r="B6" s="7" t="s">
        <v>348</v>
      </c>
      <c r="C6" s="39">
        <v>0</v>
      </c>
      <c r="D6" s="129">
        <f>$D$8</f>
        <v>0.0454545454545455</v>
      </c>
      <c r="E6" s="12">
        <f>C6*D6</f>
        <v>0</v>
      </c>
      <c r="F6" s="12"/>
      <c r="G6" s="12"/>
      <c r="H6" s="39">
        <f t="shared" ref="H6:Z7" si="6">$C6-$E6*(H$3-$F$3)</f>
        <v>0</v>
      </c>
      <c r="I6" s="39">
        <f t="shared" si="6"/>
        <v>0</v>
      </c>
      <c r="J6" s="39">
        <f t="shared" si="6"/>
        <v>0</v>
      </c>
      <c r="K6" s="39">
        <f t="shared" si="6"/>
        <v>0</v>
      </c>
      <c r="L6" s="39">
        <f t="shared" si="6"/>
        <v>0</v>
      </c>
      <c r="M6" s="39">
        <f t="shared" si="6"/>
        <v>0</v>
      </c>
      <c r="N6" s="39">
        <f t="shared" si="6"/>
        <v>0</v>
      </c>
      <c r="O6" s="39">
        <f t="shared" si="6"/>
        <v>0</v>
      </c>
      <c r="P6" s="39">
        <f t="shared" si="6"/>
        <v>0</v>
      </c>
      <c r="Q6" s="39">
        <f t="shared" si="6"/>
        <v>0</v>
      </c>
      <c r="R6" s="39">
        <f t="shared" si="6"/>
        <v>0</v>
      </c>
      <c r="S6" s="39">
        <f t="shared" si="6"/>
        <v>0</v>
      </c>
      <c r="T6" s="39">
        <f t="shared" si="6"/>
        <v>0</v>
      </c>
      <c r="U6" s="39">
        <f t="shared" si="6"/>
        <v>0</v>
      </c>
      <c r="V6" s="39">
        <f t="shared" si="6"/>
        <v>0</v>
      </c>
      <c r="W6" s="39">
        <f t="shared" si="6"/>
        <v>0</v>
      </c>
      <c r="X6" s="39">
        <f t="shared" si="6"/>
        <v>0</v>
      </c>
      <c r="Y6" s="39">
        <f t="shared" si="6"/>
        <v>0</v>
      </c>
      <c r="Z6" s="39">
        <f t="shared" si="6"/>
        <v>0</v>
      </c>
      <c r="AA6" s="39">
        <f t="shared" ref="K6:AC7" si="7">$C6-$E6*(AA$3-$F$3)</f>
        <v>0</v>
      </c>
      <c r="AB6" s="39">
        <f t="shared" si="7"/>
        <v>0</v>
      </c>
      <c r="AC6" s="39">
        <f t="shared" si="7"/>
        <v>0</v>
      </c>
    </row>
    <row r="7" spans="1:30">
      <c r="A7" s="7" t="s">
        <v>349</v>
      </c>
      <c r="B7" s="7" t="s">
        <v>350</v>
      </c>
      <c r="C7" s="39">
        <v>0</v>
      </c>
      <c r="D7" s="129">
        <f>$D$8</f>
        <v>0.0454545454545455</v>
      </c>
      <c r="E7" s="12">
        <f t="shared" ref="E7:E8" si="8">C7*D7</f>
        <v>0</v>
      </c>
      <c r="F7" s="12"/>
      <c r="G7" s="12"/>
      <c r="H7" s="39">
        <f t="shared" si="6"/>
        <v>0</v>
      </c>
      <c r="I7" s="39">
        <f t="shared" si="6"/>
        <v>0</v>
      </c>
      <c r="J7" s="39">
        <f t="shared" si="6"/>
        <v>0</v>
      </c>
      <c r="K7" s="39">
        <f t="shared" si="7"/>
        <v>0</v>
      </c>
      <c r="L7" s="39">
        <f t="shared" si="7"/>
        <v>0</v>
      </c>
      <c r="M7" s="39">
        <f t="shared" si="7"/>
        <v>0</v>
      </c>
      <c r="N7" s="39">
        <f t="shared" si="7"/>
        <v>0</v>
      </c>
      <c r="O7" s="39">
        <f t="shared" si="7"/>
        <v>0</v>
      </c>
      <c r="P7" s="39">
        <f t="shared" si="7"/>
        <v>0</v>
      </c>
      <c r="Q7" s="39">
        <f t="shared" si="7"/>
        <v>0</v>
      </c>
      <c r="R7" s="39">
        <f t="shared" si="7"/>
        <v>0</v>
      </c>
      <c r="S7" s="39">
        <f t="shared" si="7"/>
        <v>0</v>
      </c>
      <c r="T7" s="39">
        <f t="shared" si="7"/>
        <v>0</v>
      </c>
      <c r="U7" s="39">
        <f t="shared" si="7"/>
        <v>0</v>
      </c>
      <c r="V7" s="39">
        <f t="shared" si="7"/>
        <v>0</v>
      </c>
      <c r="W7" s="39">
        <f t="shared" si="7"/>
        <v>0</v>
      </c>
      <c r="X7" s="39">
        <f t="shared" si="7"/>
        <v>0</v>
      </c>
      <c r="Y7" s="39">
        <f t="shared" si="7"/>
        <v>0</v>
      </c>
      <c r="Z7" s="39">
        <f t="shared" si="7"/>
        <v>0</v>
      </c>
      <c r="AA7" s="39">
        <f t="shared" si="7"/>
        <v>0</v>
      </c>
      <c r="AB7" s="39">
        <f t="shared" si="7"/>
        <v>0</v>
      </c>
      <c r="AC7" s="39">
        <f t="shared" si="7"/>
        <v>0</v>
      </c>
      <c r="AD7" s="88" t="s">
        <v>351</v>
      </c>
    </row>
    <row r="8" spans="1:30">
      <c r="A8" s="7" t="s">
        <v>352</v>
      </c>
      <c r="B8" s="36" t="s">
        <v>353</v>
      </c>
      <c r="C8" s="94">
        <f>SUM(E.4建设投资税后金额表!I10:J10)</f>
        <v>3141.50943396226</v>
      </c>
      <c r="D8" s="129">
        <f>1/B项目信息!$D$8*100%</f>
        <v>0.0454545454545455</v>
      </c>
      <c r="E8" s="12">
        <f t="shared" si="8"/>
        <v>142.795883361921</v>
      </c>
      <c r="F8" s="12"/>
      <c r="G8" s="12"/>
      <c r="H8" s="39">
        <f>E8</f>
        <v>142.795883361921</v>
      </c>
      <c r="I8" s="39">
        <f>H8</f>
        <v>142.795883361921</v>
      </c>
      <c r="J8" s="39">
        <f t="shared" ref="J8:AC8" si="9">I8</f>
        <v>142.795883361921</v>
      </c>
      <c r="K8" s="39">
        <f t="shared" si="9"/>
        <v>142.795883361921</v>
      </c>
      <c r="L8" s="39">
        <f t="shared" si="9"/>
        <v>142.795883361921</v>
      </c>
      <c r="M8" s="39">
        <f t="shared" si="9"/>
        <v>142.795883361921</v>
      </c>
      <c r="N8" s="39">
        <f t="shared" si="9"/>
        <v>142.795883361921</v>
      </c>
      <c r="O8" s="39">
        <f t="shared" si="9"/>
        <v>142.795883361921</v>
      </c>
      <c r="P8" s="39">
        <f t="shared" si="9"/>
        <v>142.795883361921</v>
      </c>
      <c r="Q8" s="39">
        <f t="shared" si="9"/>
        <v>142.795883361921</v>
      </c>
      <c r="R8" s="39">
        <f t="shared" si="9"/>
        <v>142.795883361921</v>
      </c>
      <c r="S8" s="39">
        <f t="shared" si="9"/>
        <v>142.795883361921</v>
      </c>
      <c r="T8" s="39">
        <f t="shared" si="9"/>
        <v>142.795883361921</v>
      </c>
      <c r="U8" s="39">
        <f t="shared" si="9"/>
        <v>142.795883361921</v>
      </c>
      <c r="V8" s="39">
        <f t="shared" si="9"/>
        <v>142.795883361921</v>
      </c>
      <c r="W8" s="39">
        <f t="shared" si="9"/>
        <v>142.795883361921</v>
      </c>
      <c r="X8" s="39">
        <f t="shared" si="9"/>
        <v>142.795883361921</v>
      </c>
      <c r="Y8" s="39">
        <f t="shared" si="9"/>
        <v>142.795883361921</v>
      </c>
      <c r="Z8" s="39">
        <f t="shared" si="9"/>
        <v>142.795883361921</v>
      </c>
      <c r="AA8" s="39">
        <f t="shared" si="9"/>
        <v>142.795883361921</v>
      </c>
      <c r="AB8" s="39">
        <f t="shared" si="9"/>
        <v>142.795883361921</v>
      </c>
      <c r="AC8" s="39">
        <f t="shared" si="9"/>
        <v>142.795883361921</v>
      </c>
      <c r="AD8" s="88" t="s">
        <v>354</v>
      </c>
    </row>
    <row r="9" spans="1:30">
      <c r="A9" s="7">
        <v>1.2</v>
      </c>
      <c r="B9" s="7" t="s">
        <v>355</v>
      </c>
      <c r="C9" s="12">
        <f>C10</f>
        <v>0</v>
      </c>
      <c r="D9" s="164" t="s">
        <v>163</v>
      </c>
      <c r="E9" s="12">
        <f>E10</f>
        <v>0</v>
      </c>
      <c r="F9" s="12"/>
      <c r="G9" s="12"/>
      <c r="H9" s="12">
        <f t="shared" ref="H9:AC9" si="10">H10</f>
        <v>0</v>
      </c>
      <c r="I9" s="12">
        <f t="shared" si="10"/>
        <v>0</v>
      </c>
      <c r="J9" s="12">
        <f t="shared" si="10"/>
        <v>0</v>
      </c>
      <c r="K9" s="12">
        <f t="shared" si="10"/>
        <v>0</v>
      </c>
      <c r="L9" s="12">
        <f t="shared" si="10"/>
        <v>0</v>
      </c>
      <c r="M9" s="12">
        <f t="shared" si="10"/>
        <v>0</v>
      </c>
      <c r="N9" s="12">
        <f t="shared" si="10"/>
        <v>0</v>
      </c>
      <c r="O9" s="12">
        <f t="shared" si="10"/>
        <v>0</v>
      </c>
      <c r="P9" s="12">
        <f t="shared" si="10"/>
        <v>0</v>
      </c>
      <c r="Q9" s="12">
        <f t="shared" si="10"/>
        <v>0</v>
      </c>
      <c r="R9" s="12">
        <f t="shared" si="10"/>
        <v>0</v>
      </c>
      <c r="S9" s="12">
        <f t="shared" si="10"/>
        <v>0</v>
      </c>
      <c r="T9" s="12">
        <f t="shared" si="10"/>
        <v>0</v>
      </c>
      <c r="U9" s="12">
        <f t="shared" si="10"/>
        <v>0</v>
      </c>
      <c r="V9" s="12">
        <f t="shared" si="10"/>
        <v>0</v>
      </c>
      <c r="W9" s="12">
        <f t="shared" si="10"/>
        <v>0</v>
      </c>
      <c r="X9" s="12">
        <f t="shared" si="10"/>
        <v>0</v>
      </c>
      <c r="Y9" s="12">
        <f t="shared" si="10"/>
        <v>0</v>
      </c>
      <c r="Z9" s="12">
        <f t="shared" si="10"/>
        <v>0</v>
      </c>
      <c r="AA9" s="12">
        <f t="shared" si="10"/>
        <v>0</v>
      </c>
      <c r="AB9" s="12">
        <f t="shared" si="10"/>
        <v>0</v>
      </c>
      <c r="AC9" s="12">
        <f t="shared" si="10"/>
        <v>0</v>
      </c>
      <c r="AD9" s="88" t="s">
        <v>356</v>
      </c>
    </row>
    <row r="10" spans="1:29">
      <c r="A10" s="7" t="s">
        <v>193</v>
      </c>
      <c r="B10" s="7" t="s">
        <v>357</v>
      </c>
      <c r="C10" s="39">
        <v>0</v>
      </c>
      <c r="D10" s="129">
        <f>$D$8</f>
        <v>0.0454545454545455</v>
      </c>
      <c r="E10" s="12">
        <f>C10*D10</f>
        <v>0</v>
      </c>
      <c r="F10" s="12"/>
      <c r="G10" s="12"/>
      <c r="H10" s="39">
        <f t="shared" ref="H10:J10" si="11">$C10-$E10*(H$3-$F$3)</f>
        <v>0</v>
      </c>
      <c r="I10" s="39">
        <f t="shared" si="11"/>
        <v>0</v>
      </c>
      <c r="J10" s="39">
        <f t="shared" si="11"/>
        <v>0</v>
      </c>
      <c r="K10" s="39">
        <f t="shared" ref="K10:AC10" si="12">$C10-$E10*(K$3-$F$3)</f>
        <v>0</v>
      </c>
      <c r="L10" s="39">
        <f t="shared" si="12"/>
        <v>0</v>
      </c>
      <c r="M10" s="39">
        <f t="shared" si="12"/>
        <v>0</v>
      </c>
      <c r="N10" s="39">
        <f t="shared" si="12"/>
        <v>0</v>
      </c>
      <c r="O10" s="39">
        <f t="shared" si="12"/>
        <v>0</v>
      </c>
      <c r="P10" s="39">
        <f t="shared" si="12"/>
        <v>0</v>
      </c>
      <c r="Q10" s="39">
        <f t="shared" si="12"/>
        <v>0</v>
      </c>
      <c r="R10" s="39">
        <f t="shared" si="12"/>
        <v>0</v>
      </c>
      <c r="S10" s="39">
        <f t="shared" si="12"/>
        <v>0</v>
      </c>
      <c r="T10" s="39">
        <f t="shared" si="12"/>
        <v>0</v>
      </c>
      <c r="U10" s="39">
        <f t="shared" si="12"/>
        <v>0</v>
      </c>
      <c r="V10" s="39">
        <f t="shared" si="12"/>
        <v>0</v>
      </c>
      <c r="W10" s="39">
        <f t="shared" si="12"/>
        <v>0</v>
      </c>
      <c r="X10" s="39">
        <f t="shared" si="12"/>
        <v>0</v>
      </c>
      <c r="Y10" s="39">
        <f t="shared" si="12"/>
        <v>0</v>
      </c>
      <c r="Z10" s="39">
        <f t="shared" si="12"/>
        <v>0</v>
      </c>
      <c r="AA10" s="39">
        <f t="shared" si="12"/>
        <v>0</v>
      </c>
      <c r="AB10" s="39">
        <f t="shared" si="12"/>
        <v>0</v>
      </c>
      <c r="AC10" s="39">
        <f t="shared" si="12"/>
        <v>0</v>
      </c>
    </row>
    <row r="11" spans="1:29">
      <c r="A11" s="11" t="s">
        <v>335</v>
      </c>
      <c r="B11" s="161" t="s">
        <v>358</v>
      </c>
      <c r="C11" s="12">
        <f>C12+C16</f>
        <v>1518.8679245283</v>
      </c>
      <c r="D11" s="40"/>
      <c r="E11" s="12">
        <f>E12+E16</f>
        <v>75.943396226415</v>
      </c>
      <c r="F11" s="12"/>
      <c r="G11" s="12"/>
      <c r="H11" s="12">
        <f t="shared" ref="H11:J11" si="13">H12+H16</f>
        <v>0</v>
      </c>
      <c r="I11" s="12">
        <f t="shared" si="13"/>
        <v>0</v>
      </c>
      <c r="J11" s="12">
        <f t="shared" si="13"/>
        <v>75.943396226415</v>
      </c>
      <c r="K11" s="12">
        <f t="shared" ref="K11:AA11" si="14">K12+K16</f>
        <v>75.943396226415</v>
      </c>
      <c r="L11" s="12">
        <f t="shared" si="14"/>
        <v>75.943396226415</v>
      </c>
      <c r="M11" s="12">
        <f t="shared" si="14"/>
        <v>75.943396226415</v>
      </c>
      <c r="N11" s="12">
        <f t="shared" si="14"/>
        <v>75.943396226415</v>
      </c>
      <c r="O11" s="12">
        <f t="shared" si="14"/>
        <v>75.943396226415</v>
      </c>
      <c r="P11" s="12">
        <f t="shared" si="14"/>
        <v>75.943396226415</v>
      </c>
      <c r="Q11" s="12">
        <f t="shared" si="14"/>
        <v>75.943396226415</v>
      </c>
      <c r="R11" s="12">
        <f t="shared" si="14"/>
        <v>75.943396226415</v>
      </c>
      <c r="S11" s="12">
        <f t="shared" si="14"/>
        <v>75.943396226415</v>
      </c>
      <c r="T11" s="12">
        <f t="shared" si="14"/>
        <v>75.943396226415</v>
      </c>
      <c r="U11" s="12">
        <f t="shared" si="14"/>
        <v>75.943396226415</v>
      </c>
      <c r="V11" s="12">
        <f t="shared" si="14"/>
        <v>75.943396226415</v>
      </c>
      <c r="W11" s="12">
        <f t="shared" si="14"/>
        <v>75.943396226415</v>
      </c>
      <c r="X11" s="12">
        <f t="shared" si="14"/>
        <v>75.943396226415</v>
      </c>
      <c r="Y11" s="12">
        <f t="shared" si="14"/>
        <v>75.943396226415</v>
      </c>
      <c r="Z11" s="12">
        <f t="shared" si="14"/>
        <v>75.943396226415</v>
      </c>
      <c r="AA11" s="12">
        <f t="shared" si="14"/>
        <v>75.943396226415</v>
      </c>
      <c r="AB11" s="12">
        <f t="shared" ref="AB11:AC11" si="15">AB12+AB16</f>
        <v>75.943396226415</v>
      </c>
      <c r="AC11" s="12">
        <f t="shared" si="15"/>
        <v>75.943396226415</v>
      </c>
    </row>
    <row r="12" spans="1:29">
      <c r="A12" s="7">
        <v>2.1</v>
      </c>
      <c r="B12" s="7" t="s">
        <v>346</v>
      </c>
      <c r="C12" s="12">
        <f>SUM(C13:C15)</f>
        <v>1518.8679245283</v>
      </c>
      <c r="D12" s="40" t="s">
        <v>163</v>
      </c>
      <c r="E12" s="12">
        <f>SUM(E13:E15)</f>
        <v>75.943396226415</v>
      </c>
      <c r="F12" s="12"/>
      <c r="G12" s="12"/>
      <c r="H12" s="12"/>
      <c r="I12" s="39"/>
      <c r="J12" s="39">
        <f t="shared" ref="J12" si="16">SUM(J13:J15)</f>
        <v>75.943396226415</v>
      </c>
      <c r="K12" s="39">
        <f t="shared" ref="K12:AA12" si="17">SUM(K13:K15)</f>
        <v>75.943396226415</v>
      </c>
      <c r="L12" s="39">
        <f t="shared" si="17"/>
        <v>75.943396226415</v>
      </c>
      <c r="M12" s="39">
        <f t="shared" si="17"/>
        <v>75.943396226415</v>
      </c>
      <c r="N12" s="39">
        <f t="shared" si="17"/>
        <v>75.943396226415</v>
      </c>
      <c r="O12" s="39">
        <f t="shared" si="17"/>
        <v>75.943396226415</v>
      </c>
      <c r="P12" s="39">
        <f t="shared" si="17"/>
        <v>75.943396226415</v>
      </c>
      <c r="Q12" s="39">
        <f t="shared" si="17"/>
        <v>75.943396226415</v>
      </c>
      <c r="R12" s="39">
        <f t="shared" si="17"/>
        <v>75.943396226415</v>
      </c>
      <c r="S12" s="39">
        <f t="shared" si="17"/>
        <v>75.943396226415</v>
      </c>
      <c r="T12" s="39">
        <f t="shared" si="17"/>
        <v>75.943396226415</v>
      </c>
      <c r="U12" s="39">
        <f t="shared" si="17"/>
        <v>75.943396226415</v>
      </c>
      <c r="V12" s="39">
        <f t="shared" si="17"/>
        <v>75.943396226415</v>
      </c>
      <c r="W12" s="39">
        <f t="shared" si="17"/>
        <v>75.943396226415</v>
      </c>
      <c r="X12" s="39">
        <f t="shared" si="17"/>
        <v>75.943396226415</v>
      </c>
      <c r="Y12" s="39">
        <f t="shared" si="17"/>
        <v>75.943396226415</v>
      </c>
      <c r="Z12" s="39">
        <f t="shared" si="17"/>
        <v>75.943396226415</v>
      </c>
      <c r="AA12" s="39">
        <f t="shared" si="17"/>
        <v>75.943396226415</v>
      </c>
      <c r="AB12" s="39">
        <f t="shared" ref="AB12:AC12" si="18">SUM(AB13:AB15)</f>
        <v>75.943396226415</v>
      </c>
      <c r="AC12" s="39">
        <f t="shared" si="18"/>
        <v>75.943396226415</v>
      </c>
    </row>
    <row r="13" spans="1:29">
      <c r="A13" s="7" t="s">
        <v>150</v>
      </c>
      <c r="B13" s="7" t="s">
        <v>348</v>
      </c>
      <c r="C13" s="39">
        <v>0</v>
      </c>
      <c r="D13" s="129">
        <f>$D$15</f>
        <v>0.05</v>
      </c>
      <c r="E13" s="12">
        <f>C13*D13</f>
        <v>0</v>
      </c>
      <c r="F13" s="12"/>
      <c r="G13" s="12"/>
      <c r="H13" s="12"/>
      <c r="I13" s="39"/>
      <c r="J13" s="39">
        <f>$C13-$E13*(J$3-$I$3)</f>
        <v>0</v>
      </c>
      <c r="K13" s="39">
        <f t="shared" ref="K13:AC14" si="19">$C13-$E13*(K$3-$I$3)</f>
        <v>0</v>
      </c>
      <c r="L13" s="39">
        <f t="shared" si="19"/>
        <v>0</v>
      </c>
      <c r="M13" s="39">
        <f t="shared" si="19"/>
        <v>0</v>
      </c>
      <c r="N13" s="39">
        <f t="shared" si="19"/>
        <v>0</v>
      </c>
      <c r="O13" s="39">
        <f t="shared" si="19"/>
        <v>0</v>
      </c>
      <c r="P13" s="39">
        <f t="shared" si="19"/>
        <v>0</v>
      </c>
      <c r="Q13" s="39">
        <f t="shared" si="19"/>
        <v>0</v>
      </c>
      <c r="R13" s="39">
        <f t="shared" si="19"/>
        <v>0</v>
      </c>
      <c r="S13" s="39">
        <f t="shared" si="19"/>
        <v>0</v>
      </c>
      <c r="T13" s="39">
        <f t="shared" si="19"/>
        <v>0</v>
      </c>
      <c r="U13" s="39">
        <f t="shared" si="19"/>
        <v>0</v>
      </c>
      <c r="V13" s="39">
        <f t="shared" si="19"/>
        <v>0</v>
      </c>
      <c r="W13" s="39">
        <f t="shared" si="19"/>
        <v>0</v>
      </c>
      <c r="X13" s="39">
        <f t="shared" si="19"/>
        <v>0</v>
      </c>
      <c r="Y13" s="39">
        <f t="shared" si="19"/>
        <v>0</v>
      </c>
      <c r="Z13" s="39">
        <f t="shared" si="19"/>
        <v>0</v>
      </c>
      <c r="AA13" s="39">
        <f t="shared" si="19"/>
        <v>0</v>
      </c>
      <c r="AB13" s="39">
        <f t="shared" si="19"/>
        <v>0</v>
      </c>
      <c r="AC13" s="39">
        <f t="shared" si="19"/>
        <v>0</v>
      </c>
    </row>
    <row r="14" spans="1:30">
      <c r="A14" s="7" t="s">
        <v>152</v>
      </c>
      <c r="B14" s="7" t="s">
        <v>350</v>
      </c>
      <c r="C14" s="39">
        <v>0</v>
      </c>
      <c r="D14" s="129">
        <f>$D$15</f>
        <v>0.05</v>
      </c>
      <c r="E14" s="12">
        <f>C14*D14</f>
        <v>0</v>
      </c>
      <c r="F14" s="12"/>
      <c r="G14" s="12"/>
      <c r="H14" s="12"/>
      <c r="I14" s="39"/>
      <c r="J14" s="39">
        <f>$C14-$E14*(J$3-$I$3)</f>
        <v>0</v>
      </c>
      <c r="K14" s="39">
        <f t="shared" si="19"/>
        <v>0</v>
      </c>
      <c r="L14" s="39">
        <f t="shared" si="19"/>
        <v>0</v>
      </c>
      <c r="M14" s="39">
        <f t="shared" si="19"/>
        <v>0</v>
      </c>
      <c r="N14" s="39">
        <f t="shared" si="19"/>
        <v>0</v>
      </c>
      <c r="O14" s="39">
        <f t="shared" si="19"/>
        <v>0</v>
      </c>
      <c r="P14" s="39">
        <f t="shared" si="19"/>
        <v>0</v>
      </c>
      <c r="Q14" s="39">
        <f t="shared" si="19"/>
        <v>0</v>
      </c>
      <c r="R14" s="39">
        <f t="shared" si="19"/>
        <v>0</v>
      </c>
      <c r="S14" s="39">
        <f t="shared" si="19"/>
        <v>0</v>
      </c>
      <c r="T14" s="39">
        <f t="shared" si="19"/>
        <v>0</v>
      </c>
      <c r="U14" s="39">
        <f t="shared" si="19"/>
        <v>0</v>
      </c>
      <c r="V14" s="39">
        <f t="shared" si="19"/>
        <v>0</v>
      </c>
      <c r="W14" s="39">
        <f t="shared" si="19"/>
        <v>0</v>
      </c>
      <c r="X14" s="39">
        <f t="shared" si="19"/>
        <v>0</v>
      </c>
      <c r="Y14" s="39">
        <f t="shared" si="19"/>
        <v>0</v>
      </c>
      <c r="Z14" s="39">
        <f t="shared" si="19"/>
        <v>0</v>
      </c>
      <c r="AA14" s="39">
        <f t="shared" si="19"/>
        <v>0</v>
      </c>
      <c r="AB14" s="39">
        <f t="shared" si="19"/>
        <v>0</v>
      </c>
      <c r="AC14" s="39">
        <f t="shared" si="19"/>
        <v>0</v>
      </c>
      <c r="AD14" s="88" t="s">
        <v>351</v>
      </c>
    </row>
    <row r="15" spans="1:30">
      <c r="A15" s="7" t="s">
        <v>154</v>
      </c>
      <c r="B15" s="36" t="s">
        <v>353</v>
      </c>
      <c r="C15" s="39">
        <f>SUM(E.4建设投资税后金额表!K10:L10)</f>
        <v>1518.8679245283</v>
      </c>
      <c r="D15" s="129">
        <f>1/B项目信息!$D$14*100%</f>
        <v>0.05</v>
      </c>
      <c r="E15" s="12">
        <f>C15*D15</f>
        <v>75.943396226415</v>
      </c>
      <c r="F15" s="12"/>
      <c r="G15" s="12"/>
      <c r="H15" s="12"/>
      <c r="I15" s="39"/>
      <c r="J15" s="39">
        <f>E15</f>
        <v>75.943396226415</v>
      </c>
      <c r="K15" s="39">
        <f>J15</f>
        <v>75.943396226415</v>
      </c>
      <c r="L15" s="39">
        <f t="shared" ref="L15:AC15" si="20">K15</f>
        <v>75.943396226415</v>
      </c>
      <c r="M15" s="39">
        <f t="shared" si="20"/>
        <v>75.943396226415</v>
      </c>
      <c r="N15" s="39">
        <f t="shared" si="20"/>
        <v>75.943396226415</v>
      </c>
      <c r="O15" s="39">
        <f t="shared" si="20"/>
        <v>75.943396226415</v>
      </c>
      <c r="P15" s="39">
        <f t="shared" si="20"/>
        <v>75.943396226415</v>
      </c>
      <c r="Q15" s="39">
        <f t="shared" si="20"/>
        <v>75.943396226415</v>
      </c>
      <c r="R15" s="39">
        <f t="shared" si="20"/>
        <v>75.943396226415</v>
      </c>
      <c r="S15" s="39">
        <f t="shared" si="20"/>
        <v>75.943396226415</v>
      </c>
      <c r="T15" s="39">
        <f t="shared" si="20"/>
        <v>75.943396226415</v>
      </c>
      <c r="U15" s="39">
        <f t="shared" si="20"/>
        <v>75.943396226415</v>
      </c>
      <c r="V15" s="39">
        <f t="shared" si="20"/>
        <v>75.943396226415</v>
      </c>
      <c r="W15" s="39">
        <f t="shared" si="20"/>
        <v>75.943396226415</v>
      </c>
      <c r="X15" s="39">
        <f t="shared" si="20"/>
        <v>75.943396226415</v>
      </c>
      <c r="Y15" s="39">
        <f t="shared" si="20"/>
        <v>75.943396226415</v>
      </c>
      <c r="Z15" s="39">
        <f t="shared" si="20"/>
        <v>75.943396226415</v>
      </c>
      <c r="AA15" s="39">
        <f t="shared" si="20"/>
        <v>75.943396226415</v>
      </c>
      <c r="AB15" s="39">
        <f t="shared" si="20"/>
        <v>75.943396226415</v>
      </c>
      <c r="AC15" s="39">
        <f t="shared" si="20"/>
        <v>75.943396226415</v>
      </c>
      <c r="AD15" s="88" t="s">
        <v>354</v>
      </c>
    </row>
    <row r="16" spans="1:30">
      <c r="A16" s="7">
        <v>2.2</v>
      </c>
      <c r="B16" s="7" t="s">
        <v>355</v>
      </c>
      <c r="C16" s="12">
        <f>C17</f>
        <v>0</v>
      </c>
      <c r="D16" s="129"/>
      <c r="E16" s="12">
        <f>E17</f>
        <v>0</v>
      </c>
      <c r="F16" s="12"/>
      <c r="G16" s="12"/>
      <c r="H16" s="12"/>
      <c r="I16" s="12"/>
      <c r="J16" s="12">
        <f>J17</f>
        <v>0</v>
      </c>
      <c r="K16" s="12">
        <f t="shared" ref="K16:AC16" si="21">K17</f>
        <v>0</v>
      </c>
      <c r="L16" s="12">
        <f t="shared" si="21"/>
        <v>0</v>
      </c>
      <c r="M16" s="12">
        <f t="shared" si="21"/>
        <v>0</v>
      </c>
      <c r="N16" s="12">
        <f t="shared" si="21"/>
        <v>0</v>
      </c>
      <c r="O16" s="12">
        <f t="shared" si="21"/>
        <v>0</v>
      </c>
      <c r="P16" s="12">
        <f t="shared" si="21"/>
        <v>0</v>
      </c>
      <c r="Q16" s="12">
        <f t="shared" si="21"/>
        <v>0</v>
      </c>
      <c r="R16" s="12">
        <f t="shared" si="21"/>
        <v>0</v>
      </c>
      <c r="S16" s="12">
        <f t="shared" si="21"/>
        <v>0</v>
      </c>
      <c r="T16" s="12">
        <f t="shared" si="21"/>
        <v>0</v>
      </c>
      <c r="U16" s="12">
        <f t="shared" si="21"/>
        <v>0</v>
      </c>
      <c r="V16" s="12">
        <f t="shared" si="21"/>
        <v>0</v>
      </c>
      <c r="W16" s="12">
        <f t="shared" si="21"/>
        <v>0</v>
      </c>
      <c r="X16" s="12">
        <f t="shared" si="21"/>
        <v>0</v>
      </c>
      <c r="Y16" s="12">
        <f t="shared" si="21"/>
        <v>0</v>
      </c>
      <c r="Z16" s="12">
        <f t="shared" si="21"/>
        <v>0</v>
      </c>
      <c r="AA16" s="12">
        <f t="shared" si="21"/>
        <v>0</v>
      </c>
      <c r="AB16" s="12">
        <f t="shared" si="21"/>
        <v>0</v>
      </c>
      <c r="AC16" s="12">
        <f t="shared" si="21"/>
        <v>0</v>
      </c>
      <c r="AD16" s="88" t="s">
        <v>356</v>
      </c>
    </row>
    <row r="17" spans="1:29">
      <c r="A17" s="7" t="s">
        <v>158</v>
      </c>
      <c r="B17" s="7" t="s">
        <v>357</v>
      </c>
      <c r="C17" s="39">
        <v>0</v>
      </c>
      <c r="D17" s="129">
        <f>$D$15</f>
        <v>0.05</v>
      </c>
      <c r="E17" s="12">
        <f>C17*D17</f>
        <v>0</v>
      </c>
      <c r="F17" s="12"/>
      <c r="G17" s="12"/>
      <c r="H17" s="12"/>
      <c r="I17" s="39"/>
      <c r="J17" s="39">
        <f>$C$17-$E$17*(J3-$H$3)</f>
        <v>0</v>
      </c>
      <c r="K17" s="39">
        <f t="shared" ref="K17:AA17" si="22">$C$17-$E$17*(K3-$H$3)</f>
        <v>0</v>
      </c>
      <c r="L17" s="39">
        <f t="shared" si="22"/>
        <v>0</v>
      </c>
      <c r="M17" s="39">
        <f t="shared" si="22"/>
        <v>0</v>
      </c>
      <c r="N17" s="39">
        <f t="shared" si="22"/>
        <v>0</v>
      </c>
      <c r="O17" s="39">
        <f t="shared" si="22"/>
        <v>0</v>
      </c>
      <c r="P17" s="39">
        <f t="shared" si="22"/>
        <v>0</v>
      </c>
      <c r="Q17" s="39">
        <f t="shared" si="22"/>
        <v>0</v>
      </c>
      <c r="R17" s="39">
        <f t="shared" si="22"/>
        <v>0</v>
      </c>
      <c r="S17" s="39">
        <f t="shared" si="22"/>
        <v>0</v>
      </c>
      <c r="T17" s="39">
        <f t="shared" si="22"/>
        <v>0</v>
      </c>
      <c r="U17" s="39">
        <f t="shared" si="22"/>
        <v>0</v>
      </c>
      <c r="V17" s="39">
        <f t="shared" si="22"/>
        <v>0</v>
      </c>
      <c r="W17" s="39">
        <f t="shared" si="22"/>
        <v>0</v>
      </c>
      <c r="X17" s="39">
        <f t="shared" si="22"/>
        <v>0</v>
      </c>
      <c r="Y17" s="39">
        <f t="shared" si="22"/>
        <v>0</v>
      </c>
      <c r="Z17" s="39">
        <f t="shared" si="22"/>
        <v>0</v>
      </c>
      <c r="AA17" s="39">
        <f t="shared" si="22"/>
        <v>0</v>
      </c>
      <c r="AB17" s="39">
        <f t="shared" ref="AB17:AC17" si="23">$C$17-$E$17*(AB3-$H$3)</f>
        <v>0</v>
      </c>
      <c r="AC17" s="39">
        <f t="shared" si="23"/>
        <v>0</v>
      </c>
    </row>
    <row r="18" spans="1:30">
      <c r="A18" s="7" t="s">
        <v>339</v>
      </c>
      <c r="B18" s="7"/>
      <c r="C18" s="12">
        <f>C4+C11</f>
        <v>4660.37735849056</v>
      </c>
      <c r="D18" s="40" t="s">
        <v>163</v>
      </c>
      <c r="E18" s="12">
        <f>E4+E11</f>
        <v>218.739279588336</v>
      </c>
      <c r="F18" s="12">
        <f>F4+F11</f>
        <v>0</v>
      </c>
      <c r="G18" s="12"/>
      <c r="H18" s="12">
        <f t="shared" ref="H18:AC18" si="24">H4+H11</f>
        <v>142.795883361921</v>
      </c>
      <c r="I18" s="12">
        <f t="shared" si="24"/>
        <v>142.795883361921</v>
      </c>
      <c r="J18" s="12">
        <f t="shared" si="24"/>
        <v>218.739279588336</v>
      </c>
      <c r="K18" s="12">
        <f t="shared" si="24"/>
        <v>218.739279588336</v>
      </c>
      <c r="L18" s="12">
        <f t="shared" si="24"/>
        <v>218.739279588336</v>
      </c>
      <c r="M18" s="12">
        <f t="shared" si="24"/>
        <v>218.739279588336</v>
      </c>
      <c r="N18" s="12">
        <f t="shared" si="24"/>
        <v>218.739279588336</v>
      </c>
      <c r="O18" s="12">
        <f t="shared" si="24"/>
        <v>218.739279588336</v>
      </c>
      <c r="P18" s="12">
        <f t="shared" si="24"/>
        <v>218.739279588336</v>
      </c>
      <c r="Q18" s="12">
        <f t="shared" si="24"/>
        <v>218.739279588336</v>
      </c>
      <c r="R18" s="12">
        <f t="shared" si="24"/>
        <v>218.739279588336</v>
      </c>
      <c r="S18" s="12">
        <f t="shared" si="24"/>
        <v>218.739279588336</v>
      </c>
      <c r="T18" s="12">
        <f t="shared" si="24"/>
        <v>218.739279588336</v>
      </c>
      <c r="U18" s="12">
        <f t="shared" si="24"/>
        <v>218.739279588336</v>
      </c>
      <c r="V18" s="12">
        <f t="shared" si="24"/>
        <v>218.739279588336</v>
      </c>
      <c r="W18" s="12">
        <f t="shared" si="24"/>
        <v>218.739279588336</v>
      </c>
      <c r="X18" s="12">
        <f t="shared" si="24"/>
        <v>218.739279588336</v>
      </c>
      <c r="Y18" s="12">
        <f t="shared" si="24"/>
        <v>218.739279588336</v>
      </c>
      <c r="Z18" s="12">
        <f t="shared" si="24"/>
        <v>218.739279588336</v>
      </c>
      <c r="AA18" s="12">
        <f t="shared" si="24"/>
        <v>218.739279588336</v>
      </c>
      <c r="AB18" s="12">
        <f t="shared" si="24"/>
        <v>218.739279588336</v>
      </c>
      <c r="AC18" s="12">
        <f t="shared" si="24"/>
        <v>218.739279588336</v>
      </c>
      <c r="AD18" s="88" t="s">
        <v>359</v>
      </c>
    </row>
    <row r="19" spans="1:30">
      <c r="A19" s="11" t="s">
        <v>332</v>
      </c>
      <c r="B19" s="161" t="s">
        <v>345</v>
      </c>
      <c r="C19" s="162"/>
      <c r="D19" s="160"/>
      <c r="E19" s="90"/>
      <c r="F19" s="90"/>
      <c r="G19" s="90"/>
      <c r="H19" s="90"/>
      <c r="I19" s="90"/>
      <c r="J19" s="90"/>
      <c r="K19" s="90"/>
      <c r="L19" s="90"/>
      <c r="M19" s="90"/>
      <c r="N19" s="90"/>
      <c r="O19" s="90"/>
      <c r="P19" s="90"/>
      <c r="Q19" s="90"/>
      <c r="R19" s="90"/>
      <c r="S19" s="90"/>
      <c r="T19" s="90"/>
      <c r="U19" s="90"/>
      <c r="V19" s="90"/>
      <c r="W19" s="90"/>
      <c r="X19" s="90"/>
      <c r="Y19" s="90"/>
      <c r="Z19" s="90"/>
      <c r="AA19" s="90"/>
      <c r="AB19" s="90"/>
      <c r="AC19" s="90"/>
      <c r="AD19" s="88" t="s">
        <v>360</v>
      </c>
    </row>
    <row r="20" spans="1:29">
      <c r="A20" s="7">
        <v>1.1</v>
      </c>
      <c r="B20" s="7" t="s">
        <v>346</v>
      </c>
      <c r="C20" s="94">
        <f t="shared" ref="C20:E32" si="25">C5</f>
        <v>3141.50943396226</v>
      </c>
      <c r="D20" s="163" t="str">
        <f>D5</f>
        <v>/</v>
      </c>
      <c r="E20" s="12">
        <f>E5</f>
        <v>142.795883361921</v>
      </c>
      <c r="F20" s="12"/>
      <c r="G20" s="12"/>
      <c r="H20" s="12"/>
      <c r="I20" s="12"/>
      <c r="J20" s="12"/>
      <c r="K20" s="12"/>
      <c r="L20" s="12"/>
      <c r="M20" s="12"/>
      <c r="N20" s="12"/>
      <c r="O20" s="12"/>
      <c r="P20" s="12"/>
      <c r="Q20" s="12"/>
      <c r="R20" s="12"/>
      <c r="S20" s="12"/>
      <c r="T20" s="12"/>
      <c r="U20" s="12"/>
      <c r="V20" s="12"/>
      <c r="W20" s="12"/>
      <c r="X20" s="12"/>
      <c r="Y20" s="12"/>
      <c r="Z20" s="12"/>
      <c r="AA20" s="12"/>
      <c r="AB20" s="12"/>
      <c r="AC20" s="12"/>
    </row>
    <row r="21" spans="1:29">
      <c r="A21" s="7" t="s">
        <v>347</v>
      </c>
      <c r="B21" s="7" t="s">
        <v>348</v>
      </c>
      <c r="C21" s="94">
        <f t="shared" si="25"/>
        <v>0</v>
      </c>
      <c r="D21" s="163">
        <f t="shared" si="25"/>
        <v>0.0454545454545455</v>
      </c>
      <c r="E21" s="12">
        <f t="shared" si="25"/>
        <v>0</v>
      </c>
      <c r="F21" s="12"/>
      <c r="G21" s="12"/>
      <c r="H21" s="39">
        <f t="shared" ref="H21:H23" si="26">$C21-$E21*(H$3-$G$3)</f>
        <v>0</v>
      </c>
      <c r="I21" s="39">
        <f t="shared" ref="I21:AC23" si="27">$C21-$E21*(I$3-$G$3)</f>
        <v>0</v>
      </c>
      <c r="J21" s="39">
        <f t="shared" si="27"/>
        <v>0</v>
      </c>
      <c r="K21" s="39">
        <f t="shared" si="27"/>
        <v>0</v>
      </c>
      <c r="L21" s="39">
        <f t="shared" si="27"/>
        <v>0</v>
      </c>
      <c r="M21" s="39">
        <f t="shared" si="27"/>
        <v>0</v>
      </c>
      <c r="N21" s="39">
        <f t="shared" si="27"/>
        <v>0</v>
      </c>
      <c r="O21" s="39">
        <f t="shared" si="27"/>
        <v>0</v>
      </c>
      <c r="P21" s="39">
        <f t="shared" si="27"/>
        <v>0</v>
      </c>
      <c r="Q21" s="39">
        <f t="shared" si="27"/>
        <v>0</v>
      </c>
      <c r="R21" s="39">
        <f t="shared" si="27"/>
        <v>0</v>
      </c>
      <c r="S21" s="39">
        <f t="shared" si="27"/>
        <v>0</v>
      </c>
      <c r="T21" s="39">
        <f t="shared" si="27"/>
        <v>0</v>
      </c>
      <c r="U21" s="39">
        <f t="shared" si="27"/>
        <v>0</v>
      </c>
      <c r="V21" s="39">
        <f t="shared" si="27"/>
        <v>0</v>
      </c>
      <c r="W21" s="39">
        <f t="shared" si="27"/>
        <v>0</v>
      </c>
      <c r="X21" s="39">
        <f t="shared" si="27"/>
        <v>0</v>
      </c>
      <c r="Y21" s="39">
        <f t="shared" si="27"/>
        <v>0</v>
      </c>
      <c r="Z21" s="39">
        <f t="shared" si="27"/>
        <v>0</v>
      </c>
      <c r="AA21" s="39">
        <f t="shared" si="27"/>
        <v>0</v>
      </c>
      <c r="AB21" s="39">
        <f t="shared" si="27"/>
        <v>0</v>
      </c>
      <c r="AC21" s="39">
        <f t="shared" si="27"/>
        <v>0</v>
      </c>
    </row>
    <row r="22" spans="1:29">
      <c r="A22" s="7" t="s">
        <v>349</v>
      </c>
      <c r="B22" s="7" t="s">
        <v>350</v>
      </c>
      <c r="C22" s="94">
        <f t="shared" si="25"/>
        <v>0</v>
      </c>
      <c r="D22" s="163">
        <f t="shared" si="25"/>
        <v>0.0454545454545455</v>
      </c>
      <c r="E22" s="12">
        <f t="shared" si="25"/>
        <v>0</v>
      </c>
      <c r="F22" s="12"/>
      <c r="G22" s="12"/>
      <c r="H22" s="39">
        <f t="shared" si="26"/>
        <v>0</v>
      </c>
      <c r="I22" s="39">
        <f t="shared" si="27"/>
        <v>0</v>
      </c>
      <c r="J22" s="39">
        <f t="shared" si="27"/>
        <v>0</v>
      </c>
      <c r="K22" s="39">
        <f t="shared" si="27"/>
        <v>0</v>
      </c>
      <c r="L22" s="39">
        <f t="shared" si="27"/>
        <v>0</v>
      </c>
      <c r="M22" s="39">
        <f t="shared" si="27"/>
        <v>0</v>
      </c>
      <c r="N22" s="39">
        <f t="shared" si="27"/>
        <v>0</v>
      </c>
      <c r="O22" s="39">
        <f t="shared" si="27"/>
        <v>0</v>
      </c>
      <c r="P22" s="39">
        <f t="shared" si="27"/>
        <v>0</v>
      </c>
      <c r="Q22" s="39">
        <f t="shared" si="27"/>
        <v>0</v>
      </c>
      <c r="R22" s="39">
        <f t="shared" si="27"/>
        <v>0</v>
      </c>
      <c r="S22" s="39">
        <f t="shared" si="27"/>
        <v>0</v>
      </c>
      <c r="T22" s="39">
        <f t="shared" si="27"/>
        <v>0</v>
      </c>
      <c r="U22" s="39">
        <f t="shared" si="27"/>
        <v>0</v>
      </c>
      <c r="V22" s="39">
        <f t="shared" si="27"/>
        <v>0</v>
      </c>
      <c r="W22" s="39">
        <f t="shared" si="27"/>
        <v>0</v>
      </c>
      <c r="X22" s="39">
        <f t="shared" si="27"/>
        <v>0</v>
      </c>
      <c r="Y22" s="39">
        <f t="shared" si="27"/>
        <v>0</v>
      </c>
      <c r="Z22" s="39">
        <f t="shared" si="27"/>
        <v>0</v>
      </c>
      <c r="AA22" s="39">
        <f t="shared" si="27"/>
        <v>0</v>
      </c>
      <c r="AB22" s="39">
        <f t="shared" si="27"/>
        <v>0</v>
      </c>
      <c r="AC22" s="39">
        <f t="shared" si="27"/>
        <v>0</v>
      </c>
    </row>
    <row r="23" spans="1:29">
      <c r="A23" s="7" t="s">
        <v>352</v>
      </c>
      <c r="B23" s="36" t="s">
        <v>353</v>
      </c>
      <c r="C23" s="94">
        <f>C8</f>
        <v>3141.50943396226</v>
      </c>
      <c r="D23" s="163">
        <f t="shared" ref="D23:E32" si="28">D8</f>
        <v>0.0454545454545455</v>
      </c>
      <c r="E23" s="12">
        <f t="shared" si="28"/>
        <v>142.795883361921</v>
      </c>
      <c r="F23" s="12"/>
      <c r="G23" s="12"/>
      <c r="H23" s="39">
        <f t="shared" si="26"/>
        <v>2998.71355060034</v>
      </c>
      <c r="I23" s="39">
        <f t="shared" si="27"/>
        <v>2855.91766723842</v>
      </c>
      <c r="J23" s="39">
        <f t="shared" si="27"/>
        <v>2713.1217838765</v>
      </c>
      <c r="K23" s="39">
        <f t="shared" si="27"/>
        <v>2570.32590051458</v>
      </c>
      <c r="L23" s="39">
        <f t="shared" si="27"/>
        <v>2427.53001715266</v>
      </c>
      <c r="M23" s="39">
        <f t="shared" si="27"/>
        <v>2284.73413379073</v>
      </c>
      <c r="N23" s="39">
        <f t="shared" si="27"/>
        <v>2141.93825042881</v>
      </c>
      <c r="O23" s="39">
        <f t="shared" si="27"/>
        <v>1999.14236706689</v>
      </c>
      <c r="P23" s="39">
        <f t="shared" si="27"/>
        <v>1856.34648370497</v>
      </c>
      <c r="Q23" s="39">
        <f t="shared" si="27"/>
        <v>1713.55060034305</v>
      </c>
      <c r="R23" s="39">
        <f t="shared" si="27"/>
        <v>1570.75471698113</v>
      </c>
      <c r="S23" s="39">
        <f t="shared" si="27"/>
        <v>1427.95883361921</v>
      </c>
      <c r="T23" s="39">
        <f t="shared" si="27"/>
        <v>1285.16295025729</v>
      </c>
      <c r="U23" s="39">
        <f t="shared" si="27"/>
        <v>1142.36706689537</v>
      </c>
      <c r="V23" s="39">
        <f t="shared" si="27"/>
        <v>999.571183533444</v>
      </c>
      <c r="W23" s="39">
        <f t="shared" si="27"/>
        <v>856.775300171523</v>
      </c>
      <c r="X23" s="39">
        <f t="shared" si="27"/>
        <v>713.979416809602</v>
      </c>
      <c r="Y23" s="39">
        <f t="shared" si="27"/>
        <v>571.183533447681</v>
      </c>
      <c r="Z23" s="39">
        <f t="shared" si="27"/>
        <v>428.38765008576</v>
      </c>
      <c r="AA23" s="39">
        <f t="shared" si="27"/>
        <v>285.591766723839</v>
      </c>
      <c r="AB23" s="39">
        <f t="shared" si="27"/>
        <v>142.795883361918</v>
      </c>
      <c r="AC23" s="39">
        <f t="shared" si="27"/>
        <v>0</v>
      </c>
    </row>
    <row r="24" spans="1:29">
      <c r="A24" s="7">
        <v>1.2</v>
      </c>
      <c r="B24" s="7" t="s">
        <v>355</v>
      </c>
      <c r="C24" s="94">
        <f t="shared" si="25"/>
        <v>0</v>
      </c>
      <c r="D24" s="163" t="str">
        <f t="shared" si="28"/>
        <v>/</v>
      </c>
      <c r="E24" s="12">
        <f t="shared" si="28"/>
        <v>0</v>
      </c>
      <c r="F24" s="12"/>
      <c r="G24" s="12"/>
      <c r="H24" s="12"/>
      <c r="I24" s="12"/>
      <c r="J24" s="12"/>
      <c r="K24" s="12"/>
      <c r="L24" s="12"/>
      <c r="M24" s="12"/>
      <c r="N24" s="12"/>
      <c r="O24" s="12"/>
      <c r="P24" s="12"/>
      <c r="Q24" s="12"/>
      <c r="R24" s="12"/>
      <c r="S24" s="12"/>
      <c r="T24" s="12"/>
      <c r="U24" s="12"/>
      <c r="V24" s="12"/>
      <c r="W24" s="12"/>
      <c r="X24" s="12"/>
      <c r="Y24" s="12"/>
      <c r="Z24" s="12"/>
      <c r="AA24" s="12"/>
      <c r="AB24" s="12"/>
      <c r="AC24" s="12"/>
    </row>
    <row r="25" spans="1:29">
      <c r="A25" s="7" t="s">
        <v>193</v>
      </c>
      <c r="B25" s="7" t="s">
        <v>357</v>
      </c>
      <c r="C25" s="94">
        <f t="shared" si="25"/>
        <v>0</v>
      </c>
      <c r="D25" s="163">
        <f t="shared" si="28"/>
        <v>0.0454545454545455</v>
      </c>
      <c r="E25" s="12">
        <f t="shared" si="28"/>
        <v>0</v>
      </c>
      <c r="F25" s="12"/>
      <c r="G25" s="12"/>
      <c r="H25" s="39">
        <f>$C25-$E25*(H$3-$G$3)</f>
        <v>0</v>
      </c>
      <c r="I25" s="39">
        <f t="shared" ref="I25:AC25" si="29">$C25-$E25*(I$3-$G$3)</f>
        <v>0</v>
      </c>
      <c r="J25" s="39">
        <f t="shared" si="29"/>
        <v>0</v>
      </c>
      <c r="K25" s="39">
        <f t="shared" si="29"/>
        <v>0</v>
      </c>
      <c r="L25" s="39">
        <f t="shared" si="29"/>
        <v>0</v>
      </c>
      <c r="M25" s="39">
        <f t="shared" si="29"/>
        <v>0</v>
      </c>
      <c r="N25" s="39">
        <f t="shared" si="29"/>
        <v>0</v>
      </c>
      <c r="O25" s="39">
        <f t="shared" si="29"/>
        <v>0</v>
      </c>
      <c r="P25" s="39">
        <f t="shared" si="29"/>
        <v>0</v>
      </c>
      <c r="Q25" s="39">
        <f t="shared" si="29"/>
        <v>0</v>
      </c>
      <c r="R25" s="39">
        <f t="shared" si="29"/>
        <v>0</v>
      </c>
      <c r="S25" s="39">
        <f t="shared" si="29"/>
        <v>0</v>
      </c>
      <c r="T25" s="39">
        <f t="shared" si="29"/>
        <v>0</v>
      </c>
      <c r="U25" s="39">
        <f t="shared" si="29"/>
        <v>0</v>
      </c>
      <c r="V25" s="39">
        <f t="shared" si="29"/>
        <v>0</v>
      </c>
      <c r="W25" s="39">
        <f t="shared" si="29"/>
        <v>0</v>
      </c>
      <c r="X25" s="39">
        <f t="shared" si="29"/>
        <v>0</v>
      </c>
      <c r="Y25" s="39">
        <f t="shared" si="29"/>
        <v>0</v>
      </c>
      <c r="Z25" s="39">
        <f t="shared" si="29"/>
        <v>0</v>
      </c>
      <c r="AA25" s="39">
        <f t="shared" si="29"/>
        <v>0</v>
      </c>
      <c r="AB25" s="39">
        <f t="shared" si="29"/>
        <v>0</v>
      </c>
      <c r="AC25" s="39">
        <f t="shared" si="29"/>
        <v>0</v>
      </c>
    </row>
    <row r="26" spans="1:29">
      <c r="A26" s="11" t="s">
        <v>335</v>
      </c>
      <c r="B26" s="161" t="s">
        <v>358</v>
      </c>
      <c r="C26" s="94">
        <f t="shared" si="25"/>
        <v>1518.8679245283</v>
      </c>
      <c r="D26" s="163">
        <f t="shared" si="28"/>
        <v>0</v>
      </c>
      <c r="E26" s="12">
        <f t="shared" si="28"/>
        <v>75.943396226415</v>
      </c>
      <c r="F26" s="12"/>
      <c r="G26" s="12"/>
      <c r="H26" s="12"/>
      <c r="I26" s="12"/>
      <c r="J26" s="12"/>
      <c r="K26" s="12"/>
      <c r="L26" s="12"/>
      <c r="M26" s="12"/>
      <c r="N26" s="12"/>
      <c r="O26" s="12"/>
      <c r="P26" s="12"/>
      <c r="Q26" s="12"/>
      <c r="R26" s="12"/>
      <c r="S26" s="12"/>
      <c r="T26" s="12"/>
      <c r="U26" s="12"/>
      <c r="V26" s="12"/>
      <c r="W26" s="12"/>
      <c r="X26" s="12"/>
      <c r="Y26" s="12"/>
      <c r="Z26" s="12"/>
      <c r="AA26" s="12"/>
      <c r="AB26" s="12"/>
      <c r="AC26" s="12"/>
    </row>
    <row r="27" spans="1:29">
      <c r="A27" s="7">
        <v>2.1</v>
      </c>
      <c r="B27" s="7" t="s">
        <v>346</v>
      </c>
      <c r="C27" s="94">
        <f t="shared" si="25"/>
        <v>1518.8679245283</v>
      </c>
      <c r="D27" s="163" t="str">
        <f t="shared" si="28"/>
        <v>/</v>
      </c>
      <c r="E27" s="12">
        <f t="shared" si="28"/>
        <v>75.943396226415</v>
      </c>
      <c r="F27" s="12"/>
      <c r="G27" s="12"/>
      <c r="H27" s="12"/>
      <c r="I27" s="39"/>
      <c r="J27" s="39"/>
      <c r="K27" s="39"/>
      <c r="L27" s="39"/>
      <c r="M27" s="39"/>
      <c r="N27" s="39"/>
      <c r="O27" s="39"/>
      <c r="P27" s="39"/>
      <c r="Q27" s="39"/>
      <c r="R27" s="39"/>
      <c r="S27" s="39"/>
      <c r="T27" s="39"/>
      <c r="U27" s="39"/>
      <c r="V27" s="39"/>
      <c r="W27" s="39"/>
      <c r="X27" s="39"/>
      <c r="Y27" s="39"/>
      <c r="Z27" s="39"/>
      <c r="AA27" s="39"/>
      <c r="AB27" s="39"/>
      <c r="AC27" s="39"/>
    </row>
    <row r="28" spans="1:29">
      <c r="A28" s="7" t="s">
        <v>150</v>
      </c>
      <c r="B28" s="7" t="s">
        <v>348</v>
      </c>
      <c r="C28" s="94">
        <f t="shared" si="25"/>
        <v>0</v>
      </c>
      <c r="D28" s="163">
        <f t="shared" si="28"/>
        <v>0.05</v>
      </c>
      <c r="E28" s="12">
        <f t="shared" si="28"/>
        <v>0</v>
      </c>
      <c r="F28" s="12"/>
      <c r="G28" s="12"/>
      <c r="H28" s="12">
        <v>0</v>
      </c>
      <c r="I28" s="39">
        <v>0</v>
      </c>
      <c r="J28" s="39">
        <f t="shared" ref="J28:J30" si="30">$C28-$E28*(J$3-$I$3)</f>
        <v>0</v>
      </c>
      <c r="K28" s="39">
        <f t="shared" ref="K28:AC30" si="31">$C28-$E28*(K$3-$I$3)</f>
        <v>0</v>
      </c>
      <c r="L28" s="39">
        <f t="shared" si="31"/>
        <v>0</v>
      </c>
      <c r="M28" s="39">
        <f t="shared" si="31"/>
        <v>0</v>
      </c>
      <c r="N28" s="39">
        <f t="shared" si="31"/>
        <v>0</v>
      </c>
      <c r="O28" s="39">
        <f t="shared" si="31"/>
        <v>0</v>
      </c>
      <c r="P28" s="39">
        <f t="shared" si="31"/>
        <v>0</v>
      </c>
      <c r="Q28" s="39">
        <f t="shared" si="31"/>
        <v>0</v>
      </c>
      <c r="R28" s="39">
        <f t="shared" si="31"/>
        <v>0</v>
      </c>
      <c r="S28" s="39">
        <f t="shared" si="31"/>
        <v>0</v>
      </c>
      <c r="T28" s="39">
        <f t="shared" si="31"/>
        <v>0</v>
      </c>
      <c r="U28" s="39">
        <f t="shared" si="31"/>
        <v>0</v>
      </c>
      <c r="V28" s="39">
        <f t="shared" si="31"/>
        <v>0</v>
      </c>
      <c r="W28" s="39">
        <f t="shared" si="31"/>
        <v>0</v>
      </c>
      <c r="X28" s="39">
        <f t="shared" si="31"/>
        <v>0</v>
      </c>
      <c r="Y28" s="39">
        <f t="shared" si="31"/>
        <v>0</v>
      </c>
      <c r="Z28" s="39">
        <f t="shared" si="31"/>
        <v>0</v>
      </c>
      <c r="AA28" s="39">
        <f t="shared" si="31"/>
        <v>0</v>
      </c>
      <c r="AB28" s="39">
        <f t="shared" si="31"/>
        <v>0</v>
      </c>
      <c r="AC28" s="39">
        <f t="shared" si="31"/>
        <v>0</v>
      </c>
    </row>
    <row r="29" spans="1:29">
      <c r="A29" s="7" t="s">
        <v>152</v>
      </c>
      <c r="B29" s="7" t="s">
        <v>350</v>
      </c>
      <c r="C29" s="94">
        <f t="shared" si="25"/>
        <v>0</v>
      </c>
      <c r="D29" s="163">
        <f t="shared" si="28"/>
        <v>0.05</v>
      </c>
      <c r="E29" s="12">
        <f t="shared" si="28"/>
        <v>0</v>
      </c>
      <c r="F29" s="12"/>
      <c r="G29" s="12"/>
      <c r="H29" s="12">
        <v>0</v>
      </c>
      <c r="I29" s="39">
        <v>0</v>
      </c>
      <c r="J29" s="39">
        <f t="shared" si="30"/>
        <v>0</v>
      </c>
      <c r="K29" s="39">
        <f t="shared" si="31"/>
        <v>0</v>
      </c>
      <c r="L29" s="39">
        <f t="shared" si="31"/>
        <v>0</v>
      </c>
      <c r="M29" s="39">
        <f t="shared" si="31"/>
        <v>0</v>
      </c>
      <c r="N29" s="39">
        <f t="shared" si="31"/>
        <v>0</v>
      </c>
      <c r="O29" s="39">
        <f t="shared" si="31"/>
        <v>0</v>
      </c>
      <c r="P29" s="39">
        <f t="shared" si="31"/>
        <v>0</v>
      </c>
      <c r="Q29" s="39">
        <f t="shared" si="31"/>
        <v>0</v>
      </c>
      <c r="R29" s="39">
        <f t="shared" si="31"/>
        <v>0</v>
      </c>
      <c r="S29" s="39">
        <f t="shared" si="31"/>
        <v>0</v>
      </c>
      <c r="T29" s="39">
        <f t="shared" si="31"/>
        <v>0</v>
      </c>
      <c r="U29" s="39">
        <f t="shared" si="31"/>
        <v>0</v>
      </c>
      <c r="V29" s="39">
        <f t="shared" si="31"/>
        <v>0</v>
      </c>
      <c r="W29" s="39">
        <f t="shared" si="31"/>
        <v>0</v>
      </c>
      <c r="X29" s="39">
        <f t="shared" si="31"/>
        <v>0</v>
      </c>
      <c r="Y29" s="39">
        <f t="shared" si="31"/>
        <v>0</v>
      </c>
      <c r="Z29" s="39">
        <f t="shared" si="31"/>
        <v>0</v>
      </c>
      <c r="AA29" s="39">
        <f t="shared" si="31"/>
        <v>0</v>
      </c>
      <c r="AB29" s="39">
        <f t="shared" si="31"/>
        <v>0</v>
      </c>
      <c r="AC29" s="39">
        <f t="shared" si="31"/>
        <v>0</v>
      </c>
    </row>
    <row r="30" spans="1:29">
      <c r="A30" s="7" t="s">
        <v>154</v>
      </c>
      <c r="B30" s="36" t="s">
        <v>353</v>
      </c>
      <c r="C30" s="94">
        <f t="shared" si="25"/>
        <v>1518.8679245283</v>
      </c>
      <c r="D30" s="163">
        <f t="shared" si="28"/>
        <v>0.05</v>
      </c>
      <c r="E30" s="12">
        <f t="shared" si="28"/>
        <v>75.943396226415</v>
      </c>
      <c r="F30" s="12"/>
      <c r="G30" s="12"/>
      <c r="H30" s="39"/>
      <c r="I30" s="39"/>
      <c r="J30" s="39">
        <f t="shared" si="30"/>
        <v>1442.92452830188</v>
      </c>
      <c r="K30" s="39">
        <f t="shared" si="31"/>
        <v>1366.98113207547</v>
      </c>
      <c r="L30" s="39">
        <f t="shared" si="31"/>
        <v>1291.03773584906</v>
      </c>
      <c r="M30" s="39">
        <f t="shared" si="31"/>
        <v>1215.09433962264</v>
      </c>
      <c r="N30" s="39">
        <f t="shared" si="31"/>
        <v>1139.15094339622</v>
      </c>
      <c r="O30" s="39">
        <f t="shared" si="31"/>
        <v>1063.20754716981</v>
      </c>
      <c r="P30" s="39">
        <f t="shared" si="31"/>
        <v>987.264150943395</v>
      </c>
      <c r="Q30" s="39">
        <f t="shared" si="31"/>
        <v>911.32075471698</v>
      </c>
      <c r="R30" s="39">
        <f t="shared" si="31"/>
        <v>835.377358490565</v>
      </c>
      <c r="S30" s="39">
        <f t="shared" si="31"/>
        <v>759.43396226415</v>
      </c>
      <c r="T30" s="39">
        <f t="shared" si="31"/>
        <v>683.490566037735</v>
      </c>
      <c r="U30" s="39">
        <f t="shared" si="31"/>
        <v>607.54716981132</v>
      </c>
      <c r="V30" s="39">
        <f t="shared" si="31"/>
        <v>531.603773584905</v>
      </c>
      <c r="W30" s="39">
        <f t="shared" si="31"/>
        <v>455.66037735849</v>
      </c>
      <c r="X30" s="39">
        <f t="shared" si="31"/>
        <v>379.716981132075</v>
      </c>
      <c r="Y30" s="39">
        <f t="shared" si="31"/>
        <v>303.77358490566</v>
      </c>
      <c r="Z30" s="39">
        <f t="shared" si="31"/>
        <v>227.830188679245</v>
      </c>
      <c r="AA30" s="39">
        <f t="shared" si="31"/>
        <v>151.88679245283</v>
      </c>
      <c r="AB30" s="39">
        <f t="shared" si="31"/>
        <v>75.9433962264147</v>
      </c>
      <c r="AC30" s="39">
        <f t="shared" si="31"/>
        <v>0</v>
      </c>
    </row>
    <row r="31" spans="1:29">
      <c r="A31" s="7">
        <v>2.2</v>
      </c>
      <c r="B31" s="7" t="s">
        <v>355</v>
      </c>
      <c r="C31" s="94">
        <f t="shared" si="25"/>
        <v>0</v>
      </c>
      <c r="D31" s="163">
        <f t="shared" si="28"/>
        <v>0</v>
      </c>
      <c r="E31" s="12">
        <f t="shared" si="28"/>
        <v>0</v>
      </c>
      <c r="F31" s="12"/>
      <c r="G31" s="12"/>
      <c r="H31" s="12">
        <f>H32</f>
        <v>0</v>
      </c>
      <c r="I31" s="12"/>
      <c r="J31" s="12"/>
      <c r="K31" s="12"/>
      <c r="L31" s="12"/>
      <c r="M31" s="12"/>
      <c r="N31" s="12"/>
      <c r="O31" s="12"/>
      <c r="P31" s="12"/>
      <c r="Q31" s="12"/>
      <c r="R31" s="12"/>
      <c r="S31" s="12"/>
      <c r="T31" s="12"/>
      <c r="U31" s="12"/>
      <c r="V31" s="12"/>
      <c r="W31" s="12"/>
      <c r="X31" s="12"/>
      <c r="Y31" s="12"/>
      <c r="Z31" s="12"/>
      <c r="AA31" s="12"/>
      <c r="AB31" s="12"/>
      <c r="AC31" s="12"/>
    </row>
    <row r="32" spans="1:29">
      <c r="A32" s="7" t="s">
        <v>158</v>
      </c>
      <c r="B32" s="7" t="s">
        <v>357</v>
      </c>
      <c r="C32" s="94">
        <f t="shared" si="25"/>
        <v>0</v>
      </c>
      <c r="D32" s="163">
        <f t="shared" si="28"/>
        <v>0.05</v>
      </c>
      <c r="E32" s="12">
        <f t="shared" si="28"/>
        <v>0</v>
      </c>
      <c r="F32" s="12"/>
      <c r="G32" s="12"/>
      <c r="H32" s="39">
        <f>$C32-$E32*(H$3-$G$3)</f>
        <v>0</v>
      </c>
      <c r="I32" s="39">
        <f t="shared" ref="I32:AC32" si="32">$C32-$E32*(I$3-$G$3)</f>
        <v>0</v>
      </c>
      <c r="J32" s="39">
        <f t="shared" si="32"/>
        <v>0</v>
      </c>
      <c r="K32" s="39">
        <f t="shared" si="32"/>
        <v>0</v>
      </c>
      <c r="L32" s="39">
        <f t="shared" si="32"/>
        <v>0</v>
      </c>
      <c r="M32" s="39">
        <f t="shared" si="32"/>
        <v>0</v>
      </c>
      <c r="N32" s="39">
        <f t="shared" si="32"/>
        <v>0</v>
      </c>
      <c r="O32" s="39">
        <f t="shared" si="32"/>
        <v>0</v>
      </c>
      <c r="P32" s="39">
        <f t="shared" si="32"/>
        <v>0</v>
      </c>
      <c r="Q32" s="39">
        <f t="shared" si="32"/>
        <v>0</v>
      </c>
      <c r="R32" s="39">
        <f t="shared" si="32"/>
        <v>0</v>
      </c>
      <c r="S32" s="39">
        <f t="shared" si="32"/>
        <v>0</v>
      </c>
      <c r="T32" s="39">
        <f t="shared" si="32"/>
        <v>0</v>
      </c>
      <c r="U32" s="39">
        <f t="shared" si="32"/>
        <v>0</v>
      </c>
      <c r="V32" s="39">
        <f t="shared" si="32"/>
        <v>0</v>
      </c>
      <c r="W32" s="39">
        <f t="shared" si="32"/>
        <v>0</v>
      </c>
      <c r="X32" s="39">
        <f t="shared" si="32"/>
        <v>0</v>
      </c>
      <c r="Y32" s="39">
        <f t="shared" si="32"/>
        <v>0</v>
      </c>
      <c r="Z32" s="39">
        <f t="shared" si="32"/>
        <v>0</v>
      </c>
      <c r="AA32" s="39">
        <f t="shared" si="32"/>
        <v>0</v>
      </c>
      <c r="AB32" s="39">
        <f t="shared" si="32"/>
        <v>0</v>
      </c>
      <c r="AC32" s="39">
        <f t="shared" si="32"/>
        <v>0</v>
      </c>
    </row>
    <row r="33" spans="1:30">
      <c r="A33" s="7" t="s">
        <v>337</v>
      </c>
      <c r="B33" s="7"/>
      <c r="C33" s="12"/>
      <c r="D33" s="40"/>
      <c r="E33" s="12"/>
      <c r="F33" s="12"/>
      <c r="G33" s="12"/>
      <c r="H33" s="12">
        <f>SUM(SUM(H21:H23)+H25+SUM(H28:H30)+H32)</f>
        <v>2998.71355060034</v>
      </c>
      <c r="I33" s="12">
        <f t="shared" ref="I33:AC33" si="33">SUM(SUM(I21:I23)+I25+SUM(I28:I30)+I32)</f>
        <v>2855.91766723842</v>
      </c>
      <c r="J33" s="12">
        <f t="shared" si="33"/>
        <v>4156.04631217838</v>
      </c>
      <c r="K33" s="12">
        <f t="shared" si="33"/>
        <v>3937.30703259005</v>
      </c>
      <c r="L33" s="12">
        <f t="shared" si="33"/>
        <v>3718.56775300171</v>
      </c>
      <c r="M33" s="12">
        <f t="shared" si="33"/>
        <v>3499.82847341337</v>
      </c>
      <c r="N33" s="12">
        <f t="shared" si="33"/>
        <v>3281.08919382504</v>
      </c>
      <c r="O33" s="12">
        <f t="shared" si="33"/>
        <v>3062.3499142367</v>
      </c>
      <c r="P33" s="12">
        <f t="shared" si="33"/>
        <v>2843.61063464837</v>
      </c>
      <c r="Q33" s="12">
        <f t="shared" si="33"/>
        <v>2624.87135506003</v>
      </c>
      <c r="R33" s="12">
        <f t="shared" si="33"/>
        <v>2406.13207547169</v>
      </c>
      <c r="S33" s="12">
        <f t="shared" si="33"/>
        <v>2187.39279588336</v>
      </c>
      <c r="T33" s="12">
        <f t="shared" si="33"/>
        <v>1968.65351629502</v>
      </c>
      <c r="U33" s="12">
        <f t="shared" si="33"/>
        <v>1749.91423670669</v>
      </c>
      <c r="V33" s="12">
        <f t="shared" si="33"/>
        <v>1531.17495711835</v>
      </c>
      <c r="W33" s="12">
        <f t="shared" si="33"/>
        <v>1312.43567753001</v>
      </c>
      <c r="X33" s="12">
        <f t="shared" si="33"/>
        <v>1093.69639794168</v>
      </c>
      <c r="Y33" s="12">
        <f t="shared" si="33"/>
        <v>874.957118353341</v>
      </c>
      <c r="Z33" s="12">
        <f t="shared" si="33"/>
        <v>656.217838765005</v>
      </c>
      <c r="AA33" s="12">
        <f t="shared" si="33"/>
        <v>437.478559176669</v>
      </c>
      <c r="AB33" s="12">
        <f t="shared" si="33"/>
        <v>218.739279588332</v>
      </c>
      <c r="AC33" s="12">
        <f t="shared" si="33"/>
        <v>0</v>
      </c>
      <c r="AD33" s="88" t="s">
        <v>359</v>
      </c>
    </row>
  </sheetData>
  <mergeCells count="4">
    <mergeCell ref="A1:Y1"/>
    <mergeCell ref="F2:Y2"/>
    <mergeCell ref="A18:B18"/>
    <mergeCell ref="A33:B33"/>
  </mergeCells>
  <pageMargins left="0.75" right="0.75" top="1" bottom="1" header="0.5" footer="0.5"/>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tabColor rgb="FF0070C0"/>
  </sheetPr>
  <dimension ref="A1:M20"/>
  <sheetViews>
    <sheetView workbookViewId="0">
      <selection activeCell="L20" sqref="L20"/>
    </sheetView>
  </sheetViews>
  <sheetFormatPr defaultColWidth="8.89090909090909" defaultRowHeight="28.05" customHeight="1"/>
  <cols>
    <col min="2" max="2" width="18.3363636363636" customWidth="1"/>
    <col min="3" max="3" width="14.1090909090909" customWidth="1"/>
    <col min="4" max="4" width="9.55454545454545"/>
    <col min="5" max="5" width="15.5545454545455" customWidth="1"/>
    <col min="6" max="6" width="11.8909090909091" customWidth="1"/>
    <col min="8" max="8" width="9.89090909090909"/>
    <col min="9" max="9" width="10.3363636363636" customWidth="1"/>
    <col min="10" max="10" width="11.7818181818182" customWidth="1"/>
    <col min="11" max="12" width="10.4454545454545" customWidth="1"/>
  </cols>
  <sheetData>
    <row r="1" s="54" customFormat="1" customHeight="1" spans="1:13">
      <c r="A1" s="149" t="s">
        <v>361</v>
      </c>
      <c r="B1" s="44"/>
      <c r="C1" s="44"/>
      <c r="D1" s="44"/>
      <c r="E1" s="44"/>
      <c r="F1" s="44"/>
      <c r="G1" s="44"/>
      <c r="H1" s="150"/>
      <c r="I1" s="44"/>
      <c r="J1" s="44"/>
      <c r="K1" s="44"/>
      <c r="L1" s="44"/>
      <c r="M1" s="88" t="s">
        <v>362</v>
      </c>
    </row>
    <row r="2" s="54" customFormat="1" ht="52.05" customHeight="1" spans="1:12">
      <c r="A2" s="17" t="s">
        <v>1</v>
      </c>
      <c r="B2" s="17" t="s">
        <v>168</v>
      </c>
      <c r="C2" s="17" t="s">
        <v>363</v>
      </c>
      <c r="D2" s="26">
        <v>2025</v>
      </c>
      <c r="E2" s="26">
        <v>2026</v>
      </c>
      <c r="F2" s="26">
        <v>2027</v>
      </c>
      <c r="G2" s="26">
        <v>2028</v>
      </c>
      <c r="H2" s="17" t="s">
        <v>364</v>
      </c>
      <c r="I2" s="154" t="s">
        <v>365</v>
      </c>
      <c r="J2" s="154" t="s">
        <v>366</v>
      </c>
      <c r="K2" s="154" t="s">
        <v>367</v>
      </c>
      <c r="L2" s="154" t="s">
        <v>368</v>
      </c>
    </row>
    <row r="3" s="54" customFormat="1" customHeight="1" spans="1:12">
      <c r="A3" s="7" t="s">
        <v>89</v>
      </c>
      <c r="B3" s="7" t="s">
        <v>170</v>
      </c>
      <c r="C3" s="12">
        <f>C4+C8</f>
        <v>24474.93</v>
      </c>
      <c r="D3" s="12">
        <f>D4+D8</f>
        <v>1767.4395</v>
      </c>
      <c r="E3" s="12">
        <f t="shared" ref="E3:G3" si="0">E4+E8</f>
        <v>10015.4905</v>
      </c>
      <c r="F3" s="12">
        <f t="shared" si="0"/>
        <v>12212</v>
      </c>
      <c r="G3" s="12">
        <f t="shared" si="0"/>
        <v>480</v>
      </c>
      <c r="H3" s="7" t="str">
        <f>'G.1进项增值税率-建设投资'!E3</f>
        <v>/</v>
      </c>
      <c r="I3" s="8">
        <f>I4+I8</f>
        <v>1601.75337376934</v>
      </c>
      <c r="J3" s="8">
        <f t="shared" ref="J3:L3" si="1">J4+J8</f>
        <v>9076.6024513596</v>
      </c>
      <c r="K3" s="8">
        <f t="shared" si="1"/>
        <v>11154.3473432179</v>
      </c>
      <c r="L3" s="8">
        <f t="shared" si="1"/>
        <v>432.572866769506</v>
      </c>
    </row>
    <row r="4" s="54" customFormat="1" customHeight="1" spans="1:12">
      <c r="A4" s="151">
        <v>1</v>
      </c>
      <c r="B4" s="151" t="s">
        <v>171</v>
      </c>
      <c r="C4" s="152">
        <f>SUM(C5:C7)</f>
        <v>19534.93</v>
      </c>
      <c r="D4" s="152">
        <f>SUM(D5:D7)</f>
        <v>1267.9395</v>
      </c>
      <c r="E4" s="152">
        <f t="shared" ref="E4:G4" si="2">SUM(E5:E7)</f>
        <v>7184.9905</v>
      </c>
      <c r="F4" s="152">
        <f t="shared" si="2"/>
        <v>10602</v>
      </c>
      <c r="G4" s="152">
        <f t="shared" si="2"/>
        <v>480</v>
      </c>
      <c r="H4" s="151" t="str">
        <f>'G.1进项增值税率-建设投资'!E4</f>
        <v>/</v>
      </c>
      <c r="I4" s="155">
        <f>SUM(I5:I7)</f>
        <v>1130.526958675</v>
      </c>
      <c r="J4" s="155">
        <f t="shared" ref="J4:L4" si="3">SUM(J5:J7)</f>
        <v>6406.31943249168</v>
      </c>
      <c r="K4" s="155">
        <f t="shared" si="3"/>
        <v>9635.47941868962</v>
      </c>
      <c r="L4" s="155">
        <f t="shared" si="3"/>
        <v>432.572866769506</v>
      </c>
    </row>
    <row r="5" s="54" customFormat="1" customHeight="1" spans="1:13">
      <c r="A5" s="7">
        <v>1.1</v>
      </c>
      <c r="B5" s="11" t="s">
        <v>172</v>
      </c>
      <c r="C5" s="12">
        <f>'G.1进项增值税率-建设投资'!D5</f>
        <v>9772</v>
      </c>
      <c r="D5" s="35">
        <f>D.3建设投资分年计划表!E5</f>
        <v>260.4</v>
      </c>
      <c r="E5" s="35">
        <f>D.3建设投资分年计划表!F5</f>
        <v>1475.6</v>
      </c>
      <c r="F5" s="35">
        <f>D.3建设投资分年计划表!G5</f>
        <v>7796</v>
      </c>
      <c r="G5" s="35">
        <f>D.3建设投资分年计划表!H5</f>
        <v>240</v>
      </c>
      <c r="H5" s="153">
        <f>'G.1进项增值税率-建设投资'!$E$5</f>
        <v>0.09</v>
      </c>
      <c r="I5" s="35">
        <f>D5/(1+'G.1进项增值税率-建设投资'!$E5)</f>
        <v>238.899082568807</v>
      </c>
      <c r="J5" s="35">
        <f>E5/(1+'G.1进项增值税率-建设投资'!$E5)</f>
        <v>1353.76146788991</v>
      </c>
      <c r="K5" s="35">
        <f>F5/(1+'G.1进项增值税率-建设投资'!$E5)</f>
        <v>7152.29357798165</v>
      </c>
      <c r="L5" s="35">
        <f>G5/(1+'G.1进项增值税率-建设投资'!$E5)</f>
        <v>220.183486238532</v>
      </c>
      <c r="M5" s="88" t="s">
        <v>369</v>
      </c>
    </row>
    <row r="6" s="54" customFormat="1" customHeight="1" spans="1:12">
      <c r="A6" s="7">
        <v>1.2</v>
      </c>
      <c r="B6" s="11" t="s">
        <v>174</v>
      </c>
      <c r="C6" s="12">
        <f>'G.1进项增值税率-建设投资'!D6</f>
        <v>9762.93</v>
      </c>
      <c r="D6" s="35">
        <f>D.3建设投资分年计划表!E6</f>
        <v>1007.5395</v>
      </c>
      <c r="E6" s="35">
        <f>D.3建设投资分年计划表!F6</f>
        <v>5709.3905</v>
      </c>
      <c r="F6" s="35">
        <f>D.3建设投资分年计划表!G6</f>
        <v>2806</v>
      </c>
      <c r="G6" s="35">
        <f>D.3建设投资分年计划表!H6</f>
        <v>240</v>
      </c>
      <c r="H6" s="153">
        <f>'G.1进项增值税率-建设投资'!$E$6</f>
        <v>0.13</v>
      </c>
      <c r="I6" s="35">
        <f>D6/(1+'G.1进项增值税率-建设投资'!$E6)</f>
        <v>891.627876106195</v>
      </c>
      <c r="J6" s="35">
        <f>E6/(1+'G.1进项增值税率-建设投资'!$E6)</f>
        <v>5052.55796460177</v>
      </c>
      <c r="K6" s="35">
        <f>F6/(1+'G.1进项增值税率-建设投资'!$E6)</f>
        <v>2483.18584070796</v>
      </c>
      <c r="L6" s="35">
        <f>G6/(1+'G.1进项增值税率-建设投资'!$E6)</f>
        <v>212.389380530973</v>
      </c>
    </row>
    <row r="7" s="54" customFormat="1" customHeight="1" spans="1:12">
      <c r="A7" s="7">
        <v>1.3</v>
      </c>
      <c r="B7" s="11" t="s">
        <v>175</v>
      </c>
      <c r="C7" s="12">
        <f>'G.1进项增值税率-建设投资'!D7</f>
        <v>0</v>
      </c>
      <c r="D7" s="35">
        <f>D.3建设投资分年计划表!E7</f>
        <v>0</v>
      </c>
      <c r="E7" s="35">
        <f>D.3建设投资分年计划表!F7</f>
        <v>0</v>
      </c>
      <c r="F7" s="35">
        <f>D.3建设投资分年计划表!G7</f>
        <v>0</v>
      </c>
      <c r="G7" s="35">
        <f>D.3建设投资分年计划表!H7</f>
        <v>0</v>
      </c>
      <c r="H7" s="153">
        <f>'G.1进项增值税率-建设投资'!$E$7</f>
        <v>0.09</v>
      </c>
      <c r="I7" s="35">
        <f>D7/(1+'G.1进项增值税率-建设投资'!$E7)</f>
        <v>0</v>
      </c>
      <c r="J7" s="35">
        <f>E7/(1+'G.1进项增值税率-建设投资'!$E7)</f>
        <v>0</v>
      </c>
      <c r="K7" s="35">
        <f>F7/(1+'G.1进项增值税率-建设投资'!$E7)</f>
        <v>0</v>
      </c>
      <c r="L7" s="35">
        <f>G7/(1+'G.1进项增值税率-建设投资'!$E7)</f>
        <v>0</v>
      </c>
    </row>
    <row r="8" s="54" customFormat="1" customHeight="1" spans="1:12">
      <c r="A8" s="151">
        <v>2</v>
      </c>
      <c r="B8" s="151" t="s">
        <v>177</v>
      </c>
      <c r="C8" s="152">
        <f>SUM(C9:C12)</f>
        <v>4940</v>
      </c>
      <c r="D8" s="152">
        <f>SUM(D9:D12)</f>
        <v>499.5</v>
      </c>
      <c r="E8" s="152">
        <f t="shared" ref="E8:G8" si="4">SUM(E9:E12)</f>
        <v>2830.5</v>
      </c>
      <c r="F8" s="152">
        <f t="shared" si="4"/>
        <v>1610</v>
      </c>
      <c r="G8" s="152">
        <f t="shared" si="4"/>
        <v>0</v>
      </c>
      <c r="H8" s="151" t="str">
        <f>'G.1进项增值税率-建设投资'!E8</f>
        <v>/</v>
      </c>
      <c r="I8" s="155">
        <f>SUM(I9:I12)</f>
        <v>471.22641509434</v>
      </c>
      <c r="J8" s="155">
        <f t="shared" ref="J8:L8" si="5">SUM(J9:J12)</f>
        <v>2670.28301886792</v>
      </c>
      <c r="K8" s="155">
        <f t="shared" si="5"/>
        <v>1518.8679245283</v>
      </c>
      <c r="L8" s="155">
        <f t="shared" si="5"/>
        <v>0</v>
      </c>
    </row>
    <row r="9" s="54" customFormat="1" customHeight="1" spans="1:12">
      <c r="A9" s="7">
        <v>2.1</v>
      </c>
      <c r="B9" s="11" t="s">
        <v>178</v>
      </c>
      <c r="C9" s="12">
        <f>'G.1进项增值税率-建设投资'!D9</f>
        <v>0</v>
      </c>
      <c r="D9" s="35">
        <f>D.3建设投资分年计划表!E9</f>
        <v>0</v>
      </c>
      <c r="E9" s="35">
        <f>D.3建设投资分年计划表!F9</f>
        <v>0</v>
      </c>
      <c r="F9" s="35">
        <f>D.3建设投资分年计划表!G9</f>
        <v>0</v>
      </c>
      <c r="G9" s="35">
        <f>D.3建设投资分年计划表!H9</f>
        <v>0</v>
      </c>
      <c r="H9" s="153">
        <f>'G.1进项增值税率-建设投资'!$E$9</f>
        <v>0.13</v>
      </c>
      <c r="I9" s="35">
        <f>D9/(1+'G.1进项增值税率-建设投资'!$E9)</f>
        <v>0</v>
      </c>
      <c r="J9" s="35">
        <f>E9/(1+'G.1进项增值税率-建设投资'!$E9)</f>
        <v>0</v>
      </c>
      <c r="K9" s="35">
        <f>F9/(1+'G.1进项增值税率-建设投资'!$E9)</f>
        <v>0</v>
      </c>
      <c r="L9" s="35">
        <f>G9/(1+'G.1进项增值税率-建设投资'!$E9)</f>
        <v>0</v>
      </c>
    </row>
    <row r="10" s="54" customFormat="1" customHeight="1" spans="1:12">
      <c r="A10" s="7">
        <v>2.2</v>
      </c>
      <c r="B10" s="11" t="s">
        <v>180</v>
      </c>
      <c r="C10" s="12">
        <f>'G.1进项增值税率-建设投资'!D10</f>
        <v>4940</v>
      </c>
      <c r="D10" s="35">
        <f>D.3建设投资分年计划表!E10</f>
        <v>499.5</v>
      </c>
      <c r="E10" s="35">
        <f>D.3建设投资分年计划表!F10</f>
        <v>2830.5</v>
      </c>
      <c r="F10" s="35">
        <f>D.3建设投资分年计划表!G10</f>
        <v>1610</v>
      </c>
      <c r="G10" s="35">
        <f>D.3建设投资分年计划表!H10</f>
        <v>0</v>
      </c>
      <c r="H10" s="153">
        <f>'G.1进项增值税率-建设投资'!$E$10</f>
        <v>0.06</v>
      </c>
      <c r="I10" s="35">
        <f>D10/(1+'G.1进项增值税率-建设投资'!$E10)</f>
        <v>471.22641509434</v>
      </c>
      <c r="J10" s="35">
        <f>E10/(1+'G.1进项增值税率-建设投资'!$E10)</f>
        <v>2670.28301886792</v>
      </c>
      <c r="K10" s="35">
        <f>F10/(1+'G.1进项增值税率-建设投资'!$E10)</f>
        <v>1518.8679245283</v>
      </c>
      <c r="L10" s="35">
        <f>G10/(1+'G.1进项增值税率-建设投资'!$E10)</f>
        <v>0</v>
      </c>
    </row>
    <row r="11" s="54" customFormat="1" customHeight="1" spans="1:12">
      <c r="A11" s="7">
        <v>2.3</v>
      </c>
      <c r="B11" s="11" t="s">
        <v>181</v>
      </c>
      <c r="C11" s="12">
        <f>'G.1进项增值税率-建设投资'!D11</f>
        <v>0</v>
      </c>
      <c r="D11" s="35">
        <f>D.3建设投资分年计划表!E11</f>
        <v>0</v>
      </c>
      <c r="E11" s="35">
        <f>D.3建设投资分年计划表!F11</f>
        <v>0</v>
      </c>
      <c r="F11" s="35">
        <f>D.3建设投资分年计划表!G11</f>
        <v>0</v>
      </c>
      <c r="G11" s="35">
        <f>D.3建设投资分年计划表!H11</f>
        <v>0</v>
      </c>
      <c r="H11" s="153">
        <f>'G.1进项增值税率-建设投资'!$E$11</f>
        <v>0.13</v>
      </c>
      <c r="I11" s="35">
        <f>D11/(1+'G.1进项增值税率-建设投资'!$E11)</f>
        <v>0</v>
      </c>
      <c r="J11" s="35">
        <f>E11/(1+'G.1进项增值税率-建设投资'!$E11)</f>
        <v>0</v>
      </c>
      <c r="K11" s="35">
        <f>F11/(1+'G.1进项增值税率-建设投资'!$E11)</f>
        <v>0</v>
      </c>
      <c r="L11" s="35">
        <f>G11/(1+'G.1进项增值税率-建设投资'!$E11)</f>
        <v>0</v>
      </c>
    </row>
    <row r="12" s="54" customFormat="1" customHeight="1" spans="1:12">
      <c r="A12" s="7">
        <v>2.4</v>
      </c>
      <c r="B12" s="11" t="s">
        <v>182</v>
      </c>
      <c r="C12" s="12">
        <f>'G.1进项增值税率-建设投资'!D12</f>
        <v>0</v>
      </c>
      <c r="D12" s="35">
        <f>D.3建设投资分年计划表!E12</f>
        <v>0</v>
      </c>
      <c r="E12" s="35">
        <f>D.3建设投资分年计划表!F12</f>
        <v>0</v>
      </c>
      <c r="F12" s="35">
        <f>D.3建设投资分年计划表!G12</f>
        <v>0</v>
      </c>
      <c r="G12" s="35">
        <f>D.3建设投资分年计划表!H12</f>
        <v>0</v>
      </c>
      <c r="H12" s="153">
        <f>'G.1进项增值税率-建设投资'!$E$12</f>
        <v>0.06</v>
      </c>
      <c r="I12" s="35">
        <f>D12/(1+'G.1进项增值税率-建设投资'!$E12)</f>
        <v>0</v>
      </c>
      <c r="J12" s="35">
        <f>E12/(1+'G.1进项增值税率-建设投资'!$E12)</f>
        <v>0</v>
      </c>
      <c r="K12" s="35">
        <f>F12/(1+'G.1进项增值税率-建设投资'!$E12)</f>
        <v>0</v>
      </c>
      <c r="L12" s="35">
        <f>G12/(1+'G.1进项增值税率-建设投资'!$E12)</f>
        <v>0</v>
      </c>
    </row>
    <row r="13" s="54" customFormat="1" customHeight="1" spans="1:12">
      <c r="A13" s="151" t="s">
        <v>112</v>
      </c>
      <c r="B13" s="151" t="s">
        <v>113</v>
      </c>
      <c r="C13" s="152">
        <f>SUM(C14:C14)</f>
        <v>2408.1821113962</v>
      </c>
      <c r="D13" s="152">
        <f>SUM(D14:D14)</f>
        <v>173.905142399796</v>
      </c>
      <c r="E13" s="152">
        <f>SUM(E14:E14)</f>
        <v>985.462473598845</v>
      </c>
      <c r="F13" s="152">
        <f>SUM(F14:F14)</f>
        <v>1201.58545680704</v>
      </c>
      <c r="G13" s="152">
        <f>SUM(G14:G14)</f>
        <v>47.2290385905159</v>
      </c>
      <c r="H13" s="151" t="str">
        <f>'G.1进项增值税率-建设投资'!E13</f>
        <v>/</v>
      </c>
      <c r="I13" s="155">
        <f>SUM(I14:I14)</f>
        <v>164.061455094147</v>
      </c>
      <c r="J13" s="155">
        <f>SUM(J14:J14)</f>
        <v>929.681578866835</v>
      </c>
      <c r="K13" s="155">
        <f>SUM(K14:K14)</f>
        <v>1133.57118566702</v>
      </c>
      <c r="L13" s="155">
        <f>SUM(L14:L14)</f>
        <v>44.5556967835056</v>
      </c>
    </row>
    <row r="14" s="54" customFormat="1" customHeight="1" spans="1:12">
      <c r="A14" s="7">
        <v>1</v>
      </c>
      <c r="B14" s="7" t="s">
        <v>183</v>
      </c>
      <c r="C14" s="12">
        <f>'G.1进项增值税率-建设投资'!D14</f>
        <v>2408.1821113962</v>
      </c>
      <c r="D14" s="35">
        <f>D.3建设投资分年计划表!E14</f>
        <v>173.905142399796</v>
      </c>
      <c r="E14" s="35">
        <f>D.3建设投资分年计划表!F14</f>
        <v>985.462473598845</v>
      </c>
      <c r="F14" s="35">
        <f>D.3建设投资分年计划表!G14</f>
        <v>1201.58545680704</v>
      </c>
      <c r="G14" s="35">
        <f>D.3建设投资分年计划表!H14</f>
        <v>47.2290385905159</v>
      </c>
      <c r="H14" s="153">
        <f>'G.1进项增值税率-建设投资'!$E$14</f>
        <v>0.06</v>
      </c>
      <c r="I14" s="35">
        <f>D14/(1+'G.1进项增值税率-建设投资'!$E14)</f>
        <v>164.061455094147</v>
      </c>
      <c r="J14" s="35">
        <f>E14/(1+'G.1进项增值税率-建设投资'!$E14)</f>
        <v>929.681578866835</v>
      </c>
      <c r="K14" s="35">
        <f>F14/(1+'G.1进项增值税率-建设投资'!$E14)</f>
        <v>1133.57118566702</v>
      </c>
      <c r="L14" s="35">
        <f>G14/(1+'G.1进项增值税率-建设投资'!$E14)</f>
        <v>44.5556967835056</v>
      </c>
    </row>
    <row r="15" s="54" customFormat="1" customHeight="1" spans="1:12">
      <c r="A15" s="151" t="s">
        <v>136</v>
      </c>
      <c r="B15" s="151" t="s">
        <v>137</v>
      </c>
      <c r="C15" s="152">
        <f>C16</f>
        <v>1344.15560556981</v>
      </c>
      <c r="D15" s="152">
        <f>D16</f>
        <v>97.0672321199898</v>
      </c>
      <c r="E15" s="152">
        <f t="shared" ref="E15:G15" si="6">E16</f>
        <v>550.047648679942</v>
      </c>
      <c r="F15" s="152">
        <f t="shared" si="6"/>
        <v>670.679272840352</v>
      </c>
      <c r="G15" s="152">
        <f t="shared" si="6"/>
        <v>26.3614519295258</v>
      </c>
      <c r="H15" s="151" t="str">
        <f>'G.1进项增值税率-建设投资'!E15</f>
        <v>/</v>
      </c>
      <c r="I15" s="155">
        <f>I16</f>
        <v>97.0672321199898</v>
      </c>
      <c r="J15" s="155">
        <f t="shared" ref="J15:L15" si="7">J16</f>
        <v>550.047648679942</v>
      </c>
      <c r="K15" s="155">
        <f t="shared" si="7"/>
        <v>670.679272840352</v>
      </c>
      <c r="L15" s="155">
        <f t="shared" si="7"/>
        <v>26.3614519295258</v>
      </c>
    </row>
    <row r="16" s="54" customFormat="1" customHeight="1" spans="1:12">
      <c r="A16" s="7">
        <v>1</v>
      </c>
      <c r="B16" s="11" t="s">
        <v>138</v>
      </c>
      <c r="C16" s="12">
        <f>'G.1进项增值税率-建设投资'!D16</f>
        <v>1344.15560556981</v>
      </c>
      <c r="D16" s="35">
        <f>D.3建设投资分年计划表!E16</f>
        <v>97.0672321199898</v>
      </c>
      <c r="E16" s="35">
        <f>D.3建设投资分年计划表!F16</f>
        <v>550.047648679942</v>
      </c>
      <c r="F16" s="35">
        <f>D.3建设投资分年计划表!G16</f>
        <v>670.679272840352</v>
      </c>
      <c r="G16" s="35">
        <f>D.3建设投资分年计划表!H16</f>
        <v>26.3614519295258</v>
      </c>
      <c r="H16" s="153">
        <f>'G.1进项增值税率-建设投资'!$E$16</f>
        <v>0</v>
      </c>
      <c r="I16" s="35">
        <f>D16/(1+'G.1进项增值税率-建设投资'!$E16)</f>
        <v>97.0672321199898</v>
      </c>
      <c r="J16" s="35">
        <f>E16/(1+'G.1进项增值税率-建设投资'!$E16)</f>
        <v>550.047648679942</v>
      </c>
      <c r="K16" s="35">
        <f>F16/(1+'G.1进项增值税率-建设投资'!$E16)</f>
        <v>670.679272840352</v>
      </c>
      <c r="L16" s="35">
        <f>G16/(1+'G.1进项增值税率-建设投资'!$E16)</f>
        <v>26.3614519295258</v>
      </c>
    </row>
    <row r="17" s="54" customFormat="1" customHeight="1" spans="1:12">
      <c r="A17" s="7"/>
      <c r="B17" s="7" t="s">
        <v>80</v>
      </c>
      <c r="C17" s="12">
        <f>C3+C13+C15</f>
        <v>28227.267716966</v>
      </c>
      <c r="D17" s="12">
        <f>D3+D13+D15</f>
        <v>2038.41187451979</v>
      </c>
      <c r="E17" s="12">
        <f>E3+E13+E15</f>
        <v>11551.0006222788</v>
      </c>
      <c r="F17" s="12">
        <f>F3+F13+F15</f>
        <v>14084.2647296474</v>
      </c>
      <c r="G17" s="12">
        <f>G3+G13+G15</f>
        <v>553.590490520042</v>
      </c>
      <c r="H17" s="12" t="s">
        <v>163</v>
      </c>
      <c r="I17" s="12">
        <f>I3+I13+I15</f>
        <v>1862.88206098348</v>
      </c>
      <c r="J17" s="12">
        <f>J3+J13+J15</f>
        <v>10556.3316789064</v>
      </c>
      <c r="K17" s="12">
        <f>K3+K13+K15</f>
        <v>12958.5978017253</v>
      </c>
      <c r="L17" s="12">
        <f>L3+L13+L15</f>
        <v>503.490015482537</v>
      </c>
    </row>
    <row r="19" customHeight="1" spans="9:10">
      <c r="I19" s="156"/>
      <c r="J19" s="157"/>
    </row>
    <row r="20" customHeight="1" spans="9:10">
      <c r="I20" s="156"/>
      <c r="J20" s="157"/>
    </row>
  </sheetData>
  <mergeCells count="1">
    <mergeCell ref="A1:L1"/>
  </mergeCells>
  <pageMargins left="0.75" right="0.75" top="1" bottom="1" header="0.5" footer="0.5"/>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tabColor rgb="FFFFFF00"/>
  </sheetPr>
  <dimension ref="A1:I25"/>
  <sheetViews>
    <sheetView workbookViewId="0">
      <pane xSplit="3" ySplit="2" topLeftCell="D3" activePane="bottomRight" state="frozen"/>
      <selection/>
      <selection pane="topRight"/>
      <selection pane="bottomLeft"/>
      <selection pane="bottomRight" activeCell="AC9" sqref="AC9"/>
    </sheetView>
  </sheetViews>
  <sheetFormatPr defaultColWidth="8.89090909090909" defaultRowHeight="28.05" customHeight="1"/>
  <cols>
    <col min="1" max="1" width="8.89090909090909" style="54"/>
    <col min="2" max="2" width="13" style="54" customWidth="1"/>
    <col min="3" max="3" width="12.8909090909091" style="54" customWidth="1"/>
    <col min="4" max="4" width="6.44545454545455" style="54" customWidth="1"/>
    <col min="5" max="8" width="9.89090909090909" style="54" customWidth="1"/>
    <col min="9" max="16384" width="8.89090909090909" style="54"/>
  </cols>
  <sheetData>
    <row r="1" customHeight="1" spans="1:8">
      <c r="A1" s="139" t="s">
        <v>370</v>
      </c>
      <c r="B1" s="139"/>
      <c r="C1" s="139"/>
      <c r="D1" s="139"/>
      <c r="E1" s="139"/>
      <c r="F1" s="139"/>
      <c r="G1" s="139"/>
      <c r="H1" s="139"/>
    </row>
    <row r="2" customHeight="1" spans="1:8">
      <c r="A2" s="68" t="s">
        <v>1</v>
      </c>
      <c r="B2" s="68" t="s">
        <v>371</v>
      </c>
      <c r="C2" s="2" t="s">
        <v>372</v>
      </c>
      <c r="D2" s="68">
        <v>2025</v>
      </c>
      <c r="E2" s="68">
        <v>2026</v>
      </c>
      <c r="F2" s="68">
        <v>2027</v>
      </c>
      <c r="G2" s="68">
        <v>2028</v>
      </c>
      <c r="H2" s="68">
        <v>2029</v>
      </c>
    </row>
    <row r="3" customHeight="1" spans="1:8">
      <c r="A3" s="140">
        <v>1</v>
      </c>
      <c r="B3" s="140" t="str">
        <f>F.1项目单项收入信息!B3</f>
        <v>气象收入</v>
      </c>
      <c r="C3" s="7" t="s">
        <v>373</v>
      </c>
      <c r="D3" s="70">
        <f>F.1项目单项收入信息!H3</f>
        <v>0</v>
      </c>
      <c r="E3" s="70">
        <f>F.1项目单项收入信息!I3</f>
        <v>0</v>
      </c>
      <c r="F3" s="70">
        <f>F.1项目单项收入信息!J3</f>
        <v>64.8</v>
      </c>
      <c r="G3" s="70">
        <f>F.1项目单项收入信息!K3</f>
        <v>108</v>
      </c>
      <c r="H3" s="70">
        <f>F.1项目单项收入信息!L3</f>
        <v>108</v>
      </c>
    </row>
    <row r="4" customHeight="1" spans="1:8">
      <c r="A4" s="141"/>
      <c r="B4" s="141"/>
      <c r="C4" s="7" t="s">
        <v>374</v>
      </c>
      <c r="D4" s="142">
        <f>D3/(1+G.3销项增值税率!$C$3)</f>
        <v>0</v>
      </c>
      <c r="E4" s="142">
        <f>E3/(1+G.3销项增值税率!$C$3)</f>
        <v>0</v>
      </c>
      <c r="F4" s="142">
        <f>F3/(1+G.3销项增值税率!$C$3)</f>
        <v>61.1320754716981</v>
      </c>
      <c r="G4" s="142">
        <f>G3/(1+G.3销项增值税率!$C$3)</f>
        <v>101.88679245283</v>
      </c>
      <c r="H4" s="142">
        <f>H3/(1+G.3销项增值税率!$C$3)</f>
        <v>101.88679245283</v>
      </c>
    </row>
    <row r="5" customHeight="1" spans="1:8">
      <c r="A5" s="140">
        <v>2</v>
      </c>
      <c r="B5" s="140" t="str">
        <f>F.1项目单项收入信息!B7</f>
        <v>低空物流收入</v>
      </c>
      <c r="C5" s="7" t="s">
        <v>373</v>
      </c>
      <c r="D5" s="70">
        <f>F.1项目单项收入信息!H5</f>
        <v>0</v>
      </c>
      <c r="E5" s="70">
        <f>F.1项目单项收入信息!I5</f>
        <v>0</v>
      </c>
      <c r="F5" s="70">
        <f>F.1项目单项收入信息!J5</f>
        <v>389.124</v>
      </c>
      <c r="G5" s="70">
        <f>F.1项目单项收入信息!K5</f>
        <v>678.762</v>
      </c>
      <c r="H5" s="70">
        <f>F.1项目单项收入信息!L5</f>
        <v>698.91</v>
      </c>
    </row>
    <row r="6" customHeight="1" spans="1:8">
      <c r="A6" s="141"/>
      <c r="B6" s="141"/>
      <c r="C6" s="7" t="s">
        <v>374</v>
      </c>
      <c r="D6" s="143">
        <f>D5/(1+G.3销项增值税率!$C$4)</f>
        <v>0</v>
      </c>
      <c r="E6" s="143">
        <f>E5/(1+G.3销项增值税率!$C$4)</f>
        <v>0</v>
      </c>
      <c r="F6" s="143">
        <f>F5/(1+G.3销项增值税率!$C$4)</f>
        <v>367.098113207547</v>
      </c>
      <c r="G6" s="143">
        <f>G5/(1+G.3销项增值税率!$C$4)</f>
        <v>640.341509433962</v>
      </c>
      <c r="H6" s="143">
        <f>H5/(1+G.3销项增值税率!$C$4)</f>
        <v>659.349056603774</v>
      </c>
    </row>
    <row r="7" customHeight="1" spans="1:8">
      <c r="A7" s="140">
        <v>3</v>
      </c>
      <c r="B7" s="140" t="str">
        <f>F.1项目单项收入信息!B7</f>
        <v>低空物流收入</v>
      </c>
      <c r="C7" s="7" t="s">
        <v>373</v>
      </c>
      <c r="D7" s="70">
        <f>F.1项目单项收入信息!H7</f>
        <v>0</v>
      </c>
      <c r="E7" s="70">
        <f>F.1项目单项收入信息!I7</f>
        <v>0</v>
      </c>
      <c r="F7" s="70">
        <f>F.1项目单项收入信息!J7</f>
        <v>78.84</v>
      </c>
      <c r="G7" s="70">
        <f>F.1项目单项收入信息!K7</f>
        <v>430.992</v>
      </c>
      <c r="H7" s="70">
        <f>F.1项目单项收入信息!L7</f>
        <v>1156.32</v>
      </c>
    </row>
    <row r="8" customHeight="1" spans="1:8">
      <c r="A8" s="141"/>
      <c r="B8" s="141"/>
      <c r="C8" s="7" t="s">
        <v>374</v>
      </c>
      <c r="D8" s="143">
        <f>D7/(1+G.3销项增值税率!$C$5)</f>
        <v>0</v>
      </c>
      <c r="E8" s="143">
        <f>E7/(1+G.3销项增值税率!$C$5)</f>
        <v>0</v>
      </c>
      <c r="F8" s="143">
        <f>F7/(1+G.3销项增值税率!$C$5)</f>
        <v>74.377358490566</v>
      </c>
      <c r="G8" s="143">
        <f>G7/(1+G.3销项增值税率!$C$5)</f>
        <v>406.596226415094</v>
      </c>
      <c r="H8" s="143">
        <f>H7/(1+G.3销项增值税率!$C$5)</f>
        <v>1090.8679245283</v>
      </c>
    </row>
    <row r="9" customHeight="1" spans="1:8">
      <c r="A9" s="140">
        <v>4</v>
      </c>
      <c r="B9" s="140" t="str">
        <f>F.1项目单项收入信息!B9</f>
        <v>低空出行收入</v>
      </c>
      <c r="C9" s="7" t="s">
        <v>373</v>
      </c>
      <c r="D9" s="70">
        <f>F.1项目单项收入信息!H9</f>
        <v>0</v>
      </c>
      <c r="E9" s="70">
        <f>F.1项目单项收入信息!I9</f>
        <v>0</v>
      </c>
      <c r="F9" s="70">
        <f>F.1项目单项收入信息!J9</f>
        <v>25.92</v>
      </c>
      <c r="G9" s="70">
        <f>F.1项目单项收入信息!K9</f>
        <v>146.88</v>
      </c>
      <c r="H9" s="70">
        <f>F.1项目单项收入信息!L9</f>
        <v>216</v>
      </c>
    </row>
    <row r="10" customHeight="1" spans="1:8">
      <c r="A10" s="141"/>
      <c r="B10" s="141"/>
      <c r="C10" s="7" t="s">
        <v>374</v>
      </c>
      <c r="D10" s="142">
        <f>D9/(1+G.3销项增值税率!$C$3)</f>
        <v>0</v>
      </c>
      <c r="E10" s="142">
        <f>E9/(1+G.3销项增值税率!$C$3)</f>
        <v>0</v>
      </c>
      <c r="F10" s="142">
        <f>F9/(1+G.3销项增值税率!$C$3)</f>
        <v>24.4528301886792</v>
      </c>
      <c r="G10" s="142">
        <f>G9/(1+G.3销项增值税率!$C$3)</f>
        <v>138.566037735849</v>
      </c>
      <c r="H10" s="142">
        <f>H9/(1+G.3销项增值税率!$C$3)</f>
        <v>203.77358490566</v>
      </c>
    </row>
    <row r="11" customHeight="1" spans="1:8">
      <c r="A11" s="140">
        <v>5</v>
      </c>
      <c r="B11" s="140" t="str">
        <f>F.1项目单项收入信息!B11</f>
        <v>广告位收入</v>
      </c>
      <c r="C11" s="7" t="s">
        <v>373</v>
      </c>
      <c r="D11" s="70">
        <f>F.1项目单项收入信息!H11</f>
        <v>0</v>
      </c>
      <c r="E11" s="70">
        <f>F.1项目单项收入信息!I11</f>
        <v>0</v>
      </c>
      <c r="F11" s="70">
        <f>F.1项目单项收入信息!J11</f>
        <v>0</v>
      </c>
      <c r="G11" s="70">
        <f>F.1项目单项收入信息!K11</f>
        <v>125.28</v>
      </c>
      <c r="H11" s="70">
        <f>F.1项目单项收入信息!L11</f>
        <v>208.8</v>
      </c>
    </row>
    <row r="12" customHeight="1" spans="1:8">
      <c r="A12" s="141"/>
      <c r="B12" s="141"/>
      <c r="C12" s="7" t="s">
        <v>374</v>
      </c>
      <c r="D12" s="143">
        <f>D11/(1+G.3销项增值税率!$C$4)</f>
        <v>0</v>
      </c>
      <c r="E12" s="143">
        <f>E11/(1+G.3销项增值税率!$C$4)</f>
        <v>0</v>
      </c>
      <c r="F12" s="143">
        <f>F11/(1+G.3销项增值税率!$C$4)</f>
        <v>0</v>
      </c>
      <c r="G12" s="143">
        <f>G11/(1+G.3销项增值税率!$C$4)</f>
        <v>118.188679245283</v>
      </c>
      <c r="H12" s="143">
        <f>H11/(1+G.3销项增值税率!$C$4)</f>
        <v>196.981132075472</v>
      </c>
    </row>
    <row r="13" customHeight="1" spans="1:8">
      <c r="A13" s="140">
        <v>6</v>
      </c>
      <c r="B13" s="140" t="str">
        <f>F.1项目单项收入信息!B13</f>
        <v>停车位收入</v>
      </c>
      <c r="C13" s="7" t="s">
        <v>373</v>
      </c>
      <c r="D13" s="70">
        <f>F.1项目单项收入信息!H13</f>
        <v>0</v>
      </c>
      <c r="E13" s="70">
        <f>F.1项目单项收入信息!I13</f>
        <v>0</v>
      </c>
      <c r="F13" s="70">
        <f>F.1项目单项收入信息!J13</f>
        <v>0</v>
      </c>
      <c r="G13" s="70">
        <f>F.1项目单项收入信息!K13</f>
        <v>31.536</v>
      </c>
      <c r="H13" s="70">
        <f>F.1项目单项收入信息!L13</f>
        <v>52.56</v>
      </c>
    </row>
    <row r="14" customHeight="1" spans="1:8">
      <c r="A14" s="141"/>
      <c r="B14" s="141"/>
      <c r="C14" s="7" t="s">
        <v>374</v>
      </c>
      <c r="D14" s="143">
        <f>D13/(1+G.3销项增值税率!$C$5)</f>
        <v>0</v>
      </c>
      <c r="E14" s="143">
        <f>E13/(1+G.3销项增值税率!$C$5)</f>
        <v>0</v>
      </c>
      <c r="F14" s="143">
        <f>F13/(1+G.3销项增值税率!$C$5)</f>
        <v>0</v>
      </c>
      <c r="G14" s="143">
        <f>G13/(1+G.3销项增值税率!$C$5)</f>
        <v>29.7509433962264</v>
      </c>
      <c r="H14" s="143">
        <f>H13/(1+G.3销项增值税率!$C$5)</f>
        <v>49.5849056603774</v>
      </c>
    </row>
    <row r="15" customHeight="1" spans="1:8">
      <c r="A15" s="140">
        <v>7</v>
      </c>
      <c r="B15" s="140" t="str">
        <f>F.1项目单项收入信息!B15</f>
        <v>商铺租赁收入</v>
      </c>
      <c r="C15" s="7" t="s">
        <v>373</v>
      </c>
      <c r="D15" s="70">
        <f>F.1项目单项收入信息!H15</f>
        <v>0</v>
      </c>
      <c r="E15" s="70">
        <f>F.1项目单项收入信息!I15</f>
        <v>0</v>
      </c>
      <c r="F15" s="70">
        <f>F.1项目单项收入信息!J15</f>
        <v>0</v>
      </c>
      <c r="G15" s="70">
        <f>F.1项目单项收入信息!K15</f>
        <v>86.4</v>
      </c>
      <c r="H15" s="70">
        <f>F.1项目单项收入信息!L15</f>
        <v>144</v>
      </c>
    </row>
    <row r="16" customHeight="1" spans="1:8">
      <c r="A16" s="141"/>
      <c r="B16" s="141"/>
      <c r="C16" s="7" t="s">
        <v>374</v>
      </c>
      <c r="D16" s="142">
        <f>D15/(1+G.3销项增值税率!$C$3)</f>
        <v>0</v>
      </c>
      <c r="E16" s="142">
        <f>E15/(1+G.3销项增值税率!$C$3)</f>
        <v>0</v>
      </c>
      <c r="F16" s="142">
        <f>F15/(1+G.3销项增值税率!$C$3)</f>
        <v>0</v>
      </c>
      <c r="G16" s="142">
        <f>G15/(1+G.3销项增值税率!$C$3)</f>
        <v>81.5094339622641</v>
      </c>
      <c r="H16" s="142">
        <f>H15/(1+G.3销项增值税率!$C$3)</f>
        <v>135.849056603774</v>
      </c>
    </row>
    <row r="17" customHeight="1" spans="1:8">
      <c r="A17" s="140">
        <v>8</v>
      </c>
      <c r="B17" s="140" t="str">
        <f>F.1项目单项收入信息!B17</f>
        <v>政务服务收入</v>
      </c>
      <c r="C17" s="7" t="s">
        <v>373</v>
      </c>
      <c r="D17" s="70">
        <f>F.1项目单项收入信息!H17</f>
        <v>0</v>
      </c>
      <c r="E17" s="70">
        <f>F.1项目单项收入信息!I17</f>
        <v>0</v>
      </c>
      <c r="F17" s="70">
        <f>F.1项目单项收入信息!J17</f>
        <v>120</v>
      </c>
      <c r="G17" s="70">
        <f>F.1项目单项收入信息!K17</f>
        <v>260</v>
      </c>
      <c r="H17" s="70">
        <f>F.1项目单项收入信息!L17</f>
        <v>300</v>
      </c>
    </row>
    <row r="18" customHeight="1" spans="1:8">
      <c r="A18" s="141"/>
      <c r="B18" s="141"/>
      <c r="C18" s="7" t="s">
        <v>374</v>
      </c>
      <c r="D18" s="143">
        <f>D17/(1+G.3销项增值税率!$C$4)</f>
        <v>0</v>
      </c>
      <c r="E18" s="143">
        <f>E17/(1+G.3销项增值税率!$C$4)</f>
        <v>0</v>
      </c>
      <c r="F18" s="143">
        <f>F17/(1+G.3销项增值税率!$C$4)</f>
        <v>113.207547169811</v>
      </c>
      <c r="G18" s="143">
        <f>G17/(1+G.3销项增值税率!$C$4)</f>
        <v>245.283018867925</v>
      </c>
      <c r="H18" s="143">
        <f>H17/(1+G.3销项增值税率!$C$4)</f>
        <v>283.018867924528</v>
      </c>
    </row>
    <row r="19" customHeight="1" spans="1:8">
      <c r="A19" s="140">
        <v>9</v>
      </c>
      <c r="B19" s="140" t="str">
        <f>F.1项目单项收入信息!B19</f>
        <v>数据收入</v>
      </c>
      <c r="C19" s="7" t="s">
        <v>373</v>
      </c>
      <c r="D19" s="70">
        <f>F.1项目单项收入信息!H19</f>
        <v>0</v>
      </c>
      <c r="E19" s="70">
        <f>F.1项目单项收入信息!I19</f>
        <v>0</v>
      </c>
      <c r="F19" s="70">
        <f>F.1项目单项收入信息!J19</f>
        <v>0</v>
      </c>
      <c r="G19" s="70">
        <f>F.1项目单项收入信息!K19</f>
        <v>48</v>
      </c>
      <c r="H19" s="70">
        <f>F.1项目单项收入信息!L19</f>
        <v>80</v>
      </c>
    </row>
    <row r="20" customHeight="1" spans="1:8">
      <c r="A20" s="141"/>
      <c r="B20" s="141"/>
      <c r="C20" s="7" t="s">
        <v>374</v>
      </c>
      <c r="D20" s="143">
        <f>D19/(1+G.3销项增值税率!$C$5)</f>
        <v>0</v>
      </c>
      <c r="E20" s="143">
        <f>E19/(1+G.3销项增值税率!$C$5)</f>
        <v>0</v>
      </c>
      <c r="F20" s="143">
        <f>F19/(1+G.3销项增值税率!$C$5)</f>
        <v>0</v>
      </c>
      <c r="G20" s="143">
        <f>G19/(1+G.3销项增值税率!$C$5)</f>
        <v>45.2830188679245</v>
      </c>
      <c r="H20" s="143">
        <f>H19/(1+G.3销项增值税率!$C$5)</f>
        <v>75.4716981132075</v>
      </c>
    </row>
    <row r="21" customHeight="1" spans="1:8">
      <c r="A21" s="140">
        <v>10</v>
      </c>
      <c r="B21" s="140" t="str">
        <f>F.1项目单项收入信息!B21</f>
        <v>产学研收入</v>
      </c>
      <c r="C21" s="7" t="s">
        <v>373</v>
      </c>
      <c r="D21" s="70">
        <f>F.1项目单项收入信息!H21</f>
        <v>0</v>
      </c>
      <c r="E21" s="70">
        <f>F.1项目单项收入信息!I21</f>
        <v>0</v>
      </c>
      <c r="F21" s="70">
        <f>F.1项目单项收入信息!J21</f>
        <v>168</v>
      </c>
      <c r="G21" s="70">
        <f>F.1项目单项收入信息!K21</f>
        <v>280</v>
      </c>
      <c r="H21" s="70">
        <f>F.1项目单项收入信息!L21</f>
        <v>280</v>
      </c>
    </row>
    <row r="22" customHeight="1" spans="1:8">
      <c r="A22" s="141"/>
      <c r="B22" s="141"/>
      <c r="C22" s="7" t="s">
        <v>374</v>
      </c>
      <c r="D22" s="142">
        <f>D21/(1+G.3销项增值税率!$C$3)</f>
        <v>0</v>
      </c>
      <c r="E22" s="142">
        <f>E21/(1+G.3销项增值税率!$C$3)</f>
        <v>0</v>
      </c>
      <c r="F22" s="142">
        <f>F21/(1+G.3销项增值税率!$C$3)</f>
        <v>158.490566037736</v>
      </c>
      <c r="G22" s="142">
        <f>G21/(1+G.3销项增值税率!$C$3)</f>
        <v>264.150943396226</v>
      </c>
      <c r="H22" s="142">
        <f>H21/(1+G.3销项增值税率!$C$3)</f>
        <v>264.150943396226</v>
      </c>
    </row>
    <row r="23" customHeight="1" spans="1:9">
      <c r="A23" s="11">
        <v>5</v>
      </c>
      <c r="B23" s="144" t="s">
        <v>375</v>
      </c>
      <c r="C23" s="145"/>
      <c r="D23" s="39">
        <f t="shared" ref="D23:H23" si="0">SUM(D3,D7,D5,D9,D11,D13,D15,D17,D19,D21)</f>
        <v>0</v>
      </c>
      <c r="E23" s="39">
        <f t="shared" si="0"/>
        <v>0</v>
      </c>
      <c r="F23" s="39">
        <f t="shared" si="0"/>
        <v>846.684</v>
      </c>
      <c r="G23" s="39">
        <f t="shared" si="0"/>
        <v>2195.85</v>
      </c>
      <c r="H23" s="39">
        <f t="shared" si="0"/>
        <v>3244.59</v>
      </c>
      <c r="I23" s="88" t="s">
        <v>376</v>
      </c>
    </row>
    <row r="24" customHeight="1" spans="1:9">
      <c r="A24" s="11">
        <v>6</v>
      </c>
      <c r="B24" s="146" t="s">
        <v>377</v>
      </c>
      <c r="C24" s="147"/>
      <c r="D24" s="39">
        <f t="shared" ref="D24:H24" si="1">SUM(D4,D8,D6,D10,D12,D14,D16,D18,D20,D22)</f>
        <v>0</v>
      </c>
      <c r="E24" s="39">
        <f t="shared" si="1"/>
        <v>0</v>
      </c>
      <c r="F24" s="39">
        <f t="shared" si="1"/>
        <v>798.758490566038</v>
      </c>
      <c r="G24" s="39">
        <f t="shared" si="1"/>
        <v>2071.55660377358</v>
      </c>
      <c r="H24" s="39">
        <f t="shared" si="1"/>
        <v>3060.93396226415</v>
      </c>
      <c r="I24" s="88" t="s">
        <v>376</v>
      </c>
    </row>
    <row r="25" customHeight="1" spans="4:8">
      <c r="D25" s="148"/>
      <c r="E25" s="148"/>
      <c r="F25" s="148"/>
      <c r="G25" s="148"/>
      <c r="H25" s="148"/>
    </row>
  </sheetData>
  <autoFilter xmlns:etc="http://www.wps.cn/officeDocument/2017/etCustomData" ref="A2:H24" etc:filterBottomFollowUsedRange="0">
    <extLst/>
  </autoFilter>
  <pageMargins left="0.75" right="0.75" top="1" bottom="1" header="0.5" footer="0.5"/>
  <headerFooter/>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tabColor rgb="FFFFFF00"/>
  </sheetPr>
  <dimension ref="A1:AH44"/>
  <sheetViews>
    <sheetView zoomScale="85" zoomScaleNormal="85" topLeftCell="K1" workbookViewId="0">
      <selection activeCell="AB7" sqref="AB7"/>
    </sheetView>
  </sheetViews>
  <sheetFormatPr defaultColWidth="8.89090909090909" defaultRowHeight="28.05" customHeight="1"/>
  <cols>
    <col min="1" max="1" width="6" customWidth="1"/>
    <col min="2" max="2" width="12.4454545454545" customWidth="1"/>
    <col min="3" max="3" width="21.3363636363636" customWidth="1"/>
    <col min="4" max="4" width="26" customWidth="1"/>
    <col min="5" max="5" width="21.6636363636364" customWidth="1"/>
    <col min="6" max="6" width="17.1090909090909" customWidth="1"/>
    <col min="7" max="7" width="10.2181818181818" customWidth="1"/>
    <col min="8" max="8" width="14.7818181818182" customWidth="1"/>
    <col min="9" max="9" width="12.4454545454545" customWidth="1"/>
    <col min="10" max="31" width="9.89090909090909" customWidth="1"/>
    <col min="32" max="32" width="9.55454545454545" customWidth="1"/>
    <col min="33" max="33" width="11.7818181818182" customWidth="1"/>
    <col min="34" max="34" width="13.8909090909091" customWidth="1"/>
  </cols>
  <sheetData>
    <row r="1" customHeight="1" spans="1:32">
      <c r="A1" s="85" t="s">
        <v>378</v>
      </c>
      <c r="B1" s="86"/>
      <c r="C1" s="86"/>
      <c r="D1" s="86"/>
      <c r="E1" s="86"/>
      <c r="F1" s="86"/>
      <c r="G1" s="86"/>
      <c r="H1" s="86"/>
      <c r="I1" s="86"/>
      <c r="J1" s="86"/>
      <c r="K1" s="86"/>
      <c r="L1" s="86"/>
      <c r="AF1" s="13" t="s">
        <v>379</v>
      </c>
    </row>
    <row r="2" customHeight="1" spans="1:12">
      <c r="A2" s="2" t="s">
        <v>1</v>
      </c>
      <c r="B2" s="2" t="s">
        <v>371</v>
      </c>
      <c r="C2" s="2" t="s">
        <v>86</v>
      </c>
      <c r="D2" s="2" t="s">
        <v>380</v>
      </c>
      <c r="E2" s="2" t="s">
        <v>231</v>
      </c>
      <c r="F2" s="2" t="s">
        <v>381</v>
      </c>
      <c r="G2" s="2" t="s">
        <v>382</v>
      </c>
      <c r="H2" s="34">
        <v>2025</v>
      </c>
      <c r="I2" s="34">
        <v>2026</v>
      </c>
      <c r="J2" s="34">
        <v>2027</v>
      </c>
      <c r="K2" s="34">
        <v>2028</v>
      </c>
      <c r="L2" s="34">
        <v>2029</v>
      </c>
    </row>
    <row r="3" ht="21.45" customHeight="1" spans="1:13">
      <c r="A3" s="97">
        <v>1</v>
      </c>
      <c r="B3" s="97" t="s">
        <v>383</v>
      </c>
      <c r="C3" s="11">
        <v>1</v>
      </c>
      <c r="D3" s="39"/>
      <c r="E3" s="98">
        <f>A财务假设!D20</f>
        <v>0</v>
      </c>
      <c r="F3" s="99" t="s">
        <v>384</v>
      </c>
      <c r="G3" s="9">
        <v>0</v>
      </c>
      <c r="H3" s="39">
        <f t="shared" ref="H3:L3" si="0">SUM(J26:J28)*(1+$E3)</f>
        <v>0</v>
      </c>
      <c r="I3" s="39">
        <f t="shared" si="0"/>
        <v>0</v>
      </c>
      <c r="J3" s="39">
        <f t="shared" si="0"/>
        <v>64.8</v>
      </c>
      <c r="K3" s="39">
        <f t="shared" si="0"/>
        <v>108</v>
      </c>
      <c r="L3" s="39">
        <f t="shared" si="0"/>
        <v>108</v>
      </c>
      <c r="M3" s="13" t="s">
        <v>385</v>
      </c>
    </row>
    <row r="4" ht="21.45" customHeight="1" spans="1:12">
      <c r="A4" s="100"/>
      <c r="B4" s="100"/>
      <c r="C4" s="77" t="s">
        <v>386</v>
      </c>
      <c r="D4" s="78"/>
      <c r="E4" s="78"/>
      <c r="F4" s="78"/>
      <c r="G4" s="101"/>
      <c r="H4" s="102"/>
      <c r="I4" s="102"/>
      <c r="J4" s="102"/>
      <c r="K4" s="102"/>
      <c r="L4" s="102"/>
    </row>
    <row r="5" ht="21.45" customHeight="1" spans="1:12">
      <c r="A5" s="97">
        <v>2</v>
      </c>
      <c r="B5" s="97" t="s">
        <v>387</v>
      </c>
      <c r="C5" s="11">
        <v>1</v>
      </c>
      <c r="D5" s="39"/>
      <c r="E5" s="12"/>
      <c r="F5" s="99" t="s">
        <v>384</v>
      </c>
      <c r="G5" s="9">
        <v>0</v>
      </c>
      <c r="H5" s="39">
        <f t="shared" ref="H5:L5" si="1">SUM(J29:J32)*(1+$E3)</f>
        <v>0</v>
      </c>
      <c r="I5" s="39">
        <f t="shared" si="1"/>
        <v>0</v>
      </c>
      <c r="J5" s="39">
        <f t="shared" si="1"/>
        <v>389.124</v>
      </c>
      <c r="K5" s="39">
        <f t="shared" si="1"/>
        <v>678.762</v>
      </c>
      <c r="L5" s="39">
        <f t="shared" si="1"/>
        <v>698.91</v>
      </c>
    </row>
    <row r="6" ht="21.45" customHeight="1" spans="1:12">
      <c r="A6" s="100"/>
      <c r="B6" s="100"/>
      <c r="C6" s="77" t="s">
        <v>386</v>
      </c>
      <c r="D6" s="78"/>
      <c r="E6" s="78"/>
      <c r="F6" s="78"/>
      <c r="G6" s="101"/>
      <c r="H6" s="102"/>
      <c r="I6" s="102"/>
      <c r="J6" s="102"/>
      <c r="K6" s="102"/>
      <c r="L6" s="102"/>
    </row>
    <row r="7" ht="21.45" customHeight="1" spans="1:13">
      <c r="A7" s="97">
        <v>3</v>
      </c>
      <c r="B7" s="97" t="s">
        <v>388</v>
      </c>
      <c r="C7" s="11">
        <v>1</v>
      </c>
      <c r="D7" s="39"/>
      <c r="E7" s="12"/>
      <c r="F7" s="99" t="s">
        <v>389</v>
      </c>
      <c r="G7" s="80">
        <v>0.02</v>
      </c>
      <c r="H7" s="39">
        <f t="shared" ref="H7:L7" si="2">J33*(1+$E3)</f>
        <v>0</v>
      </c>
      <c r="I7" s="39">
        <f t="shared" si="2"/>
        <v>0</v>
      </c>
      <c r="J7" s="39">
        <f t="shared" si="2"/>
        <v>78.84</v>
      </c>
      <c r="K7" s="39">
        <f t="shared" si="2"/>
        <v>430.992</v>
      </c>
      <c r="L7" s="39">
        <f t="shared" si="2"/>
        <v>1156.32</v>
      </c>
      <c r="M7" s="13" t="s">
        <v>390</v>
      </c>
    </row>
    <row r="8" ht="21.45" customHeight="1" spans="1:12">
      <c r="A8" s="100"/>
      <c r="B8" s="100"/>
      <c r="C8" s="77" t="s">
        <v>386</v>
      </c>
      <c r="D8" s="78"/>
      <c r="E8" s="78"/>
      <c r="F8" s="78"/>
      <c r="G8" s="101"/>
      <c r="H8" s="102"/>
      <c r="I8" s="102"/>
      <c r="J8" s="102"/>
      <c r="K8" s="102"/>
      <c r="L8" s="102"/>
    </row>
    <row r="9" ht="21.45" customHeight="1" spans="1:13">
      <c r="A9" s="97">
        <v>4</v>
      </c>
      <c r="B9" s="97" t="s">
        <v>391</v>
      </c>
      <c r="C9" s="11">
        <v>1</v>
      </c>
      <c r="D9" s="39"/>
      <c r="E9" s="12"/>
      <c r="F9" s="99" t="s">
        <v>384</v>
      </c>
      <c r="G9" s="9">
        <v>0</v>
      </c>
      <c r="H9" s="39">
        <f t="shared" ref="H9:L9" si="3">J34*(1+$E3)</f>
        <v>0</v>
      </c>
      <c r="I9" s="39">
        <f t="shared" si="3"/>
        <v>0</v>
      </c>
      <c r="J9" s="39">
        <f t="shared" si="3"/>
        <v>25.92</v>
      </c>
      <c r="K9" s="39">
        <f t="shared" si="3"/>
        <v>146.88</v>
      </c>
      <c r="L9" s="39">
        <f t="shared" si="3"/>
        <v>216</v>
      </c>
      <c r="M9" s="13"/>
    </row>
    <row r="10" ht="21.45" customHeight="1" spans="1:12">
      <c r="A10" s="100"/>
      <c r="B10" s="100"/>
      <c r="C10" s="77" t="s">
        <v>386</v>
      </c>
      <c r="D10" s="78"/>
      <c r="E10" s="78"/>
      <c r="F10" s="78"/>
      <c r="G10" s="101"/>
      <c r="H10" s="102"/>
      <c r="I10" s="102"/>
      <c r="J10" s="102"/>
      <c r="K10" s="102"/>
      <c r="L10" s="102"/>
    </row>
    <row r="11" ht="21.45" customHeight="1" spans="1:12">
      <c r="A11" s="97">
        <v>5</v>
      </c>
      <c r="B11" s="97" t="s">
        <v>392</v>
      </c>
      <c r="C11" s="11">
        <v>1</v>
      </c>
      <c r="D11" s="39"/>
      <c r="E11" s="12"/>
      <c r="F11" s="99" t="s">
        <v>384</v>
      </c>
      <c r="G11" s="9">
        <v>0</v>
      </c>
      <c r="H11" s="39">
        <f t="shared" ref="H11:L11" si="4">J35*(1+$E3)</f>
        <v>0</v>
      </c>
      <c r="I11" s="39">
        <f t="shared" si="4"/>
        <v>0</v>
      </c>
      <c r="J11" s="39">
        <f t="shared" si="4"/>
        <v>0</v>
      </c>
      <c r="K11" s="39">
        <f t="shared" si="4"/>
        <v>125.28</v>
      </c>
      <c r="L11" s="39">
        <f t="shared" si="4"/>
        <v>208.8</v>
      </c>
    </row>
    <row r="12" ht="21.45" customHeight="1" spans="1:12">
      <c r="A12" s="100"/>
      <c r="B12" s="100"/>
      <c r="C12" s="77" t="s">
        <v>386</v>
      </c>
      <c r="D12" s="78"/>
      <c r="E12" s="78"/>
      <c r="F12" s="78"/>
      <c r="G12" s="101"/>
      <c r="H12" s="102"/>
      <c r="I12" s="102"/>
      <c r="J12" s="102"/>
      <c r="K12" s="102"/>
      <c r="L12" s="102"/>
    </row>
    <row r="13" ht="21.45" customHeight="1" spans="1:13">
      <c r="A13" s="97">
        <v>6</v>
      </c>
      <c r="B13" s="97" t="s">
        <v>393</v>
      </c>
      <c r="C13" s="11">
        <v>1</v>
      </c>
      <c r="D13" s="39"/>
      <c r="E13" s="12"/>
      <c r="F13" s="99" t="s">
        <v>389</v>
      </c>
      <c r="G13" s="80">
        <v>0.02</v>
      </c>
      <c r="H13" s="39">
        <f t="shared" ref="H13:L13" si="5">J36*(1+$E3)</f>
        <v>0</v>
      </c>
      <c r="I13" s="39">
        <f t="shared" si="5"/>
        <v>0</v>
      </c>
      <c r="J13" s="39">
        <f t="shared" si="5"/>
        <v>0</v>
      </c>
      <c r="K13" s="39">
        <f t="shared" si="5"/>
        <v>31.536</v>
      </c>
      <c r="L13" s="39">
        <f t="shared" si="5"/>
        <v>52.56</v>
      </c>
      <c r="M13" s="13"/>
    </row>
    <row r="14" ht="21.45" customHeight="1" spans="1:12">
      <c r="A14" s="100"/>
      <c r="B14" s="100"/>
      <c r="C14" s="77" t="s">
        <v>386</v>
      </c>
      <c r="D14" s="78"/>
      <c r="E14" s="78"/>
      <c r="F14" s="78"/>
      <c r="G14" s="101"/>
      <c r="H14" s="102"/>
      <c r="I14" s="102"/>
      <c r="J14" s="102"/>
      <c r="K14" s="102"/>
      <c r="L14" s="102"/>
    </row>
    <row r="15" ht="21.45" customHeight="1" spans="1:13">
      <c r="A15" s="97">
        <v>7</v>
      </c>
      <c r="B15" s="97" t="s">
        <v>394</v>
      </c>
      <c r="C15" s="11">
        <v>1</v>
      </c>
      <c r="D15" s="39"/>
      <c r="E15" s="12"/>
      <c r="F15" s="99" t="s">
        <v>384</v>
      </c>
      <c r="G15" s="9">
        <v>0</v>
      </c>
      <c r="H15" s="103">
        <f t="shared" ref="H15:L15" si="6">J37*(1+$E3)</f>
        <v>0</v>
      </c>
      <c r="I15" s="103">
        <f t="shared" si="6"/>
        <v>0</v>
      </c>
      <c r="J15" s="103">
        <f t="shared" si="6"/>
        <v>0</v>
      </c>
      <c r="K15" s="103">
        <f t="shared" si="6"/>
        <v>86.4</v>
      </c>
      <c r="L15" s="103">
        <f t="shared" si="6"/>
        <v>144</v>
      </c>
      <c r="M15" s="13"/>
    </row>
    <row r="16" ht="21.45" customHeight="1" spans="1:12">
      <c r="A16" s="100"/>
      <c r="B16" s="100"/>
      <c r="C16" s="77" t="s">
        <v>386</v>
      </c>
      <c r="D16" s="78"/>
      <c r="E16" s="78"/>
      <c r="F16" s="78"/>
      <c r="G16" s="101"/>
      <c r="H16" s="102"/>
      <c r="I16" s="102"/>
      <c r="J16" s="102"/>
      <c r="K16" s="102"/>
      <c r="L16" s="102"/>
    </row>
    <row r="17" ht="21.45" customHeight="1" spans="1:12">
      <c r="A17" s="97">
        <v>8</v>
      </c>
      <c r="B17" s="97" t="s">
        <v>395</v>
      </c>
      <c r="C17" s="11">
        <v>1</v>
      </c>
      <c r="D17" s="39"/>
      <c r="E17" s="12"/>
      <c r="F17" s="99" t="s">
        <v>384</v>
      </c>
      <c r="G17" s="9">
        <v>0</v>
      </c>
      <c r="H17" s="103">
        <f t="shared" ref="H17:L17" si="7">J38*(1+$E3)</f>
        <v>0</v>
      </c>
      <c r="I17" s="103">
        <f t="shared" si="7"/>
        <v>0</v>
      </c>
      <c r="J17" s="103">
        <f t="shared" si="7"/>
        <v>120</v>
      </c>
      <c r="K17" s="103">
        <f t="shared" si="7"/>
        <v>260</v>
      </c>
      <c r="L17" s="103">
        <f t="shared" si="7"/>
        <v>300</v>
      </c>
    </row>
    <row r="18" ht="21.45" customHeight="1" spans="1:12">
      <c r="A18" s="100"/>
      <c r="B18" s="100"/>
      <c r="C18" s="77" t="s">
        <v>386</v>
      </c>
      <c r="D18" s="78"/>
      <c r="E18" s="78"/>
      <c r="F18" s="78"/>
      <c r="G18" s="101"/>
      <c r="H18" s="102"/>
      <c r="I18" s="102"/>
      <c r="J18" s="102"/>
      <c r="K18" s="102"/>
      <c r="L18" s="102"/>
    </row>
    <row r="19" ht="21.45" customHeight="1" spans="1:12">
      <c r="A19" s="97">
        <v>9</v>
      </c>
      <c r="B19" s="97" t="s">
        <v>396</v>
      </c>
      <c r="C19" s="11">
        <v>1</v>
      </c>
      <c r="D19" s="39"/>
      <c r="E19" s="12"/>
      <c r="F19" s="99" t="s">
        <v>384</v>
      </c>
      <c r="G19" s="9">
        <v>0</v>
      </c>
      <c r="H19" s="103">
        <f t="shared" ref="H19:L19" si="8">SUM(J39:J40)*(1+$E3)</f>
        <v>0</v>
      </c>
      <c r="I19" s="103">
        <f t="shared" si="8"/>
        <v>0</v>
      </c>
      <c r="J19" s="103">
        <f t="shared" si="8"/>
        <v>0</v>
      </c>
      <c r="K19" s="103">
        <f t="shared" si="8"/>
        <v>48</v>
      </c>
      <c r="L19" s="103">
        <f t="shared" si="8"/>
        <v>80</v>
      </c>
    </row>
    <row r="20" ht="21.45" customHeight="1" spans="1:12">
      <c r="A20" s="100"/>
      <c r="B20" s="100"/>
      <c r="C20" s="77" t="s">
        <v>386</v>
      </c>
      <c r="D20" s="78"/>
      <c r="E20" s="78"/>
      <c r="F20" s="78"/>
      <c r="G20" s="101"/>
      <c r="H20" s="102"/>
      <c r="I20" s="102"/>
      <c r="J20" s="102"/>
      <c r="K20" s="102"/>
      <c r="L20" s="102"/>
    </row>
    <row r="21" ht="21.45" customHeight="1" spans="1:13">
      <c r="A21" s="97">
        <v>10</v>
      </c>
      <c r="B21" s="97" t="s">
        <v>397</v>
      </c>
      <c r="C21" s="11">
        <v>1</v>
      </c>
      <c r="D21" s="39"/>
      <c r="E21" s="12"/>
      <c r="F21" s="99" t="s">
        <v>389</v>
      </c>
      <c r="G21" s="80">
        <v>0.02</v>
      </c>
      <c r="H21" s="103">
        <f t="shared" ref="H21:L21" si="9">J41*(1+$E3)</f>
        <v>0</v>
      </c>
      <c r="I21" s="103">
        <f t="shared" si="9"/>
        <v>0</v>
      </c>
      <c r="J21" s="103">
        <f t="shared" si="9"/>
        <v>168</v>
      </c>
      <c r="K21" s="103">
        <f t="shared" si="9"/>
        <v>280</v>
      </c>
      <c r="L21" s="103">
        <f t="shared" si="9"/>
        <v>280</v>
      </c>
      <c r="M21" s="13" t="s">
        <v>390</v>
      </c>
    </row>
    <row r="22" ht="21.45" customHeight="1" spans="1:12">
      <c r="A22" s="100"/>
      <c r="B22" s="100"/>
      <c r="C22" s="77" t="s">
        <v>386</v>
      </c>
      <c r="D22" s="78"/>
      <c r="E22" s="78"/>
      <c r="F22" s="78"/>
      <c r="G22" s="101"/>
      <c r="H22" s="102"/>
      <c r="I22" s="129"/>
      <c r="J22" s="129"/>
      <c r="K22" s="129"/>
      <c r="L22" s="129"/>
    </row>
    <row r="23" customHeight="1" spans="1:12">
      <c r="A23" s="7" t="s">
        <v>398</v>
      </c>
      <c r="B23" s="7"/>
      <c r="C23" s="7"/>
      <c r="D23" s="7"/>
      <c r="E23" s="7"/>
      <c r="F23" s="7"/>
      <c r="G23" s="7"/>
      <c r="H23" s="7"/>
      <c r="I23" s="40"/>
      <c r="J23" s="40"/>
      <c r="K23" s="7"/>
      <c r="L23" s="40"/>
    </row>
    <row r="24" s="96" customFormat="1" ht="43.95" customHeight="1" spans="1:33">
      <c r="A24" s="104" t="s">
        <v>399</v>
      </c>
      <c r="B24" s="105"/>
      <c r="C24" s="105"/>
      <c r="D24" s="105"/>
      <c r="E24" s="105"/>
      <c r="F24" s="105"/>
      <c r="G24" s="105"/>
      <c r="H24" s="105"/>
      <c r="I24" s="105"/>
      <c r="J24" s="105"/>
      <c r="K24" s="105"/>
      <c r="L24" s="105"/>
      <c r="M24" s="105"/>
      <c r="N24" s="105"/>
      <c r="O24" s="105"/>
      <c r="P24" s="105"/>
      <c r="Q24" s="105"/>
      <c r="R24" s="105"/>
      <c r="S24" s="105"/>
      <c r="T24" s="105"/>
      <c r="U24" s="105"/>
      <c r="V24" s="105"/>
      <c r="W24" s="105"/>
      <c r="X24" s="105"/>
      <c r="Y24" s="105"/>
      <c r="Z24" s="105"/>
      <c r="AA24" s="105"/>
      <c r="AB24" s="105"/>
      <c r="AC24" s="105"/>
      <c r="AD24" s="105"/>
      <c r="AE24" s="105"/>
      <c r="AF24" s="105"/>
      <c r="AG24" s="105"/>
    </row>
    <row r="25" s="96" customFormat="1" ht="15" customHeight="1" spans="1:33">
      <c r="A25" s="106" t="s">
        <v>1</v>
      </c>
      <c r="B25" s="107" t="s">
        <v>400</v>
      </c>
      <c r="C25" s="107" t="s">
        <v>401</v>
      </c>
      <c r="D25" s="107" t="s">
        <v>402</v>
      </c>
      <c r="E25" s="108" t="s">
        <v>403</v>
      </c>
      <c r="F25" s="108" t="s">
        <v>404</v>
      </c>
      <c r="G25" s="108" t="s">
        <v>405</v>
      </c>
      <c r="H25" s="108" t="s">
        <v>406</v>
      </c>
      <c r="I25" s="108" t="s">
        <v>407</v>
      </c>
      <c r="J25" s="130" t="s">
        <v>286</v>
      </c>
      <c r="K25" s="130" t="s">
        <v>287</v>
      </c>
      <c r="L25" s="130" t="s">
        <v>288</v>
      </c>
      <c r="M25" s="130" t="s">
        <v>289</v>
      </c>
      <c r="N25" s="131" t="s">
        <v>290</v>
      </c>
      <c r="O25" s="108" t="s">
        <v>291</v>
      </c>
      <c r="P25" s="108" t="s">
        <v>292</v>
      </c>
      <c r="Q25" s="108" t="s">
        <v>293</v>
      </c>
      <c r="R25" s="108" t="s">
        <v>294</v>
      </c>
      <c r="S25" s="108" t="s">
        <v>295</v>
      </c>
      <c r="T25" s="108" t="s">
        <v>296</v>
      </c>
      <c r="U25" s="108" t="s">
        <v>297</v>
      </c>
      <c r="V25" s="108" t="s">
        <v>298</v>
      </c>
      <c r="W25" s="108" t="s">
        <v>299</v>
      </c>
      <c r="X25" s="108" t="s">
        <v>300</v>
      </c>
      <c r="Y25" s="108" t="s">
        <v>301</v>
      </c>
      <c r="Z25" s="108" t="s">
        <v>302</v>
      </c>
      <c r="AA25" s="108" t="s">
        <v>303</v>
      </c>
      <c r="AB25" s="108" t="s">
        <v>304</v>
      </c>
      <c r="AC25" s="108" t="s">
        <v>305</v>
      </c>
      <c r="AD25" s="108" t="s">
        <v>306</v>
      </c>
      <c r="AE25" s="108" t="s">
        <v>307</v>
      </c>
      <c r="AF25" s="108" t="s">
        <v>308</v>
      </c>
      <c r="AG25" s="135" t="s">
        <v>309</v>
      </c>
    </row>
    <row r="26" s="96" customFormat="1" ht="28.95" customHeight="1" spans="1:33">
      <c r="A26" s="109">
        <f>ROW()-2</f>
        <v>24</v>
      </c>
      <c r="B26" s="110" t="s">
        <v>408</v>
      </c>
      <c r="C26" s="111" t="s">
        <v>409</v>
      </c>
      <c r="D26" s="111" t="s">
        <v>410</v>
      </c>
      <c r="E26" s="112">
        <f>15*10</f>
        <v>150</v>
      </c>
      <c r="F26" s="113" t="s">
        <v>411</v>
      </c>
      <c r="G26" s="114">
        <v>0.4</v>
      </c>
      <c r="H26" s="115">
        <f>E26*G26</f>
        <v>60</v>
      </c>
      <c r="I26" s="132">
        <v>2026</v>
      </c>
      <c r="J26" s="119">
        <v>0</v>
      </c>
      <c r="K26" s="119">
        <v>0</v>
      </c>
      <c r="L26" s="119">
        <f>H26*60%</f>
        <v>36</v>
      </c>
      <c r="M26" s="119">
        <f>H26*100%</f>
        <v>60</v>
      </c>
      <c r="N26" s="119">
        <f>H26*100%</f>
        <v>60</v>
      </c>
      <c r="O26" s="119">
        <f t="shared" ref="O26:AG26" si="10">N26*1.01</f>
        <v>60.6</v>
      </c>
      <c r="P26" s="119">
        <f t="shared" si="10"/>
        <v>61.206</v>
      </c>
      <c r="Q26" s="119">
        <f t="shared" si="10"/>
        <v>61.81806</v>
      </c>
      <c r="R26" s="119">
        <f t="shared" si="10"/>
        <v>62.4362406</v>
      </c>
      <c r="S26" s="119">
        <f t="shared" si="10"/>
        <v>63.060603006</v>
      </c>
      <c r="T26" s="119">
        <f t="shared" si="10"/>
        <v>63.69120903606</v>
      </c>
      <c r="U26" s="119">
        <f t="shared" si="10"/>
        <v>64.3281211264206</v>
      </c>
      <c r="V26" s="119">
        <f t="shared" si="10"/>
        <v>64.9714023376848</v>
      </c>
      <c r="W26" s="119">
        <f t="shared" si="10"/>
        <v>65.6211163610617</v>
      </c>
      <c r="X26" s="119">
        <f t="shared" si="10"/>
        <v>66.2773275246723</v>
      </c>
      <c r="Y26" s="119">
        <f t="shared" si="10"/>
        <v>66.940100799919</v>
      </c>
      <c r="Z26" s="119">
        <f t="shared" si="10"/>
        <v>67.6095018079182</v>
      </c>
      <c r="AA26" s="119">
        <f t="shared" si="10"/>
        <v>68.2855968259974</v>
      </c>
      <c r="AB26" s="119">
        <f t="shared" si="10"/>
        <v>68.9684527942573</v>
      </c>
      <c r="AC26" s="119">
        <f t="shared" si="10"/>
        <v>69.6581373221999</v>
      </c>
      <c r="AD26" s="119">
        <f t="shared" si="10"/>
        <v>70.3547186954219</v>
      </c>
      <c r="AE26" s="119">
        <f t="shared" si="10"/>
        <v>71.0582658823761</v>
      </c>
      <c r="AF26" s="119">
        <f t="shared" si="10"/>
        <v>71.7688485411999</v>
      </c>
      <c r="AG26" s="136">
        <f t="shared" si="10"/>
        <v>72.4865370266119</v>
      </c>
    </row>
    <row r="27" s="96" customFormat="1" ht="28.95" customHeight="1" spans="1:33">
      <c r="A27" s="109">
        <f>ROW()-2</f>
        <v>25</v>
      </c>
      <c r="B27" s="116"/>
      <c r="C27" s="111" t="s">
        <v>412</v>
      </c>
      <c r="D27" s="111" t="s">
        <v>413</v>
      </c>
      <c r="E27" s="112">
        <f>10*10</f>
        <v>100</v>
      </c>
      <c r="F27" s="113" t="s">
        <v>411</v>
      </c>
      <c r="G27" s="114">
        <v>0.4</v>
      </c>
      <c r="H27" s="115">
        <f>E27*G27</f>
        <v>40</v>
      </c>
      <c r="I27" s="132">
        <v>2026</v>
      </c>
      <c r="J27" s="119">
        <v>0</v>
      </c>
      <c r="K27" s="119">
        <v>0</v>
      </c>
      <c r="L27" s="119">
        <f>H27*60%</f>
        <v>24</v>
      </c>
      <c r="M27" s="119">
        <f>H27*100%</f>
        <v>40</v>
      </c>
      <c r="N27" s="119">
        <f>H27*100%</f>
        <v>40</v>
      </c>
      <c r="O27" s="119">
        <f t="shared" ref="O27:AG27" si="11">N27*1.01</f>
        <v>40.4</v>
      </c>
      <c r="P27" s="119">
        <f t="shared" si="11"/>
        <v>40.804</v>
      </c>
      <c r="Q27" s="119">
        <f t="shared" si="11"/>
        <v>41.21204</v>
      </c>
      <c r="R27" s="119">
        <f t="shared" si="11"/>
        <v>41.6241604</v>
      </c>
      <c r="S27" s="119">
        <f t="shared" si="11"/>
        <v>42.040402004</v>
      </c>
      <c r="T27" s="119">
        <f t="shared" si="11"/>
        <v>42.46080602404</v>
      </c>
      <c r="U27" s="119">
        <f t="shared" si="11"/>
        <v>42.8854140842804</v>
      </c>
      <c r="V27" s="119">
        <f t="shared" si="11"/>
        <v>43.3142682251232</v>
      </c>
      <c r="W27" s="119">
        <f t="shared" si="11"/>
        <v>43.7474109073744</v>
      </c>
      <c r="X27" s="119">
        <f t="shared" si="11"/>
        <v>44.1848850164482</v>
      </c>
      <c r="Y27" s="119">
        <f t="shared" si="11"/>
        <v>44.6267338666127</v>
      </c>
      <c r="Z27" s="119">
        <f t="shared" si="11"/>
        <v>45.0730012052788</v>
      </c>
      <c r="AA27" s="119">
        <f t="shared" si="11"/>
        <v>45.5237312173316</v>
      </c>
      <c r="AB27" s="119">
        <f t="shared" si="11"/>
        <v>45.9789685295049</v>
      </c>
      <c r="AC27" s="119">
        <f t="shared" si="11"/>
        <v>46.4387582147999</v>
      </c>
      <c r="AD27" s="119">
        <f t="shared" si="11"/>
        <v>46.9031457969479</v>
      </c>
      <c r="AE27" s="119">
        <f t="shared" si="11"/>
        <v>47.3721772549174</v>
      </c>
      <c r="AF27" s="119">
        <f t="shared" si="11"/>
        <v>47.8458990274666</v>
      </c>
      <c r="AG27" s="136">
        <f t="shared" si="11"/>
        <v>48.3243580177413</v>
      </c>
    </row>
    <row r="28" s="96" customFormat="1" ht="28.95" customHeight="1" spans="1:33">
      <c r="A28" s="109">
        <f t="shared" ref="A28:A41" si="12">ROW()-2</f>
        <v>26</v>
      </c>
      <c r="B28" s="117"/>
      <c r="C28" s="111" t="s">
        <v>414</v>
      </c>
      <c r="D28" s="111" t="s">
        <v>415</v>
      </c>
      <c r="E28" s="112">
        <v>20</v>
      </c>
      <c r="F28" s="113" t="s">
        <v>411</v>
      </c>
      <c r="G28" s="114">
        <v>0.4</v>
      </c>
      <c r="H28" s="115">
        <f t="shared" ref="H28:H41" si="13">E28*G28</f>
        <v>8</v>
      </c>
      <c r="I28" s="132">
        <v>2026</v>
      </c>
      <c r="J28" s="119">
        <v>0</v>
      </c>
      <c r="K28" s="119">
        <v>0</v>
      </c>
      <c r="L28" s="119">
        <f>H28*60%</f>
        <v>4.8</v>
      </c>
      <c r="M28" s="119">
        <f>H28*100%</f>
        <v>8</v>
      </c>
      <c r="N28" s="119">
        <f t="shared" ref="N28:N41" si="14">H28*100%</f>
        <v>8</v>
      </c>
      <c r="O28" s="119">
        <f t="shared" ref="O28:AG38" si="15">N28*1.01</f>
        <v>8.08</v>
      </c>
      <c r="P28" s="119">
        <f t="shared" si="15"/>
        <v>8.1608</v>
      </c>
      <c r="Q28" s="119">
        <f t="shared" si="15"/>
        <v>8.242408</v>
      </c>
      <c r="R28" s="119">
        <f t="shared" si="15"/>
        <v>8.32483208</v>
      </c>
      <c r="S28" s="119">
        <f t="shared" si="15"/>
        <v>8.4080804008</v>
      </c>
      <c r="T28" s="119">
        <f t="shared" si="15"/>
        <v>8.492161204808</v>
      </c>
      <c r="U28" s="119">
        <f t="shared" si="15"/>
        <v>8.57708281685608</v>
      </c>
      <c r="V28" s="119">
        <f t="shared" si="15"/>
        <v>8.66285364502464</v>
      </c>
      <c r="W28" s="119">
        <f t="shared" si="15"/>
        <v>8.74948218147489</v>
      </c>
      <c r="X28" s="119">
        <f t="shared" si="15"/>
        <v>8.83697700328964</v>
      </c>
      <c r="Y28" s="119">
        <f t="shared" si="15"/>
        <v>8.92534677332253</v>
      </c>
      <c r="Z28" s="119">
        <f t="shared" si="15"/>
        <v>9.01460024105576</v>
      </c>
      <c r="AA28" s="119">
        <f t="shared" si="15"/>
        <v>9.10474624346632</v>
      </c>
      <c r="AB28" s="119">
        <f t="shared" si="15"/>
        <v>9.19579370590098</v>
      </c>
      <c r="AC28" s="119">
        <f t="shared" si="15"/>
        <v>9.28775164295999</v>
      </c>
      <c r="AD28" s="119">
        <f t="shared" si="15"/>
        <v>9.38062915938959</v>
      </c>
      <c r="AE28" s="119">
        <f t="shared" si="15"/>
        <v>9.47443545098348</v>
      </c>
      <c r="AF28" s="119">
        <f t="shared" si="15"/>
        <v>9.56917980549332</v>
      </c>
      <c r="AG28" s="136">
        <f t="shared" si="15"/>
        <v>9.66487160354825</v>
      </c>
    </row>
    <row r="29" s="96" customFormat="1" ht="28.95" customHeight="1" spans="1:33">
      <c r="A29" s="109">
        <f t="shared" si="12"/>
        <v>27</v>
      </c>
      <c r="B29" s="110" t="s">
        <v>387</v>
      </c>
      <c r="C29" s="111" t="s">
        <v>416</v>
      </c>
      <c r="D29" s="111" t="s">
        <v>417</v>
      </c>
      <c r="E29" s="118">
        <f>50*5</f>
        <v>250</v>
      </c>
      <c r="F29" s="113" t="s">
        <v>411</v>
      </c>
      <c r="G29" s="114">
        <v>0.4</v>
      </c>
      <c r="H29" s="115">
        <f t="shared" si="13"/>
        <v>100</v>
      </c>
      <c r="I29" s="132">
        <v>2026</v>
      </c>
      <c r="J29" s="119">
        <v>0</v>
      </c>
      <c r="K29" s="119">
        <v>0</v>
      </c>
      <c r="L29" s="119">
        <f>H29*60%</f>
        <v>60</v>
      </c>
      <c r="M29" s="119">
        <f>H29*100%</f>
        <v>100</v>
      </c>
      <c r="N29" s="119">
        <f t="shared" si="14"/>
        <v>100</v>
      </c>
      <c r="O29" s="119">
        <f t="shared" si="15"/>
        <v>101</v>
      </c>
      <c r="P29" s="119">
        <f t="shared" si="15"/>
        <v>102.01</v>
      </c>
      <c r="Q29" s="119">
        <f t="shared" si="15"/>
        <v>103.0301</v>
      </c>
      <c r="R29" s="119">
        <f t="shared" si="15"/>
        <v>104.060401</v>
      </c>
      <c r="S29" s="119">
        <f t="shared" si="15"/>
        <v>105.10100501</v>
      </c>
      <c r="T29" s="119">
        <f t="shared" si="15"/>
        <v>106.1520150601</v>
      </c>
      <c r="U29" s="119">
        <f t="shared" si="15"/>
        <v>107.213535210701</v>
      </c>
      <c r="V29" s="119">
        <f t="shared" si="15"/>
        <v>108.285670562808</v>
      </c>
      <c r="W29" s="119">
        <f t="shared" si="15"/>
        <v>109.368527268436</v>
      </c>
      <c r="X29" s="119">
        <f t="shared" si="15"/>
        <v>110.46221254112</v>
      </c>
      <c r="Y29" s="119">
        <f t="shared" si="15"/>
        <v>111.566834666532</v>
      </c>
      <c r="Z29" s="119">
        <f t="shared" si="15"/>
        <v>112.682503013197</v>
      </c>
      <c r="AA29" s="119">
        <f t="shared" si="15"/>
        <v>113.809328043329</v>
      </c>
      <c r="AB29" s="119">
        <f t="shared" si="15"/>
        <v>114.947421323762</v>
      </c>
      <c r="AC29" s="119">
        <f t="shared" si="15"/>
        <v>116.096895537</v>
      </c>
      <c r="AD29" s="119">
        <f t="shared" si="15"/>
        <v>117.25786449237</v>
      </c>
      <c r="AE29" s="119">
        <f t="shared" si="15"/>
        <v>118.430443137294</v>
      </c>
      <c r="AF29" s="119">
        <f t="shared" si="15"/>
        <v>119.614747568667</v>
      </c>
      <c r="AG29" s="136">
        <f t="shared" si="15"/>
        <v>120.810895044353</v>
      </c>
    </row>
    <row r="30" s="96" customFormat="1" ht="28.95" customHeight="1" spans="1:33">
      <c r="A30" s="109">
        <f t="shared" si="12"/>
        <v>28</v>
      </c>
      <c r="B30" s="116"/>
      <c r="C30" s="111" t="s">
        <v>418</v>
      </c>
      <c r="D30" s="111" t="s">
        <v>419</v>
      </c>
      <c r="E30" s="119">
        <f>49*300*365*50%/10000</f>
        <v>268.275</v>
      </c>
      <c r="F30" s="113" t="s">
        <v>411</v>
      </c>
      <c r="G30" s="114">
        <v>0.4</v>
      </c>
      <c r="H30" s="115">
        <f t="shared" si="13"/>
        <v>107.31</v>
      </c>
      <c r="I30" s="133" t="s">
        <v>420</v>
      </c>
      <c r="J30" s="119">
        <v>0</v>
      </c>
      <c r="K30" s="119">
        <v>0</v>
      </c>
      <c r="L30" s="119">
        <f>H30*26/49*60%</f>
        <v>34.164</v>
      </c>
      <c r="M30" s="119">
        <f>H30*26/49+H30*23/49*60%</f>
        <v>87.162</v>
      </c>
      <c r="N30" s="119">
        <f t="shared" si="14"/>
        <v>107.31</v>
      </c>
      <c r="O30" s="119">
        <f t="shared" si="15"/>
        <v>108.3831</v>
      </c>
      <c r="P30" s="119">
        <f t="shared" si="15"/>
        <v>109.466931</v>
      </c>
      <c r="Q30" s="119">
        <f t="shared" si="15"/>
        <v>110.56160031</v>
      </c>
      <c r="R30" s="119">
        <f t="shared" si="15"/>
        <v>111.6672163131</v>
      </c>
      <c r="S30" s="119">
        <f t="shared" si="15"/>
        <v>112.783888476231</v>
      </c>
      <c r="T30" s="119">
        <f t="shared" si="15"/>
        <v>113.911727360993</v>
      </c>
      <c r="U30" s="119">
        <f t="shared" si="15"/>
        <v>115.050844634603</v>
      </c>
      <c r="V30" s="119">
        <f t="shared" si="15"/>
        <v>116.201353080949</v>
      </c>
      <c r="W30" s="119">
        <f t="shared" si="15"/>
        <v>117.363366611759</v>
      </c>
      <c r="X30" s="119">
        <f t="shared" si="15"/>
        <v>118.537000277876</v>
      </c>
      <c r="Y30" s="119">
        <f t="shared" si="15"/>
        <v>119.722370280655</v>
      </c>
      <c r="Z30" s="119">
        <f t="shared" si="15"/>
        <v>120.919593983462</v>
      </c>
      <c r="AA30" s="119">
        <f t="shared" si="15"/>
        <v>122.128789923296</v>
      </c>
      <c r="AB30" s="119">
        <f t="shared" si="15"/>
        <v>123.350077822529</v>
      </c>
      <c r="AC30" s="119">
        <f t="shared" si="15"/>
        <v>124.583578600755</v>
      </c>
      <c r="AD30" s="119">
        <f t="shared" si="15"/>
        <v>125.829414386762</v>
      </c>
      <c r="AE30" s="119">
        <f t="shared" si="15"/>
        <v>127.08770853063</v>
      </c>
      <c r="AF30" s="119">
        <f t="shared" si="15"/>
        <v>128.358585615936</v>
      </c>
      <c r="AG30" s="136">
        <f t="shared" si="15"/>
        <v>129.642171472095</v>
      </c>
    </row>
    <row r="31" s="96" customFormat="1" ht="28.95" customHeight="1" spans="1:33">
      <c r="A31" s="109">
        <f t="shared" si="12"/>
        <v>29</v>
      </c>
      <c r="B31" s="116"/>
      <c r="C31" s="111" t="s">
        <v>421</v>
      </c>
      <c r="D31" s="111" t="s">
        <v>422</v>
      </c>
      <c r="E31" s="118">
        <f>(150*600+200*1000)/10000</f>
        <v>29</v>
      </c>
      <c r="F31" s="113" t="s">
        <v>411</v>
      </c>
      <c r="G31" s="114">
        <v>0.4</v>
      </c>
      <c r="H31" s="115">
        <f t="shared" si="13"/>
        <v>11.6</v>
      </c>
      <c r="I31" s="132">
        <v>2026</v>
      </c>
      <c r="J31" s="119">
        <v>0</v>
      </c>
      <c r="K31" s="119">
        <v>0</v>
      </c>
      <c r="L31" s="119">
        <f>H31*60%</f>
        <v>6.96</v>
      </c>
      <c r="M31" s="119">
        <f>H31*100%</f>
        <v>11.6</v>
      </c>
      <c r="N31" s="119">
        <f t="shared" si="14"/>
        <v>11.6</v>
      </c>
      <c r="O31" s="119">
        <f t="shared" si="15"/>
        <v>11.716</v>
      </c>
      <c r="P31" s="119">
        <f t="shared" si="15"/>
        <v>11.83316</v>
      </c>
      <c r="Q31" s="119">
        <f t="shared" si="15"/>
        <v>11.9514916</v>
      </c>
      <c r="R31" s="119">
        <f t="shared" si="15"/>
        <v>12.071006516</v>
      </c>
      <c r="S31" s="119">
        <f t="shared" si="15"/>
        <v>12.19171658116</v>
      </c>
      <c r="T31" s="119">
        <f t="shared" si="15"/>
        <v>12.3136337469716</v>
      </c>
      <c r="U31" s="119">
        <f t="shared" si="15"/>
        <v>12.4367700844413</v>
      </c>
      <c r="V31" s="119">
        <f t="shared" si="15"/>
        <v>12.5611377852857</v>
      </c>
      <c r="W31" s="119">
        <f t="shared" si="15"/>
        <v>12.6867491631386</v>
      </c>
      <c r="X31" s="119">
        <f t="shared" si="15"/>
        <v>12.81361665477</v>
      </c>
      <c r="Y31" s="119">
        <f t="shared" si="15"/>
        <v>12.9417528213177</v>
      </c>
      <c r="Z31" s="119">
        <f t="shared" si="15"/>
        <v>13.0711703495309</v>
      </c>
      <c r="AA31" s="119">
        <f t="shared" si="15"/>
        <v>13.2018820530262</v>
      </c>
      <c r="AB31" s="119">
        <f t="shared" si="15"/>
        <v>13.3339008735564</v>
      </c>
      <c r="AC31" s="119">
        <f t="shared" si="15"/>
        <v>13.467239882292</v>
      </c>
      <c r="AD31" s="119">
        <f t="shared" si="15"/>
        <v>13.6019122811149</v>
      </c>
      <c r="AE31" s="119">
        <f t="shared" si="15"/>
        <v>13.7379314039261</v>
      </c>
      <c r="AF31" s="119">
        <f t="shared" si="15"/>
        <v>13.8753107179653</v>
      </c>
      <c r="AG31" s="136">
        <f t="shared" si="15"/>
        <v>14.014063825145</v>
      </c>
    </row>
    <row r="32" s="96" customFormat="1" ht="28.95" customHeight="1" spans="1:33">
      <c r="A32" s="109">
        <f t="shared" si="12"/>
        <v>30</v>
      </c>
      <c r="B32" s="117"/>
      <c r="C32" s="111" t="s">
        <v>423</v>
      </c>
      <c r="D32" s="111" t="s">
        <v>424</v>
      </c>
      <c r="E32" s="118">
        <f>500*0.8+400*2</f>
        <v>1200</v>
      </c>
      <c r="F32" s="113" t="s">
        <v>411</v>
      </c>
      <c r="G32" s="114">
        <v>0.4</v>
      </c>
      <c r="H32" s="115">
        <f t="shared" si="13"/>
        <v>480</v>
      </c>
      <c r="I32" s="132">
        <v>2026</v>
      </c>
      <c r="J32" s="119">
        <v>0</v>
      </c>
      <c r="K32" s="119">
        <v>0</v>
      </c>
      <c r="L32" s="119">
        <f>H32*60%</f>
        <v>288</v>
      </c>
      <c r="M32" s="119">
        <f>H32*100%</f>
        <v>480</v>
      </c>
      <c r="N32" s="119">
        <f t="shared" si="14"/>
        <v>480</v>
      </c>
      <c r="O32" s="119">
        <f t="shared" si="15"/>
        <v>484.8</v>
      </c>
      <c r="P32" s="119">
        <f t="shared" si="15"/>
        <v>489.648</v>
      </c>
      <c r="Q32" s="119">
        <f t="shared" si="15"/>
        <v>494.54448</v>
      </c>
      <c r="R32" s="119">
        <f t="shared" si="15"/>
        <v>499.4899248</v>
      </c>
      <c r="S32" s="119">
        <f t="shared" si="15"/>
        <v>504.484824048</v>
      </c>
      <c r="T32" s="119">
        <f t="shared" si="15"/>
        <v>509.52967228848</v>
      </c>
      <c r="U32" s="119">
        <f t="shared" si="15"/>
        <v>514.624969011365</v>
      </c>
      <c r="V32" s="119">
        <f t="shared" si="15"/>
        <v>519.771218701479</v>
      </c>
      <c r="W32" s="119">
        <f t="shared" si="15"/>
        <v>524.968930888493</v>
      </c>
      <c r="X32" s="119">
        <f t="shared" si="15"/>
        <v>530.218620197378</v>
      </c>
      <c r="Y32" s="119">
        <f t="shared" si="15"/>
        <v>535.520806399352</v>
      </c>
      <c r="Z32" s="119">
        <f t="shared" si="15"/>
        <v>540.876014463346</v>
      </c>
      <c r="AA32" s="119">
        <f t="shared" si="15"/>
        <v>546.284774607979</v>
      </c>
      <c r="AB32" s="119">
        <f t="shared" si="15"/>
        <v>551.747622354059</v>
      </c>
      <c r="AC32" s="119">
        <f t="shared" si="15"/>
        <v>557.265098577599</v>
      </c>
      <c r="AD32" s="119">
        <f t="shared" si="15"/>
        <v>562.837749563375</v>
      </c>
      <c r="AE32" s="119">
        <f t="shared" si="15"/>
        <v>568.466127059009</v>
      </c>
      <c r="AF32" s="119">
        <f t="shared" si="15"/>
        <v>574.150788329599</v>
      </c>
      <c r="AG32" s="136">
        <f t="shared" si="15"/>
        <v>579.892296212895</v>
      </c>
    </row>
    <row r="33" s="96" customFormat="1" ht="28.95" customHeight="1" spans="1:33">
      <c r="A33" s="109">
        <f t="shared" si="12"/>
        <v>31</v>
      </c>
      <c r="B33" s="111" t="s">
        <v>388</v>
      </c>
      <c r="C33" s="111" t="s">
        <v>425</v>
      </c>
      <c r="D33" s="120" t="s">
        <v>426</v>
      </c>
      <c r="E33" s="118">
        <f>44*60*30*365/10000</f>
        <v>2890.8</v>
      </c>
      <c r="F33" s="113" t="s">
        <v>411</v>
      </c>
      <c r="G33" s="114">
        <v>0.4</v>
      </c>
      <c r="H33" s="115">
        <f t="shared" si="13"/>
        <v>1156.32</v>
      </c>
      <c r="I33" s="118" t="s">
        <v>427</v>
      </c>
      <c r="J33" s="119">
        <v>0</v>
      </c>
      <c r="K33" s="119">
        <v>0</v>
      </c>
      <c r="L33" s="119">
        <f>H33*5/44*60%</f>
        <v>78.84</v>
      </c>
      <c r="M33" s="119">
        <f>H33*5/44+H33*19/44*60%</f>
        <v>430.992</v>
      </c>
      <c r="N33" s="119">
        <f t="shared" si="14"/>
        <v>1156.32</v>
      </c>
      <c r="O33" s="119">
        <f t="shared" si="15"/>
        <v>1167.8832</v>
      </c>
      <c r="P33" s="119">
        <f t="shared" si="15"/>
        <v>1179.562032</v>
      </c>
      <c r="Q33" s="119">
        <f t="shared" si="15"/>
        <v>1191.35765232</v>
      </c>
      <c r="R33" s="119">
        <f t="shared" si="15"/>
        <v>1203.2712288432</v>
      </c>
      <c r="S33" s="119">
        <f t="shared" si="15"/>
        <v>1215.30394113163</v>
      </c>
      <c r="T33" s="119">
        <f t="shared" si="15"/>
        <v>1227.45698054295</v>
      </c>
      <c r="U33" s="119">
        <f t="shared" si="15"/>
        <v>1239.73155034838</v>
      </c>
      <c r="V33" s="119">
        <f t="shared" si="15"/>
        <v>1252.12886585186</v>
      </c>
      <c r="W33" s="119">
        <f t="shared" si="15"/>
        <v>1264.65015451038</v>
      </c>
      <c r="X33" s="119">
        <f t="shared" si="15"/>
        <v>1277.29665605548</v>
      </c>
      <c r="Y33" s="119">
        <f t="shared" si="15"/>
        <v>1290.06962261604</v>
      </c>
      <c r="Z33" s="119">
        <f t="shared" si="15"/>
        <v>1302.9703188422</v>
      </c>
      <c r="AA33" s="119">
        <f t="shared" si="15"/>
        <v>1316.00002203062</v>
      </c>
      <c r="AB33" s="119">
        <f t="shared" si="15"/>
        <v>1329.16002225093</v>
      </c>
      <c r="AC33" s="119">
        <f t="shared" si="15"/>
        <v>1342.45162247344</v>
      </c>
      <c r="AD33" s="119">
        <f t="shared" si="15"/>
        <v>1355.87613869817</v>
      </c>
      <c r="AE33" s="119">
        <f t="shared" si="15"/>
        <v>1369.43490008515</v>
      </c>
      <c r="AF33" s="119">
        <f t="shared" si="15"/>
        <v>1383.129249086</v>
      </c>
      <c r="AG33" s="136">
        <f t="shared" si="15"/>
        <v>1396.96054157686</v>
      </c>
    </row>
    <row r="34" s="96" customFormat="1" ht="28.95" customHeight="1" spans="1:33">
      <c r="A34" s="109">
        <f t="shared" si="12"/>
        <v>32</v>
      </c>
      <c r="B34" s="111" t="s">
        <v>391</v>
      </c>
      <c r="C34" s="111" t="s">
        <v>428</v>
      </c>
      <c r="D34" s="111" t="s">
        <v>429</v>
      </c>
      <c r="E34" s="118">
        <f>150*3+150*3*20%</f>
        <v>540</v>
      </c>
      <c r="F34" s="113" t="s">
        <v>411</v>
      </c>
      <c r="G34" s="114">
        <v>0.4</v>
      </c>
      <c r="H34" s="115">
        <f t="shared" si="13"/>
        <v>216</v>
      </c>
      <c r="I34" s="118" t="s">
        <v>430</v>
      </c>
      <c r="J34" s="119">
        <v>0</v>
      </c>
      <c r="K34" s="119">
        <v>0</v>
      </c>
      <c r="L34" s="119">
        <f>H34*3/15*60%</f>
        <v>25.92</v>
      </c>
      <c r="M34" s="119">
        <f>H34*3/15+H34*12/15*60%</f>
        <v>146.88</v>
      </c>
      <c r="N34" s="119">
        <f t="shared" si="14"/>
        <v>216</v>
      </c>
      <c r="O34" s="119">
        <f t="shared" si="15"/>
        <v>218.16</v>
      </c>
      <c r="P34" s="119">
        <f t="shared" si="15"/>
        <v>220.3416</v>
      </c>
      <c r="Q34" s="119">
        <f t="shared" si="15"/>
        <v>222.545016</v>
      </c>
      <c r="R34" s="119">
        <f t="shared" si="15"/>
        <v>224.77046616</v>
      </c>
      <c r="S34" s="119">
        <f t="shared" si="15"/>
        <v>227.0181708216</v>
      </c>
      <c r="T34" s="119">
        <f t="shared" si="15"/>
        <v>229.288352529816</v>
      </c>
      <c r="U34" s="119">
        <f t="shared" si="15"/>
        <v>231.581236055114</v>
      </c>
      <c r="V34" s="119">
        <f t="shared" si="15"/>
        <v>233.897048415665</v>
      </c>
      <c r="W34" s="119">
        <f t="shared" si="15"/>
        <v>236.236018899822</v>
      </c>
      <c r="X34" s="119">
        <f t="shared" si="15"/>
        <v>238.59837908882</v>
      </c>
      <c r="Y34" s="119">
        <f t="shared" si="15"/>
        <v>240.984362879708</v>
      </c>
      <c r="Z34" s="119">
        <f t="shared" si="15"/>
        <v>243.394206508505</v>
      </c>
      <c r="AA34" s="119">
        <f t="shared" si="15"/>
        <v>245.828148573591</v>
      </c>
      <c r="AB34" s="119">
        <f t="shared" si="15"/>
        <v>248.286430059326</v>
      </c>
      <c r="AC34" s="119">
        <f t="shared" si="15"/>
        <v>250.76929435992</v>
      </c>
      <c r="AD34" s="119">
        <f t="shared" si="15"/>
        <v>253.276987303519</v>
      </c>
      <c r="AE34" s="119">
        <f t="shared" si="15"/>
        <v>255.809757176554</v>
      </c>
      <c r="AF34" s="119">
        <f t="shared" si="15"/>
        <v>258.36785474832</v>
      </c>
      <c r="AG34" s="136">
        <f t="shared" si="15"/>
        <v>260.951533295803</v>
      </c>
    </row>
    <row r="35" s="96" customFormat="1" ht="28.95" customHeight="1" spans="1:33">
      <c r="A35" s="109">
        <f t="shared" si="12"/>
        <v>33</v>
      </c>
      <c r="B35" s="111" t="s">
        <v>392</v>
      </c>
      <c r="C35" s="111" t="s">
        <v>431</v>
      </c>
      <c r="D35" s="111" t="s">
        <v>432</v>
      </c>
      <c r="E35" s="118">
        <f>3*(500*30%*500+500*70%*200)*12/10000</f>
        <v>522</v>
      </c>
      <c r="F35" s="113" t="s">
        <v>411</v>
      </c>
      <c r="G35" s="114">
        <v>0.4</v>
      </c>
      <c r="H35" s="115">
        <f t="shared" si="13"/>
        <v>208.8</v>
      </c>
      <c r="I35" s="118" t="s">
        <v>288</v>
      </c>
      <c r="J35" s="119">
        <v>0</v>
      </c>
      <c r="K35" s="119">
        <v>0</v>
      </c>
      <c r="L35" s="119">
        <v>0</v>
      </c>
      <c r="M35" s="119">
        <f t="shared" ref="M35:M37" si="16">H35*60%</f>
        <v>125.28</v>
      </c>
      <c r="N35" s="119">
        <f t="shared" si="14"/>
        <v>208.8</v>
      </c>
      <c r="O35" s="119">
        <f t="shared" si="15"/>
        <v>210.888</v>
      </c>
      <c r="P35" s="119">
        <f t="shared" si="15"/>
        <v>212.99688</v>
      </c>
      <c r="Q35" s="119">
        <f t="shared" si="15"/>
        <v>215.1268488</v>
      </c>
      <c r="R35" s="119">
        <f t="shared" si="15"/>
        <v>217.278117288</v>
      </c>
      <c r="S35" s="119">
        <f t="shared" si="15"/>
        <v>219.45089846088</v>
      </c>
      <c r="T35" s="119">
        <f t="shared" si="15"/>
        <v>221.645407445489</v>
      </c>
      <c r="U35" s="119">
        <f t="shared" si="15"/>
        <v>223.861861519944</v>
      </c>
      <c r="V35" s="119">
        <f t="shared" si="15"/>
        <v>226.100480135143</v>
      </c>
      <c r="W35" s="119">
        <f t="shared" si="15"/>
        <v>228.361484936495</v>
      </c>
      <c r="X35" s="119">
        <f t="shared" si="15"/>
        <v>230.64509978586</v>
      </c>
      <c r="Y35" s="119">
        <f t="shared" si="15"/>
        <v>232.951550783718</v>
      </c>
      <c r="Z35" s="119">
        <f t="shared" si="15"/>
        <v>235.281066291555</v>
      </c>
      <c r="AA35" s="119">
        <f t="shared" si="15"/>
        <v>237.633876954471</v>
      </c>
      <c r="AB35" s="119">
        <f t="shared" si="15"/>
        <v>240.010215724016</v>
      </c>
      <c r="AC35" s="119">
        <f t="shared" si="15"/>
        <v>242.410317881256</v>
      </c>
      <c r="AD35" s="119">
        <f t="shared" si="15"/>
        <v>244.834421060068</v>
      </c>
      <c r="AE35" s="119">
        <f t="shared" si="15"/>
        <v>247.282765270669</v>
      </c>
      <c r="AF35" s="119">
        <f t="shared" si="15"/>
        <v>249.755592923376</v>
      </c>
      <c r="AG35" s="136">
        <f t="shared" si="15"/>
        <v>252.253148852609</v>
      </c>
    </row>
    <row r="36" s="96" customFormat="1" ht="28.95" customHeight="1" spans="1:33">
      <c r="A36" s="109">
        <f t="shared" si="12"/>
        <v>34</v>
      </c>
      <c r="B36" s="111" t="s">
        <v>393</v>
      </c>
      <c r="C36" s="111" t="s">
        <v>433</v>
      </c>
      <c r="D36" s="111" t="s">
        <v>434</v>
      </c>
      <c r="E36" s="118">
        <f>3*20*60*365/10000</f>
        <v>131.4</v>
      </c>
      <c r="F36" s="113" t="s">
        <v>411</v>
      </c>
      <c r="G36" s="114">
        <v>0.4</v>
      </c>
      <c r="H36" s="115">
        <f t="shared" si="13"/>
        <v>52.56</v>
      </c>
      <c r="I36" s="118" t="s">
        <v>288</v>
      </c>
      <c r="J36" s="119">
        <v>0</v>
      </c>
      <c r="K36" s="119">
        <v>0</v>
      </c>
      <c r="L36" s="119">
        <v>0</v>
      </c>
      <c r="M36" s="119">
        <f t="shared" si="16"/>
        <v>31.536</v>
      </c>
      <c r="N36" s="119">
        <f t="shared" si="14"/>
        <v>52.56</v>
      </c>
      <c r="O36" s="119">
        <f t="shared" si="15"/>
        <v>53.0856</v>
      </c>
      <c r="P36" s="119">
        <f t="shared" si="15"/>
        <v>53.616456</v>
      </c>
      <c r="Q36" s="119">
        <f t="shared" si="15"/>
        <v>54.15262056</v>
      </c>
      <c r="R36" s="119">
        <f t="shared" si="15"/>
        <v>54.6941467656</v>
      </c>
      <c r="S36" s="119">
        <f t="shared" si="15"/>
        <v>55.241088233256</v>
      </c>
      <c r="T36" s="119">
        <f t="shared" si="15"/>
        <v>55.7934991155886</v>
      </c>
      <c r="U36" s="119">
        <f t="shared" si="15"/>
        <v>56.3514341067444</v>
      </c>
      <c r="V36" s="119">
        <f t="shared" si="15"/>
        <v>56.9149484478119</v>
      </c>
      <c r="W36" s="119">
        <f t="shared" si="15"/>
        <v>57.48409793229</v>
      </c>
      <c r="X36" s="119">
        <f t="shared" si="15"/>
        <v>58.0589389116129</v>
      </c>
      <c r="Y36" s="119">
        <f t="shared" si="15"/>
        <v>58.639528300729</v>
      </c>
      <c r="Z36" s="119">
        <f t="shared" si="15"/>
        <v>59.2259235837363</v>
      </c>
      <c r="AA36" s="119">
        <f t="shared" si="15"/>
        <v>59.8181828195737</v>
      </c>
      <c r="AB36" s="119">
        <f t="shared" si="15"/>
        <v>60.4163646477694</v>
      </c>
      <c r="AC36" s="119">
        <f t="shared" si="15"/>
        <v>61.0205282942471</v>
      </c>
      <c r="AD36" s="119">
        <f t="shared" si="15"/>
        <v>61.6307335771896</v>
      </c>
      <c r="AE36" s="119">
        <f t="shared" si="15"/>
        <v>62.2470409129615</v>
      </c>
      <c r="AF36" s="119">
        <f t="shared" si="15"/>
        <v>62.8695113220911</v>
      </c>
      <c r="AG36" s="136">
        <f t="shared" si="15"/>
        <v>63.498206435312</v>
      </c>
    </row>
    <row r="37" s="96" customFormat="1" ht="28.95" customHeight="1" spans="1:33">
      <c r="A37" s="109">
        <f t="shared" si="12"/>
        <v>35</v>
      </c>
      <c r="B37" s="111" t="s">
        <v>394</v>
      </c>
      <c r="C37" s="111" t="s">
        <v>435</v>
      </c>
      <c r="D37" s="111" t="s">
        <v>436</v>
      </c>
      <c r="E37" s="118">
        <f>3*1000*100*12/10000</f>
        <v>360</v>
      </c>
      <c r="F37" s="113" t="s">
        <v>411</v>
      </c>
      <c r="G37" s="114">
        <v>0.4</v>
      </c>
      <c r="H37" s="115">
        <f t="shared" si="13"/>
        <v>144</v>
      </c>
      <c r="I37" s="118" t="s">
        <v>288</v>
      </c>
      <c r="J37" s="119">
        <v>0</v>
      </c>
      <c r="K37" s="119">
        <v>0</v>
      </c>
      <c r="L37" s="119">
        <v>0</v>
      </c>
      <c r="M37" s="119">
        <f t="shared" si="16"/>
        <v>86.4</v>
      </c>
      <c r="N37" s="119">
        <f t="shared" si="14"/>
        <v>144</v>
      </c>
      <c r="O37" s="119">
        <f t="shared" si="15"/>
        <v>145.44</v>
      </c>
      <c r="P37" s="119">
        <f t="shared" si="15"/>
        <v>146.8944</v>
      </c>
      <c r="Q37" s="119">
        <f t="shared" si="15"/>
        <v>148.363344</v>
      </c>
      <c r="R37" s="119">
        <f t="shared" si="15"/>
        <v>149.84697744</v>
      </c>
      <c r="S37" s="119">
        <f t="shared" si="15"/>
        <v>151.3454472144</v>
      </c>
      <c r="T37" s="119">
        <f t="shared" si="15"/>
        <v>152.858901686544</v>
      </c>
      <c r="U37" s="119">
        <f t="shared" si="15"/>
        <v>154.387490703409</v>
      </c>
      <c r="V37" s="119">
        <f t="shared" si="15"/>
        <v>155.931365610444</v>
      </c>
      <c r="W37" s="119">
        <f t="shared" si="15"/>
        <v>157.490679266548</v>
      </c>
      <c r="X37" s="119">
        <f t="shared" si="15"/>
        <v>159.065586059213</v>
      </c>
      <c r="Y37" s="119">
        <f t="shared" si="15"/>
        <v>160.656241919806</v>
      </c>
      <c r="Z37" s="119">
        <f t="shared" si="15"/>
        <v>162.262804339004</v>
      </c>
      <c r="AA37" s="119">
        <f t="shared" si="15"/>
        <v>163.885432382394</v>
      </c>
      <c r="AB37" s="119">
        <f t="shared" si="15"/>
        <v>165.524286706218</v>
      </c>
      <c r="AC37" s="119">
        <f t="shared" si="15"/>
        <v>167.17952957328</v>
      </c>
      <c r="AD37" s="119">
        <f t="shared" si="15"/>
        <v>168.851324869013</v>
      </c>
      <c r="AE37" s="119">
        <f t="shared" si="15"/>
        <v>170.539838117703</v>
      </c>
      <c r="AF37" s="119">
        <f t="shared" si="15"/>
        <v>172.24523649888</v>
      </c>
      <c r="AG37" s="136">
        <f t="shared" si="15"/>
        <v>173.967688863869</v>
      </c>
    </row>
    <row r="38" s="96" customFormat="1" ht="28.95" customHeight="1" spans="1:33">
      <c r="A38" s="109">
        <f t="shared" si="12"/>
        <v>36</v>
      </c>
      <c r="B38" s="110" t="s">
        <v>395</v>
      </c>
      <c r="C38" s="111" t="s">
        <v>437</v>
      </c>
      <c r="D38" s="120" t="s">
        <v>438</v>
      </c>
      <c r="E38" s="118">
        <v>750</v>
      </c>
      <c r="F38" s="113" t="s">
        <v>411</v>
      </c>
      <c r="G38" s="114">
        <v>0.4</v>
      </c>
      <c r="H38" s="115">
        <f t="shared" si="13"/>
        <v>300</v>
      </c>
      <c r="I38" s="118" t="s">
        <v>439</v>
      </c>
      <c r="J38" s="119">
        <v>0</v>
      </c>
      <c r="K38" s="119">
        <v>0</v>
      </c>
      <c r="L38" s="119">
        <f>H38*20/30*60%</f>
        <v>120</v>
      </c>
      <c r="M38" s="119">
        <f>H38*20/30+H38*10/30*60%</f>
        <v>260</v>
      </c>
      <c r="N38" s="119">
        <f t="shared" si="14"/>
        <v>300</v>
      </c>
      <c r="O38" s="119">
        <f t="shared" si="15"/>
        <v>303</v>
      </c>
      <c r="P38" s="119">
        <f t="shared" si="15"/>
        <v>306.03</v>
      </c>
      <c r="Q38" s="119">
        <f t="shared" si="15"/>
        <v>309.0903</v>
      </c>
      <c r="R38" s="119">
        <f t="shared" si="15"/>
        <v>312.181203</v>
      </c>
      <c r="S38" s="119">
        <f t="shared" si="15"/>
        <v>315.30301503</v>
      </c>
      <c r="T38" s="119">
        <f t="shared" si="15"/>
        <v>318.4560451803</v>
      </c>
      <c r="U38" s="119">
        <f t="shared" si="15"/>
        <v>321.640605632103</v>
      </c>
      <c r="V38" s="119">
        <f t="shared" si="15"/>
        <v>324.857011688424</v>
      </c>
      <c r="W38" s="119">
        <f t="shared" ref="W38:AG38" si="17">V38*1.01</f>
        <v>328.105581805308</v>
      </c>
      <c r="X38" s="119">
        <f t="shared" si="17"/>
        <v>331.386637623361</v>
      </c>
      <c r="Y38" s="119">
        <f t="shared" si="17"/>
        <v>334.700503999595</v>
      </c>
      <c r="Z38" s="119">
        <f t="shared" si="17"/>
        <v>338.047509039591</v>
      </c>
      <c r="AA38" s="119">
        <f t="shared" si="17"/>
        <v>341.427984129987</v>
      </c>
      <c r="AB38" s="119">
        <f t="shared" si="17"/>
        <v>344.842263971287</v>
      </c>
      <c r="AC38" s="119">
        <f t="shared" si="17"/>
        <v>348.290686611</v>
      </c>
      <c r="AD38" s="119">
        <f t="shared" si="17"/>
        <v>351.77359347711</v>
      </c>
      <c r="AE38" s="119">
        <f t="shared" si="17"/>
        <v>355.291329411881</v>
      </c>
      <c r="AF38" s="119">
        <f t="shared" si="17"/>
        <v>358.844242706</v>
      </c>
      <c r="AG38" s="136">
        <f t="shared" si="17"/>
        <v>362.43268513306</v>
      </c>
    </row>
    <row r="39" s="96" customFormat="1" ht="28.95" customHeight="1" spans="1:33">
      <c r="A39" s="109">
        <f t="shared" si="12"/>
        <v>37</v>
      </c>
      <c r="B39" s="110" t="s">
        <v>396</v>
      </c>
      <c r="C39" s="120" t="s">
        <v>440</v>
      </c>
      <c r="D39" s="120" t="s">
        <v>441</v>
      </c>
      <c r="E39" s="118">
        <v>100</v>
      </c>
      <c r="F39" s="113" t="s">
        <v>411</v>
      </c>
      <c r="G39" s="114">
        <v>0.4</v>
      </c>
      <c r="H39" s="115">
        <f t="shared" si="13"/>
        <v>40</v>
      </c>
      <c r="I39" s="118" t="s">
        <v>288</v>
      </c>
      <c r="J39" s="119">
        <v>0</v>
      </c>
      <c r="K39" s="119">
        <v>0</v>
      </c>
      <c r="L39" s="119">
        <v>0</v>
      </c>
      <c r="M39" s="119">
        <f t="shared" ref="M39:M40" si="18">H39*60%</f>
        <v>24</v>
      </c>
      <c r="N39" s="119">
        <f t="shared" si="14"/>
        <v>40</v>
      </c>
      <c r="O39" s="119">
        <f t="shared" ref="O39:AG41" si="19">N39*1.01</f>
        <v>40.4</v>
      </c>
      <c r="P39" s="119">
        <f t="shared" si="19"/>
        <v>40.804</v>
      </c>
      <c r="Q39" s="119">
        <f t="shared" si="19"/>
        <v>41.21204</v>
      </c>
      <c r="R39" s="119">
        <f t="shared" si="19"/>
        <v>41.6241604</v>
      </c>
      <c r="S39" s="119">
        <f t="shared" si="19"/>
        <v>42.040402004</v>
      </c>
      <c r="T39" s="119">
        <f t="shared" si="19"/>
        <v>42.46080602404</v>
      </c>
      <c r="U39" s="119">
        <f t="shared" si="19"/>
        <v>42.8854140842804</v>
      </c>
      <c r="V39" s="119">
        <f t="shared" si="19"/>
        <v>43.3142682251232</v>
      </c>
      <c r="W39" s="119">
        <f t="shared" si="19"/>
        <v>43.7474109073744</v>
      </c>
      <c r="X39" s="119">
        <f t="shared" si="19"/>
        <v>44.1848850164482</v>
      </c>
      <c r="Y39" s="119">
        <f t="shared" si="19"/>
        <v>44.6267338666127</v>
      </c>
      <c r="Z39" s="119">
        <f t="shared" si="19"/>
        <v>45.0730012052788</v>
      </c>
      <c r="AA39" s="119">
        <f t="shared" si="19"/>
        <v>45.5237312173316</v>
      </c>
      <c r="AB39" s="119">
        <f t="shared" si="19"/>
        <v>45.9789685295049</v>
      </c>
      <c r="AC39" s="119">
        <f t="shared" si="19"/>
        <v>46.4387582147999</v>
      </c>
      <c r="AD39" s="119">
        <f t="shared" si="19"/>
        <v>46.9031457969479</v>
      </c>
      <c r="AE39" s="119">
        <f t="shared" si="19"/>
        <v>47.3721772549174</v>
      </c>
      <c r="AF39" s="119">
        <f t="shared" si="19"/>
        <v>47.8458990274666</v>
      </c>
      <c r="AG39" s="136">
        <f t="shared" si="19"/>
        <v>48.3243580177413</v>
      </c>
    </row>
    <row r="40" s="96" customFormat="1" ht="28.95" customHeight="1" spans="1:33">
      <c r="A40" s="109">
        <f t="shared" si="12"/>
        <v>38</v>
      </c>
      <c r="B40" s="117"/>
      <c r="C40" s="111" t="s">
        <v>442</v>
      </c>
      <c r="D40" s="120" t="s">
        <v>443</v>
      </c>
      <c r="E40" s="118">
        <v>100</v>
      </c>
      <c r="F40" s="113" t="s">
        <v>411</v>
      </c>
      <c r="G40" s="114">
        <v>0.4</v>
      </c>
      <c r="H40" s="115">
        <f t="shared" si="13"/>
        <v>40</v>
      </c>
      <c r="I40" s="118" t="s">
        <v>288</v>
      </c>
      <c r="J40" s="119">
        <v>0</v>
      </c>
      <c r="K40" s="119">
        <v>0</v>
      </c>
      <c r="L40" s="119">
        <v>0</v>
      </c>
      <c r="M40" s="119">
        <f t="shared" si="18"/>
        <v>24</v>
      </c>
      <c r="N40" s="119">
        <f t="shared" si="14"/>
        <v>40</v>
      </c>
      <c r="O40" s="119">
        <f t="shared" si="19"/>
        <v>40.4</v>
      </c>
      <c r="P40" s="119">
        <f t="shared" si="19"/>
        <v>40.804</v>
      </c>
      <c r="Q40" s="119">
        <f t="shared" si="19"/>
        <v>41.21204</v>
      </c>
      <c r="R40" s="119">
        <f t="shared" si="19"/>
        <v>41.6241604</v>
      </c>
      <c r="S40" s="119">
        <f t="shared" si="19"/>
        <v>42.040402004</v>
      </c>
      <c r="T40" s="119">
        <f t="shared" si="19"/>
        <v>42.46080602404</v>
      </c>
      <c r="U40" s="119">
        <f t="shared" si="19"/>
        <v>42.8854140842804</v>
      </c>
      <c r="V40" s="119">
        <f t="shared" si="19"/>
        <v>43.3142682251232</v>
      </c>
      <c r="W40" s="119">
        <f t="shared" si="19"/>
        <v>43.7474109073744</v>
      </c>
      <c r="X40" s="119">
        <f t="shared" si="19"/>
        <v>44.1848850164482</v>
      </c>
      <c r="Y40" s="119">
        <f t="shared" si="19"/>
        <v>44.6267338666127</v>
      </c>
      <c r="Z40" s="119">
        <f t="shared" si="19"/>
        <v>45.0730012052788</v>
      </c>
      <c r="AA40" s="119">
        <f t="shared" si="19"/>
        <v>45.5237312173316</v>
      </c>
      <c r="AB40" s="119">
        <f t="shared" si="19"/>
        <v>45.9789685295049</v>
      </c>
      <c r="AC40" s="119">
        <f t="shared" si="19"/>
        <v>46.4387582147999</v>
      </c>
      <c r="AD40" s="119">
        <f t="shared" si="19"/>
        <v>46.9031457969479</v>
      </c>
      <c r="AE40" s="119">
        <f t="shared" si="19"/>
        <v>47.3721772549174</v>
      </c>
      <c r="AF40" s="119">
        <f t="shared" si="19"/>
        <v>47.8458990274666</v>
      </c>
      <c r="AG40" s="136">
        <f t="shared" si="19"/>
        <v>48.3243580177413</v>
      </c>
    </row>
    <row r="41" s="96" customFormat="1" ht="28.95" customHeight="1" spans="1:33">
      <c r="A41" s="109">
        <f t="shared" si="12"/>
        <v>39</v>
      </c>
      <c r="B41" s="111" t="s">
        <v>397</v>
      </c>
      <c r="C41" s="111" t="s">
        <v>444</v>
      </c>
      <c r="D41" s="111" t="s">
        <v>445</v>
      </c>
      <c r="E41" s="118">
        <f>3.5*200</f>
        <v>700</v>
      </c>
      <c r="F41" s="113" t="s">
        <v>411</v>
      </c>
      <c r="G41" s="114">
        <v>0.4</v>
      </c>
      <c r="H41" s="115">
        <f t="shared" si="13"/>
        <v>280</v>
      </c>
      <c r="I41" s="132">
        <v>2026</v>
      </c>
      <c r="J41" s="119">
        <v>0</v>
      </c>
      <c r="K41" s="119">
        <v>0</v>
      </c>
      <c r="L41" s="119">
        <f>H41*60%</f>
        <v>168</v>
      </c>
      <c r="M41" s="119">
        <f>H41*100%</f>
        <v>280</v>
      </c>
      <c r="N41" s="119">
        <f t="shared" si="14"/>
        <v>280</v>
      </c>
      <c r="O41" s="119">
        <f t="shared" si="19"/>
        <v>282.8</v>
      </c>
      <c r="P41" s="119">
        <f t="shared" si="19"/>
        <v>285.628</v>
      </c>
      <c r="Q41" s="119">
        <f t="shared" si="19"/>
        <v>288.48428</v>
      </c>
      <c r="R41" s="119">
        <f t="shared" si="19"/>
        <v>291.3691228</v>
      </c>
      <c r="S41" s="119">
        <f t="shared" si="19"/>
        <v>294.282814028</v>
      </c>
      <c r="T41" s="119">
        <f t="shared" si="19"/>
        <v>297.22564216828</v>
      </c>
      <c r="U41" s="119">
        <f t="shared" si="19"/>
        <v>300.197898589963</v>
      </c>
      <c r="V41" s="119">
        <f t="shared" si="19"/>
        <v>303.199877575863</v>
      </c>
      <c r="W41" s="119">
        <f t="shared" si="19"/>
        <v>306.231876351621</v>
      </c>
      <c r="X41" s="119">
        <f t="shared" si="19"/>
        <v>309.294195115137</v>
      </c>
      <c r="Y41" s="119">
        <f t="shared" si="19"/>
        <v>312.387137066289</v>
      </c>
      <c r="Z41" s="119">
        <f t="shared" si="19"/>
        <v>315.511008436952</v>
      </c>
      <c r="AA41" s="119">
        <f t="shared" si="19"/>
        <v>318.666118521321</v>
      </c>
      <c r="AB41" s="119">
        <f t="shared" si="19"/>
        <v>321.852779706534</v>
      </c>
      <c r="AC41" s="119">
        <f t="shared" si="19"/>
        <v>325.0713075036</v>
      </c>
      <c r="AD41" s="119">
        <f t="shared" si="19"/>
        <v>328.322020578636</v>
      </c>
      <c r="AE41" s="119">
        <f t="shared" si="19"/>
        <v>331.605240784422</v>
      </c>
      <c r="AF41" s="119">
        <f t="shared" si="19"/>
        <v>334.921293192266</v>
      </c>
      <c r="AG41" s="136">
        <f t="shared" si="19"/>
        <v>338.270506124189</v>
      </c>
    </row>
    <row r="42" s="96" customFormat="1" ht="28.95" customHeight="1" spans="1:34">
      <c r="A42" s="121" t="s">
        <v>80</v>
      </c>
      <c r="B42" s="122"/>
      <c r="C42" s="122"/>
      <c r="D42" s="123"/>
      <c r="E42" s="124">
        <f>SUM(E26:E41)</f>
        <v>8111.475</v>
      </c>
      <c r="F42" s="125"/>
      <c r="G42" s="124"/>
      <c r="H42" s="124">
        <f>SUM(H26:H41)</f>
        <v>3244.59</v>
      </c>
      <c r="I42" s="124"/>
      <c r="J42" s="124">
        <f t="shared" ref="J42:AG42" si="20">SUM(J26:J41)</f>
        <v>0</v>
      </c>
      <c r="K42" s="124">
        <f t="shared" si="20"/>
        <v>0</v>
      </c>
      <c r="L42" s="124">
        <f t="shared" si="20"/>
        <v>846.684</v>
      </c>
      <c r="M42" s="124">
        <f t="shared" si="20"/>
        <v>2195.85</v>
      </c>
      <c r="N42" s="124">
        <f t="shared" si="20"/>
        <v>3244.59</v>
      </c>
      <c r="O42" s="124">
        <f t="shared" si="20"/>
        <v>3277.0359</v>
      </c>
      <c r="P42" s="124">
        <f t="shared" si="20"/>
        <v>3309.806259</v>
      </c>
      <c r="Q42" s="124">
        <f t="shared" si="20"/>
        <v>3342.90432159</v>
      </c>
      <c r="R42" s="124">
        <f t="shared" si="20"/>
        <v>3376.3333648059</v>
      </c>
      <c r="S42" s="124">
        <f t="shared" si="20"/>
        <v>3410.09669845396</v>
      </c>
      <c r="T42" s="124">
        <f t="shared" si="20"/>
        <v>3444.1976654385</v>
      </c>
      <c r="U42" s="124">
        <f t="shared" si="20"/>
        <v>3478.63964209288</v>
      </c>
      <c r="V42" s="124">
        <f t="shared" si="20"/>
        <v>3513.42603851381</v>
      </c>
      <c r="W42" s="124">
        <f t="shared" si="20"/>
        <v>3548.56029889895</v>
      </c>
      <c r="X42" s="124">
        <f t="shared" si="20"/>
        <v>3584.04590188794</v>
      </c>
      <c r="Y42" s="124">
        <f t="shared" si="20"/>
        <v>3619.88636090682</v>
      </c>
      <c r="Z42" s="124">
        <f t="shared" si="20"/>
        <v>3656.08522451589</v>
      </c>
      <c r="AA42" s="124">
        <f t="shared" si="20"/>
        <v>3692.64607676105</v>
      </c>
      <c r="AB42" s="124">
        <f t="shared" si="20"/>
        <v>3729.57253752866</v>
      </c>
      <c r="AC42" s="124">
        <f t="shared" si="20"/>
        <v>3766.86826290394</v>
      </c>
      <c r="AD42" s="124">
        <f t="shared" si="20"/>
        <v>3804.53694553298</v>
      </c>
      <c r="AE42" s="124">
        <f t="shared" si="20"/>
        <v>3842.58231498831</v>
      </c>
      <c r="AF42" s="124">
        <f t="shared" si="20"/>
        <v>3881.0081381382</v>
      </c>
      <c r="AG42" s="137">
        <f t="shared" si="20"/>
        <v>3919.81821951958</v>
      </c>
      <c r="AH42" s="138">
        <f>SUM(J42:AG42)</f>
        <v>74485.1741714774</v>
      </c>
    </row>
    <row r="43" s="96" customFormat="1" ht="15" customHeight="1" spans="1:34">
      <c r="A43" s="126"/>
      <c r="B43" s="127"/>
      <c r="C43" s="127"/>
      <c r="D43" s="127"/>
      <c r="E43" s="128"/>
      <c r="F43" s="126"/>
      <c r="G43" s="128"/>
      <c r="H43" s="128"/>
      <c r="I43" s="128" cm="1">
        <f t="array" ref="I43:N43">'b利润与利润分配表（损益和利润分配表）'!C27:H27</f>
        <v>0.116211980904555</v>
      </c>
      <c r="J43" s="128">
        <v>0</v>
      </c>
      <c r="K43" s="128">
        <v>0</v>
      </c>
      <c r="L43" s="128">
        <v>0</v>
      </c>
      <c r="M43" s="128">
        <v>0</v>
      </c>
      <c r="N43" s="128">
        <v>0</v>
      </c>
      <c r="O43" s="128"/>
      <c r="P43" s="128"/>
      <c r="Q43" s="128"/>
      <c r="R43" s="128"/>
      <c r="S43" s="128"/>
      <c r="T43" s="128"/>
      <c r="U43" s="128"/>
      <c r="V43" s="128"/>
      <c r="W43" s="128"/>
      <c r="X43" s="128"/>
      <c r="Y43" s="128"/>
      <c r="Z43" s="128"/>
      <c r="AA43" s="128"/>
      <c r="AB43" s="128"/>
      <c r="AC43" s="128"/>
      <c r="AD43" s="128"/>
      <c r="AE43" s="128"/>
      <c r="AF43" s="134"/>
      <c r="AG43" s="134"/>
      <c r="AH43" s="138"/>
    </row>
    <row r="44" s="96" customFormat="1" ht="15" customHeight="1" spans="1:34">
      <c r="A44" s="126"/>
      <c r="B44" s="127"/>
      <c r="C44" s="127"/>
      <c r="D44" s="127"/>
      <c r="E44" s="128"/>
      <c r="F44" s="126"/>
      <c r="G44" s="128"/>
      <c r="H44" s="128"/>
      <c r="I44" s="128"/>
      <c r="J44" s="128"/>
      <c r="K44" s="128"/>
      <c r="L44" s="128"/>
      <c r="M44" s="128"/>
      <c r="N44" s="128"/>
      <c r="O44" s="128"/>
      <c r="P44" s="128"/>
      <c r="Q44" s="128"/>
      <c r="R44" s="128"/>
      <c r="S44" s="128"/>
      <c r="T44" s="128"/>
      <c r="U44" s="128"/>
      <c r="V44" s="128"/>
      <c r="W44" s="128"/>
      <c r="X44" s="128"/>
      <c r="Y44" s="128"/>
      <c r="Z44" s="128"/>
      <c r="AA44" s="128"/>
      <c r="AB44" s="128"/>
      <c r="AC44" s="128"/>
      <c r="AD44" s="128"/>
      <c r="AE44" s="128"/>
      <c r="AF44" s="134"/>
      <c r="AG44" s="134"/>
      <c r="AH44" s="138"/>
    </row>
  </sheetData>
  <mergeCells count="36">
    <mergeCell ref="A1:L1"/>
    <mergeCell ref="C4:G4"/>
    <mergeCell ref="C6:G6"/>
    <mergeCell ref="C8:G8"/>
    <mergeCell ref="C10:G10"/>
    <mergeCell ref="C12:G12"/>
    <mergeCell ref="C14:G14"/>
    <mergeCell ref="C16:G16"/>
    <mergeCell ref="C18:G18"/>
    <mergeCell ref="C20:G20"/>
    <mergeCell ref="C22:G22"/>
    <mergeCell ref="A24:AG24"/>
    <mergeCell ref="A42:D42"/>
    <mergeCell ref="A3:A4"/>
    <mergeCell ref="A5:A6"/>
    <mergeCell ref="A7:A8"/>
    <mergeCell ref="A9:A10"/>
    <mergeCell ref="A11:A12"/>
    <mergeCell ref="A13:A14"/>
    <mergeCell ref="A15:A16"/>
    <mergeCell ref="A17:A18"/>
    <mergeCell ref="A19:A20"/>
    <mergeCell ref="A21:A22"/>
    <mergeCell ref="B3:B4"/>
    <mergeCell ref="B5:B6"/>
    <mergeCell ref="B7:B8"/>
    <mergeCell ref="B9:B10"/>
    <mergeCell ref="B11:B12"/>
    <mergeCell ref="B13:B14"/>
    <mergeCell ref="B15:B16"/>
    <mergeCell ref="B17:B18"/>
    <mergeCell ref="B19:B20"/>
    <mergeCell ref="B21:B22"/>
    <mergeCell ref="B26:B28"/>
    <mergeCell ref="B29:B32"/>
    <mergeCell ref="B39:B40"/>
  </mergeCells>
  <dataValidations count="2">
    <dataValidation type="list" allowBlank="1" showInputMessage="1" showErrorMessage="1" sqref="F3 F9 F15">
      <formula1>"不增长,每2年增长,每3年增长,每5年增长,自定义增长"</formula1>
    </dataValidation>
    <dataValidation type="list" allowBlank="1" showInputMessage="1" showErrorMessage="1" sqref="F5 F7 F11 F13 F17 F19 F21">
      <formula1>"不增长,每年增长,每2年增长,每3年增长,每5年增长,自定义增长"</formula1>
    </dataValidation>
  </dataValidations>
  <pageMargins left="0.75" right="0.75" top="1" bottom="1" header="0.5" footer="0.5"/>
  <pageSetup paperSize="9" orientation="portrait"/>
  <headerFooter/>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9">
    <tabColor rgb="FFFFFF00"/>
  </sheetPr>
  <dimension ref="A1:I31"/>
  <sheetViews>
    <sheetView zoomScale="85" zoomScaleNormal="85" workbookViewId="0">
      <pane xSplit="3" ySplit="2" topLeftCell="D3" activePane="bottomRight" state="frozen"/>
      <selection/>
      <selection pane="topRight"/>
      <selection pane="bottomLeft"/>
      <selection pane="bottomRight" activeCell="B6" sqref="B6"/>
    </sheetView>
  </sheetViews>
  <sheetFormatPr defaultColWidth="8.89090909090909" defaultRowHeight="14"/>
  <cols>
    <col min="1" max="1" width="13.1090909090909" customWidth="1"/>
    <col min="2" max="2" width="33.2181818181818" customWidth="1"/>
    <col min="3" max="3" width="25.7818181818182" customWidth="1"/>
    <col min="4" max="4" width="14.7818181818182" customWidth="1"/>
    <col min="5" max="5" width="13.8909090909091" customWidth="1"/>
    <col min="6" max="6" width="14.7818181818182" customWidth="1"/>
    <col min="7" max="7" width="17.1090909090909"/>
    <col min="8" max="8" width="14.7818181818182" customWidth="1"/>
  </cols>
  <sheetData>
    <row r="1" ht="20" spans="1:9">
      <c r="A1" s="85" t="s">
        <v>446</v>
      </c>
      <c r="B1" s="86"/>
      <c r="C1" s="86"/>
      <c r="D1" s="86"/>
      <c r="E1" s="86"/>
      <c r="F1" s="86"/>
      <c r="G1" s="86"/>
      <c r="H1" s="86"/>
      <c r="I1" s="13" t="s">
        <v>447</v>
      </c>
    </row>
    <row r="2" ht="16.5" spans="1:8">
      <c r="A2" s="2" t="s">
        <v>1</v>
      </c>
      <c r="B2" s="2" t="s">
        <v>143</v>
      </c>
      <c r="C2" s="2" t="s">
        <v>448</v>
      </c>
      <c r="D2" s="34" t="s">
        <v>449</v>
      </c>
      <c r="E2" s="34" t="s">
        <v>450</v>
      </c>
      <c r="F2" s="34" t="s">
        <v>451</v>
      </c>
      <c r="G2" s="34" t="s">
        <v>452</v>
      </c>
      <c r="H2" s="34" t="s">
        <v>453</v>
      </c>
    </row>
    <row r="3" ht="33" spans="1:9">
      <c r="A3" s="7"/>
      <c r="B3" s="7"/>
      <c r="C3" s="36" t="s">
        <v>454</v>
      </c>
      <c r="D3" s="40">
        <f>'G.1进项增值税率-建设投资'!F17</f>
        <v>2589.55182668377</v>
      </c>
      <c r="E3" s="91">
        <f>IF(D29=0,ABS(D25-D4-D3),0)</f>
        <v>2589.55182668377</v>
      </c>
      <c r="F3" s="91">
        <f t="shared" ref="F3:H3" si="0">IF(E29=0,ABS(E25-E4-E3),0)</f>
        <v>2589.55182668377</v>
      </c>
      <c r="G3" s="91">
        <f t="shared" si="0"/>
        <v>2612.55213077491</v>
      </c>
      <c r="H3" s="40">
        <f t="shared" si="0"/>
        <v>2613.9478762563</v>
      </c>
      <c r="I3" s="13" t="s">
        <v>455</v>
      </c>
    </row>
    <row r="4" ht="16.5" spans="1:8">
      <c r="A4" s="7">
        <v>1</v>
      </c>
      <c r="B4" s="7" t="s">
        <v>456</v>
      </c>
      <c r="C4" s="7"/>
      <c r="D4" s="12">
        <f t="shared" ref="D4:E4" si="1">SUM(D5:D24)</f>
        <v>0</v>
      </c>
      <c r="E4" s="12">
        <f t="shared" si="1"/>
        <v>0</v>
      </c>
      <c r="F4" s="12">
        <f t="shared" ref="F4:H4" si="2">SUM(F5:F24)</f>
        <v>53.1567569213283</v>
      </c>
      <c r="G4" s="12">
        <f t="shared" si="2"/>
        <v>70.325217179508</v>
      </c>
      <c r="H4" s="12">
        <f t="shared" si="2"/>
        <v>71.3800954372006</v>
      </c>
    </row>
    <row r="5" ht="16.5" spans="1:8">
      <c r="A5" s="7"/>
      <c r="B5" s="92" t="s">
        <v>234</v>
      </c>
      <c r="C5" s="7"/>
      <c r="D5" s="93">
        <f>E.1项目运营期费用!H4*'G.2进项增值税率-运营成本'!$C3/(1+'G.2进项增值税率-运营成本'!$C3)</f>
        <v>0</v>
      </c>
      <c r="E5" s="94">
        <f>E.1项目运营期费用!I4*'G.2进项增值税率-运营成本'!$C3/(1+'G.2进项增值税率-运营成本'!$C3)</f>
        <v>0</v>
      </c>
      <c r="F5" s="94">
        <f>E.1项目运营期费用!J4*'G.2进项增值税率-运营成本'!$C3/(1+'G.2进项增值税率-运营成本'!$C3)</f>
        <v>9.90825688073394</v>
      </c>
      <c r="G5" s="94">
        <f>E.1项目运营期费用!K4*'G.2进项增值税率-运营成本'!$C3/(1+'G.2进项增值税率-运营成本'!$C3)</f>
        <v>13.2110091743119</v>
      </c>
      <c r="H5" s="94">
        <f>E.1项目运营期费用!L4*'G.2进项增值税率-运营成本'!$C3/(1+'G.2进项增值税率-运营成本'!$C3)</f>
        <v>13.4091743119266</v>
      </c>
    </row>
    <row r="6" ht="29" spans="1:8">
      <c r="A6" s="7"/>
      <c r="B6" s="95" t="s">
        <v>236</v>
      </c>
      <c r="C6" s="7"/>
      <c r="D6" s="93">
        <f>E.1项目运营期费用!H5*'G.2进项增值税率-运营成本'!$C4/(1+'G.2进项增值税率-运营成本'!$C4)</f>
        <v>0</v>
      </c>
      <c r="E6" s="94">
        <f>E.1项目运营期费用!I5*'G.2进项增值税率-运营成本'!$C4/(1+'G.2进项增值税率-运营成本'!$C4)</f>
        <v>0</v>
      </c>
      <c r="F6" s="94">
        <f>E.1项目运营期费用!J5*'G.2进项增值税率-运营成本'!$C4/(1+'G.2进项增值税率-运营成本'!$C4)</f>
        <v>0</v>
      </c>
      <c r="G6" s="94">
        <f>E.1项目运营期费用!K5*'G.2进项增值税率-运营成本'!$C4/(1+'G.2进项增值税率-运营成本'!$C4)</f>
        <v>0</v>
      </c>
      <c r="H6" s="94">
        <f>E.1项目运营期费用!L5*'G.2进项增值税率-运营成本'!$C4/(1+'G.2进项增值税率-运营成本'!$C4)</f>
        <v>0</v>
      </c>
    </row>
    <row r="7" ht="16.5" spans="1:8">
      <c r="A7" s="7"/>
      <c r="B7" s="92" t="s">
        <v>238</v>
      </c>
      <c r="C7" s="7"/>
      <c r="D7" s="93">
        <f>E.1项目运营期费用!H6*'G.2进项增值税率-运营成本'!$C5/(1+'G.2进项增值税率-运营成本'!$C5)</f>
        <v>0</v>
      </c>
      <c r="E7" s="94">
        <f>E.1项目运营期费用!I6*'G.2进项增值税率-运营成本'!$C5/(1+'G.2进项增值税率-运营成本'!$C5)</f>
        <v>0</v>
      </c>
      <c r="F7" s="94">
        <f>E.1项目运营期费用!J6*'G.2进项增值税率-运营成本'!$C5/(1+'G.2进项增值税率-运营成本'!$C5)</f>
        <v>0</v>
      </c>
      <c r="G7" s="94">
        <f>E.1项目运营期费用!K6*'G.2进项增值税率-运营成本'!$C5/(1+'G.2进项增值税率-运营成本'!$C5)</f>
        <v>0</v>
      </c>
      <c r="H7" s="94">
        <f>E.1项目运营期费用!L6*'G.2进项增值税率-运营成本'!$C5/(1+'G.2进项增值税率-运营成本'!$C5)</f>
        <v>0</v>
      </c>
    </row>
    <row r="8" ht="16.5" spans="1:8">
      <c r="A8" s="7"/>
      <c r="B8" s="92" t="s">
        <v>240</v>
      </c>
      <c r="C8" s="7"/>
      <c r="D8" s="93">
        <f>E.1项目运营期费用!H7*'G.2进项增值税率-运营成本'!$C6/(1+'G.2进项增值税率-运营成本'!$C6)</f>
        <v>0</v>
      </c>
      <c r="E8" s="94">
        <f>E.1项目运营期费用!I7*'G.2进项增值税率-运营成本'!$C6/(1+'G.2进项增值税率-运营成本'!$C6)</f>
        <v>0</v>
      </c>
      <c r="F8" s="94">
        <f>E.1项目运营期费用!J7*'G.2进项增值税率-运营成本'!$C6/(1+'G.2进项增值税率-运营成本'!$C6)</f>
        <v>0</v>
      </c>
      <c r="G8" s="94">
        <f>E.1项目运营期费用!K7*'G.2进项增值税率-运营成本'!$C6/(1+'G.2进项增值税率-运营成本'!$C6)</f>
        <v>0</v>
      </c>
      <c r="H8" s="94">
        <f>E.1项目运营期费用!L7*'G.2进项增值税率-运营成本'!$C6/(1+'G.2进项增值税率-运营成本'!$C6)</f>
        <v>0</v>
      </c>
    </row>
    <row r="9" ht="16.5" spans="1:8">
      <c r="A9" s="7"/>
      <c r="B9" s="92" t="s">
        <v>243</v>
      </c>
      <c r="C9" s="7"/>
      <c r="D9" s="93">
        <f>E.1项目运营期费用!H8*'G.2进项增值税率-运营成本'!$C7/(1+'G.2进项增值税率-运营成本'!$C7)</f>
        <v>0</v>
      </c>
      <c r="E9" s="94">
        <f>E.1项目运营期费用!I8*'G.2进项增值税率-运营成本'!$C7/(1+'G.2进项增值税率-运营成本'!$C7)</f>
        <v>0</v>
      </c>
      <c r="F9" s="94">
        <f>E.1项目运营期费用!J8*'G.2进项增值税率-运营成本'!$C7/(1+'G.2进项增值税率-运营成本'!$C7)</f>
        <v>0</v>
      </c>
      <c r="G9" s="94">
        <f>E.1项目运营期费用!K8*'G.2进项增值税率-运营成本'!$C7/(1+'G.2进项增值税率-运营成本'!$C7)</f>
        <v>0</v>
      </c>
      <c r="H9" s="94">
        <f>E.1项目运营期费用!L8*'G.2进项增值税率-运营成本'!$C7/(1+'G.2进项增值税率-运营成本'!$C7)</f>
        <v>0</v>
      </c>
    </row>
    <row r="10" ht="16.5" spans="1:8">
      <c r="A10" s="7"/>
      <c r="B10" s="92" t="s">
        <v>245</v>
      </c>
      <c r="C10" s="7"/>
      <c r="D10" s="93">
        <f>E.1项目运营期费用!H9*'G.2进项增值税率-运营成本'!$C8/(1+'G.2进项增值税率-运营成本'!$C8)</f>
        <v>0</v>
      </c>
      <c r="E10" s="94">
        <f>E.1项目运营期费用!I9*'G.2进项增值税率-运营成本'!$C8/(1+'G.2进项增值税率-运营成本'!$C8)</f>
        <v>0</v>
      </c>
      <c r="F10" s="94">
        <f>E.1项目运营期费用!J9*'G.2进项增值税率-运营成本'!$C8/(1+'G.2进项增值税率-运营成本'!$C8)</f>
        <v>0</v>
      </c>
      <c r="G10" s="94">
        <f>E.1项目运营期费用!K9*'G.2进项增值税率-运营成本'!$C8/(1+'G.2进项增值税率-运营成本'!$C8)</f>
        <v>0</v>
      </c>
      <c r="H10" s="94">
        <f>E.1项目运营期费用!L9*'G.2进项增值税率-运营成本'!$C8/(1+'G.2进项增值税率-运营成本'!$C8)</f>
        <v>0</v>
      </c>
    </row>
    <row r="11" ht="16.5" spans="1:8">
      <c r="A11" s="7"/>
      <c r="B11" s="92" t="s">
        <v>247</v>
      </c>
      <c r="C11" s="7"/>
      <c r="D11" s="93">
        <f>E.1项目运营期费用!H10*'G.2进项增值税率-运营成本'!$C9/(1+'G.2进项增值税率-运营成本'!$C9)</f>
        <v>0</v>
      </c>
      <c r="E11" s="94">
        <f>E.1项目运营期费用!I10*'G.2进项增值税率-运营成本'!$C9/(1+'G.2进项增值税率-运营成本'!$C9)</f>
        <v>0</v>
      </c>
      <c r="F11" s="94">
        <f>E.1项目运营期费用!J10*'G.2进项增值税率-运营成本'!$C9/(1+'G.2进项增值税率-运营成本'!$C9)</f>
        <v>0.825688073394495</v>
      </c>
      <c r="G11" s="94">
        <f>E.1项目运营期费用!K10*'G.2进项增值税率-运营成本'!$C9/(1+'G.2进项增值税率-运营成本'!$C9)</f>
        <v>0.825688073394495</v>
      </c>
      <c r="H11" s="94">
        <f>E.1项目运营期费用!L10*'G.2进项增值税率-运营成本'!$C9/(1+'G.2进项增值税率-运营成本'!$C9)</f>
        <v>0.838073394495413</v>
      </c>
    </row>
    <row r="12" ht="16.5" spans="1:8">
      <c r="A12" s="7"/>
      <c r="B12" s="92" t="s">
        <v>250</v>
      </c>
      <c r="C12" s="7"/>
      <c r="D12" s="93">
        <f>E.1项目运营期费用!H11*'G.2进项增值税率-运营成本'!$C10/(1+'G.2进项增值税率-运营成本'!$C10)</f>
        <v>0</v>
      </c>
      <c r="E12" s="94">
        <f>E.1项目运营期费用!I11*'G.2进项增值税率-运营成本'!$C10/(1+'G.2进项增值税率-运营成本'!$C10)</f>
        <v>0</v>
      </c>
      <c r="F12" s="94">
        <f>E.1项目运营期费用!J11*'G.2进项增值税率-运营成本'!$C10/(1+'G.2进项增值税率-运营成本'!$C10)</f>
        <v>0.825688073394495</v>
      </c>
      <c r="G12" s="94">
        <f>E.1项目运营期费用!K11*'G.2进项增值税率-运营成本'!$C10/(1+'G.2进项增值税率-运营成本'!$C10)</f>
        <v>0.825688073394495</v>
      </c>
      <c r="H12" s="94">
        <f>E.1项目运营期费用!L11*'G.2进项增值税率-运营成本'!$C10/(1+'G.2进项增值税率-运营成本'!$C10)</f>
        <v>0.838073394495413</v>
      </c>
    </row>
    <row r="13" ht="16.5" spans="1:8">
      <c r="A13" s="7"/>
      <c r="B13" s="92" t="s">
        <v>253</v>
      </c>
      <c r="C13" s="7"/>
      <c r="D13" s="93">
        <f>E.1项目运营期费用!H12*'G.2进项增值税率-运营成本'!$C11/(1+'G.2进项增值税率-运营成本'!$C11)</f>
        <v>0</v>
      </c>
      <c r="E13" s="94">
        <f>E.1项目运营期费用!I12*'G.2进项增值税率-运营成本'!$C11/(1+'G.2进项增值税率-运营成本'!$C11)</f>
        <v>0</v>
      </c>
      <c r="F13" s="94">
        <f>E.1项目运营期费用!J12*'G.2进项增值税率-运营成本'!$C11/(1+'G.2进项增值税率-运营成本'!$C11)</f>
        <v>41.5971238938053</v>
      </c>
      <c r="G13" s="94">
        <f>E.1项目运营期费用!K12*'G.2进项增值税率-运营成本'!$C11/(1+'G.2进项增值税率-运营成本'!$C11)</f>
        <v>55.4628318584071</v>
      </c>
      <c r="H13" s="94">
        <f>E.1项目运营期费用!L12*'G.2进项增值税率-运营成本'!$C11/(1+'G.2进项增值税率-运营成本'!$C11)</f>
        <v>56.2947743362832</v>
      </c>
    </row>
    <row r="14" ht="16.5" spans="1:8">
      <c r="A14" s="7"/>
      <c r="B14" s="92" t="s">
        <v>255</v>
      </c>
      <c r="C14" s="7"/>
      <c r="D14" s="93">
        <f>E.1项目运营期费用!H13*'G.2进项增值税率-运营成本'!$C12/(1+'G.2进项增值税率-运营成本'!$C12)</f>
        <v>0</v>
      </c>
      <c r="E14" s="94">
        <f>E.1项目运营期费用!I13*'G.2进项增值税率-运营成本'!$C12/(1+'G.2进项增值税率-运营成本'!$C12)</f>
        <v>0</v>
      </c>
      <c r="F14" s="94">
        <f>E.1项目运营期费用!J13*'G.2进项增值税率-运营成本'!$C12/(1+'G.2进项增值税率-运营成本'!$C12)</f>
        <v>0</v>
      </c>
      <c r="G14" s="94">
        <f>E.1项目运营期费用!K13*'G.2进项增值税率-运营成本'!$C12/(1+'G.2进项增值税率-运营成本'!$C12)</f>
        <v>0</v>
      </c>
      <c r="H14" s="94">
        <f>E.1项目运营期费用!L13*'G.2进项增值税率-运营成本'!$C12/(1+'G.2进项增值税率-运营成本'!$C12)</f>
        <v>0</v>
      </c>
    </row>
    <row r="15" ht="16.5" spans="1:8">
      <c r="A15" s="7"/>
      <c r="B15" s="92" t="s">
        <v>258</v>
      </c>
      <c r="C15" s="7"/>
      <c r="D15" s="93">
        <f>E.1项目运营期费用!H14*'G.2进项增值税率-运营成本'!$C13/(1+'G.2进项增值税率-运营成本'!$C13)</f>
        <v>0</v>
      </c>
      <c r="E15" s="94">
        <f>E.1项目运营期费用!I14*'G.2进项增值税率-运营成本'!$C13/(1+'G.2进项增值税率-运营成本'!$C13)</f>
        <v>0</v>
      </c>
      <c r="F15" s="94">
        <f>E.1项目运营期费用!J14*'G.2进项增值税率-运营成本'!$C13/(1+'G.2进项增值税率-运营成本'!$C13)</f>
        <v>0</v>
      </c>
      <c r="G15" s="94">
        <f>E.1项目运营期费用!K14*'G.2进项增值税率-运营成本'!$C13/(1+'G.2进项增值税率-运营成本'!$C13)</f>
        <v>0</v>
      </c>
      <c r="H15" s="94">
        <f>E.1项目运营期费用!L14*'G.2进项增值税率-运营成本'!$C13/(1+'G.2进项增值税率-运营成本'!$C13)</f>
        <v>0</v>
      </c>
    </row>
    <row r="16" ht="16.5" spans="1:8">
      <c r="A16" s="7"/>
      <c r="B16" s="92" t="s">
        <v>261</v>
      </c>
      <c r="C16" s="7"/>
      <c r="D16" s="93">
        <f>E.1项目运营期费用!H15*'G.2进项增值税率-运营成本'!$C14/(1+'G.2进项增值税率-运营成本'!$C14)</f>
        <v>0</v>
      </c>
      <c r="E16" s="94">
        <f>E.1项目运营期费用!I15*'G.2进项增值税率-运营成本'!$C14/(1+'G.2进项增值税率-运营成本'!$C14)</f>
        <v>0</v>
      </c>
      <c r="F16" s="94">
        <f>E.1项目运营期费用!J15*'G.2进项增值税率-运营成本'!$C14/(1+'G.2进项增值税率-运营成本'!$C14)</f>
        <v>0</v>
      </c>
      <c r="G16" s="94">
        <f>E.1项目运营期费用!K15*'G.2进项增值税率-运营成本'!$C14/(1+'G.2进项增值税率-运营成本'!$C14)</f>
        <v>0</v>
      </c>
      <c r="H16" s="94">
        <f>E.1项目运营期费用!L15*'G.2进项增值税率-运营成本'!$C14/(1+'G.2进项增值税率-运营成本'!$C14)</f>
        <v>0</v>
      </c>
    </row>
    <row r="17" ht="16.5" spans="1:8">
      <c r="A17" s="7"/>
      <c r="B17" s="92" t="s">
        <v>264</v>
      </c>
      <c r="C17" s="7"/>
      <c r="D17" s="93">
        <f>E.1项目运营期费用!H16*'G.2进项增值税率-运营成本'!$C15/(1+'G.2进项增值税率-运营成本'!$C15)</f>
        <v>0</v>
      </c>
      <c r="E17" s="94">
        <f>E.1项目运营期费用!I16*'G.2进项增值税率-运营成本'!$C15/(1+'G.2进项增值税率-运营成本'!$C15)</f>
        <v>0</v>
      </c>
      <c r="F17" s="94">
        <f>E.1项目运营期费用!J16*'G.2进项增值税率-运营成本'!$C15/(1+'G.2进项增值税率-运营成本'!$C15)</f>
        <v>0</v>
      </c>
      <c r="G17" s="94">
        <f>E.1项目运营期费用!K16*'G.2进项增值税率-运营成本'!$C15/(1+'G.2进项增值税率-运营成本'!$C15)</f>
        <v>0</v>
      </c>
      <c r="H17" s="94">
        <f>E.1项目运营期费用!L16*'G.2进项增值税率-运营成本'!$C15/(1+'G.2进项增值税率-运营成本'!$C15)</f>
        <v>0</v>
      </c>
    </row>
    <row r="18" ht="16.5" spans="1:8">
      <c r="A18" s="7"/>
      <c r="B18" s="92" t="s">
        <v>266</v>
      </c>
      <c r="C18" s="7"/>
      <c r="D18" s="93">
        <f>E.1项目运营期费用!H17*'G.2进项增值税率-运营成本'!$C16/(1+'G.2进项增值税率-运营成本'!$C16)</f>
        <v>0</v>
      </c>
      <c r="E18" s="94">
        <f>E.1项目运营期费用!I17*'G.2进项增值税率-运营成本'!$C16/(1+'G.2进项增值税率-运营成本'!$C16)</f>
        <v>0</v>
      </c>
      <c r="F18" s="94">
        <f>E.1项目运营期费用!J17*'G.2进项增值税率-运营成本'!$C16/(1+'G.2进项增值税率-运营成本'!$C16)</f>
        <v>0</v>
      </c>
      <c r="G18" s="94">
        <f>E.1项目运营期费用!K17*'G.2进项增值税率-运营成本'!$C16/(1+'G.2进项增值税率-运营成本'!$C16)</f>
        <v>0</v>
      </c>
      <c r="H18" s="94">
        <f>E.1项目运营期费用!L17*'G.2进项增值税率-运营成本'!$C16/(1+'G.2进项增值税率-运营成本'!$C16)</f>
        <v>0</v>
      </c>
    </row>
    <row r="19" ht="16.5" spans="1:8">
      <c r="A19" s="7"/>
      <c r="B19" s="92" t="s">
        <v>268</v>
      </c>
      <c r="C19" s="7"/>
      <c r="D19" s="93">
        <f>E.1项目运营期费用!H18*'G.2进项增值税率-运营成本'!$C17/(1+'G.2进项增值税率-运营成本'!$C17)</f>
        <v>0</v>
      </c>
      <c r="E19" s="94">
        <f>E.1项目运营期费用!I18*'G.2进项增值税率-运营成本'!$C17/(1+'G.2进项增值税率-运营成本'!$C17)</f>
        <v>0</v>
      </c>
      <c r="F19" s="94">
        <f>E.1项目运营期费用!J18*'G.2进项增值税率-运营成本'!$C17/(1+'G.2进项增值税率-运营成本'!$C17)</f>
        <v>0</v>
      </c>
      <c r="G19" s="94">
        <f>E.1项目运营期费用!K18*'G.2进项增值税率-运营成本'!$C17/(1+'G.2进项增值税率-运营成本'!$C17)</f>
        <v>0</v>
      </c>
      <c r="H19" s="94">
        <f>E.1项目运营期费用!L18*'G.2进项增值税率-运营成本'!$C17/(1+'G.2进项增值税率-运营成本'!$C17)</f>
        <v>0</v>
      </c>
    </row>
    <row r="20" ht="16.5" spans="1:8">
      <c r="A20" s="7"/>
      <c r="B20" s="92" t="s">
        <v>271</v>
      </c>
      <c r="C20" s="7"/>
      <c r="D20" s="93">
        <f>E.1项目运营期费用!H19*'G.2进项增值税率-运营成本'!$C18/(1+'G.2进项增值税率-运营成本'!$C18)</f>
        <v>0</v>
      </c>
      <c r="E20" s="94">
        <f>E.1项目运营期费用!I19*'G.2进项增值税率-运营成本'!$C18/(1+'G.2进项增值税率-运营成本'!$C18)</f>
        <v>0</v>
      </c>
      <c r="F20" s="94">
        <f>E.1项目运营期费用!J19*'G.2进项增值税率-运营成本'!$C18/(1+'G.2进项增值税率-运营成本'!$C18)</f>
        <v>0</v>
      </c>
      <c r="G20" s="94">
        <f>E.1项目运营期费用!K19*'G.2进项增值税率-运营成本'!$C18/(1+'G.2进项增值税率-运营成本'!$C18)</f>
        <v>0</v>
      </c>
      <c r="H20" s="94">
        <f>E.1项目运营期费用!L19*'G.2进项增值税率-运营成本'!$C18/(1+'G.2进项增值税率-运营成本'!$C18)</f>
        <v>0</v>
      </c>
    </row>
    <row r="21" ht="16.5" spans="1:8">
      <c r="A21" s="7"/>
      <c r="B21" s="92" t="s">
        <v>273</v>
      </c>
      <c r="C21" s="7"/>
      <c r="D21" s="93">
        <f>E.1项目运营期费用!H20*'G.2进项增值税率-运营成本'!$C19/(1+'G.2进项增值税率-运营成本'!$C19)</f>
        <v>0</v>
      </c>
      <c r="E21" s="94">
        <f>E.1项目运营期费用!I20*'G.2进项增值税率-运营成本'!$C19/(1+'G.2进项增值税率-运营成本'!$C19)</f>
        <v>0</v>
      </c>
      <c r="F21" s="94">
        <f>E.1项目运营期费用!J20*'G.2进项增值税率-运营成本'!$C19/(1+'G.2进项增值税率-运营成本'!$C19)</f>
        <v>0</v>
      </c>
      <c r="G21" s="94">
        <f>E.1项目运营期费用!K20*'G.2进项增值税率-运营成本'!$C19/(1+'G.2进项增值税率-运营成本'!$C19)</f>
        <v>0</v>
      </c>
      <c r="H21" s="94">
        <f>E.1项目运营期费用!L20*'G.2进项增值税率-运营成本'!$C19/(1+'G.2进项增值税率-运营成本'!$C19)</f>
        <v>0</v>
      </c>
    </row>
    <row r="22" ht="16.5" spans="1:8">
      <c r="A22" s="7"/>
      <c r="B22" s="92" t="s">
        <v>275</v>
      </c>
      <c r="C22" s="7"/>
      <c r="D22" s="93">
        <f>E.1项目运营期费用!H21*'G.2进项增值税率-运营成本'!$C20/(1+'G.2进项增值税率-运营成本'!$C20)</f>
        <v>0</v>
      </c>
      <c r="E22" s="94">
        <f>E.1项目运营期费用!I21*'G.2进项增值税率-运营成本'!$C20/(1+'G.2进项增值税率-运营成本'!$C20)</f>
        <v>0</v>
      </c>
      <c r="F22" s="94">
        <f>E.1项目运营期费用!J21*'G.2进项增值税率-运营成本'!$C20/(1+'G.2进项增值税率-运营成本'!$C20)</f>
        <v>0</v>
      </c>
      <c r="G22" s="94">
        <f>E.1项目运营期费用!K21*'G.2进项增值税率-运营成本'!$C20/(1+'G.2进项增值税率-运营成本'!$C20)</f>
        <v>0</v>
      </c>
      <c r="H22" s="94">
        <f>E.1项目运营期费用!L21*'G.2进项增值税率-运营成本'!$C20/(1+'G.2进项增值税率-运营成本'!$C20)</f>
        <v>0</v>
      </c>
    </row>
    <row r="23" ht="16.5" spans="1:8">
      <c r="A23" s="7"/>
      <c r="B23" s="92" t="s">
        <v>278</v>
      </c>
      <c r="C23" s="7"/>
      <c r="D23" s="93">
        <f>E.1项目运营期费用!H22*'G.2进项增值税率-运营成本'!$C21/(1+'G.2进项增值税率-运营成本'!$C21)</f>
        <v>0</v>
      </c>
      <c r="E23" s="94">
        <f>E.1项目运营期费用!I22*'G.2进项增值税率-运营成本'!$C21/(1+'G.2进项增值税率-运营成本'!$C21)</f>
        <v>0</v>
      </c>
      <c r="F23" s="94">
        <f>E.1项目运营期费用!J22*'G.2进项增值税率-运营成本'!$C21/(1+'G.2进项增值税率-运营成本'!$C21)</f>
        <v>0</v>
      </c>
      <c r="G23" s="94">
        <f>E.1项目运营期费用!K22*'G.2进项增值税率-运营成本'!$C21/(1+'G.2进项增值税率-运营成本'!$C21)</f>
        <v>0</v>
      </c>
      <c r="H23" s="94">
        <f>E.1项目运营期费用!L22*'G.2进项增值税率-运营成本'!$C21/(1+'G.2进项增值税率-运营成本'!$C21)</f>
        <v>0</v>
      </c>
    </row>
    <row r="24" ht="16.5" spans="1:8">
      <c r="A24" s="7"/>
      <c r="B24" s="92" t="s">
        <v>280</v>
      </c>
      <c r="C24" s="7"/>
      <c r="D24" s="93">
        <f>E.1项目运营期费用!H23*'G.2进项增值税率-运营成本'!$C22/(1+'G.2进项增值税率-运营成本'!$C22)</f>
        <v>0</v>
      </c>
      <c r="E24" s="94">
        <f>E.1项目运营期费用!I23*'G.2进项增值税率-运营成本'!$C22/(1+'G.2进项增值税率-运营成本'!$C22)</f>
        <v>0</v>
      </c>
      <c r="F24" s="94">
        <f>E.1项目运营期费用!J23*'G.2进项增值税率-运营成本'!$C22/(1+'G.2进项增值税率-运营成本'!$C22)</f>
        <v>0</v>
      </c>
      <c r="G24" s="94">
        <f>E.1项目运营期费用!K23*'G.2进项增值税率-运营成本'!$C22/(1+'G.2进项增值税率-运营成本'!$C22)</f>
        <v>0</v>
      </c>
      <c r="H24" s="94">
        <f>E.1项目运营期费用!L23*'G.2进项增值税率-运营成本'!$C22/(1+'G.2进项增值税率-运营成本'!$C22)</f>
        <v>0</v>
      </c>
    </row>
    <row r="25" ht="16.5" spans="1:8">
      <c r="A25" s="7">
        <v>2</v>
      </c>
      <c r="B25" s="7" t="s">
        <v>457</v>
      </c>
      <c r="C25" s="7"/>
      <c r="D25" s="41">
        <f t="shared" ref="D25:E25" si="3">SUM(D26:D28)</f>
        <v>0</v>
      </c>
      <c r="E25" s="41">
        <f t="shared" si="3"/>
        <v>0</v>
      </c>
      <c r="F25" s="41">
        <f t="shared" ref="F25:H25" si="4">SUM(F26:F28)</f>
        <v>30.1564528301887</v>
      </c>
      <c r="G25" s="41">
        <f t="shared" si="4"/>
        <v>68.9294716981132</v>
      </c>
      <c r="H25" s="41">
        <f t="shared" si="4"/>
        <v>111.126226415094</v>
      </c>
    </row>
    <row r="26" ht="16.5" spans="1:9">
      <c r="A26" s="7"/>
      <c r="B26" s="92" t="s">
        <v>458</v>
      </c>
      <c r="C26" s="7"/>
      <c r="D26" s="46">
        <f>F项目收入!D3*G.3销项增值税率!$C3/(1+G.3销项增值税率!$C3)</f>
        <v>0</v>
      </c>
      <c r="E26" s="39">
        <f>F项目收入!E3*G.3销项增值税率!$C3/(1+G.3销项增值税率!$C3)</f>
        <v>0</v>
      </c>
      <c r="F26" s="39">
        <f>F项目收入!F3*G.3销项增值税率!$C3/(1+G.3销项增值税率!$C3)</f>
        <v>3.66792452830189</v>
      </c>
      <c r="G26" s="39">
        <f>F项目收入!G3*G.3销项增值税率!$C3/(1+G.3销项增值税率!$C3)</f>
        <v>6.11320754716981</v>
      </c>
      <c r="H26" s="39">
        <f>F项目收入!H3*G.3销项增值税率!$C3/(1+G.3销项增值税率!$C3)</f>
        <v>6.11320754716981</v>
      </c>
      <c r="I26" s="28" t="s">
        <v>459</v>
      </c>
    </row>
    <row r="27" ht="16.5" spans="1:8">
      <c r="A27" s="7"/>
      <c r="B27" s="92" t="s">
        <v>460</v>
      </c>
      <c r="C27" s="7"/>
      <c r="D27" s="46">
        <f>F项目收入!D5*G.3销项增值税率!$C4/(1+G.3销项增值税率!$C4)</f>
        <v>0</v>
      </c>
      <c r="E27" s="39">
        <f>F项目收入!E5*G.3销项增值税率!$C4/(1+G.3销项增值税率!$C4)</f>
        <v>0</v>
      </c>
      <c r="F27" s="39">
        <f>F项目收入!F5*G.3销项增值税率!$C4/(1+G.3销项增值税率!$C4)</f>
        <v>22.0258867924528</v>
      </c>
      <c r="G27" s="39">
        <f>F项目收入!G5*G.3销项增值税率!$C4/(1+G.3销项增值税率!$C4)</f>
        <v>38.4204905660377</v>
      </c>
      <c r="H27" s="39">
        <f>F项目收入!H5*G.3销项增值税率!$C4/(1+G.3销项增值税率!$C4)</f>
        <v>39.5609433962264</v>
      </c>
    </row>
    <row r="28" ht="16.5" spans="1:8">
      <c r="A28" s="7"/>
      <c r="B28" s="92" t="s">
        <v>461</v>
      </c>
      <c r="C28" s="7"/>
      <c r="D28" s="46">
        <f>F项目收入!D7*G.3销项增值税率!$C5/(1+G.3销项增值税率!$C5)</f>
        <v>0</v>
      </c>
      <c r="E28" s="39">
        <f>F项目收入!E7*G.3销项增值税率!$C5/(1+G.3销项增值税率!$C5)</f>
        <v>0</v>
      </c>
      <c r="F28" s="39">
        <f>F项目收入!F7*G.3销项增值税率!$C5/(1+G.3销项增值税率!$C5)</f>
        <v>4.46264150943396</v>
      </c>
      <c r="G28" s="39">
        <f>F项目收入!G7*G.3销项增值税率!$C5/(1+G.3销项增值税率!$C5)</f>
        <v>24.3957735849057</v>
      </c>
      <c r="H28" s="39">
        <f>F项目收入!H7*G.3销项增值税率!$C5/(1+G.3销项增值税率!$C5)</f>
        <v>65.4520754716981</v>
      </c>
    </row>
    <row r="29" ht="16.5" spans="1:8">
      <c r="A29" s="7">
        <v>3</v>
      </c>
      <c r="B29" s="36" t="s">
        <v>462</v>
      </c>
      <c r="C29" s="7"/>
      <c r="D29" s="36">
        <v>0</v>
      </c>
      <c r="E29" s="41">
        <f>MAX(E25-E4-E3,0)</f>
        <v>0</v>
      </c>
      <c r="F29" s="41">
        <f t="shared" ref="F29:H29" si="5">MAX(F25-F4-F3,0)</f>
        <v>0</v>
      </c>
      <c r="G29" s="41">
        <f t="shared" si="5"/>
        <v>0</v>
      </c>
      <c r="H29" s="41">
        <f t="shared" si="5"/>
        <v>0</v>
      </c>
    </row>
    <row r="30" ht="16.5" spans="1:8">
      <c r="A30" s="7">
        <v>4</v>
      </c>
      <c r="B30" s="36" t="s">
        <v>463</v>
      </c>
      <c r="C30" s="7"/>
      <c r="D30" s="36">
        <v>0</v>
      </c>
      <c r="E30" s="41">
        <f>E29*(A财务假设!$D$6+A财务假设!$D$7+A财务假设!$D$8)</f>
        <v>0</v>
      </c>
      <c r="F30" s="41">
        <f>F29*(A财务假设!$D$6+A财务假设!$D$7+A财务假设!$D$8)</f>
        <v>0</v>
      </c>
      <c r="G30" s="41">
        <f>G29*(A财务假设!$D$6+A财务假设!$D$7+A财务假设!$D$8)</f>
        <v>0</v>
      </c>
      <c r="H30" s="41">
        <f>H29*(A财务假设!$D$6+A财务假设!$D$7+A财务假设!$D$8)</f>
        <v>0</v>
      </c>
    </row>
    <row r="31" ht="16.5" spans="1:8">
      <c r="A31" s="7"/>
      <c r="B31" s="7" t="s">
        <v>80</v>
      </c>
      <c r="C31" s="7"/>
      <c r="D31" s="36">
        <v>0</v>
      </c>
      <c r="E31" s="41">
        <f>E30+E29</f>
        <v>0</v>
      </c>
      <c r="F31" s="41">
        <f t="shared" ref="F31:H31" si="6">F30+F29</f>
        <v>0</v>
      </c>
      <c r="G31" s="41">
        <f t="shared" si="6"/>
        <v>0</v>
      </c>
      <c r="H31" s="41">
        <f t="shared" si="6"/>
        <v>0</v>
      </c>
    </row>
  </sheetData>
  <mergeCells count="1">
    <mergeCell ref="A1:H1"/>
  </mergeCells>
  <pageMargins left="0.75" right="0.75" top="1" bottom="1" header="0.5" footer="0.5"/>
  <headerFooter/>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tabColor rgb="FFFFFF00"/>
  </sheetPr>
  <dimension ref="A1:G17"/>
  <sheetViews>
    <sheetView topLeftCell="A2" workbookViewId="0">
      <selection activeCell="H8" sqref="H8"/>
    </sheetView>
  </sheetViews>
  <sheetFormatPr defaultColWidth="8.89090909090909" defaultRowHeight="28.05" customHeight="1" outlineLevelCol="6"/>
  <cols>
    <col min="1" max="1" width="8.89090909090909" style="54"/>
    <col min="2" max="2" width="17.6636363636364" style="54" customWidth="1"/>
    <col min="3" max="3" width="37.5545454545455" style="54" customWidth="1"/>
    <col min="4" max="4" width="15.1090909090909" style="54" customWidth="1"/>
    <col min="5" max="5" width="10.4454545454545" style="54" customWidth="1"/>
    <col min="6" max="6" width="14.8909090909091" style="54" customWidth="1"/>
    <col min="7" max="16384" width="8.89090909090909" style="54"/>
  </cols>
  <sheetData>
    <row r="1" customHeight="1" spans="1:7">
      <c r="A1" s="85" t="s">
        <v>464</v>
      </c>
      <c r="B1" s="86"/>
      <c r="C1" s="86"/>
      <c r="D1" s="86"/>
      <c r="E1" s="86"/>
      <c r="F1" s="87"/>
      <c r="G1" s="88" t="s">
        <v>465</v>
      </c>
    </row>
    <row r="2" customHeight="1" spans="1:6">
      <c r="A2" s="2" t="s">
        <v>1</v>
      </c>
      <c r="B2" s="2" t="s">
        <v>168</v>
      </c>
      <c r="C2" s="2" t="s">
        <v>169</v>
      </c>
      <c r="D2" s="2" t="s">
        <v>466</v>
      </c>
      <c r="E2" s="2" t="s">
        <v>364</v>
      </c>
      <c r="F2" s="2" t="s">
        <v>467</v>
      </c>
    </row>
    <row r="3" customHeight="1" spans="1:6">
      <c r="A3" s="7" t="s">
        <v>89</v>
      </c>
      <c r="B3" s="7" t="s">
        <v>170</v>
      </c>
      <c r="C3" s="7"/>
      <c r="D3" s="39">
        <f>D.3建设投资分年计划表!D3</f>
        <v>24474.93</v>
      </c>
      <c r="E3" s="7" t="s">
        <v>163</v>
      </c>
      <c r="F3" s="12">
        <f>F4+F8</f>
        <v>2445.0609</v>
      </c>
    </row>
    <row r="4" customHeight="1" spans="1:6">
      <c r="A4" s="7">
        <v>1</v>
      </c>
      <c r="B4" s="7" t="s">
        <v>468</v>
      </c>
      <c r="C4" s="7"/>
      <c r="D4" s="39">
        <f>D.3建设投资分年计划表!D4</f>
        <v>19534.93</v>
      </c>
      <c r="E4" s="7" t="s">
        <v>163</v>
      </c>
      <c r="F4" s="12">
        <f>SUM(F5:F7)</f>
        <v>2148.6609</v>
      </c>
    </row>
    <row r="5" ht="112.95" customHeight="1" spans="1:6">
      <c r="A5" s="7">
        <v>1.1</v>
      </c>
      <c r="B5" s="11" t="s">
        <v>172</v>
      </c>
      <c r="C5" s="89" t="s">
        <v>173</v>
      </c>
      <c r="D5" s="39">
        <f>D.3建设投资分年计划表!D5</f>
        <v>9772</v>
      </c>
      <c r="E5" s="80">
        <v>0.09</v>
      </c>
      <c r="F5" s="90">
        <f>D5*E5</f>
        <v>879.48</v>
      </c>
    </row>
    <row r="6" customHeight="1" spans="1:6">
      <c r="A6" s="7">
        <v>1.2</v>
      </c>
      <c r="B6" s="11" t="s">
        <v>174</v>
      </c>
      <c r="C6" s="7"/>
      <c r="D6" s="39">
        <f>D.3建设投资分年计划表!D6</f>
        <v>9762.93</v>
      </c>
      <c r="E6" s="80">
        <v>0.13</v>
      </c>
      <c r="F6" s="12">
        <f>D6*E6</f>
        <v>1269.1809</v>
      </c>
    </row>
    <row r="7" ht="64.05" customHeight="1" spans="1:6">
      <c r="A7" s="7">
        <v>1.3</v>
      </c>
      <c r="B7" s="11" t="s">
        <v>175</v>
      </c>
      <c r="C7" s="89" t="s">
        <v>176</v>
      </c>
      <c r="D7" s="39">
        <f>D.3建设投资分年计划表!D7</f>
        <v>0</v>
      </c>
      <c r="E7" s="80">
        <v>0.09</v>
      </c>
      <c r="F7" s="12">
        <f>D7*E7</f>
        <v>0</v>
      </c>
    </row>
    <row r="8" customHeight="1" spans="1:6">
      <c r="A8" s="7">
        <v>2</v>
      </c>
      <c r="B8" s="7" t="s">
        <v>177</v>
      </c>
      <c r="C8" s="7"/>
      <c r="D8" s="39">
        <f>D.3建设投资分年计划表!D8</f>
        <v>4940</v>
      </c>
      <c r="E8" s="7" t="s">
        <v>163</v>
      </c>
      <c r="F8" s="12">
        <f>SUM(F9:F12)</f>
        <v>296.4</v>
      </c>
    </row>
    <row r="9" customHeight="1" spans="1:6">
      <c r="A9" s="7">
        <v>2.1</v>
      </c>
      <c r="B9" s="11" t="s">
        <v>178</v>
      </c>
      <c r="C9" s="7" t="s">
        <v>179</v>
      </c>
      <c r="D9" s="39">
        <f>D.3建设投资分年计划表!D9</f>
        <v>0</v>
      </c>
      <c r="E9" s="80">
        <v>0.13</v>
      </c>
      <c r="F9" s="12">
        <f>D9*E9</f>
        <v>0</v>
      </c>
    </row>
    <row r="10" customHeight="1" spans="1:6">
      <c r="A10" s="7">
        <v>2.2</v>
      </c>
      <c r="B10" s="11" t="s">
        <v>180</v>
      </c>
      <c r="C10" s="7"/>
      <c r="D10" s="39">
        <f>D.3建设投资分年计划表!D10</f>
        <v>4940</v>
      </c>
      <c r="E10" s="80">
        <v>0.06</v>
      </c>
      <c r="F10" s="12">
        <f>D10*E10</f>
        <v>296.4</v>
      </c>
    </row>
    <row r="11" customHeight="1" spans="1:6">
      <c r="A11" s="7">
        <v>2.3</v>
      </c>
      <c r="B11" s="11" t="s">
        <v>181</v>
      </c>
      <c r="C11" s="7"/>
      <c r="D11" s="39">
        <f>D.3建设投资分年计划表!D11</f>
        <v>0</v>
      </c>
      <c r="E11" s="80">
        <v>0.13</v>
      </c>
      <c r="F11" s="12">
        <f>D11*E11</f>
        <v>0</v>
      </c>
    </row>
    <row r="12" customHeight="1" spans="1:6">
      <c r="A12" s="7">
        <v>2.4</v>
      </c>
      <c r="B12" s="11" t="s">
        <v>182</v>
      </c>
      <c r="C12" s="7"/>
      <c r="D12" s="39">
        <f>D.3建设投资分年计划表!D12</f>
        <v>0</v>
      </c>
      <c r="E12" s="80">
        <v>0.06</v>
      </c>
      <c r="F12" s="12">
        <f>D12*E12</f>
        <v>0</v>
      </c>
    </row>
    <row r="13" customHeight="1" spans="1:6">
      <c r="A13" s="7" t="s">
        <v>112</v>
      </c>
      <c r="B13" s="7" t="s">
        <v>113</v>
      </c>
      <c r="C13" s="7"/>
      <c r="D13" s="39">
        <f>D.3建设投资分年计划表!D13</f>
        <v>2408.1821113962</v>
      </c>
      <c r="E13" s="7" t="s">
        <v>163</v>
      </c>
      <c r="F13" s="12">
        <f>SUM(F14:F14)</f>
        <v>144.490926683772</v>
      </c>
    </row>
    <row r="14" customHeight="1" spans="1:6">
      <c r="A14" s="7">
        <v>1</v>
      </c>
      <c r="B14" s="11" t="s">
        <v>183</v>
      </c>
      <c r="C14" s="7"/>
      <c r="D14" s="39">
        <f>D.3建设投资分年计划表!D14</f>
        <v>2408.1821113962</v>
      </c>
      <c r="E14" s="80">
        <v>0.06</v>
      </c>
      <c r="F14" s="12">
        <f>D14*E14</f>
        <v>144.490926683772</v>
      </c>
    </row>
    <row r="15" customHeight="1" spans="1:6">
      <c r="A15" s="7" t="s">
        <v>136</v>
      </c>
      <c r="B15" s="7" t="s">
        <v>137</v>
      </c>
      <c r="C15" s="7"/>
      <c r="D15" s="39">
        <f>D.3建设投资分年计划表!D15</f>
        <v>1344.15560556981</v>
      </c>
      <c r="E15" s="7" t="s">
        <v>163</v>
      </c>
      <c r="F15" s="12">
        <f>F16</f>
        <v>0</v>
      </c>
    </row>
    <row r="16" customHeight="1" spans="1:6">
      <c r="A16" s="7">
        <v>1</v>
      </c>
      <c r="B16" s="7" t="s">
        <v>138</v>
      </c>
      <c r="C16" s="7"/>
      <c r="D16" s="39">
        <f>D.3建设投资分年计划表!D16</f>
        <v>1344.15560556981</v>
      </c>
      <c r="E16" s="80">
        <v>0</v>
      </c>
      <c r="F16" s="12">
        <f>D16*E16</f>
        <v>0</v>
      </c>
    </row>
    <row r="17" customHeight="1" spans="1:6">
      <c r="A17" s="7"/>
      <c r="B17" s="7" t="s">
        <v>469</v>
      </c>
      <c r="C17" s="7"/>
      <c r="D17" s="7"/>
      <c r="E17" s="7"/>
      <c r="F17" s="12">
        <f>F3+F13+F15</f>
        <v>2589.55182668377</v>
      </c>
    </row>
  </sheetData>
  <mergeCells count="2">
    <mergeCell ref="A1:F1"/>
    <mergeCell ref="B17:C17"/>
  </mergeCells>
  <pageMargins left="0.75" right="0.75" top="1" bottom="1" header="0.5" footer="0.5"/>
  <headerFooter/>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tabColor rgb="FFFFFF00"/>
  </sheetPr>
  <dimension ref="A1:D22"/>
  <sheetViews>
    <sheetView zoomScale="70" zoomScaleNormal="70" workbookViewId="0">
      <selection activeCell="N23" sqref="N23"/>
    </sheetView>
  </sheetViews>
  <sheetFormatPr defaultColWidth="8.89090909090909" defaultRowHeight="28.05" customHeight="1" outlineLevelCol="3"/>
  <cols>
    <col min="2" max="2" width="67.5545454545454" customWidth="1"/>
    <col min="3" max="3" width="20.3363636363636" customWidth="1"/>
    <col min="4" max="4" width="14.3363636363636" customWidth="1"/>
  </cols>
  <sheetData>
    <row r="1" ht="31.8" customHeight="1" spans="1:4">
      <c r="A1" s="81" t="s">
        <v>470</v>
      </c>
      <c r="B1" s="82"/>
      <c r="C1" s="83"/>
      <c r="D1" s="28" t="s">
        <v>471</v>
      </c>
    </row>
    <row r="2" customHeight="1" spans="1:3">
      <c r="A2" s="2" t="s">
        <v>1</v>
      </c>
      <c r="B2" s="2" t="s">
        <v>143</v>
      </c>
      <c r="C2" s="2" t="s">
        <v>364</v>
      </c>
    </row>
    <row r="3" customHeight="1" spans="1:3">
      <c r="A3" s="11">
        <f>E.1项目运营期费用!B4</f>
        <v>1</v>
      </c>
      <c r="B3" s="11" t="str">
        <f>E.1项目运营期费用!C4</f>
        <v>场地租金</v>
      </c>
      <c r="C3" s="80">
        <v>0.09</v>
      </c>
    </row>
    <row r="4" ht="27.6" customHeight="1" spans="1:3">
      <c r="A4" s="11">
        <f>E.1项目运营期费用!B5</f>
        <v>2</v>
      </c>
      <c r="B4" s="11" t="str">
        <f>E.1项目运营期费用!C5</f>
        <v>场地日常维护（停机坪/起降场/交通枢纽/飞行营地/指挥中心等）</v>
      </c>
      <c r="C4" s="80">
        <v>0.06</v>
      </c>
    </row>
    <row r="5" customHeight="1" spans="1:3">
      <c r="A5" s="11">
        <f>E.1项目运营期费用!B6</f>
        <v>3</v>
      </c>
      <c r="B5" s="11" t="str">
        <f>E.1项目运营期费用!C6</f>
        <v>消防设施年检</v>
      </c>
      <c r="C5" s="80">
        <v>0.06</v>
      </c>
    </row>
    <row r="6" customHeight="1" spans="1:3">
      <c r="A6" s="11">
        <f>E.1项目运营期费用!B7</f>
        <v>4</v>
      </c>
      <c r="B6" s="11" t="str">
        <f>E.1项目运营期费用!C7</f>
        <v>防鸟措施（驱鸟器维护）</v>
      </c>
      <c r="C6" s="80">
        <v>0.06</v>
      </c>
    </row>
    <row r="7" customHeight="1" spans="1:3">
      <c r="A7" s="11">
        <f>E.1项目运营期费用!B8</f>
        <v>5</v>
      </c>
      <c r="B7" s="11" t="str">
        <f>E.1项目运营期费用!C8</f>
        <v>飞行器能耗</v>
      </c>
      <c r="C7" s="80">
        <v>0.13</v>
      </c>
    </row>
    <row r="8" customHeight="1" spans="1:3">
      <c r="A8" s="11">
        <f>E.1项目运营期费用!B9</f>
        <v>6</v>
      </c>
      <c r="B8" s="11" t="str">
        <f>E.1项目运营期费用!C9</f>
        <v>核心设备电力能耗</v>
      </c>
      <c r="C8" s="80">
        <v>0.13</v>
      </c>
    </row>
    <row r="9" customHeight="1" spans="1:4">
      <c r="A9" s="11">
        <f>E.1项目运营期费用!B10</f>
        <v>7</v>
      </c>
      <c r="B9" s="11" t="str">
        <f>E.1项目运营期费用!C10</f>
        <v>水电能耗</v>
      </c>
      <c r="C9" s="80">
        <v>0.09</v>
      </c>
      <c r="D9" s="84"/>
    </row>
    <row r="10" customHeight="1" spans="1:3">
      <c r="A10" s="11">
        <f>E.1项目运营期费用!B11</f>
        <v>8</v>
      </c>
      <c r="B10" s="11" t="str">
        <f>E.1项目运营期费用!C11</f>
        <v>网络通信费用</v>
      </c>
      <c r="C10" s="80">
        <v>0.09</v>
      </c>
    </row>
    <row r="11" customHeight="1" spans="1:3">
      <c r="A11" s="11">
        <f>E.1项目运营期费用!B12</f>
        <v>9</v>
      </c>
      <c r="B11" s="11" t="str">
        <f>E.1项目运营期费用!C12</f>
        <v>硬件设备维护</v>
      </c>
      <c r="C11" s="80">
        <v>0.13</v>
      </c>
    </row>
    <row r="12" customHeight="1" spans="1:3">
      <c r="A12" s="11">
        <f>E.1项目运营期费用!B13</f>
        <v>10</v>
      </c>
      <c r="B12" s="11" t="str">
        <f>E.1项目运营期费用!C13</f>
        <v>备品备件储备</v>
      </c>
      <c r="C12" s="80">
        <v>0.13</v>
      </c>
    </row>
    <row r="13" customHeight="1" spans="1:3">
      <c r="A13" s="11">
        <f>E.1项目运营期费用!B14</f>
        <v>11</v>
      </c>
      <c r="B13" s="11" t="str">
        <f>E.1项目运营期费用!C14</f>
        <v>软件维护</v>
      </c>
      <c r="C13" s="80">
        <v>0.06</v>
      </c>
    </row>
    <row r="14" customHeight="1" spans="1:3">
      <c r="A14" s="11">
        <f>E.1项目运营期费用!B15</f>
        <v>12</v>
      </c>
      <c r="B14" s="11" t="str">
        <f>E.1项目运营期费用!C15</f>
        <v>营销及活动</v>
      </c>
      <c r="C14" s="80">
        <v>0.06</v>
      </c>
    </row>
    <row r="15" customHeight="1" spans="1:3">
      <c r="A15" s="11">
        <f>E.1项目运营期费用!B16</f>
        <v>13</v>
      </c>
      <c r="B15" s="11" t="str">
        <f>E.1项目运营期费用!C16</f>
        <v>人员薪酬</v>
      </c>
      <c r="C15" s="80">
        <v>0</v>
      </c>
    </row>
    <row r="16" customHeight="1" spans="1:3">
      <c r="A16" s="11">
        <f>E.1项目运营期费用!B17</f>
        <v>14</v>
      </c>
      <c r="B16" s="11" t="str">
        <f>E.1项目运营期费用!C17</f>
        <v>培训与资质认证</v>
      </c>
      <c r="C16" s="80">
        <v>0.06</v>
      </c>
    </row>
    <row r="17" customHeight="1" spans="1:3">
      <c r="A17" s="11">
        <f>E.1项目运营期费用!B18</f>
        <v>15</v>
      </c>
      <c r="B17" s="11" t="str">
        <f>E.1项目运营期费用!C18</f>
        <v>办公与行政支出</v>
      </c>
      <c r="C17" s="80">
        <v>0.13</v>
      </c>
    </row>
    <row r="18" customHeight="1" spans="1:3">
      <c r="A18" s="11">
        <f>E.1项目运营期费用!B19</f>
        <v>16</v>
      </c>
      <c r="B18" s="11" t="str">
        <f>E.1项目运营期费用!C19</f>
        <v>空域使用审批费</v>
      </c>
      <c r="C18" s="80">
        <v>0</v>
      </c>
    </row>
    <row r="19" customHeight="1" spans="1:3">
      <c r="A19" s="11">
        <f>E.1项目运营期费用!B20</f>
        <v>17</v>
      </c>
      <c r="B19" s="11" t="str">
        <f>E.1项目运营期费用!C20</f>
        <v>场地责任险</v>
      </c>
      <c r="C19" s="80">
        <v>0.06</v>
      </c>
    </row>
    <row r="20" customHeight="1" spans="1:3">
      <c r="A20" s="11">
        <f>E.1项目运营期费用!B21</f>
        <v>18</v>
      </c>
      <c r="B20" s="11" t="str">
        <f>E.1项目运营期费用!C21</f>
        <v>安全演练与应急处置</v>
      </c>
      <c r="C20" s="80">
        <v>0.06</v>
      </c>
    </row>
    <row r="21" customHeight="1" spans="1:3">
      <c r="A21" s="11">
        <f>E.1项目运营期费用!B22</f>
        <v>19</v>
      </c>
      <c r="B21" s="11" t="str">
        <f>E.1项目运营期费用!C22</f>
        <v>第三方安全评估</v>
      </c>
      <c r="C21" s="80">
        <v>0.06</v>
      </c>
    </row>
    <row r="22" customHeight="1" spans="1:3">
      <c r="A22" s="11">
        <f>E.1项目运营期费用!B23</f>
        <v>20</v>
      </c>
      <c r="B22" s="11" t="str">
        <f>E.1项目运营期费用!C23</f>
        <v>不可预见支出</v>
      </c>
      <c r="C22" s="80">
        <v>0</v>
      </c>
    </row>
  </sheetData>
  <mergeCells count="1">
    <mergeCell ref="A1:C1"/>
  </mergeCells>
  <pageMargins left="0.75" right="0.75" top="1" bottom="1" header="0.5" footer="0.5"/>
  <headerFooter/>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8">
    <tabColor rgb="FFFFFF00"/>
  </sheetPr>
  <dimension ref="A1:D12"/>
  <sheetViews>
    <sheetView workbookViewId="0">
      <selection activeCell="I14" sqref="I14"/>
    </sheetView>
  </sheetViews>
  <sheetFormatPr defaultColWidth="8.89090909090909" defaultRowHeight="28.05" customHeight="1" outlineLevelCol="3"/>
  <cols>
    <col min="2" max="2" width="27.4454545454545" customWidth="1"/>
    <col min="3" max="3" width="14.7818181818182" customWidth="1"/>
  </cols>
  <sheetData>
    <row r="1" ht="20" spans="1:4">
      <c r="A1" s="79" t="s">
        <v>472</v>
      </c>
      <c r="B1" s="38"/>
      <c r="C1" s="38"/>
      <c r="D1" s="28" t="s">
        <v>473</v>
      </c>
    </row>
    <row r="2" customHeight="1" spans="1:3">
      <c r="A2" s="2" t="s">
        <v>1</v>
      </c>
      <c r="B2" s="2" t="s">
        <v>371</v>
      </c>
      <c r="C2" s="2" t="s">
        <v>364</v>
      </c>
    </row>
    <row r="3" customHeight="1" spans="1:3">
      <c r="A3" s="11">
        <v>1</v>
      </c>
      <c r="B3" s="11" t="s">
        <v>408</v>
      </c>
      <c r="C3" s="80">
        <v>0.06</v>
      </c>
    </row>
    <row r="4" customHeight="1" spans="1:3">
      <c r="A4" s="11">
        <v>2</v>
      </c>
      <c r="B4" s="11" t="s">
        <v>387</v>
      </c>
      <c r="C4" s="80">
        <v>0.06</v>
      </c>
    </row>
    <row r="5" customHeight="1" spans="1:3">
      <c r="A5" s="11">
        <v>3</v>
      </c>
      <c r="B5" s="11" t="s">
        <v>388</v>
      </c>
      <c r="C5" s="80">
        <v>0.06</v>
      </c>
    </row>
    <row r="6" customHeight="1" spans="1:3">
      <c r="A6" s="11">
        <v>4</v>
      </c>
      <c r="B6" s="11" t="s">
        <v>391</v>
      </c>
      <c r="C6" s="80">
        <v>0.06</v>
      </c>
    </row>
    <row r="7" customHeight="1" spans="1:3">
      <c r="A7" s="11">
        <v>5</v>
      </c>
      <c r="B7" s="11" t="s">
        <v>392</v>
      </c>
      <c r="C7" s="80">
        <v>0.06</v>
      </c>
    </row>
    <row r="8" customHeight="1" spans="1:3">
      <c r="A8" s="11">
        <v>6</v>
      </c>
      <c r="B8" s="11" t="s">
        <v>393</v>
      </c>
      <c r="C8" s="80">
        <v>0.09</v>
      </c>
    </row>
    <row r="9" customHeight="1" spans="1:3">
      <c r="A9" s="11">
        <v>7</v>
      </c>
      <c r="B9" s="11" t="s">
        <v>394</v>
      </c>
      <c r="C9" s="80">
        <v>0.09</v>
      </c>
    </row>
    <row r="10" customHeight="1" spans="1:3">
      <c r="A10" s="11">
        <v>8</v>
      </c>
      <c r="B10" s="11" t="s">
        <v>395</v>
      </c>
      <c r="C10" s="80">
        <v>0.06</v>
      </c>
    </row>
    <row r="11" customHeight="1" spans="1:3">
      <c r="A11" s="11">
        <v>9</v>
      </c>
      <c r="B11" s="11" t="s">
        <v>396</v>
      </c>
      <c r="C11" s="80">
        <v>0.06</v>
      </c>
    </row>
    <row r="12" customHeight="1" spans="1:3">
      <c r="A12" s="11">
        <v>10</v>
      </c>
      <c r="B12" s="11" t="s">
        <v>474</v>
      </c>
      <c r="C12" s="80">
        <v>0.06</v>
      </c>
    </row>
  </sheetData>
  <mergeCells count="1">
    <mergeCell ref="A1:C1"/>
  </mergeCells>
  <pageMargins left="0.75" right="0.75" top="1" bottom="1" header="0.5" footer="0.5"/>
  <headerFooter/>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0">
    <tabColor rgb="FFFFC000"/>
  </sheetPr>
  <dimension ref="A1:Q31"/>
  <sheetViews>
    <sheetView zoomScale="70" zoomScaleNormal="70" workbookViewId="0">
      <pane xSplit="3" ySplit="2" topLeftCell="D3" activePane="bottomRight" state="frozen"/>
      <selection/>
      <selection pane="topRight"/>
      <selection pane="bottomLeft"/>
      <selection pane="bottomRight" activeCell="I1" sqref="I1:L33"/>
    </sheetView>
  </sheetViews>
  <sheetFormatPr defaultColWidth="8.89090909090909" defaultRowHeight="28.05" customHeight="1"/>
  <cols>
    <col min="2" max="2" width="36.7818181818182" customWidth="1"/>
    <col min="3" max="3" width="14.2181818181818" customWidth="1"/>
    <col min="4" max="4" width="13.1090909090909" customWidth="1"/>
    <col min="5" max="7" width="11.8909090909091" customWidth="1"/>
    <col min="8" max="8" width="13" customWidth="1"/>
  </cols>
  <sheetData>
    <row r="1" customHeight="1" spans="1:8">
      <c r="A1" s="67" t="s">
        <v>475</v>
      </c>
      <c r="B1" s="67"/>
      <c r="C1" s="67"/>
      <c r="D1" s="67"/>
      <c r="E1" s="67"/>
      <c r="F1" s="67"/>
      <c r="G1" s="67"/>
      <c r="H1" s="67"/>
    </row>
    <row r="2" customHeight="1" spans="1:8">
      <c r="A2" s="68" t="s">
        <v>1</v>
      </c>
      <c r="B2" s="68" t="s">
        <v>187</v>
      </c>
      <c r="C2" s="68" t="s">
        <v>80</v>
      </c>
      <c r="D2" s="68">
        <v>2025</v>
      </c>
      <c r="E2" s="68">
        <v>2026</v>
      </c>
      <c r="F2" s="68">
        <v>2027</v>
      </c>
      <c r="G2" s="68">
        <v>2028</v>
      </c>
      <c r="H2" s="68">
        <v>2029</v>
      </c>
    </row>
    <row r="3" customHeight="1" spans="1:8">
      <c r="A3" s="69">
        <v>1</v>
      </c>
      <c r="B3" s="69" t="s">
        <v>476</v>
      </c>
      <c r="C3" s="70">
        <f t="shared" ref="C3:C15" si="0">SUM(D3:H3)</f>
        <v>7087.35313229</v>
      </c>
      <c r="D3" s="70">
        <f t="shared" ref="D3" si="1">SUM(D4:D7)</f>
        <v>0</v>
      </c>
      <c r="E3" s="70">
        <f t="shared" ref="E3:G3" si="2">SUM(E4:E7)</f>
        <v>0</v>
      </c>
      <c r="F3" s="70">
        <f t="shared" si="2"/>
        <v>798.758490566038</v>
      </c>
      <c r="G3" s="70">
        <f t="shared" si="2"/>
        <v>2071.55660377358</v>
      </c>
      <c r="H3" s="70">
        <f t="shared" ref="H3" si="3">SUM(H4:H7)</f>
        <v>4217.03803795037</v>
      </c>
    </row>
    <row r="4" customHeight="1" spans="1:8">
      <c r="A4" s="69">
        <v>1.1</v>
      </c>
      <c r="B4" s="69" t="s">
        <v>477</v>
      </c>
      <c r="C4" s="70">
        <f t="shared" si="0"/>
        <v>5931.24905660377</v>
      </c>
      <c r="D4" s="70">
        <f>F项目收入!D24</f>
        <v>0</v>
      </c>
      <c r="E4" s="70">
        <f>F项目收入!E24</f>
        <v>0</v>
      </c>
      <c r="F4" s="70">
        <f>F项目收入!F24</f>
        <v>798.758490566038</v>
      </c>
      <c r="G4" s="70">
        <f>F项目收入!G24</f>
        <v>2071.55660377358</v>
      </c>
      <c r="H4" s="70">
        <f>F项目收入!H24</f>
        <v>3060.93396226415</v>
      </c>
    </row>
    <row r="5" customHeight="1" spans="1:8">
      <c r="A5" s="69">
        <v>1.2</v>
      </c>
      <c r="B5" s="69" t="s">
        <v>478</v>
      </c>
      <c r="C5" s="70">
        <f t="shared" si="0"/>
        <v>0</v>
      </c>
      <c r="D5" s="70">
        <v>0</v>
      </c>
      <c r="E5" s="70">
        <v>0</v>
      </c>
      <c r="F5" s="70">
        <v>0</v>
      </c>
      <c r="G5" s="70">
        <v>0</v>
      </c>
      <c r="H5" s="70">
        <v>0</v>
      </c>
    </row>
    <row r="6" customHeight="1" spans="1:8">
      <c r="A6" s="69">
        <v>1.3</v>
      </c>
      <c r="B6" s="69" t="s">
        <v>479</v>
      </c>
      <c r="C6" s="70">
        <f t="shared" si="0"/>
        <v>1110.08027659702</v>
      </c>
      <c r="D6" s="70" t="s">
        <v>163</v>
      </c>
      <c r="E6" s="70" t="s">
        <v>163</v>
      </c>
      <c r="F6" s="70" t="s">
        <v>163</v>
      </c>
      <c r="G6" s="70" t="s">
        <v>163</v>
      </c>
      <c r="H6" s="70">
        <f>E.2固定资产折旧费估算表!C6*A财务假设!$D$12</f>
        <v>1110.08027659702</v>
      </c>
    </row>
    <row r="7" customHeight="1" spans="1:8">
      <c r="A7" s="69">
        <v>1.4</v>
      </c>
      <c r="B7" s="69" t="s">
        <v>480</v>
      </c>
      <c r="C7" s="70">
        <f t="shared" si="0"/>
        <v>46.0237990891992</v>
      </c>
      <c r="D7" s="70" t="s">
        <v>163</v>
      </c>
      <c r="E7" s="70" t="s">
        <v>163</v>
      </c>
      <c r="F7" s="70" t="s">
        <v>163</v>
      </c>
      <c r="G7" s="70" t="s">
        <v>163</v>
      </c>
      <c r="H7" s="70">
        <f>D.4流动资金估算表!I13</f>
        <v>46.0237990891992</v>
      </c>
    </row>
    <row r="8" customHeight="1" spans="1:8">
      <c r="A8" s="69">
        <v>2</v>
      </c>
      <c r="B8" s="69" t="s">
        <v>481</v>
      </c>
      <c r="C8" s="70">
        <f t="shared" si="0"/>
        <v>27750.1232848489</v>
      </c>
      <c r="D8" s="70">
        <f t="shared" ref="D8" si="4">SUM(D9:D14)</f>
        <v>1862.88206098348</v>
      </c>
      <c r="E8" s="70">
        <f t="shared" ref="E8:H8" si="5">SUM(E9:E14)</f>
        <v>10556.3316789064</v>
      </c>
      <c r="F8" s="70">
        <f t="shared" si="5"/>
        <v>13498.3272676234</v>
      </c>
      <c r="G8" s="70">
        <f t="shared" si="5"/>
        <v>1166.53937749671</v>
      </c>
      <c r="H8" s="70">
        <f t="shared" si="5"/>
        <v>666.042899838912</v>
      </c>
    </row>
    <row r="9" customHeight="1" spans="1:8">
      <c r="A9" s="69">
        <v>2.1</v>
      </c>
      <c r="B9" s="69" t="s">
        <v>145</v>
      </c>
      <c r="C9" s="70">
        <f t="shared" si="0"/>
        <v>25881.3015570977</v>
      </c>
      <c r="D9" s="70">
        <f>E.4建设投资税后金额表!I17</f>
        <v>1862.88206098348</v>
      </c>
      <c r="E9" s="70">
        <f>E.4建设投资税后金额表!J17</f>
        <v>10556.3316789064</v>
      </c>
      <c r="F9" s="70">
        <f>E.4建设投资税后金额表!K17</f>
        <v>12958.5978017253</v>
      </c>
      <c r="G9" s="70">
        <f>E.4建设投资税后金额表!L17</f>
        <v>503.490015482537</v>
      </c>
      <c r="H9" s="70">
        <f>E.4建设投资税后金额表!AF17</f>
        <v>0</v>
      </c>
    </row>
    <row r="10" customHeight="1" spans="1:8">
      <c r="A10" s="69">
        <v>2.2</v>
      </c>
      <c r="B10" s="69" t="s">
        <v>147</v>
      </c>
      <c r="C10" s="70">
        <f t="shared" si="0"/>
        <v>46.0237990891992</v>
      </c>
      <c r="D10" s="70">
        <f>D.2项目总投资使用计划与资金筹措表!D6</f>
        <v>0</v>
      </c>
      <c r="E10" s="70">
        <f>D.2项目总投资使用计划与资金筹措表!E6</f>
        <v>0</v>
      </c>
      <c r="F10" s="70">
        <f>D.2项目总投资使用计划与资金筹措表!F6</f>
        <v>31.3112228194095</v>
      </c>
      <c r="G10" s="70">
        <f>D.2项目总投资使用计划与资金筹措表!G6</f>
        <v>11.2518209936768</v>
      </c>
      <c r="H10" s="70">
        <f>D.2项目总投资使用计划与资金筹措表!H6</f>
        <v>3.46075527611296</v>
      </c>
    </row>
    <row r="11" customHeight="1" spans="1:8">
      <c r="A11" s="69">
        <v>2.3</v>
      </c>
      <c r="B11" s="69" t="s">
        <v>482</v>
      </c>
      <c r="C11" s="70">
        <f t="shared" si="0"/>
        <v>1821.79792866196</v>
      </c>
      <c r="D11" s="70">
        <f>E总成本费用估算表!C11</f>
        <v>0</v>
      </c>
      <c r="E11" s="70">
        <f>E总成本费用估算表!D11</f>
        <v>0</v>
      </c>
      <c r="F11" s="70">
        <f>E总成本费用估算表!E11</f>
        <v>508.418243078672</v>
      </c>
      <c r="G11" s="70">
        <f>E总成本费用估算表!F11</f>
        <v>651.797541020492</v>
      </c>
      <c r="H11" s="70">
        <f>E总成本费用估算表!G11</f>
        <v>661.582144562799</v>
      </c>
    </row>
    <row r="12" customHeight="1" spans="1:8">
      <c r="A12" s="69">
        <v>2.4</v>
      </c>
      <c r="B12" s="69" t="s">
        <v>483</v>
      </c>
      <c r="C12" s="70">
        <f t="shared" si="0"/>
        <v>0</v>
      </c>
      <c r="D12" s="70">
        <f>G.税金及附加测算表!D30</f>
        <v>0</v>
      </c>
      <c r="E12" s="70">
        <f>G.税金及附加测算表!E30</f>
        <v>0</v>
      </c>
      <c r="F12" s="70">
        <f>G.税金及附加测算表!F30</f>
        <v>0</v>
      </c>
      <c r="G12" s="70">
        <f>G.税金及附加测算表!G30</f>
        <v>0</v>
      </c>
      <c r="H12" s="70">
        <f>G.税金及附加测算表!H30</f>
        <v>0</v>
      </c>
    </row>
    <row r="13" customHeight="1" spans="1:8">
      <c r="A13" s="69">
        <v>2.5</v>
      </c>
      <c r="B13" s="69" t="s">
        <v>484</v>
      </c>
      <c r="C13" s="70">
        <f t="shared" si="0"/>
        <v>0</v>
      </c>
      <c r="D13" s="70">
        <f>G.税金及附加测算表!D29</f>
        <v>0</v>
      </c>
      <c r="E13" s="70">
        <f>G.税金及附加测算表!E29</f>
        <v>0</v>
      </c>
      <c r="F13" s="70">
        <f>G.税金及附加测算表!F29</f>
        <v>0</v>
      </c>
      <c r="G13" s="70">
        <f>G.税金及附加测算表!G29</f>
        <v>0</v>
      </c>
      <c r="H13" s="70">
        <f>G.税金及附加测算表!H29</f>
        <v>0</v>
      </c>
    </row>
    <row r="14" customHeight="1" spans="1:8">
      <c r="A14" s="69">
        <v>2.6</v>
      </c>
      <c r="B14" s="69" t="s">
        <v>485</v>
      </c>
      <c r="C14" s="70">
        <f t="shared" si="0"/>
        <v>1</v>
      </c>
      <c r="D14" s="70">
        <v>0</v>
      </c>
      <c r="E14" s="70">
        <v>0</v>
      </c>
      <c r="F14" s="70">
        <v>0</v>
      </c>
      <c r="G14" s="70">
        <v>0</v>
      </c>
      <c r="H14" s="70">
        <v>1</v>
      </c>
    </row>
    <row r="15" customHeight="1" spans="1:8">
      <c r="A15" s="69">
        <v>3</v>
      </c>
      <c r="B15" s="69" t="s">
        <v>486</v>
      </c>
      <c r="C15" s="70">
        <f t="shared" si="0"/>
        <v>-20662.7701525589</v>
      </c>
      <c r="D15" s="70">
        <f t="shared" ref="D15" si="6">D3-D8</f>
        <v>-1862.88206098348</v>
      </c>
      <c r="E15" s="70">
        <f t="shared" ref="E15:H15" si="7">E3-E8</f>
        <v>-10556.3316789064</v>
      </c>
      <c r="F15" s="70">
        <f t="shared" si="7"/>
        <v>-12699.5687770573</v>
      </c>
      <c r="G15" s="70">
        <f t="shared" si="7"/>
        <v>905.017226276879</v>
      </c>
      <c r="H15" s="70">
        <f t="shared" ref="H15" si="8">H3-H8</f>
        <v>3550.99513811146</v>
      </c>
    </row>
    <row r="16" customHeight="1" spans="1:8">
      <c r="A16" s="69">
        <v>4</v>
      </c>
      <c r="B16" s="69" t="s">
        <v>487</v>
      </c>
      <c r="C16" s="70">
        <f>H16</f>
        <v>-20662.7701525589</v>
      </c>
      <c r="D16" s="70">
        <f>D15</f>
        <v>-1862.88206098348</v>
      </c>
      <c r="E16" s="70">
        <f>E15+D16</f>
        <v>-12419.2137398899</v>
      </c>
      <c r="F16" s="70">
        <f t="shared" ref="F16:H16" si="9">F15+E16</f>
        <v>-25118.7825169472</v>
      </c>
      <c r="G16" s="70">
        <f t="shared" si="9"/>
        <v>-24213.7652906703</v>
      </c>
      <c r="H16" s="70">
        <f t="shared" si="9"/>
        <v>-20662.7701525589</v>
      </c>
    </row>
    <row r="17" s="37" customFormat="1" customHeight="1" spans="1:17">
      <c r="A17" s="69">
        <v>5</v>
      </c>
      <c r="B17" s="69" t="s">
        <v>488</v>
      </c>
      <c r="C17" s="70">
        <f>SUM(D17:H17)</f>
        <v>689.920516173956</v>
      </c>
      <c r="D17" s="70">
        <f>'b利润与利润分配表（损益和利润分配表）'!D25*A财务假设!$D$9</f>
        <v>2.32963333333333</v>
      </c>
      <c r="E17" s="70">
        <f>'b利润与利润分配表（损益和利润分配表）'!E25*A财务假设!$D$9</f>
        <v>29.2066066666667</v>
      </c>
      <c r="F17" s="70">
        <f>'b利润与利润分配表（损益和利润分配表）'!F25*A财务假设!$D$9</f>
        <v>20.280877062067</v>
      </c>
      <c r="G17" s="70">
        <f>'b利润与利润分配表（损益和利润分配表）'!G25*A财务假设!$D$9</f>
        <v>346.442447545165</v>
      </c>
      <c r="H17" s="70">
        <f>'b利润与利润分配表（损益和利润分配表）'!H25*A财务假设!$D$9</f>
        <v>291.660951566724</v>
      </c>
      <c r="I17"/>
      <c r="J17"/>
      <c r="K17"/>
      <c r="L17"/>
      <c r="M17"/>
      <c r="N17"/>
      <c r="O17"/>
      <c r="P17"/>
      <c r="Q17"/>
    </row>
    <row r="18" customHeight="1" spans="1:8">
      <c r="A18" s="69">
        <v>6</v>
      </c>
      <c r="B18" s="69" t="s">
        <v>489</v>
      </c>
      <c r="C18" s="70">
        <f>SUM(D18:H18)</f>
        <v>-21352.6906687328</v>
      </c>
      <c r="D18" s="70">
        <f t="shared" ref="D18" si="10">D15-D17</f>
        <v>-1865.21169431681</v>
      </c>
      <c r="E18" s="70">
        <f t="shared" ref="E18:G18" si="11">E15-E17</f>
        <v>-10585.5382855731</v>
      </c>
      <c r="F18" s="70">
        <f t="shared" si="11"/>
        <v>-12719.8496541194</v>
      </c>
      <c r="G18" s="70">
        <f t="shared" si="11"/>
        <v>558.574778731714</v>
      </c>
      <c r="H18" s="70">
        <f t="shared" ref="H18" si="12">H15-H17</f>
        <v>3259.33418654474</v>
      </c>
    </row>
    <row r="19" customHeight="1" spans="1:8">
      <c r="A19" s="69">
        <v>7</v>
      </c>
      <c r="B19" s="69" t="s">
        <v>490</v>
      </c>
      <c r="C19" s="70">
        <f>H19</f>
        <v>-21352.6906687328</v>
      </c>
      <c r="D19" s="70">
        <f>D18</f>
        <v>-1865.21169431681</v>
      </c>
      <c r="E19" s="70">
        <f>E18+D19</f>
        <v>-12450.7499798899</v>
      </c>
      <c r="F19" s="70">
        <f t="shared" ref="F19:H19" si="13">F18+E19</f>
        <v>-25170.5996340093</v>
      </c>
      <c r="G19" s="70">
        <f t="shared" si="13"/>
        <v>-24612.0248552776</v>
      </c>
      <c r="H19" s="70">
        <f t="shared" si="13"/>
        <v>-21352.6906687328</v>
      </c>
    </row>
    <row r="20" customHeight="1" spans="1:8">
      <c r="A20" s="69">
        <v>8</v>
      </c>
      <c r="B20" s="69" t="s">
        <v>491</v>
      </c>
      <c r="C20" s="70">
        <f>SUM(D20:H20)</f>
        <v>-20099.0771920548</v>
      </c>
      <c r="D20" s="70">
        <f>D15/(1+A财务假设!$D$14)^(D2-$D$2)</f>
        <v>-1862.88206098348</v>
      </c>
      <c r="E20" s="70">
        <f>E15/(1+A财务假设!$D$14)^(E2-$D$2)</f>
        <v>-10248.8657076761</v>
      </c>
      <c r="F20" s="70">
        <f>F15/(1+A财务假设!$D$14)^(F2-$D$2)</f>
        <v>-11970.561577017</v>
      </c>
      <c r="G20" s="70">
        <f>G15/(1+A财务假设!$D$14)^(G2-$D$2)</f>
        <v>828.218966198217</v>
      </c>
      <c r="H20" s="70">
        <f>H15/(1+A财务假设!$D$14)^(H2-$D$2)</f>
        <v>3155.01318742362</v>
      </c>
    </row>
    <row r="21" customHeight="1" spans="1:8">
      <c r="A21" s="69">
        <v>9</v>
      </c>
      <c r="B21" s="69" t="s">
        <v>492</v>
      </c>
      <c r="C21" s="70">
        <f>H21</f>
        <v>-20099.0771920548</v>
      </c>
      <c r="D21" s="70">
        <f>D20</f>
        <v>-1862.88206098348</v>
      </c>
      <c r="E21" s="70">
        <f>E20+D21</f>
        <v>-12111.7477686596</v>
      </c>
      <c r="F21" s="70">
        <f t="shared" ref="F21:H21" si="14">F20+E21</f>
        <v>-24082.3093456766</v>
      </c>
      <c r="G21" s="70">
        <f t="shared" si="14"/>
        <v>-23254.0903794784</v>
      </c>
      <c r="H21" s="70">
        <f t="shared" si="14"/>
        <v>-20099.0771920548</v>
      </c>
    </row>
    <row r="22" customHeight="1" spans="1:8">
      <c r="A22" s="69">
        <v>10</v>
      </c>
      <c r="B22" s="69" t="s">
        <v>493</v>
      </c>
      <c r="C22" s="70">
        <f>SUM(D22:H22)</f>
        <v>-20725.0603201097</v>
      </c>
      <c r="D22" s="70">
        <f>D18/(1+A财务假设!$D$14)^(D2-$D$2)</f>
        <v>-1865.21169431681</v>
      </c>
      <c r="E22" s="70">
        <f>E18/(1+A财务假设!$D$14)^(E2-$D$2)</f>
        <v>-10277.2216364787</v>
      </c>
      <c r="F22" s="70">
        <f>F18/(1+A财务假设!$D$14)^(F2-$D$2)</f>
        <v>-11989.6782487694</v>
      </c>
      <c r="G22" s="70">
        <f>G18/(1+A财务假设!$D$14)^(G2-$D$2)</f>
        <v>511.175049881364</v>
      </c>
      <c r="H22" s="70">
        <f>H18/(1+A财务假设!$D$14)^(H2-$D$2)</f>
        <v>2895.87620957382</v>
      </c>
    </row>
    <row r="23" customHeight="1" spans="1:8">
      <c r="A23" s="69">
        <v>11</v>
      </c>
      <c r="B23" s="69" t="s">
        <v>494</v>
      </c>
      <c r="C23" s="70">
        <f>H23</f>
        <v>-20725.0603201097</v>
      </c>
      <c r="D23" s="70">
        <f>D22</f>
        <v>-1865.21169431681</v>
      </c>
      <c r="E23" s="70">
        <f>E22+D23</f>
        <v>-12142.4333307955</v>
      </c>
      <c r="F23" s="70">
        <f t="shared" ref="F23:H23" si="15">F22+E23</f>
        <v>-24132.1115795649</v>
      </c>
      <c r="G23" s="70">
        <f t="shared" si="15"/>
        <v>-23620.9365296835</v>
      </c>
      <c r="H23" s="70">
        <f t="shared" si="15"/>
        <v>-20725.0603201097</v>
      </c>
    </row>
    <row r="24" ht="37.95" customHeight="1" spans="1:8">
      <c r="A24" s="7" t="s">
        <v>495</v>
      </c>
      <c r="B24" s="71" t="s">
        <v>496</v>
      </c>
      <c r="C24" s="7"/>
      <c r="D24" s="65" t="e">
        <f>IRR(D15:H15)</f>
        <v>#NUM!</v>
      </c>
      <c r="E24" s="65"/>
      <c r="F24" s="65"/>
      <c r="G24" s="65"/>
      <c r="H24" s="65"/>
    </row>
    <row r="25" ht="34.95" customHeight="1" spans="1:8">
      <c r="A25" s="7" t="s">
        <v>497</v>
      </c>
      <c r="B25" s="71" t="s">
        <v>498</v>
      </c>
      <c r="C25" s="7"/>
      <c r="D25" s="65" t="e">
        <f>IRR(D18:H18)</f>
        <v>#NUM!</v>
      </c>
      <c r="E25" s="65"/>
      <c r="F25" s="65"/>
      <c r="G25" s="65"/>
      <c r="H25" s="65"/>
    </row>
    <row r="26" ht="34.05" customHeight="1" spans="1:8">
      <c r="A26" s="7" t="s">
        <v>499</v>
      </c>
      <c r="B26" s="71" t="s">
        <v>500</v>
      </c>
      <c r="C26" s="72" t="s">
        <v>501</v>
      </c>
      <c r="D26" s="73">
        <f>NPV(A财务假设!$D$3,D15:H15)</f>
        <v>-18792.5848838201</v>
      </c>
      <c r="E26" s="73"/>
      <c r="F26" s="73"/>
      <c r="G26" s="73"/>
      <c r="H26" s="73"/>
    </row>
    <row r="27" ht="34.05" customHeight="1" spans="1:8">
      <c r="A27" s="7" t="s">
        <v>502</v>
      </c>
      <c r="B27" s="71" t="s">
        <v>503</v>
      </c>
      <c r="C27" s="72" t="s">
        <v>501</v>
      </c>
      <c r="D27" s="73">
        <f>NPV(A财务假设!$D$4,D18:H18)</f>
        <v>-20121.4177865143</v>
      </c>
      <c r="E27" s="73"/>
      <c r="F27" s="73"/>
      <c r="G27" s="73"/>
      <c r="H27" s="73"/>
    </row>
    <row r="28" ht="37.05" customHeight="1" spans="1:8">
      <c r="A28" s="7" t="s">
        <v>504</v>
      </c>
      <c r="B28" s="71" t="s">
        <v>505</v>
      </c>
      <c r="C28" s="74" t="e">
        <f>#REF!+#REF!/#REF!-$D$2</f>
        <v>#REF!</v>
      </c>
      <c r="D28" s="75" t="s">
        <v>506</v>
      </c>
      <c r="E28" s="76"/>
      <c r="F28" s="76"/>
      <c r="G28" s="76"/>
      <c r="H28" s="40"/>
    </row>
    <row r="29" ht="37.05" customHeight="1" spans="1:8">
      <c r="A29" s="7" t="s">
        <v>507</v>
      </c>
      <c r="B29" s="71" t="s">
        <v>508</v>
      </c>
      <c r="C29" s="74" t="e">
        <f>#REF!+#REF!/#REF!-$D$2</f>
        <v>#REF!</v>
      </c>
      <c r="D29" s="77" t="s">
        <v>509</v>
      </c>
      <c r="E29" s="78"/>
      <c r="F29" s="78"/>
      <c r="G29" s="78"/>
      <c r="H29" s="7"/>
    </row>
    <row r="30" ht="34.05" customHeight="1" spans="1:8">
      <c r="A30" s="7" t="s">
        <v>510</v>
      </c>
      <c r="B30" s="71" t="s">
        <v>511</v>
      </c>
      <c r="C30" s="74" t="e">
        <f>#REF!+#REF!/#REF!-$D$2</f>
        <v>#REF!</v>
      </c>
      <c r="D30" s="77" t="s">
        <v>512</v>
      </c>
      <c r="E30" s="78"/>
      <c r="F30" s="78"/>
      <c r="G30" s="78"/>
      <c r="H30" s="7"/>
    </row>
    <row r="31" ht="34.95" customHeight="1" spans="1:8">
      <c r="A31" s="7" t="s">
        <v>513</v>
      </c>
      <c r="B31" s="71" t="s">
        <v>514</v>
      </c>
      <c r="C31" s="74" t="e">
        <f>#REF!+#REF!/#REF!-$D$2</f>
        <v>#REF!</v>
      </c>
      <c r="D31" s="77" t="s">
        <v>515</v>
      </c>
      <c r="E31" s="78"/>
      <c r="F31" s="78"/>
      <c r="G31" s="78"/>
      <c r="H31" s="7"/>
    </row>
  </sheetData>
  <mergeCells count="5">
    <mergeCell ref="A1:H1"/>
    <mergeCell ref="D28:G28"/>
    <mergeCell ref="D29:G29"/>
    <mergeCell ref="D30:G30"/>
    <mergeCell ref="D31:G31"/>
  </mergeCells>
  <pageMargins left="0.75" right="0.75" top="1" bottom="1" header="0.5" footer="0.5"/>
  <headerFooter/>
  <ignoredErrors>
    <ignoredError sqref="D20" formula="1"/>
  </ignoredError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2">
    <tabColor rgb="FFFFC000"/>
  </sheetPr>
  <dimension ref="A1:H23"/>
  <sheetViews>
    <sheetView zoomScale="70" zoomScaleNormal="70" workbookViewId="0">
      <pane xSplit="3" ySplit="2" topLeftCell="D3" activePane="bottomRight" state="frozen"/>
      <selection/>
      <selection pane="topRight"/>
      <selection pane="bottomLeft"/>
      <selection pane="bottomRight" activeCell="O13" sqref="O13"/>
    </sheetView>
  </sheetViews>
  <sheetFormatPr defaultColWidth="8.89090909090909" defaultRowHeight="28.05" customHeight="1" outlineLevelCol="7"/>
  <cols>
    <col min="2" max="2" width="29.6636363636364" customWidth="1"/>
    <col min="3" max="3" width="17.1090909090909"/>
    <col min="4" max="6" width="11.5545454545455" customWidth="1"/>
    <col min="7" max="7" width="10.5545454545455" customWidth="1"/>
    <col min="8" max="8" width="11.8909090909091" customWidth="1"/>
  </cols>
  <sheetData>
    <row r="1" customHeight="1" spans="1:8">
      <c r="A1" s="62" t="s">
        <v>516</v>
      </c>
      <c r="B1" s="63"/>
      <c r="C1" s="63"/>
      <c r="D1" s="63"/>
      <c r="E1" s="63"/>
      <c r="F1" s="63"/>
      <c r="G1" s="63"/>
      <c r="H1" s="64"/>
    </row>
    <row r="2" customHeight="1" spans="1:8">
      <c r="A2" s="2" t="s">
        <v>1</v>
      </c>
      <c r="B2" s="2" t="s">
        <v>187</v>
      </c>
      <c r="C2" s="2" t="s">
        <v>80</v>
      </c>
      <c r="D2" s="34">
        <v>2025</v>
      </c>
      <c r="E2" s="34">
        <v>2026</v>
      </c>
      <c r="F2" s="34">
        <v>2027</v>
      </c>
      <c r="G2" s="34">
        <v>2028</v>
      </c>
      <c r="H2" s="34">
        <v>2048</v>
      </c>
    </row>
    <row r="3" customHeight="1" spans="1:8">
      <c r="A3" s="7">
        <v>1</v>
      </c>
      <c r="B3" s="7" t="s">
        <v>476</v>
      </c>
      <c r="C3" s="12">
        <f t="shared" ref="C3:C17" si="0">SUM(D3:H3)</f>
        <v>7087.35313229</v>
      </c>
      <c r="D3" s="12">
        <f t="shared" ref="D3:G3" si="1">SUM(D4:D7)</f>
        <v>0</v>
      </c>
      <c r="E3" s="12">
        <f t="shared" si="1"/>
        <v>0</v>
      </c>
      <c r="F3" s="12">
        <f t="shared" si="1"/>
        <v>798.758490566038</v>
      </c>
      <c r="G3" s="12">
        <f t="shared" si="1"/>
        <v>2071.55660377358</v>
      </c>
      <c r="H3" s="12">
        <f t="shared" ref="H3" si="2">SUM(H4:H7)</f>
        <v>4217.03803795037</v>
      </c>
    </row>
    <row r="4" customHeight="1" spans="1:8">
      <c r="A4" s="7">
        <v>1.1</v>
      </c>
      <c r="B4" s="7" t="s">
        <v>477</v>
      </c>
      <c r="C4" s="12">
        <f t="shared" si="0"/>
        <v>5931.24905660377</v>
      </c>
      <c r="D4" s="12">
        <f>F项目收入!D24</f>
        <v>0</v>
      </c>
      <c r="E4" s="12">
        <f>F项目收入!E24</f>
        <v>0</v>
      </c>
      <c r="F4" s="12">
        <f>F项目收入!F24</f>
        <v>798.758490566038</v>
      </c>
      <c r="G4" s="12">
        <f>F项目收入!G24</f>
        <v>2071.55660377358</v>
      </c>
      <c r="H4" s="12">
        <f>F项目收入!H24</f>
        <v>3060.93396226415</v>
      </c>
    </row>
    <row r="5" customHeight="1" spans="1:8">
      <c r="A5" s="7">
        <v>1.2</v>
      </c>
      <c r="B5" s="7" t="s">
        <v>478</v>
      </c>
      <c r="C5" s="12">
        <f t="shared" si="0"/>
        <v>0</v>
      </c>
      <c r="D5" s="12">
        <v>0</v>
      </c>
      <c r="E5" s="12">
        <v>0</v>
      </c>
      <c r="F5" s="12">
        <v>0</v>
      </c>
      <c r="G5" s="12">
        <v>0</v>
      </c>
      <c r="H5" s="12">
        <v>0</v>
      </c>
    </row>
    <row r="6" customHeight="1" spans="1:8">
      <c r="A6" s="7">
        <v>1.3</v>
      </c>
      <c r="B6" s="7" t="s">
        <v>479</v>
      </c>
      <c r="C6" s="12">
        <f t="shared" si="0"/>
        <v>1110.08027659702</v>
      </c>
      <c r="D6" s="12" t="s">
        <v>163</v>
      </c>
      <c r="E6" s="12" t="s">
        <v>163</v>
      </c>
      <c r="F6" s="12" t="s">
        <v>163</v>
      </c>
      <c r="G6" s="12" t="s">
        <v>163</v>
      </c>
      <c r="H6" s="47">
        <f>E.2固定资产折旧费估算表!C6*A财务假设!$D$12</f>
        <v>1110.08027659702</v>
      </c>
    </row>
    <row r="7" customHeight="1" spans="1:8">
      <c r="A7" s="7">
        <v>1.4</v>
      </c>
      <c r="B7" s="7" t="s">
        <v>480</v>
      </c>
      <c r="C7" s="12">
        <f t="shared" si="0"/>
        <v>46.0237990891992</v>
      </c>
      <c r="D7" s="12" t="s">
        <v>163</v>
      </c>
      <c r="E7" s="12" t="s">
        <v>163</v>
      </c>
      <c r="F7" s="12" t="s">
        <v>163</v>
      </c>
      <c r="G7" s="12" t="s">
        <v>163</v>
      </c>
      <c r="H7" s="47">
        <f>D.4流动资金估算表!I13</f>
        <v>46.0237990891992</v>
      </c>
    </row>
    <row r="8" customHeight="1" spans="1:8">
      <c r="A8" s="7">
        <v>2</v>
      </c>
      <c r="B8" s="7" t="s">
        <v>481</v>
      </c>
      <c r="C8" s="12">
        <f t="shared" si="0"/>
        <v>3767.42955049115</v>
      </c>
      <c r="D8" s="12">
        <f t="shared" ref="D8" si="3">SUM(D9:D16)</f>
        <v>873.745607853123</v>
      </c>
      <c r="E8" s="12">
        <f t="shared" ref="E8:G8" si="4">SUM(E9:E16)</f>
        <v>113.752054445466</v>
      </c>
      <c r="F8" s="12">
        <f t="shared" si="4"/>
        <v>6538.80129977881</v>
      </c>
      <c r="G8" s="12">
        <f t="shared" si="4"/>
        <v>-5180.69631799189</v>
      </c>
      <c r="H8" s="12">
        <f t="shared" ref="H8" si="5">SUM(H9:H16)</f>
        <v>1421.82690640564</v>
      </c>
    </row>
    <row r="9" customHeight="1" spans="1:8">
      <c r="A9" s="7">
        <v>2.1</v>
      </c>
      <c r="B9" s="7" t="s">
        <v>149</v>
      </c>
      <c r="C9" s="12">
        <f t="shared" si="0"/>
        <v>253.972849388565</v>
      </c>
      <c r="D9" s="12">
        <f>D.2项目总投资使用计划与资金筹措表!D8</f>
        <v>872.730407853123</v>
      </c>
      <c r="E9" s="12">
        <f>D.2项目总投资使用计划与资金筹措表!E8</f>
        <v>77.8270489454664</v>
      </c>
      <c r="F9" s="12">
        <f>D.2项目总投资使用计划与资金筹措表!F8</f>
        <v>5750.23040580014</v>
      </c>
      <c r="G9" s="12">
        <f>D.2项目总投资使用计划与资金筹措表!G8</f>
        <v>-6450.27576848628</v>
      </c>
      <c r="H9" s="12">
        <f>D.2项目总投资使用计划与资金筹措表!H8</f>
        <v>3.46075527611296</v>
      </c>
    </row>
    <row r="10" customHeight="1" spans="1:8">
      <c r="A10" s="7">
        <v>2.2</v>
      </c>
      <c r="B10" s="7" t="s">
        <v>517</v>
      </c>
      <c r="C10" s="12">
        <f t="shared" si="0"/>
        <v>0</v>
      </c>
      <c r="D10" s="12">
        <f>c借款还本付息计划表!D42</f>
        <v>0</v>
      </c>
      <c r="E10" s="12">
        <f>c借款还本付息计划表!E42</f>
        <v>0</v>
      </c>
      <c r="F10" s="12">
        <f>c借款还本付息计划表!F42</f>
        <v>0</v>
      </c>
      <c r="G10" s="12">
        <f>c借款还本付息计划表!G42</f>
        <v>0</v>
      </c>
      <c r="H10" s="12">
        <f>c借款还本付息计划表!H42</f>
        <v>0</v>
      </c>
    </row>
    <row r="11" customHeight="1" spans="1:8">
      <c r="A11" s="7">
        <v>2.3</v>
      </c>
      <c r="B11" s="7" t="s">
        <v>518</v>
      </c>
      <c r="C11" s="12">
        <f t="shared" si="0"/>
        <v>1390.6162746</v>
      </c>
      <c r="D11" s="12">
        <f>c借款还本付息计划表!D43+c借款还本付息计划表!D45+c借款还本付息计划表!D46</f>
        <v>1.0152</v>
      </c>
      <c r="E11" s="12">
        <f>c借款还本付息计划表!E43+c借款还本付息计划表!E45+c借款还本付息计划表!E46</f>
        <v>34.9250055</v>
      </c>
      <c r="F11" s="12">
        <f>c借款还本付息计划表!F43+c借款还本付息计划表!F45+c借款还本付息计划表!F46</f>
        <v>278.1526509</v>
      </c>
      <c r="G11" s="12">
        <f>c借款还本付息计划表!G43+c借款还本付息计划表!G45+c借款还本付息计划表!G46</f>
        <v>461.6926782</v>
      </c>
      <c r="H11" s="12">
        <f>c借款还本付息计划表!H43+c借款还本付息计划表!H45+c借款还本付息计划表!H46</f>
        <v>614.83074</v>
      </c>
    </row>
    <row r="12" customHeight="1" spans="1:8">
      <c r="A12" s="7">
        <v>2.4</v>
      </c>
      <c r="B12" s="7" t="s">
        <v>482</v>
      </c>
      <c r="C12" s="12">
        <f t="shared" si="0"/>
        <v>1821.79792866196</v>
      </c>
      <c r="D12" s="12">
        <f>E总成本费用估算表!C11</f>
        <v>0</v>
      </c>
      <c r="E12" s="12">
        <f>E总成本费用估算表!D11</f>
        <v>0</v>
      </c>
      <c r="F12" s="12">
        <f>E总成本费用估算表!E11</f>
        <v>508.418243078672</v>
      </c>
      <c r="G12" s="12">
        <f>E总成本费用估算表!F11</f>
        <v>651.797541020492</v>
      </c>
      <c r="H12" s="12">
        <f>E总成本费用估算表!G11</f>
        <v>661.582144562799</v>
      </c>
    </row>
    <row r="13" customHeight="1" spans="1:8">
      <c r="A13" s="7">
        <v>2.5</v>
      </c>
      <c r="B13" s="7" t="s">
        <v>483</v>
      </c>
      <c r="C13" s="12">
        <f t="shared" si="0"/>
        <v>0</v>
      </c>
      <c r="D13" s="41">
        <f>G.税金及附加测算表!D30</f>
        <v>0</v>
      </c>
      <c r="E13" s="41">
        <f>G.税金及附加测算表!E30</f>
        <v>0</v>
      </c>
      <c r="F13" s="41">
        <f>G.税金及附加测算表!F30</f>
        <v>0</v>
      </c>
      <c r="G13" s="41">
        <f>G.税金及附加测算表!G30</f>
        <v>0</v>
      </c>
      <c r="H13" s="41">
        <f>G.税金及附加测算表!H30</f>
        <v>0</v>
      </c>
    </row>
    <row r="14" customHeight="1" spans="1:8">
      <c r="A14" s="7">
        <v>2.6</v>
      </c>
      <c r="B14" s="7" t="s">
        <v>484</v>
      </c>
      <c r="C14" s="12">
        <f t="shared" si="0"/>
        <v>0</v>
      </c>
      <c r="D14" s="41">
        <f>G.税金及附加测算表!D29</f>
        <v>0</v>
      </c>
      <c r="E14" s="41">
        <f>G.税金及附加测算表!E29</f>
        <v>0</v>
      </c>
      <c r="F14" s="41">
        <f>G.税金及附加测算表!F29</f>
        <v>0</v>
      </c>
      <c r="G14" s="41">
        <f>G.税金及附加测算表!G29</f>
        <v>0</v>
      </c>
      <c r="H14" s="41">
        <f>G.税金及附加测算表!H29</f>
        <v>0</v>
      </c>
    </row>
    <row r="15" customHeight="1" spans="1:8">
      <c r="A15" s="7">
        <v>2.7</v>
      </c>
      <c r="B15" s="7" t="s">
        <v>519</v>
      </c>
      <c r="C15" s="12">
        <f t="shared" si="0"/>
        <v>291.042497840623</v>
      </c>
      <c r="D15" s="12">
        <f>'b利润与利润分配表（损益和利润分配表）'!D11</f>
        <v>0</v>
      </c>
      <c r="E15" s="12">
        <f>'b利润与利润分配表（损益和利润分配表）'!E11</f>
        <v>0</v>
      </c>
      <c r="F15" s="12">
        <f>'b利润与利润分配表（损益和利润分配表）'!F11</f>
        <v>0</v>
      </c>
      <c r="G15" s="12">
        <f>'b利润与利润分配表（损益和利润分配表）'!G11</f>
        <v>153.089231273899</v>
      </c>
      <c r="H15" s="12">
        <f>'b利润与利润分配表（损益和利润分配表）'!H11</f>
        <v>137.953266566724</v>
      </c>
    </row>
    <row r="16" customHeight="1" spans="1:8">
      <c r="A16" s="7">
        <v>2.8</v>
      </c>
      <c r="B16" s="7" t="s">
        <v>485</v>
      </c>
      <c r="C16" s="12">
        <f t="shared" si="0"/>
        <v>10</v>
      </c>
      <c r="D16" s="39">
        <v>0</v>
      </c>
      <c r="E16" s="39">
        <v>1</v>
      </c>
      <c r="F16" s="39">
        <v>2</v>
      </c>
      <c r="G16" s="39">
        <v>3</v>
      </c>
      <c r="H16" s="39">
        <v>4</v>
      </c>
    </row>
    <row r="17" customHeight="1" spans="1:8">
      <c r="A17" s="7">
        <v>3</v>
      </c>
      <c r="B17" s="7" t="s">
        <v>520</v>
      </c>
      <c r="C17" s="12">
        <f t="shared" si="0"/>
        <v>3319.92358179885</v>
      </c>
      <c r="D17" s="12">
        <f t="shared" ref="D17" si="6">D3-D8</f>
        <v>-873.745607853123</v>
      </c>
      <c r="E17" s="12">
        <f t="shared" ref="E17:G17" si="7">E3-E8</f>
        <v>-113.752054445466</v>
      </c>
      <c r="F17" s="12">
        <f t="shared" si="7"/>
        <v>-5740.04280921278</v>
      </c>
      <c r="G17" s="12">
        <f t="shared" si="7"/>
        <v>7252.25292176548</v>
      </c>
      <c r="H17" s="12">
        <f t="shared" ref="H17" si="8">H3-H8</f>
        <v>2795.21113154474</v>
      </c>
    </row>
    <row r="18" customHeight="1" spans="1:8">
      <c r="A18" s="7" t="s">
        <v>495</v>
      </c>
      <c r="B18" s="42" t="s">
        <v>521</v>
      </c>
      <c r="C18" s="7"/>
      <c r="D18" s="65">
        <f>IRR(D17:H17)</f>
        <v>0.285812490913897</v>
      </c>
      <c r="E18" s="65"/>
      <c r="F18" s="65"/>
      <c r="G18" s="65"/>
      <c r="H18" s="65"/>
    </row>
    <row r="20" customHeight="1" spans="2:3">
      <c r="B20" s="54"/>
      <c r="C20" s="66"/>
    </row>
    <row r="21" customHeight="1" spans="3:3">
      <c r="C21" s="66"/>
    </row>
    <row r="23" customHeight="1" spans="3:3">
      <c r="C23" s="66"/>
    </row>
  </sheetData>
  <mergeCells count="1">
    <mergeCell ref="A1:G1"/>
  </mergeCells>
  <pageMargins left="0.75" right="0.75" top="1" bottom="1" header="0.5" footer="0.5"/>
  <headerFooter/>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3">
    <tabColor rgb="FFFFC000"/>
  </sheetPr>
  <dimension ref="A1:K28"/>
  <sheetViews>
    <sheetView zoomScale="85" zoomScaleNormal="85" workbookViewId="0">
      <pane xSplit="3" ySplit="2" topLeftCell="D3" activePane="bottomRight" state="frozen"/>
      <selection/>
      <selection pane="topRight"/>
      <selection pane="bottomLeft"/>
      <selection pane="bottomRight" activeCell="H3" sqref="H3"/>
    </sheetView>
  </sheetViews>
  <sheetFormatPr defaultColWidth="8.89090909090909" defaultRowHeight="28.05" customHeight="1"/>
  <cols>
    <col min="1" max="1" width="8.89090909090909" style="54"/>
    <col min="2" max="2" width="27.7818181818182" style="54" customWidth="1"/>
    <col min="3" max="3" width="13.2181818181818" style="54" customWidth="1"/>
    <col min="4" max="4" width="6.55454545454545" style="54" customWidth="1"/>
    <col min="5" max="5" width="8.21818181818182" style="54" customWidth="1"/>
    <col min="6" max="8" width="11.8909090909091" style="54" customWidth="1"/>
    <col min="9" max="16384" width="8.89090909090909" style="54"/>
  </cols>
  <sheetData>
    <row r="1" customHeight="1" spans="1:11">
      <c r="A1" s="55" t="s">
        <v>522</v>
      </c>
      <c r="B1" s="55"/>
      <c r="C1" s="55"/>
      <c r="D1" s="55"/>
      <c r="E1" s="55"/>
      <c r="F1" s="55"/>
      <c r="G1" s="55"/>
      <c r="H1" s="55"/>
      <c r="I1"/>
      <c r="J1"/>
      <c r="K1"/>
    </row>
    <row r="2" customHeight="1" spans="1:11">
      <c r="A2" s="56" t="s">
        <v>1</v>
      </c>
      <c r="B2" s="56" t="s">
        <v>187</v>
      </c>
      <c r="C2" s="56" t="s">
        <v>80</v>
      </c>
      <c r="D2" s="56">
        <v>2025</v>
      </c>
      <c r="E2" s="56">
        <v>2026</v>
      </c>
      <c r="F2" s="56">
        <v>2027</v>
      </c>
      <c r="G2" s="56">
        <v>2028</v>
      </c>
      <c r="H2" s="56">
        <v>2029</v>
      </c>
      <c r="I2"/>
      <c r="J2"/>
      <c r="K2"/>
    </row>
    <row r="3" ht="21.6" customHeight="1" spans="1:11">
      <c r="A3" s="57">
        <v>1</v>
      </c>
      <c r="B3" s="57" t="s">
        <v>523</v>
      </c>
      <c r="C3" s="58">
        <f t="shared" ref="C3:C8" si="0">SUM(D3:H3)</f>
        <v>5931.24905660377</v>
      </c>
      <c r="D3" s="58">
        <f>F项目收入!D24</f>
        <v>0</v>
      </c>
      <c r="E3" s="58">
        <f>F项目收入!E24</f>
        <v>0</v>
      </c>
      <c r="F3" s="58">
        <f>F项目收入!F24</f>
        <v>798.758490566038</v>
      </c>
      <c r="G3" s="58">
        <f>F项目收入!G24</f>
        <v>2071.55660377358</v>
      </c>
      <c r="H3" s="58">
        <f>F项目收入!H24</f>
        <v>3060.93396226415</v>
      </c>
      <c r="I3"/>
      <c r="J3"/>
      <c r="K3"/>
    </row>
    <row r="4" ht="21.45" customHeight="1" spans="1:11">
      <c r="A4" s="57">
        <v>2</v>
      </c>
      <c r="B4" s="57" t="s">
        <v>483</v>
      </c>
      <c r="C4" s="58">
        <f t="shared" si="0"/>
        <v>0</v>
      </c>
      <c r="D4" s="58">
        <f>G.税金及附加测算表!D30</f>
        <v>0</v>
      </c>
      <c r="E4" s="58">
        <f>G.税金及附加测算表!E30</f>
        <v>0</v>
      </c>
      <c r="F4" s="58">
        <f>G.税金及附加测算表!F30</f>
        <v>0</v>
      </c>
      <c r="G4" s="58">
        <f>G.税金及附加测算表!G30</f>
        <v>0</v>
      </c>
      <c r="H4" s="58">
        <f>G.税金及附加测算表!H30</f>
        <v>0</v>
      </c>
      <c r="I4"/>
      <c r="J4"/>
      <c r="K4"/>
    </row>
    <row r="5" ht="21.45" customHeight="1" spans="1:11">
      <c r="A5" s="57">
        <v>3</v>
      </c>
      <c r="B5" s="57" t="s">
        <v>524</v>
      </c>
      <c r="C5" s="58">
        <f t="shared" si="0"/>
        <v>4767.07906524128</v>
      </c>
      <c r="D5" s="58">
        <f>E总成本费用估算表!C15</f>
        <v>0</v>
      </c>
      <c r="E5" s="58">
        <f>E总成本费用估算表!D15</f>
        <v>0</v>
      </c>
      <c r="F5" s="58">
        <f>E总成本费用估算表!E15</f>
        <v>1057.2894356511</v>
      </c>
      <c r="G5" s="58">
        <f>E总成本费用估算表!F15</f>
        <v>1200.66873359292</v>
      </c>
      <c r="H5" s="58">
        <f>E总成本费用估算表!G15</f>
        <v>2509.12089599726</v>
      </c>
      <c r="I5"/>
      <c r="J5"/>
      <c r="K5"/>
    </row>
    <row r="6" ht="21.6" customHeight="1" spans="1:11">
      <c r="A6" s="57">
        <v>4</v>
      </c>
      <c r="B6" s="57" t="s">
        <v>478</v>
      </c>
      <c r="C6" s="58">
        <f t="shared" si="0"/>
        <v>0</v>
      </c>
      <c r="D6" s="58">
        <v>0</v>
      </c>
      <c r="E6" s="58">
        <v>0</v>
      </c>
      <c r="F6" s="58">
        <v>0</v>
      </c>
      <c r="G6" s="58">
        <v>0</v>
      </c>
      <c r="H6" s="58">
        <v>0</v>
      </c>
      <c r="I6"/>
      <c r="J6"/>
      <c r="K6"/>
    </row>
    <row r="7" ht="21.45" customHeight="1" spans="1:11">
      <c r="A7" s="57">
        <v>5</v>
      </c>
      <c r="B7" s="57" t="s">
        <v>525</v>
      </c>
      <c r="C7" s="58">
        <f t="shared" si="0"/>
        <v>1164.16999136249</v>
      </c>
      <c r="D7" s="58">
        <f>D3-D4-D5+D6</f>
        <v>0</v>
      </c>
      <c r="E7" s="58">
        <f t="shared" ref="E7:H7" si="1">E3-E4-E5+E6</f>
        <v>0</v>
      </c>
      <c r="F7" s="58">
        <f t="shared" si="1"/>
        <v>-258.530945085065</v>
      </c>
      <c r="G7" s="58">
        <f t="shared" si="1"/>
        <v>870.887870180661</v>
      </c>
      <c r="H7" s="58">
        <f t="shared" si="1"/>
        <v>551.813066266895</v>
      </c>
      <c r="I7"/>
      <c r="J7"/>
      <c r="K7"/>
    </row>
    <row r="8" ht="21.6" customHeight="1" spans="1:11">
      <c r="A8" s="57">
        <v>6</v>
      </c>
      <c r="B8" s="57" t="s">
        <v>526</v>
      </c>
      <c r="C8" s="58">
        <f t="shared" si="0"/>
        <v>258.530945085065</v>
      </c>
      <c r="D8" s="58">
        <v>0</v>
      </c>
      <c r="E8" s="58">
        <f>IF(E7&lt;0,0,IF(D9&lt;0,IF((E7+D9)&lt;0,E7,-D9),0))</f>
        <v>0</v>
      </c>
      <c r="F8" s="58">
        <f t="shared" ref="F8:H8" si="2">IF(F7&lt;0,0,IF(E9&lt;0,IF((F7+E9)&lt;0,F7,-E9),0))</f>
        <v>0</v>
      </c>
      <c r="G8" s="58">
        <f t="shared" si="2"/>
        <v>258.530945085065</v>
      </c>
      <c r="H8" s="58">
        <f t="shared" si="2"/>
        <v>0</v>
      </c>
      <c r="I8"/>
      <c r="J8"/>
      <c r="K8"/>
    </row>
    <row r="9" ht="21.6" customHeight="1" spans="1:11">
      <c r="A9" s="57"/>
      <c r="B9" s="57" t="s">
        <v>527</v>
      </c>
      <c r="C9" s="58" t="s">
        <v>163</v>
      </c>
      <c r="D9" s="58">
        <f>IF(D7&lt;0,D7,0)</f>
        <v>0</v>
      </c>
      <c r="E9" s="58">
        <f>IF(E7&lt;0,E7+D9,D9+E8)</f>
        <v>0</v>
      </c>
      <c r="F9" s="58">
        <f t="shared" ref="F9:H9" si="3">IF(F7&lt;0,F7+E9,E9+F8)</f>
        <v>-258.530945085065</v>
      </c>
      <c r="G9" s="58">
        <f t="shared" si="3"/>
        <v>0</v>
      </c>
      <c r="H9" s="58">
        <f t="shared" si="3"/>
        <v>0</v>
      </c>
      <c r="I9"/>
      <c r="J9"/>
      <c r="K9"/>
    </row>
    <row r="10" ht="21.6" customHeight="1" spans="1:11">
      <c r="A10" s="57">
        <v>7</v>
      </c>
      <c r="B10" s="57" t="s">
        <v>528</v>
      </c>
      <c r="C10" s="58">
        <f t="shared" ref="C10:C26" si="4">SUM(D10:H10)</f>
        <v>1164.16999136249</v>
      </c>
      <c r="D10" s="58">
        <f t="shared" ref="D10" si="5">IF(D9&lt;0,0,(D7-D8))</f>
        <v>0</v>
      </c>
      <c r="E10" s="58">
        <f t="shared" ref="E10:H10" si="6">IF(E9&lt;0,0,(E7-E8))</f>
        <v>0</v>
      </c>
      <c r="F10" s="58">
        <f t="shared" si="6"/>
        <v>0</v>
      </c>
      <c r="G10" s="58">
        <f t="shared" si="6"/>
        <v>612.356925095596</v>
      </c>
      <c r="H10" s="58">
        <f t="shared" si="6"/>
        <v>551.813066266895</v>
      </c>
      <c r="I10"/>
      <c r="J10"/>
      <c r="K10"/>
    </row>
    <row r="11" ht="21.6" customHeight="1" spans="1:11">
      <c r="A11" s="57">
        <v>8</v>
      </c>
      <c r="B11" s="59" t="s">
        <v>519</v>
      </c>
      <c r="C11" s="58">
        <f t="shared" si="4"/>
        <v>291.042497840623</v>
      </c>
      <c r="D11" s="58">
        <f>D10*A财务假设!$D$9</f>
        <v>0</v>
      </c>
      <c r="E11" s="58">
        <f>E10*A财务假设!$D$9</f>
        <v>0</v>
      </c>
      <c r="F11" s="58">
        <f>F10*A财务假设!$D$9</f>
        <v>0</v>
      </c>
      <c r="G11" s="58">
        <f>G10*A财务假设!$D$9</f>
        <v>153.089231273899</v>
      </c>
      <c r="H11" s="58">
        <f>H10*A财务假设!$D$9</f>
        <v>137.953266566724</v>
      </c>
      <c r="I11"/>
      <c r="J11"/>
      <c r="K11"/>
    </row>
    <row r="12" ht="21.6" customHeight="1" spans="1:11">
      <c r="A12" s="57">
        <v>9</v>
      </c>
      <c r="B12" s="57" t="s">
        <v>529</v>
      </c>
      <c r="C12" s="58">
        <f t="shared" si="4"/>
        <v>873.127493521868</v>
      </c>
      <c r="D12" s="58">
        <f>D7-D11</f>
        <v>0</v>
      </c>
      <c r="E12" s="58">
        <f t="shared" ref="E12:H12" si="7">E7-E11</f>
        <v>0</v>
      </c>
      <c r="F12" s="58">
        <f t="shared" si="7"/>
        <v>-258.530945085065</v>
      </c>
      <c r="G12" s="58">
        <f t="shared" si="7"/>
        <v>717.798638906762</v>
      </c>
      <c r="H12" s="58">
        <f t="shared" si="7"/>
        <v>413.859799700171</v>
      </c>
      <c r="I12"/>
      <c r="J12"/>
      <c r="K12"/>
    </row>
    <row r="13" ht="21.6" customHeight="1" spans="1:11">
      <c r="A13" s="57">
        <v>10</v>
      </c>
      <c r="B13" s="57" t="s">
        <v>530</v>
      </c>
      <c r="C13" s="58">
        <f t="shared" si="4"/>
        <v>0</v>
      </c>
      <c r="D13" s="58">
        <v>0</v>
      </c>
      <c r="E13" s="58">
        <v>0</v>
      </c>
      <c r="F13" s="58">
        <v>0</v>
      </c>
      <c r="G13" s="58">
        <v>0</v>
      </c>
      <c r="H13" s="58">
        <v>0</v>
      </c>
      <c r="I13"/>
      <c r="J13"/>
      <c r="K13"/>
    </row>
    <row r="14" ht="21.6" customHeight="1" spans="1:11">
      <c r="A14" s="57">
        <v>11</v>
      </c>
      <c r="B14" s="57" t="s">
        <v>531</v>
      </c>
      <c r="C14" s="58">
        <f t="shared" si="4"/>
        <v>873.127493521868</v>
      </c>
      <c r="D14" s="58">
        <f t="shared" ref="D14" si="8">SUM(D12:D13)</f>
        <v>0</v>
      </c>
      <c r="E14" s="58">
        <f t="shared" ref="E14:H14" si="9">SUM(E12:E13)</f>
        <v>0</v>
      </c>
      <c r="F14" s="58">
        <f t="shared" si="9"/>
        <v>-258.530945085065</v>
      </c>
      <c r="G14" s="58">
        <f t="shared" si="9"/>
        <v>717.798638906762</v>
      </c>
      <c r="H14" s="58">
        <f t="shared" si="9"/>
        <v>413.859799700171</v>
      </c>
      <c r="I14"/>
      <c r="J14"/>
      <c r="K14"/>
    </row>
    <row r="15" ht="21.6" customHeight="1" spans="1:11">
      <c r="A15" s="57">
        <v>12</v>
      </c>
      <c r="B15" s="57" t="s">
        <v>532</v>
      </c>
      <c r="C15" s="58">
        <f t="shared" si="4"/>
        <v>87.3127493521868</v>
      </c>
      <c r="D15" s="58">
        <f>D12*A财务假设!$D$10</f>
        <v>0</v>
      </c>
      <c r="E15" s="58">
        <f>E12*A财务假设!$D$10</f>
        <v>0</v>
      </c>
      <c r="F15" s="58">
        <f>F12*A财务假设!$D$10</f>
        <v>-25.8530945085065</v>
      </c>
      <c r="G15" s="58">
        <f>G12*A财务假设!$D$10</f>
        <v>71.7798638906762</v>
      </c>
      <c r="H15" s="58">
        <f>H12*A财务假设!$D$10</f>
        <v>41.3859799700171</v>
      </c>
      <c r="I15"/>
      <c r="J15"/>
      <c r="K15"/>
    </row>
    <row r="16" ht="21.6" customHeight="1" spans="1:11">
      <c r="A16" s="57">
        <v>13</v>
      </c>
      <c r="B16" s="57" t="s">
        <v>533</v>
      </c>
      <c r="C16" s="58">
        <f t="shared" si="4"/>
        <v>785.814744169681</v>
      </c>
      <c r="D16" s="58">
        <f t="shared" ref="D16" si="10">D14-D15</f>
        <v>0</v>
      </c>
      <c r="E16" s="58">
        <f t="shared" ref="E16:H16" si="11">E14-E15</f>
        <v>0</v>
      </c>
      <c r="F16" s="58">
        <f t="shared" si="11"/>
        <v>-232.677850576559</v>
      </c>
      <c r="G16" s="58">
        <f t="shared" si="11"/>
        <v>646.018775016086</v>
      </c>
      <c r="H16" s="58">
        <f t="shared" si="11"/>
        <v>372.473819730154</v>
      </c>
      <c r="I16"/>
      <c r="J16"/>
      <c r="K16"/>
    </row>
    <row r="17" ht="21.6" customHeight="1" spans="1:11">
      <c r="A17" s="57">
        <v>14</v>
      </c>
      <c r="B17" s="57" t="s">
        <v>534</v>
      </c>
      <c r="C17" s="58">
        <f t="shared" si="4"/>
        <v>0</v>
      </c>
      <c r="D17" s="58">
        <v>0</v>
      </c>
      <c r="E17" s="58">
        <v>0</v>
      </c>
      <c r="F17" s="58">
        <v>0</v>
      </c>
      <c r="G17" s="58">
        <v>0</v>
      </c>
      <c r="H17" s="58">
        <v>0</v>
      </c>
      <c r="I17"/>
      <c r="J17"/>
      <c r="K17"/>
    </row>
    <row r="18" ht="21.6" customHeight="1" spans="1:11">
      <c r="A18" s="57">
        <v>15</v>
      </c>
      <c r="B18" s="57" t="s">
        <v>535</v>
      </c>
      <c r="C18" s="58">
        <f t="shared" si="4"/>
        <v>39.2907372084841</v>
      </c>
      <c r="D18" s="58">
        <f>D16*A财务假设!$D$11</f>
        <v>0</v>
      </c>
      <c r="E18" s="58">
        <f>E16*A财务假设!$D$11</f>
        <v>0</v>
      </c>
      <c r="F18" s="58">
        <f>F16*A财务假设!$D$11</f>
        <v>-11.6338925288279</v>
      </c>
      <c r="G18" s="58">
        <f>G16*A财务假设!$D$11</f>
        <v>32.3009387508043</v>
      </c>
      <c r="H18" s="58">
        <f>H16*A财务假设!$D$11</f>
        <v>18.6236909865077</v>
      </c>
      <c r="I18"/>
      <c r="J18"/>
      <c r="K18"/>
    </row>
    <row r="19" ht="21.6" customHeight="1" spans="1:11">
      <c r="A19" s="57">
        <v>16</v>
      </c>
      <c r="B19" s="57" t="s">
        <v>536</v>
      </c>
      <c r="C19" s="58">
        <f t="shared" si="4"/>
        <v>746.524006961197</v>
      </c>
      <c r="D19" s="58">
        <f t="shared" ref="D19" si="12">D16-D17-D18</f>
        <v>0</v>
      </c>
      <c r="E19" s="58">
        <f t="shared" ref="E19:H19" si="13">E16-E17-E18</f>
        <v>0</v>
      </c>
      <c r="F19" s="58">
        <f t="shared" si="13"/>
        <v>-221.043958047731</v>
      </c>
      <c r="G19" s="58">
        <f t="shared" si="13"/>
        <v>613.717836265282</v>
      </c>
      <c r="H19" s="58">
        <f t="shared" si="13"/>
        <v>353.850128743646</v>
      </c>
      <c r="I19"/>
      <c r="J19"/>
      <c r="K19"/>
    </row>
    <row r="20" ht="21.6" customHeight="1" spans="1:11">
      <c r="A20" s="57">
        <v>17</v>
      </c>
      <c r="B20" s="57" t="s">
        <v>537</v>
      </c>
      <c r="C20" s="58">
        <f t="shared" si="4"/>
        <v>0</v>
      </c>
      <c r="D20" s="58">
        <v>0</v>
      </c>
      <c r="E20" s="58">
        <v>0</v>
      </c>
      <c r="F20" s="58">
        <v>0</v>
      </c>
      <c r="G20" s="58">
        <v>0</v>
      </c>
      <c r="H20" s="58">
        <v>0</v>
      </c>
      <c r="I20"/>
      <c r="J20"/>
      <c r="K20"/>
    </row>
    <row r="21" ht="21.6" customHeight="1" spans="1:11">
      <c r="A21" s="57">
        <v>17.1</v>
      </c>
      <c r="B21" s="57" t="s">
        <v>538</v>
      </c>
      <c r="C21" s="58">
        <f t="shared" si="4"/>
        <v>0</v>
      </c>
      <c r="D21" s="58">
        <v>0</v>
      </c>
      <c r="E21" s="58">
        <v>0</v>
      </c>
      <c r="F21" s="58">
        <v>0</v>
      </c>
      <c r="G21" s="58">
        <v>0</v>
      </c>
      <c r="H21" s="58">
        <v>0</v>
      </c>
      <c r="I21"/>
      <c r="J21"/>
      <c r="K21"/>
    </row>
    <row r="22" ht="21.6" customHeight="1" spans="1:11">
      <c r="A22" s="57">
        <v>18</v>
      </c>
      <c r="B22" s="57" t="s">
        <v>539</v>
      </c>
      <c r="C22" s="58">
        <f t="shared" si="4"/>
        <v>746.524006961197</v>
      </c>
      <c r="D22" s="58">
        <f>D16-D17-D18-D20</f>
        <v>0</v>
      </c>
      <c r="E22" s="58">
        <f t="shared" ref="E22:H22" si="14">E16-E17-E18-E20</f>
        <v>0</v>
      </c>
      <c r="F22" s="58">
        <f t="shared" si="14"/>
        <v>-221.043958047731</v>
      </c>
      <c r="G22" s="58">
        <f t="shared" si="14"/>
        <v>613.717836265282</v>
      </c>
      <c r="H22" s="58">
        <f t="shared" si="14"/>
        <v>353.850128743646</v>
      </c>
      <c r="I22"/>
      <c r="J22"/>
      <c r="K22"/>
    </row>
    <row r="23" ht="21.6" customHeight="1" spans="1:11">
      <c r="A23" s="57">
        <v>18.1</v>
      </c>
      <c r="B23" s="57" t="s">
        <v>540</v>
      </c>
      <c r="C23" s="58">
        <f t="shared" si="4"/>
        <v>0</v>
      </c>
      <c r="D23" s="58">
        <v>0</v>
      </c>
      <c r="E23" s="58">
        <v>0</v>
      </c>
      <c r="F23" s="58">
        <v>0</v>
      </c>
      <c r="G23" s="58">
        <v>0</v>
      </c>
      <c r="H23" s="58">
        <v>0</v>
      </c>
      <c r="I23"/>
      <c r="J23"/>
      <c r="K23"/>
    </row>
    <row r="24" ht="21.6" customHeight="1" spans="1:11">
      <c r="A24" s="57">
        <v>18.2</v>
      </c>
      <c r="B24" s="57" t="s">
        <v>541</v>
      </c>
      <c r="C24" s="58">
        <f t="shared" si="4"/>
        <v>918.153927131017</v>
      </c>
      <c r="D24" s="58">
        <f>D22</f>
        <v>0</v>
      </c>
      <c r="E24" s="58">
        <f>E22+D24</f>
        <v>0</v>
      </c>
      <c r="F24" s="58">
        <f t="shared" ref="F24:H24" si="15">F22+E24</f>
        <v>-221.043958047731</v>
      </c>
      <c r="G24" s="58">
        <f t="shared" si="15"/>
        <v>392.673878217551</v>
      </c>
      <c r="H24" s="58">
        <f t="shared" si="15"/>
        <v>746.524006961197</v>
      </c>
      <c r="I24"/>
      <c r="J24"/>
      <c r="K24"/>
    </row>
    <row r="25" ht="28" spans="1:11">
      <c r="A25" s="57">
        <v>19</v>
      </c>
      <c r="B25" s="59" t="s">
        <v>542</v>
      </c>
      <c r="C25" s="58">
        <f t="shared" si="4"/>
        <v>2759.68206469582</v>
      </c>
      <c r="D25" s="60">
        <f>D7+c借款还本付息计划表!D47+c借款还本付息计划表!D46</f>
        <v>9.31853333333333</v>
      </c>
      <c r="E25" s="60">
        <f>E7+c借款还本付息计划表!E47+c借款还本付息计划表!E46</f>
        <v>116.826426666667</v>
      </c>
      <c r="F25" s="60">
        <f>F7+c借款还本付息计划表!F47+c借款还本付息计划表!F46</f>
        <v>81.1235082482681</v>
      </c>
      <c r="G25" s="60">
        <f>G7+c借款还本付息计划表!G47+c借款还本付息计划表!G46</f>
        <v>1385.76979018066</v>
      </c>
      <c r="H25" s="58">
        <f>H7+E总成本费用估算表!G14</f>
        <v>1166.64380626689</v>
      </c>
      <c r="I25"/>
      <c r="J25"/>
      <c r="K25"/>
    </row>
    <row r="26" ht="28" spans="1:11">
      <c r="A26" s="57">
        <v>20</v>
      </c>
      <c r="B26" s="59" t="s">
        <v>543</v>
      </c>
      <c r="C26" s="58">
        <f t="shared" si="4"/>
        <v>5090.13246127514</v>
      </c>
      <c r="D26" s="58">
        <f>D25+E总成本费用估算表!C12+E总成本费用估算表!C13</f>
        <v>9.31853333333333</v>
      </c>
      <c r="E26" s="58">
        <f>E25+E总成本费用估算表!D12+E总成本费用估算表!D13</f>
        <v>116.826426666667</v>
      </c>
      <c r="F26" s="58">
        <f>F25+E总成本费用估算表!E12+E总成本费用估算表!E13</f>
        <v>629.994700820699</v>
      </c>
      <c r="G26" s="58">
        <f>G25+E总成本费用估算表!F12+E总成本费用估算表!F13</f>
        <v>1934.64098275309</v>
      </c>
      <c r="H26" s="58">
        <f>H25+E总成本费用估算表!G12+E总成本费用估算表!G13</f>
        <v>2399.35181770135</v>
      </c>
      <c r="I26"/>
      <c r="J26"/>
      <c r="K26"/>
    </row>
    <row r="27" ht="21.6" customHeight="1" spans="1:11">
      <c r="A27" s="57">
        <v>21</v>
      </c>
      <c r="B27" s="59" t="s">
        <v>544</v>
      </c>
      <c r="C27" s="61">
        <f>(C26-C11)/c借款还本付息计划表!C41</f>
        <v>0.116211980904555</v>
      </c>
      <c r="D27" s="61"/>
      <c r="E27" s="61"/>
      <c r="F27" s="61"/>
      <c r="G27" s="61"/>
      <c r="H27" s="61"/>
      <c r="I27"/>
      <c r="J27"/>
      <c r="K27"/>
    </row>
    <row r="28" customHeight="1" spans="9:11">
      <c r="I28"/>
      <c r="J28"/>
      <c r="K28"/>
    </row>
  </sheetData>
  <mergeCells count="1">
    <mergeCell ref="A1:H1"/>
  </mergeCells>
  <pageMargins left="0.75" right="0.75" top="1" bottom="1" header="0.5" footer="0.5"/>
  <headerFooter/>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1">
    <tabColor rgb="FFFFC000"/>
  </sheetPr>
  <dimension ref="A1:AC55"/>
  <sheetViews>
    <sheetView zoomScale="55" zoomScaleNormal="55" workbookViewId="0">
      <pane xSplit="2" ySplit="2" topLeftCell="C3" activePane="bottomRight" state="frozen"/>
      <selection/>
      <selection pane="topRight"/>
      <selection pane="bottomLeft"/>
      <selection pane="bottomRight" activeCell="H49" sqref="H49"/>
    </sheetView>
  </sheetViews>
  <sheetFormatPr defaultColWidth="8.89090909090909" defaultRowHeight="28.05" customHeight="1"/>
  <cols>
    <col min="1" max="1" width="10.3363636363636" customWidth="1"/>
    <col min="2" max="2" width="22.2181818181818" customWidth="1"/>
    <col min="3" max="3" width="18.1090909090909" customWidth="1"/>
    <col min="4" max="4" width="12.1090909090909" customWidth="1"/>
    <col min="5" max="27" width="11.2181818181818" customWidth="1"/>
    <col min="28" max="28" width="17.7818181818182" customWidth="1"/>
  </cols>
  <sheetData>
    <row r="1" customHeight="1" spans="1:29">
      <c r="A1" s="44" t="s">
        <v>545</v>
      </c>
      <c r="B1" s="45"/>
      <c r="C1" s="45"/>
      <c r="D1" s="45"/>
      <c r="E1" s="45"/>
      <c r="F1" s="45"/>
      <c r="G1" s="45"/>
      <c r="H1" s="45"/>
      <c r="I1" s="45"/>
      <c r="J1" s="45"/>
      <c r="K1" s="45"/>
      <c r="L1" s="45"/>
      <c r="M1" s="45"/>
      <c r="N1" s="45"/>
      <c r="O1" s="45"/>
      <c r="P1" s="45"/>
      <c r="Q1" s="45"/>
      <c r="R1" s="45"/>
      <c r="S1" s="45"/>
      <c r="T1" s="45"/>
      <c r="U1" s="45"/>
      <c r="V1" s="45"/>
      <c r="W1" s="45"/>
      <c r="X1" s="45"/>
      <c r="Y1" s="45"/>
      <c r="Z1" s="45"/>
      <c r="AA1" s="45"/>
      <c r="AB1" s="50"/>
      <c r="AC1" s="50"/>
    </row>
    <row r="2" customHeight="1" spans="1:29">
      <c r="A2" s="2" t="s">
        <v>1</v>
      </c>
      <c r="B2" s="2" t="s">
        <v>187</v>
      </c>
      <c r="C2" s="2" t="s">
        <v>80</v>
      </c>
      <c r="D2" s="34">
        <v>2025</v>
      </c>
      <c r="E2" s="34">
        <v>2026</v>
      </c>
      <c r="F2" s="34">
        <v>2027</v>
      </c>
      <c r="G2" s="34">
        <v>2028</v>
      </c>
      <c r="H2" s="34">
        <v>2029</v>
      </c>
      <c r="I2" s="34">
        <v>2030</v>
      </c>
      <c r="J2" s="34">
        <v>2031</v>
      </c>
      <c r="K2" s="34">
        <v>2032</v>
      </c>
      <c r="L2" s="34">
        <v>2033</v>
      </c>
      <c r="M2" s="34">
        <v>2034</v>
      </c>
      <c r="N2" s="34">
        <v>2035</v>
      </c>
      <c r="O2" s="34">
        <v>2036</v>
      </c>
      <c r="P2" s="34">
        <v>2037</v>
      </c>
      <c r="Q2" s="34">
        <v>2038</v>
      </c>
      <c r="R2" s="34">
        <v>2039</v>
      </c>
      <c r="S2" s="34">
        <v>2040</v>
      </c>
      <c r="T2" s="34">
        <v>2041</v>
      </c>
      <c r="U2" s="34">
        <v>2042</v>
      </c>
      <c r="V2" s="34">
        <v>2043</v>
      </c>
      <c r="W2" s="34">
        <v>2044</v>
      </c>
      <c r="X2" s="34">
        <v>2045</v>
      </c>
      <c r="Y2" s="34">
        <v>2046</v>
      </c>
      <c r="Z2" s="34">
        <v>2047</v>
      </c>
      <c r="AA2" s="34">
        <v>2048</v>
      </c>
      <c r="AB2" s="50"/>
      <c r="AC2" s="50"/>
    </row>
    <row r="3" customHeight="1" spans="1:29">
      <c r="A3" s="11">
        <v>1</v>
      </c>
      <c r="B3" s="11" t="s">
        <v>71</v>
      </c>
      <c r="C3" s="11"/>
      <c r="D3" s="11"/>
      <c r="E3" s="11"/>
      <c r="F3" s="11"/>
      <c r="G3" s="11"/>
      <c r="H3" s="11"/>
      <c r="I3" s="11"/>
      <c r="J3" s="11"/>
      <c r="K3" s="11"/>
      <c r="L3" s="11"/>
      <c r="M3" s="11"/>
      <c r="N3" s="11"/>
      <c r="O3" s="11"/>
      <c r="P3" s="11"/>
      <c r="Q3" s="11"/>
      <c r="R3" s="11"/>
      <c r="S3" s="11"/>
      <c r="T3" s="11"/>
      <c r="U3" s="11"/>
      <c r="V3" s="11"/>
      <c r="W3" s="11"/>
      <c r="X3" s="11"/>
      <c r="Y3" s="11"/>
      <c r="Z3" s="11"/>
      <c r="AA3" s="11"/>
      <c r="AB3" s="50"/>
      <c r="AC3" s="50"/>
    </row>
    <row r="4" customHeight="1" spans="1:28">
      <c r="A4" s="11">
        <v>1.1</v>
      </c>
      <c r="B4" s="7" t="s">
        <v>546</v>
      </c>
      <c r="C4" s="12" t="s">
        <v>163</v>
      </c>
      <c r="D4" s="39">
        <v>0</v>
      </c>
      <c r="E4" s="39">
        <f>D8</f>
        <v>1175</v>
      </c>
      <c r="F4" s="39">
        <f t="shared" ref="F4:T4" si="0">E8</f>
        <v>1175</v>
      </c>
      <c r="G4" s="39">
        <f t="shared" si="0"/>
        <v>1175</v>
      </c>
      <c r="H4" s="39">
        <f t="shared" si="0"/>
        <v>1175</v>
      </c>
      <c r="I4" s="39">
        <f t="shared" si="0"/>
        <v>1175</v>
      </c>
      <c r="J4" s="39">
        <f t="shared" si="0"/>
        <v>1175</v>
      </c>
      <c r="K4" s="39">
        <f t="shared" si="0"/>
        <v>1175</v>
      </c>
      <c r="L4" s="39">
        <f t="shared" si="0"/>
        <v>1175</v>
      </c>
      <c r="M4" s="39">
        <f t="shared" si="0"/>
        <v>1175</v>
      </c>
      <c r="N4" s="39">
        <f t="shared" si="0"/>
        <v>1175</v>
      </c>
      <c r="O4" s="39">
        <f t="shared" si="0"/>
        <v>1175</v>
      </c>
      <c r="P4" s="39">
        <f t="shared" si="0"/>
        <v>1175</v>
      </c>
      <c r="Q4" s="39">
        <f t="shared" si="0"/>
        <v>1175</v>
      </c>
      <c r="R4" s="39">
        <f t="shared" si="0"/>
        <v>1175</v>
      </c>
      <c r="S4" s="39">
        <f t="shared" si="0"/>
        <v>1175</v>
      </c>
      <c r="T4" s="39">
        <f t="shared" si="0"/>
        <v>1175</v>
      </c>
      <c r="U4" s="39">
        <f t="shared" ref="U4" si="1">T8</f>
        <v>1175</v>
      </c>
      <c r="V4" s="39">
        <f t="shared" ref="V4" si="2">U8</f>
        <v>1175</v>
      </c>
      <c r="W4" s="39">
        <f t="shared" ref="W4" si="3">V8</f>
        <v>1175</v>
      </c>
      <c r="X4" s="39">
        <f t="shared" ref="X4" si="4">W8</f>
        <v>1175</v>
      </c>
      <c r="Y4" s="39"/>
      <c r="Z4" s="39"/>
      <c r="AA4" s="52"/>
      <c r="AB4" s="50"/>
    </row>
    <row r="5" customHeight="1" spans="1:28">
      <c r="A5" s="11">
        <v>1.2</v>
      </c>
      <c r="B5" s="7" t="s">
        <v>547</v>
      </c>
      <c r="C5" s="12">
        <f>SUM(D5:Z5)</f>
        <v>1673.2</v>
      </c>
      <c r="D5" s="12">
        <f t="shared" ref="D5" si="5">D6+D7</f>
        <v>0</v>
      </c>
      <c r="E5" s="12">
        <f t="shared" ref="E5:W5" si="6">E6+E7</f>
        <v>24.91</v>
      </c>
      <c r="F5" s="12">
        <f t="shared" si="6"/>
        <v>24.91</v>
      </c>
      <c r="G5" s="12">
        <f t="shared" si="6"/>
        <v>24.91</v>
      </c>
      <c r="H5" s="12">
        <f t="shared" si="6"/>
        <v>24.91</v>
      </c>
      <c r="I5" s="12">
        <f t="shared" si="6"/>
        <v>24.91</v>
      </c>
      <c r="J5" s="12">
        <f t="shared" si="6"/>
        <v>24.91</v>
      </c>
      <c r="K5" s="12">
        <f t="shared" si="6"/>
        <v>24.91</v>
      </c>
      <c r="L5" s="12">
        <f t="shared" si="6"/>
        <v>24.91</v>
      </c>
      <c r="M5" s="12">
        <f t="shared" si="6"/>
        <v>24.91</v>
      </c>
      <c r="N5" s="12">
        <f t="shared" si="6"/>
        <v>24.91</v>
      </c>
      <c r="O5" s="12">
        <f t="shared" si="6"/>
        <v>24.91</v>
      </c>
      <c r="P5" s="12">
        <f t="shared" si="6"/>
        <v>24.91</v>
      </c>
      <c r="Q5" s="12">
        <f t="shared" si="6"/>
        <v>24.91</v>
      </c>
      <c r="R5" s="12">
        <f t="shared" si="6"/>
        <v>24.91</v>
      </c>
      <c r="S5" s="12">
        <f t="shared" si="6"/>
        <v>24.91</v>
      </c>
      <c r="T5" s="12">
        <f t="shared" si="6"/>
        <v>24.91</v>
      </c>
      <c r="U5" s="12">
        <f t="shared" si="6"/>
        <v>24.91</v>
      </c>
      <c r="V5" s="12">
        <f t="shared" ref="V5" si="7">V6+V7</f>
        <v>24.91</v>
      </c>
      <c r="W5" s="12">
        <f t="shared" si="6"/>
        <v>24.91</v>
      </c>
      <c r="X5" s="12">
        <f t="shared" ref="X5" si="8">X6+X7</f>
        <v>1199.91</v>
      </c>
      <c r="Y5" s="12"/>
      <c r="Z5" s="12"/>
      <c r="AA5" s="52"/>
      <c r="AB5" s="50"/>
    </row>
    <row r="6" customHeight="1" spans="1:28">
      <c r="A6" s="11" t="s">
        <v>193</v>
      </c>
      <c r="B6" s="7" t="s">
        <v>548</v>
      </c>
      <c r="C6" s="12">
        <f>SUM(D6:Z6)</f>
        <v>1175</v>
      </c>
      <c r="D6" s="39">
        <v>0</v>
      </c>
      <c r="E6" s="39">
        <v>0</v>
      </c>
      <c r="F6" s="39">
        <v>0</v>
      </c>
      <c r="G6" s="39">
        <v>0</v>
      </c>
      <c r="H6" s="39">
        <v>0</v>
      </c>
      <c r="I6" s="39">
        <v>0</v>
      </c>
      <c r="J6" s="39">
        <v>0</v>
      </c>
      <c r="K6" s="39">
        <v>0</v>
      </c>
      <c r="L6" s="39">
        <v>0</v>
      </c>
      <c r="M6" s="39">
        <v>0</v>
      </c>
      <c r="N6" s="39">
        <v>0</v>
      </c>
      <c r="O6" s="39">
        <v>0</v>
      </c>
      <c r="P6" s="39">
        <v>0</v>
      </c>
      <c r="Q6" s="39">
        <v>0</v>
      </c>
      <c r="R6" s="39">
        <v>0</v>
      </c>
      <c r="S6" s="39">
        <v>0</v>
      </c>
      <c r="T6" s="39">
        <v>0</v>
      </c>
      <c r="U6" s="39">
        <v>0</v>
      </c>
      <c r="V6" s="39">
        <v>0</v>
      </c>
      <c r="W6" s="39">
        <v>0</v>
      </c>
      <c r="X6" s="46">
        <f>E4</f>
        <v>1175</v>
      </c>
      <c r="Y6" s="39"/>
      <c r="Z6" s="39"/>
      <c r="AA6" s="52"/>
      <c r="AB6" s="53" t="s">
        <v>549</v>
      </c>
    </row>
    <row r="7" customHeight="1" spans="1:28">
      <c r="A7" s="11" t="s">
        <v>195</v>
      </c>
      <c r="B7" s="7" t="s">
        <v>550</v>
      </c>
      <c r="C7" s="12">
        <f>SUM(D7:Z7)</f>
        <v>498.2</v>
      </c>
      <c r="D7" s="46">
        <f>IF(C.1项目融资信息!G4&lt;10,0,IF(MONTH(C.1项目融资信息!E4)&gt;6,0,C.1项目融资信息!D4*C.1项目融资信息!H4/2))</f>
        <v>0</v>
      </c>
      <c r="E7" s="46">
        <f>C.1项目融资信息!$D$4*C.1项目融资信息!$H$4</f>
        <v>24.91</v>
      </c>
      <c r="F7" s="46">
        <f>C.1项目融资信息!$D$4*C.1项目融资信息!$H$4</f>
        <v>24.91</v>
      </c>
      <c r="G7" s="46">
        <f>C.1项目融资信息!$D$4*C.1项目融资信息!$H$4</f>
        <v>24.91</v>
      </c>
      <c r="H7" s="46">
        <f>C.1项目融资信息!$D$4*C.1项目融资信息!$H$4</f>
        <v>24.91</v>
      </c>
      <c r="I7" s="46">
        <f>C.1项目融资信息!$D$4*C.1项目融资信息!$H$4</f>
        <v>24.91</v>
      </c>
      <c r="J7" s="46">
        <f>C.1项目融资信息!$D$4*C.1项目融资信息!$H$4</f>
        <v>24.91</v>
      </c>
      <c r="K7" s="46">
        <f>C.1项目融资信息!$D$4*C.1项目融资信息!$H$4</f>
        <v>24.91</v>
      </c>
      <c r="L7" s="46">
        <f>C.1项目融资信息!$D$4*C.1项目融资信息!$H$4</f>
        <v>24.91</v>
      </c>
      <c r="M7" s="46">
        <f>C.1项目融资信息!$D$4*C.1项目融资信息!$H$4</f>
        <v>24.91</v>
      </c>
      <c r="N7" s="46">
        <f>C.1项目融资信息!$D$4*C.1项目融资信息!$H$4</f>
        <v>24.91</v>
      </c>
      <c r="O7" s="46">
        <f>C.1项目融资信息!$D$4*C.1项目融资信息!$H$4</f>
        <v>24.91</v>
      </c>
      <c r="P7" s="46">
        <f>C.1项目融资信息!$D$4*C.1项目融资信息!$H$4</f>
        <v>24.91</v>
      </c>
      <c r="Q7" s="46">
        <f>C.1项目融资信息!$D$4*C.1项目融资信息!$H$4</f>
        <v>24.91</v>
      </c>
      <c r="R7" s="46">
        <f>C.1项目融资信息!$D$4*C.1项目融资信息!$H$4</f>
        <v>24.91</v>
      </c>
      <c r="S7" s="46">
        <f>C.1项目融资信息!$D$4*C.1项目融资信息!$H$4</f>
        <v>24.91</v>
      </c>
      <c r="T7" s="46">
        <f>C.1项目融资信息!$D$4*C.1项目融资信息!$H$4</f>
        <v>24.91</v>
      </c>
      <c r="U7" s="46">
        <f>C.1项目融资信息!$D$4*C.1项目融资信息!$H$4</f>
        <v>24.91</v>
      </c>
      <c r="V7" s="46">
        <f>C.1项目融资信息!$D$4*C.1项目融资信息!$H$4</f>
        <v>24.91</v>
      </c>
      <c r="W7" s="46">
        <f>C.1项目融资信息!$D$4*C.1项目融资信息!$H$4</f>
        <v>24.91</v>
      </c>
      <c r="X7" s="46">
        <f>IF(C.1项目融资信息!G4&lt;10,C.1项目融资信息!$D$4*C.1项目融资信息!$H$4,IF(MONTH(C.1项目融资信息!E4)&gt;6,C.1项目融资信息!$D$4*C.1项目融资信息!$H$4,C.1项目融资信息!D4*C.1项目融资信息!H4/2))</f>
        <v>24.91</v>
      </c>
      <c r="Y7" s="39"/>
      <c r="Z7" s="39"/>
      <c r="AA7" s="52"/>
      <c r="AB7" s="53" t="s">
        <v>551</v>
      </c>
    </row>
    <row r="8" customHeight="1" spans="1:28">
      <c r="A8" s="11">
        <v>1.3</v>
      </c>
      <c r="B8" s="7" t="s">
        <v>552</v>
      </c>
      <c r="C8" s="12" t="s">
        <v>163</v>
      </c>
      <c r="D8" s="47">
        <f>D4+C.2项目每年借款信息!C3-D6</f>
        <v>1175</v>
      </c>
      <c r="E8" s="47">
        <f>E4+C.2项目每年借款信息!D3-E6</f>
        <v>1175</v>
      </c>
      <c r="F8" s="47">
        <f>F4+C.2项目每年借款信息!F3-F6</f>
        <v>1175</v>
      </c>
      <c r="G8" s="47">
        <f>G4+C.2项目每年借款信息!G3-G6</f>
        <v>1175</v>
      </c>
      <c r="H8" s="47">
        <f>H4+C.2项目每年借款信息!H3-H6</f>
        <v>1175</v>
      </c>
      <c r="I8" s="47">
        <f>I4+C.2项目每年借款信息!I3-I6</f>
        <v>1175</v>
      </c>
      <c r="J8" s="47">
        <f>J4+C.2项目每年借款信息!J3-J6</f>
        <v>1175</v>
      </c>
      <c r="K8" s="47">
        <f>K4+C.2项目每年借款信息!K3-K6</f>
        <v>1175</v>
      </c>
      <c r="L8" s="47">
        <f>L4+C.2项目每年借款信息!L3-L6</f>
        <v>1175</v>
      </c>
      <c r="M8" s="47">
        <f>M4+C.2项目每年借款信息!M3-M6</f>
        <v>1175</v>
      </c>
      <c r="N8" s="47">
        <f>N4+C.2项目每年借款信息!N3-N6</f>
        <v>1175</v>
      </c>
      <c r="O8" s="47">
        <f>O4+C.2项目每年借款信息!O3-O6</f>
        <v>1175</v>
      </c>
      <c r="P8" s="47">
        <f>P4+C.2项目每年借款信息!P3-P6</f>
        <v>1175</v>
      </c>
      <c r="Q8" s="47">
        <f>Q4+C.2项目每年借款信息!Q3-Q6</f>
        <v>1175</v>
      </c>
      <c r="R8" s="47">
        <f>R4+C.2项目每年借款信息!R3-R6</f>
        <v>1175</v>
      </c>
      <c r="S8" s="47">
        <f>S4+C.2项目每年借款信息!S3-S6</f>
        <v>1175</v>
      </c>
      <c r="T8" s="47">
        <f>T4+C.2项目每年借款信息!T3-T6</f>
        <v>1175</v>
      </c>
      <c r="U8" s="47">
        <f>U4+C.2项目每年借款信息!U3-U6</f>
        <v>1175</v>
      </c>
      <c r="V8" s="47">
        <f>V4+C.2项目每年借款信息!U3-V6</f>
        <v>1175</v>
      </c>
      <c r="W8" s="47">
        <f>W4+C.2项目每年借款信息!W3-W6</f>
        <v>1175</v>
      </c>
      <c r="X8" s="47">
        <f>X4+C.2项目每年借款信息!X3-X6</f>
        <v>0</v>
      </c>
      <c r="Y8" s="12"/>
      <c r="Z8" s="12"/>
      <c r="AA8" s="52"/>
      <c r="AB8" s="53" t="s">
        <v>157</v>
      </c>
    </row>
    <row r="9" customHeight="1" spans="1:28">
      <c r="A9" s="11">
        <v>1.4</v>
      </c>
      <c r="B9" s="7" t="s">
        <v>553</v>
      </c>
      <c r="C9" s="48">
        <f>SUM(D9:Z9)</f>
        <v>0.08366</v>
      </c>
      <c r="D9" s="48">
        <f>D5*A财务假设!$D$18</f>
        <v>0</v>
      </c>
      <c r="E9" s="48">
        <f>E5*A财务假设!$D$18</f>
        <v>0.0012455</v>
      </c>
      <c r="F9" s="48">
        <f>F5*A财务假设!$D$18</f>
        <v>0.0012455</v>
      </c>
      <c r="G9" s="48">
        <f>G5*A财务假设!$D$18</f>
        <v>0.0012455</v>
      </c>
      <c r="H9" s="48">
        <f>H5*A财务假设!$D$18</f>
        <v>0.0012455</v>
      </c>
      <c r="I9" s="48">
        <f>I5*A财务假设!$D$18</f>
        <v>0.0012455</v>
      </c>
      <c r="J9" s="48">
        <f>J5*A财务假设!$D$18</f>
        <v>0.0012455</v>
      </c>
      <c r="K9" s="48">
        <f>K5*A财务假设!$D$18</f>
        <v>0.0012455</v>
      </c>
      <c r="L9" s="48">
        <f>L5*A财务假设!$D$18</f>
        <v>0.0012455</v>
      </c>
      <c r="M9" s="48">
        <f>M5*A财务假设!$D$18</f>
        <v>0.0012455</v>
      </c>
      <c r="N9" s="48">
        <f>N5*A财务假设!$D$18</f>
        <v>0.0012455</v>
      </c>
      <c r="O9" s="48">
        <f>O5*A财务假设!$D$18</f>
        <v>0.0012455</v>
      </c>
      <c r="P9" s="48">
        <f>P5*A财务假设!$D$18</f>
        <v>0.0012455</v>
      </c>
      <c r="Q9" s="48">
        <f>Q5*A财务假设!$D$18</f>
        <v>0.0012455</v>
      </c>
      <c r="R9" s="48">
        <f>R5*A财务假设!$D$18</f>
        <v>0.0012455</v>
      </c>
      <c r="S9" s="48">
        <f>S5*A财务假设!$D$18</f>
        <v>0.0012455</v>
      </c>
      <c r="T9" s="48">
        <f>T5*A财务假设!$D$18</f>
        <v>0.0012455</v>
      </c>
      <c r="U9" s="48">
        <f>U5*A财务假设!$D$18</f>
        <v>0.0012455</v>
      </c>
      <c r="V9" s="48">
        <f>V5*A财务假设!$D$18</f>
        <v>0.0012455</v>
      </c>
      <c r="W9" s="48">
        <f>W5*A财务假设!$D$18</f>
        <v>0.0012455</v>
      </c>
      <c r="X9" s="48">
        <f>X5*A财务假设!$D$18</f>
        <v>0.0599955</v>
      </c>
      <c r="Y9" s="12"/>
      <c r="Z9" s="12"/>
      <c r="AA9" s="52"/>
      <c r="AB9" s="50"/>
    </row>
    <row r="10" customHeight="1" spans="1:28">
      <c r="A10" s="11">
        <v>1.5</v>
      </c>
      <c r="B10" s="7" t="s">
        <v>554</v>
      </c>
      <c r="C10" s="12">
        <f>SUM(D10:Z10)</f>
        <v>1.0152</v>
      </c>
      <c r="D10" s="47">
        <f>C.1项目融资信息!D4*(A财务假设!$D$17+IF(C.1项目融资信息!G4&gt;4,A财务假设!$D$16,A财务假设!$D$15))</f>
        <v>1.0152</v>
      </c>
      <c r="E10" s="12"/>
      <c r="F10" s="12"/>
      <c r="G10" s="12"/>
      <c r="H10" s="12"/>
      <c r="I10" s="12"/>
      <c r="J10" s="12"/>
      <c r="K10" s="12"/>
      <c r="L10" s="12"/>
      <c r="M10" s="12"/>
      <c r="N10" s="12"/>
      <c r="O10" s="12"/>
      <c r="P10" s="12"/>
      <c r="Q10" s="12"/>
      <c r="R10" s="12"/>
      <c r="S10" s="12"/>
      <c r="T10" s="12"/>
      <c r="U10" s="12"/>
      <c r="V10" s="12"/>
      <c r="W10" s="12"/>
      <c r="X10" s="12"/>
      <c r="Y10" s="12"/>
      <c r="Z10" s="12"/>
      <c r="AA10" s="52"/>
      <c r="AB10" s="53" t="s">
        <v>555</v>
      </c>
    </row>
    <row r="11" customHeight="1" spans="1:28">
      <c r="A11" s="11">
        <v>1.6</v>
      </c>
      <c r="B11" s="7" t="s">
        <v>556</v>
      </c>
      <c r="C11" s="12">
        <f>SUM(D11:G11)</f>
        <v>83.0333333333333</v>
      </c>
      <c r="D11" s="47">
        <f>IF((D$2-YEAR(C.1项目融资信息!$E4))=0,(12-MONTH(C.1项目融资信息!$E4)+1)*C.1项目融资信息!$D4*C.1项目融资信息!$H4/12,C.1项目融资信息!$D4*C.1项目融资信息!$H4)</f>
        <v>8.30333333333333</v>
      </c>
      <c r="E11" s="47">
        <f>IF((E$2-YEAR(C.1项目融资信息!$E4))=0,(12-MONTH(C.1项目融资信息!$E4)+1)*C.1项目融资信息!$D4*C.1项目融资信息!$H4/12,C.1项目融资信息!$D4*C.1项目融资信息!$H4)</f>
        <v>24.91</v>
      </c>
      <c r="F11" s="47">
        <f>IF((F$2-YEAR(C.1项目融资信息!$E4))=0,(12-MONTH(C.1项目融资信息!$E4)+1)*C.1项目融资信息!$D4*C.1项目融资信息!$H4/12,C.1项目融资信息!$D4*C.1项目融资信息!$H4)</f>
        <v>24.91</v>
      </c>
      <c r="G11" s="47">
        <f>IF((G$2-YEAR(C.1项目融资信息!$E4))=0,(12-MONTH(C.1项目融资信息!$E4)+1)*C.1项目融资信息!$D4*C.1项目融资信息!$H4/12,C.1项目融资信息!$D4*C.1项目融资信息!$H4)</f>
        <v>24.91</v>
      </c>
      <c r="H11" s="47">
        <f>IF((H$2-YEAR(C.1项目融资信息!$E4))=0,(12-MONTH(C.1项目融资信息!$E4)+1)*C.1项目融资信息!$D4*C.1项目融资信息!$H4/12,C.1项目融资信息!$D4*C.1项目融资信息!$H4)</f>
        <v>24.91</v>
      </c>
      <c r="I11" s="47">
        <f>IF((I$2-YEAR(C.1项目融资信息!$E4))=0,(12-MONTH(C.1项目融资信息!$E4)+1)*C.1项目融资信息!$D4*C.1项目融资信息!$H4/12,C.1项目融资信息!$D4*C.1项目融资信息!$H4)</f>
        <v>24.91</v>
      </c>
      <c r="J11" s="47">
        <f>IF((J$2-YEAR(C.1项目融资信息!$E4))=0,(12-MONTH(C.1项目融资信息!$E4)+1)*C.1项目融资信息!$D4*C.1项目融资信息!$H4/12,C.1项目融资信息!$D4*C.1项目融资信息!$H4)</f>
        <v>24.91</v>
      </c>
      <c r="K11" s="47">
        <f>IF((K$2-YEAR(C.1项目融资信息!$E4))=0,(12-MONTH(C.1项目融资信息!$E4)+1)*C.1项目融资信息!$D4*C.1项目融资信息!$H4/12,C.1项目融资信息!$D4*C.1项目融资信息!$H4)</f>
        <v>24.91</v>
      </c>
      <c r="L11" s="47">
        <f>IF((L$2-YEAR(C.1项目融资信息!$E4))=0,(12-MONTH(C.1项目融资信息!$E4)+1)*C.1项目融资信息!$D4*C.1项目融资信息!$H4/12,C.1项目融资信息!$D4*C.1项目融资信息!$H4)</f>
        <v>24.91</v>
      </c>
      <c r="M11" s="47">
        <f>IF((M$2-YEAR(C.1项目融资信息!$E4))=0,(12-MONTH(C.1项目融资信息!$E4)+1)*C.1项目融资信息!$D4*C.1项目融资信息!$H4/12,C.1项目融资信息!$D4*C.1项目融资信息!$H4)</f>
        <v>24.91</v>
      </c>
      <c r="N11" s="47">
        <f>IF((N$2-YEAR(C.1项目融资信息!$E4))=0,(12-MONTH(C.1项目融资信息!$E4)+1)*C.1项目融资信息!$D4*C.1项目融资信息!$H4/12,C.1项目融资信息!$D4*C.1项目融资信息!$H4)</f>
        <v>24.91</v>
      </c>
      <c r="O11" s="47">
        <f>IF((O$2-YEAR(C.1项目融资信息!$E4))=0,(12-MONTH(C.1项目融资信息!$E4)+1)*C.1项目融资信息!$D4*C.1项目融资信息!$H4/12,C.1项目融资信息!$D4*C.1项目融资信息!$H4)</f>
        <v>24.91</v>
      </c>
      <c r="P11" s="47">
        <f>IF((P$2-YEAR(C.1项目融资信息!$E4))=0,(12-MONTH(C.1项目融资信息!$E4)+1)*C.1项目融资信息!$D4*C.1项目融资信息!$H4/12,C.1项目融资信息!$D4*C.1项目融资信息!$H4)</f>
        <v>24.91</v>
      </c>
      <c r="Q11" s="47">
        <f>IF((Q$2-YEAR(C.1项目融资信息!$E4))=0,(12-MONTH(C.1项目融资信息!$E4)+1)*C.1项目融资信息!$D4*C.1项目融资信息!$H4/12,C.1项目融资信息!$D4*C.1项目融资信息!$H4)</f>
        <v>24.91</v>
      </c>
      <c r="R11" s="47">
        <f>IF((R$2-YEAR(C.1项目融资信息!$E4))=0,(12-MONTH(C.1项目融资信息!$E4)+1)*C.1项目融资信息!$D4*C.1项目融资信息!$H4/12,C.1项目融资信息!$D4*C.1项目融资信息!$H4)</f>
        <v>24.91</v>
      </c>
      <c r="S11" s="47">
        <f>IF((S$2-YEAR(C.1项目融资信息!$E4))=0,(12-MONTH(C.1项目融资信息!$E4)+1)*C.1项目融资信息!$D4*C.1项目融资信息!$H4/12,C.1项目融资信息!$D4*C.1项目融资信息!$H4)</f>
        <v>24.91</v>
      </c>
      <c r="T11" s="47">
        <f>IF((T$2-YEAR(C.1项目融资信息!$E4))=0,(12-MONTH(C.1项目融资信息!$E4)+1)*C.1项目融资信息!$D4*C.1项目融资信息!$H4/12,C.1项目融资信息!$D4*C.1项目融资信息!$H4)</f>
        <v>24.91</v>
      </c>
      <c r="U11" s="47">
        <f>IF((U$2-YEAR(C.1项目融资信息!$E4))=0,(12-MONTH(C.1项目融资信息!$E4)+1)*C.1项目融资信息!$D4*C.1项目融资信息!$H4/12,C.1项目融资信息!$D4*C.1项目融资信息!$H4)</f>
        <v>24.91</v>
      </c>
      <c r="V11" s="47">
        <f>IF((V$2-YEAR(C.1项目融资信息!$E4))=0,(12-MONTH(C.1项目融资信息!$E4)+1)*C.1项目融资信息!$D4*C.1项目融资信息!$H4/12,C.1项目融资信息!$D4*C.1项目融资信息!$H4)</f>
        <v>24.91</v>
      </c>
      <c r="W11" s="47">
        <f>IF((W$2-YEAR(C.1项目融资信息!$E4))=0,(12-MONTH(C.1项目融资信息!$E4)+1)*C.1项目融资信息!$D4*C.1项目融资信息!$H4/12,C.1项目融资信息!$D4*C.1项目融资信息!$H4)</f>
        <v>24.91</v>
      </c>
      <c r="X11" s="47">
        <f>(MONTH(C.1项目融资信息!$E4)-1)*C.1项目融资信息!$D4*C.1项目融资信息!$H4/12</f>
        <v>16.6066666666667</v>
      </c>
      <c r="Y11" s="12"/>
      <c r="Z11" s="12"/>
      <c r="AA11" s="52"/>
      <c r="AB11" s="53" t="s">
        <v>557</v>
      </c>
    </row>
    <row r="12" customHeight="1" spans="1:29">
      <c r="A12" s="11">
        <v>2</v>
      </c>
      <c r="B12" s="11" t="s">
        <v>75</v>
      </c>
      <c r="C12" s="11"/>
      <c r="D12" s="11"/>
      <c r="E12" s="11"/>
      <c r="F12" s="11"/>
      <c r="G12" s="11"/>
      <c r="H12" s="11"/>
      <c r="I12" s="11"/>
      <c r="J12" s="11"/>
      <c r="K12" s="11"/>
      <c r="L12" s="11"/>
      <c r="M12" s="11"/>
      <c r="N12" s="11"/>
      <c r="O12" s="11"/>
      <c r="P12" s="11"/>
      <c r="Q12" s="11"/>
      <c r="R12" s="11"/>
      <c r="S12" s="11"/>
      <c r="T12" s="11"/>
      <c r="U12" s="11"/>
      <c r="V12" s="11"/>
      <c r="W12" s="11"/>
      <c r="X12" s="11"/>
      <c r="Y12" s="11"/>
      <c r="Z12" s="11"/>
      <c r="AA12" s="11"/>
      <c r="AB12" s="50"/>
      <c r="AC12" s="50"/>
    </row>
    <row r="13" customHeight="1" spans="1:28">
      <c r="A13" s="11">
        <v>2.1</v>
      </c>
      <c r="B13" s="7" t="s">
        <v>546</v>
      </c>
      <c r="C13" s="12" t="s">
        <v>163</v>
      </c>
      <c r="D13" s="39"/>
      <c r="E13" s="39">
        <v>0</v>
      </c>
      <c r="F13" s="39">
        <f>$E$17</f>
        <v>11590</v>
      </c>
      <c r="G13" s="39">
        <f t="shared" ref="G13:Y13" si="9">$E$17</f>
        <v>11590</v>
      </c>
      <c r="H13" s="39">
        <f t="shared" si="9"/>
        <v>11590</v>
      </c>
      <c r="I13" s="39">
        <f t="shared" si="9"/>
        <v>11590</v>
      </c>
      <c r="J13" s="39">
        <f t="shared" si="9"/>
        <v>11590</v>
      </c>
      <c r="K13" s="39">
        <f t="shared" si="9"/>
        <v>11590</v>
      </c>
      <c r="L13" s="39">
        <f t="shared" si="9"/>
        <v>11590</v>
      </c>
      <c r="M13" s="39">
        <f t="shared" si="9"/>
        <v>11590</v>
      </c>
      <c r="N13" s="39">
        <f t="shared" si="9"/>
        <v>11590</v>
      </c>
      <c r="O13" s="39">
        <f t="shared" si="9"/>
        <v>11590</v>
      </c>
      <c r="P13" s="39">
        <f t="shared" si="9"/>
        <v>11590</v>
      </c>
      <c r="Q13" s="39">
        <f t="shared" si="9"/>
        <v>11590</v>
      </c>
      <c r="R13" s="39">
        <f t="shared" si="9"/>
        <v>11590</v>
      </c>
      <c r="S13" s="39">
        <f t="shared" si="9"/>
        <v>11590</v>
      </c>
      <c r="T13" s="39">
        <f t="shared" si="9"/>
        <v>11590</v>
      </c>
      <c r="U13" s="39">
        <f t="shared" si="9"/>
        <v>11590</v>
      </c>
      <c r="V13" s="39">
        <f t="shared" si="9"/>
        <v>11590</v>
      </c>
      <c r="W13" s="39">
        <f t="shared" si="9"/>
        <v>11590</v>
      </c>
      <c r="X13" s="39">
        <f t="shared" si="9"/>
        <v>11590</v>
      </c>
      <c r="Y13" s="39">
        <f t="shared" si="9"/>
        <v>11590</v>
      </c>
      <c r="Z13" s="39"/>
      <c r="AA13" s="52"/>
      <c r="AB13" s="50"/>
    </row>
    <row r="14" customHeight="1" spans="1:28">
      <c r="A14" s="11">
        <v>2.2</v>
      </c>
      <c r="B14" s="7" t="s">
        <v>547</v>
      </c>
      <c r="C14" s="12">
        <f>SUM(D14:Z14)</f>
        <v>16504.16</v>
      </c>
      <c r="D14" s="12"/>
      <c r="E14" s="12">
        <f t="shared" ref="E14:Y14" si="10">E15+E16</f>
        <v>0</v>
      </c>
      <c r="F14" s="12">
        <f t="shared" si="10"/>
        <v>245.708</v>
      </c>
      <c r="G14" s="12">
        <f t="shared" si="10"/>
        <v>245.708</v>
      </c>
      <c r="H14" s="12">
        <f t="shared" si="10"/>
        <v>245.708</v>
      </c>
      <c r="I14" s="12">
        <f t="shared" si="10"/>
        <v>245.708</v>
      </c>
      <c r="J14" s="12">
        <f t="shared" si="10"/>
        <v>245.708</v>
      </c>
      <c r="K14" s="12">
        <f t="shared" si="10"/>
        <v>245.708</v>
      </c>
      <c r="L14" s="12">
        <f t="shared" si="10"/>
        <v>245.708</v>
      </c>
      <c r="M14" s="12">
        <f t="shared" si="10"/>
        <v>245.708</v>
      </c>
      <c r="N14" s="12">
        <f t="shared" si="10"/>
        <v>245.708</v>
      </c>
      <c r="O14" s="12">
        <f t="shared" si="10"/>
        <v>245.708</v>
      </c>
      <c r="P14" s="12">
        <f t="shared" si="10"/>
        <v>245.708</v>
      </c>
      <c r="Q14" s="12">
        <f t="shared" si="10"/>
        <v>245.708</v>
      </c>
      <c r="R14" s="12">
        <f t="shared" si="10"/>
        <v>245.708</v>
      </c>
      <c r="S14" s="12">
        <f t="shared" si="10"/>
        <v>245.708</v>
      </c>
      <c r="T14" s="12">
        <f t="shared" si="10"/>
        <v>245.708</v>
      </c>
      <c r="U14" s="12">
        <f t="shared" si="10"/>
        <v>245.708</v>
      </c>
      <c r="V14" s="12">
        <f t="shared" si="10"/>
        <v>245.708</v>
      </c>
      <c r="W14" s="12">
        <f t="shared" ref="W14:X14" si="11">W15+W16</f>
        <v>245.708</v>
      </c>
      <c r="X14" s="12">
        <f t="shared" si="11"/>
        <v>245.708</v>
      </c>
      <c r="Y14" s="12">
        <f t="shared" si="10"/>
        <v>11835.708</v>
      </c>
      <c r="Z14" s="12"/>
      <c r="AA14" s="52"/>
      <c r="AB14" s="50"/>
    </row>
    <row r="15" customHeight="1" spans="1:28">
      <c r="A15" s="11" t="s">
        <v>158</v>
      </c>
      <c r="B15" s="7" t="s">
        <v>548</v>
      </c>
      <c r="C15" s="12">
        <f>SUM(D15:Z15)</f>
        <v>11590</v>
      </c>
      <c r="D15" s="39"/>
      <c r="E15" s="39">
        <v>0</v>
      </c>
      <c r="F15" s="39">
        <v>0</v>
      </c>
      <c r="G15" s="39">
        <v>0</v>
      </c>
      <c r="H15" s="39">
        <v>0</v>
      </c>
      <c r="I15" s="39">
        <v>0</v>
      </c>
      <c r="J15" s="39">
        <v>0</v>
      </c>
      <c r="K15" s="39">
        <v>0</v>
      </c>
      <c r="L15" s="39">
        <v>0</v>
      </c>
      <c r="M15" s="39">
        <v>0</v>
      </c>
      <c r="N15" s="39">
        <v>0</v>
      </c>
      <c r="O15" s="39">
        <v>0</v>
      </c>
      <c r="P15" s="39">
        <v>0</v>
      </c>
      <c r="Q15" s="39">
        <v>0</v>
      </c>
      <c r="R15" s="39">
        <v>0</v>
      </c>
      <c r="S15" s="39">
        <v>0</v>
      </c>
      <c r="T15" s="39">
        <v>0</v>
      </c>
      <c r="U15" s="39">
        <v>0</v>
      </c>
      <c r="V15" s="39">
        <v>0</v>
      </c>
      <c r="W15" s="39">
        <v>0</v>
      </c>
      <c r="X15" s="39">
        <v>0</v>
      </c>
      <c r="Y15" s="46">
        <f>E17</f>
        <v>11590</v>
      </c>
      <c r="Z15" s="39"/>
      <c r="AA15" s="52"/>
      <c r="AB15" s="53" t="s">
        <v>549</v>
      </c>
    </row>
    <row r="16" customHeight="1" spans="1:28">
      <c r="A16" s="11" t="s">
        <v>159</v>
      </c>
      <c r="B16" s="7" t="s">
        <v>550</v>
      </c>
      <c r="C16" s="12">
        <f>SUM(D16:Z16)</f>
        <v>4914.16</v>
      </c>
      <c r="D16" s="39"/>
      <c r="E16" s="46">
        <f>IF(C.1项目融资信息!G5&lt;10,0,IF(MONTH(C.1项目融资信息!E5)&gt;6,0,C.1项目融资信息!D5*C.1项目融资信息!H5/2))</f>
        <v>0</v>
      </c>
      <c r="F16" s="46">
        <f>C.1项目融资信息!$D$5*C.1项目融资信息!$H$5</f>
        <v>245.708</v>
      </c>
      <c r="G16" s="46">
        <f>C.1项目融资信息!$D$5*C.1项目融资信息!$H$5</f>
        <v>245.708</v>
      </c>
      <c r="H16" s="46">
        <f>C.1项目融资信息!$D$5*C.1项目融资信息!$H$5</f>
        <v>245.708</v>
      </c>
      <c r="I16" s="46">
        <f>C.1项目融资信息!$D$5*C.1项目融资信息!$H$5</f>
        <v>245.708</v>
      </c>
      <c r="J16" s="46">
        <f>C.1项目融资信息!$D$5*C.1项目融资信息!$H$5</f>
        <v>245.708</v>
      </c>
      <c r="K16" s="46">
        <f>C.1项目融资信息!$D$5*C.1项目融资信息!$H$5</f>
        <v>245.708</v>
      </c>
      <c r="L16" s="46">
        <f>C.1项目融资信息!$D$5*C.1项目融资信息!$H$5</f>
        <v>245.708</v>
      </c>
      <c r="M16" s="46">
        <f>C.1项目融资信息!$D$5*C.1项目融资信息!$H$5</f>
        <v>245.708</v>
      </c>
      <c r="N16" s="46">
        <f>C.1项目融资信息!$D$5*C.1项目融资信息!$H$5</f>
        <v>245.708</v>
      </c>
      <c r="O16" s="46">
        <f>C.1项目融资信息!$D$5*C.1项目融资信息!$H$5</f>
        <v>245.708</v>
      </c>
      <c r="P16" s="46">
        <f>C.1项目融资信息!$D$5*C.1项目融资信息!$H$5</f>
        <v>245.708</v>
      </c>
      <c r="Q16" s="46">
        <f>C.1项目融资信息!$D$5*C.1项目融资信息!$H$5</f>
        <v>245.708</v>
      </c>
      <c r="R16" s="46">
        <f>C.1项目融资信息!$D$5*C.1项目融资信息!$H$5</f>
        <v>245.708</v>
      </c>
      <c r="S16" s="46">
        <f>C.1项目融资信息!$D$5*C.1项目融资信息!$H$5</f>
        <v>245.708</v>
      </c>
      <c r="T16" s="46">
        <f>C.1项目融资信息!$D$5*C.1项目融资信息!$H$5</f>
        <v>245.708</v>
      </c>
      <c r="U16" s="46">
        <f>C.1项目融资信息!$D$5*C.1项目融资信息!$H$5</f>
        <v>245.708</v>
      </c>
      <c r="V16" s="46">
        <f>C.1项目融资信息!$D$5*C.1项目融资信息!$H$5</f>
        <v>245.708</v>
      </c>
      <c r="W16" s="46">
        <f>C.1项目融资信息!$D$5*C.1项目融资信息!$H$5</f>
        <v>245.708</v>
      </c>
      <c r="X16" s="46">
        <f>C.1项目融资信息!$D$5*C.1项目融资信息!$H$5</f>
        <v>245.708</v>
      </c>
      <c r="Y16" s="46">
        <f>IF(C.1项目融资信息!G5&lt;10,C.1项目融资信息!$D$5*C.1项目融资信息!$H$5,IF(MONTH(C.1项目融资信息!E5)&gt;6,C.1项目融资信息!$D$5*C.1项目融资信息!$H$5,C.1项目融资信息!D5*C.1项目融资信息!H5/2))</f>
        <v>245.708</v>
      </c>
      <c r="Z16" s="39"/>
      <c r="AA16" s="52"/>
      <c r="AB16" s="53" t="s">
        <v>551</v>
      </c>
    </row>
    <row r="17" customHeight="1" spans="1:28">
      <c r="A17" s="11">
        <v>2.3</v>
      </c>
      <c r="B17" s="7" t="s">
        <v>552</v>
      </c>
      <c r="C17" s="12" t="s">
        <v>163</v>
      </c>
      <c r="D17" s="12"/>
      <c r="E17" s="47">
        <f>E13+C.2项目每年借款信息!D4-E15</f>
        <v>11590</v>
      </c>
      <c r="F17" s="47">
        <f>F13+C.2项目每年借款信息!F4-F15</f>
        <v>11590</v>
      </c>
      <c r="G17" s="47">
        <f>G13+C.2项目每年借款信息!G4-G15</f>
        <v>11590</v>
      </c>
      <c r="H17" s="47">
        <f>H13+C.2项目每年借款信息!H4-H15</f>
        <v>11590</v>
      </c>
      <c r="I17" s="47">
        <f>I13+C.2项目每年借款信息!I4-I15</f>
        <v>11590</v>
      </c>
      <c r="J17" s="47">
        <f>J13+C.2项目每年借款信息!J4-J15</f>
        <v>11590</v>
      </c>
      <c r="K17" s="47">
        <f>K13+C.2项目每年借款信息!K4-K15</f>
        <v>11590</v>
      </c>
      <c r="L17" s="47">
        <f>L13+C.2项目每年借款信息!L4-L15</f>
        <v>11590</v>
      </c>
      <c r="M17" s="47">
        <f>M13+C.2项目每年借款信息!M4-M15</f>
        <v>11590</v>
      </c>
      <c r="N17" s="47">
        <f>N13+C.2项目每年借款信息!N4-N15</f>
        <v>11590</v>
      </c>
      <c r="O17" s="47">
        <f>O13+C.2项目每年借款信息!O4-O15</f>
        <v>11590</v>
      </c>
      <c r="P17" s="47">
        <f>P13+C.2项目每年借款信息!P4-P15</f>
        <v>11590</v>
      </c>
      <c r="Q17" s="47">
        <f>Q13+C.2项目每年借款信息!Q4-Q15</f>
        <v>11590</v>
      </c>
      <c r="R17" s="47">
        <f>R13+C.2项目每年借款信息!R4-R15</f>
        <v>11590</v>
      </c>
      <c r="S17" s="47">
        <f>S13+C.2项目每年借款信息!S4-S15</f>
        <v>11590</v>
      </c>
      <c r="T17" s="47">
        <f>T13+C.2项目每年借款信息!T4-T15</f>
        <v>11590</v>
      </c>
      <c r="U17" s="47">
        <f>U13+C.2项目每年借款信息!U4-U15</f>
        <v>11590</v>
      </c>
      <c r="V17" s="47">
        <f>V13+C.2项目每年借款信息!U4-V15</f>
        <v>11590</v>
      </c>
      <c r="W17" s="47">
        <f>W13+C.2项目每年借款信息!V4-W15</f>
        <v>11590</v>
      </c>
      <c r="X17" s="47">
        <f>X13+C.2项目每年借款信息!X4-X15</f>
        <v>11590</v>
      </c>
      <c r="Y17" s="47">
        <f>Y13+C.2项目每年借款信息!Y4-Y15</f>
        <v>0</v>
      </c>
      <c r="Z17" s="12"/>
      <c r="AA17" s="52"/>
      <c r="AB17" s="53" t="s">
        <v>157</v>
      </c>
    </row>
    <row r="18" customHeight="1" spans="1:28">
      <c r="A18" s="11">
        <v>2.4</v>
      </c>
      <c r="B18" s="7" t="s">
        <v>553</v>
      </c>
      <c r="C18" s="48">
        <f>SUM(D18:Z18)</f>
        <v>0.825208</v>
      </c>
      <c r="D18" s="48"/>
      <c r="E18" s="48">
        <f>E14*A财务假设!$D$18</f>
        <v>0</v>
      </c>
      <c r="F18" s="48">
        <f>F14*A财务假设!$D$18</f>
        <v>0.0122854</v>
      </c>
      <c r="G18" s="48">
        <f>G14*A财务假设!$D$18</f>
        <v>0.0122854</v>
      </c>
      <c r="H18" s="48">
        <f>H14*A财务假设!$D$18</f>
        <v>0.0122854</v>
      </c>
      <c r="I18" s="48">
        <f>I14*A财务假设!$D$18</f>
        <v>0.0122854</v>
      </c>
      <c r="J18" s="48">
        <f>J14*A财务假设!$D$18</f>
        <v>0.0122854</v>
      </c>
      <c r="K18" s="48">
        <f>K14*A财务假设!$D$18</f>
        <v>0.0122854</v>
      </c>
      <c r="L18" s="48">
        <f>L14*A财务假设!$D$18</f>
        <v>0.0122854</v>
      </c>
      <c r="M18" s="48">
        <f>M14*A财务假设!$D$18</f>
        <v>0.0122854</v>
      </c>
      <c r="N18" s="48">
        <f>N14*A财务假设!$D$18</f>
        <v>0.0122854</v>
      </c>
      <c r="O18" s="48">
        <f>O14*A财务假设!$D$18</f>
        <v>0.0122854</v>
      </c>
      <c r="P18" s="48">
        <f>P14*A财务假设!$D$18</f>
        <v>0.0122854</v>
      </c>
      <c r="Q18" s="48">
        <f>Q14*A财务假设!$D$18</f>
        <v>0.0122854</v>
      </c>
      <c r="R18" s="48">
        <f>R14*A财务假设!$D$18</f>
        <v>0.0122854</v>
      </c>
      <c r="S18" s="48">
        <f>S14*A财务假设!$D$18</f>
        <v>0.0122854</v>
      </c>
      <c r="T18" s="48">
        <f>T14*A财务假设!$D$18</f>
        <v>0.0122854</v>
      </c>
      <c r="U18" s="48">
        <f>U14*A财务假设!$D$18</f>
        <v>0.0122854</v>
      </c>
      <c r="V18" s="48">
        <f>V14*A财务假设!$D$18</f>
        <v>0.0122854</v>
      </c>
      <c r="W18" s="48">
        <f>W14*A财务假设!$D$18</f>
        <v>0.0122854</v>
      </c>
      <c r="X18" s="48">
        <f>X14*A财务假设!$D$18</f>
        <v>0.0122854</v>
      </c>
      <c r="Y18" s="48">
        <f>Y14*A财务假设!$D$18</f>
        <v>0.5917854</v>
      </c>
      <c r="Z18" s="12"/>
      <c r="AA18" s="52"/>
      <c r="AB18" s="50"/>
    </row>
    <row r="19" customHeight="1" spans="1:28">
      <c r="A19" s="11">
        <v>2.5</v>
      </c>
      <c r="B19" s="7" t="s">
        <v>554</v>
      </c>
      <c r="C19" s="12">
        <f>SUM(D19:Z19)</f>
        <v>10.01376</v>
      </c>
      <c r="D19" s="12"/>
      <c r="E19" s="47">
        <f>C.1项目融资信息!D5*(A财务假设!$D$17+IF(C.1项目融资信息!G5&gt;4,A财务假设!$D$16,A财务假设!$D$15))</f>
        <v>10.01376</v>
      </c>
      <c r="F19" s="12"/>
      <c r="G19" s="12"/>
      <c r="H19" s="12"/>
      <c r="I19" s="12"/>
      <c r="J19" s="12"/>
      <c r="K19" s="12"/>
      <c r="L19" s="12"/>
      <c r="M19" s="12"/>
      <c r="N19" s="12"/>
      <c r="O19" s="12"/>
      <c r="P19" s="12"/>
      <c r="Q19" s="12"/>
      <c r="R19" s="12"/>
      <c r="S19" s="12"/>
      <c r="T19" s="12"/>
      <c r="U19" s="12"/>
      <c r="V19" s="12"/>
      <c r="W19" s="12"/>
      <c r="X19" s="12"/>
      <c r="Y19" s="12"/>
      <c r="Z19" s="12"/>
      <c r="AA19" s="52"/>
      <c r="AB19" s="53" t="s">
        <v>555</v>
      </c>
    </row>
    <row r="20" customHeight="1" spans="1:28">
      <c r="A20" s="11">
        <v>2.6</v>
      </c>
      <c r="B20" s="7" t="s">
        <v>556</v>
      </c>
      <c r="C20" s="12">
        <f>SUM(D20:G20)</f>
        <v>573.318666666667</v>
      </c>
      <c r="D20" s="12"/>
      <c r="E20" s="47">
        <f>IF((E$2-YEAR(C.1项目融资信息!$E5))=0,(12-MONTH(C.1项目融资信息!$E5)+1)*C.1项目融资信息!$D5*C.1项目融资信息!$H5/12,C.1项目融资信息!$D5*C.1项目融资信息!$H5)</f>
        <v>81.9026666666667</v>
      </c>
      <c r="F20" s="47">
        <f>IF((F$2-YEAR(C.1项目融资信息!$E5))=0,(12-MONTH(C.1项目融资信息!$E5)+1)*C.1项目融资信息!$D5*C.1项目融资信息!$H5/12,C.1项目融资信息!$D5*C.1项目融资信息!$H5)</f>
        <v>245.708</v>
      </c>
      <c r="G20" s="47">
        <f>IF((G$2-YEAR(C.1项目融资信息!$E5))=0,(12-MONTH(C.1项目融资信息!$E5)+1)*C.1项目融资信息!$D5*C.1项目融资信息!$H5/12,C.1项目融资信息!$D5*C.1项目融资信息!$H5)</f>
        <v>245.708</v>
      </c>
      <c r="H20" s="47">
        <f>IF((H$2-YEAR(C.1项目融资信息!$E5))=0,(12-MONTH(C.1项目融资信息!$E5)+1)*C.1项目融资信息!$D5*C.1项目融资信息!$H5/12,C.1项目融资信息!$D5*C.1项目融资信息!$H5)</f>
        <v>245.708</v>
      </c>
      <c r="I20" s="47">
        <f>IF((I$2-YEAR(C.1项目融资信息!$E5))=0,(12-MONTH(C.1项目融资信息!$E5)+1)*C.1项目融资信息!$D5*C.1项目融资信息!$H5/12,C.1项目融资信息!$D5*C.1项目融资信息!$H5)</f>
        <v>245.708</v>
      </c>
      <c r="J20" s="47">
        <f>IF((J$2-YEAR(C.1项目融资信息!$E5))=0,(12-MONTH(C.1项目融资信息!$E5)+1)*C.1项目融资信息!$D5*C.1项目融资信息!$H5/12,C.1项目融资信息!$D5*C.1项目融资信息!$H5)</f>
        <v>245.708</v>
      </c>
      <c r="K20" s="47">
        <f>IF((K$2-YEAR(C.1项目融资信息!$E5))=0,(12-MONTH(C.1项目融资信息!$E5)+1)*C.1项目融资信息!$D5*C.1项目融资信息!$H5/12,C.1项目融资信息!$D5*C.1项目融资信息!$H5)</f>
        <v>245.708</v>
      </c>
      <c r="L20" s="47">
        <f>IF((L$2-YEAR(C.1项目融资信息!$E5))=0,(12-MONTH(C.1项目融资信息!$E5)+1)*C.1项目融资信息!$D5*C.1项目融资信息!$H5/12,C.1项目融资信息!$D5*C.1项目融资信息!$H5)</f>
        <v>245.708</v>
      </c>
      <c r="M20" s="47">
        <f>IF((M$2-YEAR(C.1项目融资信息!$E5))=0,(12-MONTH(C.1项目融资信息!$E5)+1)*C.1项目融资信息!$D5*C.1项目融资信息!$H5/12,C.1项目融资信息!$D5*C.1项目融资信息!$H5)</f>
        <v>245.708</v>
      </c>
      <c r="N20" s="47">
        <f>IF((N$2-YEAR(C.1项目融资信息!$E5))=0,(12-MONTH(C.1项目融资信息!$E5)+1)*C.1项目融资信息!$D5*C.1项目融资信息!$H5/12,C.1项目融资信息!$D5*C.1项目融资信息!$H5)</f>
        <v>245.708</v>
      </c>
      <c r="O20" s="47">
        <f>IF((O$2-YEAR(C.1项目融资信息!$E5))=0,(12-MONTH(C.1项目融资信息!$E5)+1)*C.1项目融资信息!$D5*C.1项目融资信息!$H5/12,C.1项目融资信息!$D5*C.1项目融资信息!$H5)</f>
        <v>245.708</v>
      </c>
      <c r="P20" s="47">
        <f>IF((P$2-YEAR(C.1项目融资信息!$E5))=0,(12-MONTH(C.1项目融资信息!$E5)+1)*C.1项目融资信息!$D5*C.1项目融资信息!$H5/12,C.1项目融资信息!$D5*C.1项目融资信息!$H5)</f>
        <v>245.708</v>
      </c>
      <c r="Q20" s="47">
        <f>IF((Q$2-YEAR(C.1项目融资信息!$E5))=0,(12-MONTH(C.1项目融资信息!$E5)+1)*C.1项目融资信息!$D5*C.1项目融资信息!$H5/12,C.1项目融资信息!$D5*C.1项目融资信息!$H5)</f>
        <v>245.708</v>
      </c>
      <c r="R20" s="47">
        <f>IF((R$2-YEAR(C.1项目融资信息!$E5))=0,(12-MONTH(C.1项目融资信息!$E5)+1)*C.1项目融资信息!$D5*C.1项目融资信息!$H5/12,C.1项目融资信息!$D5*C.1项目融资信息!$H5)</f>
        <v>245.708</v>
      </c>
      <c r="S20" s="47">
        <f>IF((S$2-YEAR(C.1项目融资信息!$E5))=0,(12-MONTH(C.1项目融资信息!$E5)+1)*C.1项目融资信息!$D5*C.1项目融资信息!$H5/12,C.1项目融资信息!$D5*C.1项目融资信息!$H5)</f>
        <v>245.708</v>
      </c>
      <c r="T20" s="47">
        <f>IF((T$2-YEAR(C.1项目融资信息!$E5))=0,(12-MONTH(C.1项目融资信息!$E5)+1)*C.1项目融资信息!$D5*C.1项目融资信息!$H5/12,C.1项目融资信息!$D5*C.1项目融资信息!$H5)</f>
        <v>245.708</v>
      </c>
      <c r="U20" s="47">
        <f>IF((U$2-YEAR(C.1项目融资信息!$E5))=0,(12-MONTH(C.1项目融资信息!$E5)+1)*C.1项目融资信息!$D5*C.1项目融资信息!$H5/12,C.1项目融资信息!$D5*C.1项目融资信息!$H5)</f>
        <v>245.708</v>
      </c>
      <c r="V20" s="47">
        <f>IF((V$2-YEAR(C.1项目融资信息!$E5))=0,(12-MONTH(C.1项目融资信息!$E5)+1)*C.1项目融资信息!$D5*C.1项目融资信息!$H5/12,C.1项目融资信息!$D5*C.1项目融资信息!$H5)</f>
        <v>245.708</v>
      </c>
      <c r="W20" s="47">
        <f>IF((W$2-YEAR(C.1项目融资信息!$E5))=0,(12-MONTH(C.1项目融资信息!$E5)+1)*C.1项目融资信息!$D5*C.1项目融资信息!$H5/12,C.1项目融资信息!$D5*C.1项目融资信息!$H5)</f>
        <v>245.708</v>
      </c>
      <c r="X20" s="47">
        <f>IF((X$2-YEAR(C.1项目融资信息!$E5))=0,(12-MONTH(C.1项目融资信息!$E5)+1)*C.1项目融资信息!$D5*C.1项目融资信息!$H5/12,C.1项目融资信息!$D5*C.1项目融资信息!$H5)</f>
        <v>245.708</v>
      </c>
      <c r="Y20" s="47">
        <f>(MONTH(C.1项目融资信息!$E5)-1)*C.1项目融资信息!$D5*C.1项目融资信息!$H5/12</f>
        <v>163.805333333333</v>
      </c>
      <c r="Z20" s="12"/>
      <c r="AA20" s="52"/>
      <c r="AB20" s="53" t="s">
        <v>557</v>
      </c>
    </row>
    <row r="21" customHeight="1" spans="1:29">
      <c r="A21" s="11">
        <v>3</v>
      </c>
      <c r="B21" s="11" t="s">
        <v>76</v>
      </c>
      <c r="C21" s="11"/>
      <c r="D21" s="11"/>
      <c r="E21" s="11"/>
      <c r="F21" s="11"/>
      <c r="G21" s="11"/>
      <c r="H21" s="11"/>
      <c r="I21" s="11"/>
      <c r="J21" s="11"/>
      <c r="K21" s="11"/>
      <c r="L21" s="11"/>
      <c r="M21" s="11"/>
      <c r="N21" s="11"/>
      <c r="O21" s="11"/>
      <c r="P21" s="11"/>
      <c r="Q21" s="11"/>
      <c r="R21" s="11"/>
      <c r="S21" s="11"/>
      <c r="T21" s="11"/>
      <c r="U21" s="11"/>
      <c r="V21" s="11"/>
      <c r="W21" s="11"/>
      <c r="X21" s="11"/>
      <c r="Y21" s="11"/>
      <c r="Z21" s="11"/>
      <c r="AA21" s="11"/>
      <c r="AB21" s="50"/>
      <c r="AC21" s="50"/>
    </row>
    <row r="22" customHeight="1" spans="1:28">
      <c r="A22" s="11">
        <v>3.1</v>
      </c>
      <c r="B22" s="7" t="s">
        <v>546</v>
      </c>
      <c r="C22" s="12" t="s">
        <v>163</v>
      </c>
      <c r="D22" s="39"/>
      <c r="E22" s="39"/>
      <c r="F22" s="39">
        <v>0</v>
      </c>
      <c r="G22" s="39">
        <f>$F$26</f>
        <v>8705</v>
      </c>
      <c r="H22" s="39">
        <f t="shared" ref="H22:Z22" si="12">$F$26</f>
        <v>8705</v>
      </c>
      <c r="I22" s="39">
        <f t="shared" si="12"/>
        <v>8705</v>
      </c>
      <c r="J22" s="39">
        <f t="shared" si="12"/>
        <v>8705</v>
      </c>
      <c r="K22" s="39">
        <f t="shared" si="12"/>
        <v>8705</v>
      </c>
      <c r="L22" s="39">
        <f t="shared" si="12"/>
        <v>8705</v>
      </c>
      <c r="M22" s="39">
        <f t="shared" si="12"/>
        <v>8705</v>
      </c>
      <c r="N22" s="39">
        <f t="shared" si="12"/>
        <v>8705</v>
      </c>
      <c r="O22" s="39">
        <f t="shared" si="12"/>
        <v>8705</v>
      </c>
      <c r="P22" s="39">
        <f t="shared" si="12"/>
        <v>8705</v>
      </c>
      <c r="Q22" s="39">
        <f t="shared" si="12"/>
        <v>8705</v>
      </c>
      <c r="R22" s="39">
        <f t="shared" si="12"/>
        <v>8705</v>
      </c>
      <c r="S22" s="39">
        <f t="shared" si="12"/>
        <v>8705</v>
      </c>
      <c r="T22" s="39">
        <f t="shared" si="12"/>
        <v>8705</v>
      </c>
      <c r="U22" s="39">
        <f t="shared" si="12"/>
        <v>8705</v>
      </c>
      <c r="V22" s="39">
        <f t="shared" si="12"/>
        <v>8705</v>
      </c>
      <c r="W22" s="39">
        <f t="shared" si="12"/>
        <v>8705</v>
      </c>
      <c r="X22" s="39">
        <f t="shared" si="12"/>
        <v>8705</v>
      </c>
      <c r="Y22" s="39">
        <f t="shared" si="12"/>
        <v>8705</v>
      </c>
      <c r="Z22" s="39">
        <f t="shared" si="12"/>
        <v>8705</v>
      </c>
      <c r="AA22" s="52"/>
      <c r="AB22" s="50"/>
    </row>
    <row r="23" customHeight="1" spans="1:28">
      <c r="A23" s="11">
        <v>3.2</v>
      </c>
      <c r="B23" s="7" t="s">
        <v>547</v>
      </c>
      <c r="C23" s="12">
        <f>SUM(D23:Z23)</f>
        <v>12395.92</v>
      </c>
      <c r="D23" s="12"/>
      <c r="E23" s="12"/>
      <c r="F23" s="12">
        <f t="shared" ref="F23:Z23" si="13">F24+F25</f>
        <v>0</v>
      </c>
      <c r="G23" s="12">
        <f t="shared" si="13"/>
        <v>184.546</v>
      </c>
      <c r="H23" s="12">
        <f t="shared" si="13"/>
        <v>184.546</v>
      </c>
      <c r="I23" s="12">
        <f t="shared" si="13"/>
        <v>184.546</v>
      </c>
      <c r="J23" s="12">
        <f t="shared" si="13"/>
        <v>184.546</v>
      </c>
      <c r="K23" s="12">
        <f t="shared" si="13"/>
        <v>184.546</v>
      </c>
      <c r="L23" s="12">
        <f t="shared" si="13"/>
        <v>184.546</v>
      </c>
      <c r="M23" s="12">
        <f t="shared" si="13"/>
        <v>184.546</v>
      </c>
      <c r="N23" s="12">
        <f t="shared" si="13"/>
        <v>184.546</v>
      </c>
      <c r="O23" s="12">
        <f t="shared" si="13"/>
        <v>184.546</v>
      </c>
      <c r="P23" s="12">
        <f t="shared" si="13"/>
        <v>184.546</v>
      </c>
      <c r="Q23" s="12">
        <f t="shared" si="13"/>
        <v>184.546</v>
      </c>
      <c r="R23" s="12">
        <f t="shared" si="13"/>
        <v>184.546</v>
      </c>
      <c r="S23" s="12">
        <f t="shared" si="13"/>
        <v>184.546</v>
      </c>
      <c r="T23" s="12">
        <f t="shared" si="13"/>
        <v>184.546</v>
      </c>
      <c r="U23" s="12">
        <f t="shared" si="13"/>
        <v>184.546</v>
      </c>
      <c r="V23" s="12">
        <f t="shared" ref="V23" si="14">V24+V25</f>
        <v>184.546</v>
      </c>
      <c r="W23" s="12">
        <f t="shared" si="13"/>
        <v>184.546</v>
      </c>
      <c r="X23" s="12">
        <f t="shared" si="13"/>
        <v>184.546</v>
      </c>
      <c r="Y23" s="12">
        <f t="shared" si="13"/>
        <v>184.546</v>
      </c>
      <c r="Z23" s="12">
        <f t="shared" si="13"/>
        <v>8889.546</v>
      </c>
      <c r="AA23" s="52"/>
      <c r="AB23" s="50"/>
    </row>
    <row r="24" customHeight="1" spans="1:28">
      <c r="A24" s="11" t="s">
        <v>558</v>
      </c>
      <c r="B24" s="7" t="s">
        <v>548</v>
      </c>
      <c r="C24" s="12">
        <f>SUM(D24:Z24)</f>
        <v>8705</v>
      </c>
      <c r="D24" s="39"/>
      <c r="E24" s="39"/>
      <c r="F24" s="39">
        <v>0</v>
      </c>
      <c r="G24" s="39">
        <v>0</v>
      </c>
      <c r="H24" s="39">
        <v>0</v>
      </c>
      <c r="I24" s="39">
        <v>0</v>
      </c>
      <c r="J24" s="39">
        <v>0</v>
      </c>
      <c r="K24" s="39">
        <v>0</v>
      </c>
      <c r="L24" s="39">
        <v>0</v>
      </c>
      <c r="M24" s="39">
        <v>0</v>
      </c>
      <c r="N24" s="39">
        <v>0</v>
      </c>
      <c r="O24" s="39">
        <v>0</v>
      </c>
      <c r="P24" s="39">
        <v>0</v>
      </c>
      <c r="Q24" s="39">
        <v>0</v>
      </c>
      <c r="R24" s="39">
        <v>0</v>
      </c>
      <c r="S24" s="39">
        <v>0</v>
      </c>
      <c r="T24" s="39">
        <v>0</v>
      </c>
      <c r="U24" s="39">
        <v>0</v>
      </c>
      <c r="V24" s="39">
        <v>0</v>
      </c>
      <c r="W24" s="39">
        <v>0</v>
      </c>
      <c r="X24" s="39">
        <v>0</v>
      </c>
      <c r="Y24" s="39">
        <v>0</v>
      </c>
      <c r="Z24" s="46">
        <f>F26</f>
        <v>8705</v>
      </c>
      <c r="AA24" s="52"/>
      <c r="AB24" s="53" t="s">
        <v>549</v>
      </c>
    </row>
    <row r="25" customHeight="1" spans="1:28">
      <c r="A25" s="11" t="s">
        <v>559</v>
      </c>
      <c r="B25" s="7" t="s">
        <v>550</v>
      </c>
      <c r="C25" s="12">
        <f>SUM(D25:Z25)</f>
        <v>3690.92</v>
      </c>
      <c r="D25" s="39"/>
      <c r="E25" s="39"/>
      <c r="F25" s="46">
        <f>IF(C.1项目融资信息!G6&lt;10,0,IF(MONTH(C.1项目融资信息!E6)&gt;6,0,C.1项目融资信息!D6*C.1项目融资信息!H6/2))</f>
        <v>0</v>
      </c>
      <c r="G25" s="46">
        <f>C.1项目融资信息!$D$6*C.1项目融资信息!$H$6</f>
        <v>184.546</v>
      </c>
      <c r="H25" s="46">
        <f>C.1项目融资信息!$D$6*C.1项目融资信息!$H$6</f>
        <v>184.546</v>
      </c>
      <c r="I25" s="46">
        <f>C.1项目融资信息!$D$6*C.1项目融资信息!$H$6</f>
        <v>184.546</v>
      </c>
      <c r="J25" s="46">
        <f>C.1项目融资信息!$D$6*C.1项目融资信息!$H$6</f>
        <v>184.546</v>
      </c>
      <c r="K25" s="46">
        <f>C.1项目融资信息!$D$6*C.1项目融资信息!$H$6</f>
        <v>184.546</v>
      </c>
      <c r="L25" s="46">
        <f>C.1项目融资信息!$D$6*C.1项目融资信息!$H$6</f>
        <v>184.546</v>
      </c>
      <c r="M25" s="46">
        <f>C.1项目融资信息!$D$6*C.1项目融资信息!$H$6</f>
        <v>184.546</v>
      </c>
      <c r="N25" s="46">
        <f>C.1项目融资信息!$D$6*C.1项目融资信息!$H$6</f>
        <v>184.546</v>
      </c>
      <c r="O25" s="46">
        <f>C.1项目融资信息!$D$6*C.1项目融资信息!$H$6</f>
        <v>184.546</v>
      </c>
      <c r="P25" s="46">
        <f>C.1项目融资信息!$D$6*C.1项目融资信息!$H$6</f>
        <v>184.546</v>
      </c>
      <c r="Q25" s="46">
        <f>C.1项目融资信息!$D$6*C.1项目融资信息!$H$6</f>
        <v>184.546</v>
      </c>
      <c r="R25" s="46">
        <f>C.1项目融资信息!$D$6*C.1项目融资信息!$H$6</f>
        <v>184.546</v>
      </c>
      <c r="S25" s="46">
        <f>C.1项目融资信息!$D$6*C.1项目融资信息!$H$6</f>
        <v>184.546</v>
      </c>
      <c r="T25" s="46">
        <f>C.1项目融资信息!$D$6*C.1项目融资信息!$H$6</f>
        <v>184.546</v>
      </c>
      <c r="U25" s="46">
        <f>C.1项目融资信息!$D$6*C.1项目融资信息!$H$6</f>
        <v>184.546</v>
      </c>
      <c r="V25" s="46">
        <f>C.1项目融资信息!$D$6*C.1项目融资信息!$H$6</f>
        <v>184.546</v>
      </c>
      <c r="W25" s="46">
        <f>C.1项目融资信息!$D$6*C.1项目融资信息!$H$6</f>
        <v>184.546</v>
      </c>
      <c r="X25" s="46">
        <f>C.1项目融资信息!$D$6*C.1项目融资信息!$H$6</f>
        <v>184.546</v>
      </c>
      <c r="Y25" s="46">
        <f>C.1项目融资信息!$D$6*C.1项目融资信息!$H$6</f>
        <v>184.546</v>
      </c>
      <c r="Z25" s="46">
        <f>IF(C.1项目融资信息!G6&lt;10,C.1项目融资信息!$D$6*C.1项目融资信息!$H$6,IF(MONTH(C.1项目融资信息!E6)&gt;6,C.1项目融资信息!$D$6*C.1项目融资信息!$H$6,C.1项目融资信息!D6*C.1项目融资信息!H6/2))</f>
        <v>184.546</v>
      </c>
      <c r="AA25" s="52"/>
      <c r="AB25" s="53" t="s">
        <v>551</v>
      </c>
    </row>
    <row r="26" customHeight="1" spans="1:28">
      <c r="A26" s="11">
        <v>3.3</v>
      </c>
      <c r="B26" s="7" t="s">
        <v>552</v>
      </c>
      <c r="C26" s="12" t="s">
        <v>163</v>
      </c>
      <c r="D26" s="12"/>
      <c r="E26" s="12"/>
      <c r="F26" s="47">
        <f>F22+C.2项目每年借款信息!E5-F24</f>
        <v>8705</v>
      </c>
      <c r="G26" s="47">
        <f>G22+C.2项目每年借款信息!G5-G24</f>
        <v>8705</v>
      </c>
      <c r="H26" s="47">
        <f>H22+C.2项目每年借款信息!H5-H24</f>
        <v>8705</v>
      </c>
      <c r="I26" s="47">
        <f>I22+C.2项目每年借款信息!I5-I24</f>
        <v>8705</v>
      </c>
      <c r="J26" s="47">
        <f>J22+C.2项目每年借款信息!J5-J24</f>
        <v>8705</v>
      </c>
      <c r="K26" s="47">
        <f>K22+C.2项目每年借款信息!K5-K24</f>
        <v>8705</v>
      </c>
      <c r="L26" s="47">
        <f>L22+C.2项目每年借款信息!L5-L24</f>
        <v>8705</v>
      </c>
      <c r="M26" s="47">
        <f>M22+C.2项目每年借款信息!M5-M24</f>
        <v>8705</v>
      </c>
      <c r="N26" s="47">
        <f>N22+C.2项目每年借款信息!N5-N24</f>
        <v>8705</v>
      </c>
      <c r="O26" s="47">
        <f>O22+C.2项目每年借款信息!O5-O24</f>
        <v>8705</v>
      </c>
      <c r="P26" s="47">
        <f>P22+C.2项目每年借款信息!P5-P24</f>
        <v>8705</v>
      </c>
      <c r="Q26" s="47">
        <f>Q22+C.2项目每年借款信息!Q5-Q24</f>
        <v>8705</v>
      </c>
      <c r="R26" s="47">
        <f>R22+C.2项目每年借款信息!R5-R24</f>
        <v>8705</v>
      </c>
      <c r="S26" s="47">
        <f>S22+C.2项目每年借款信息!S5-S24</f>
        <v>8705</v>
      </c>
      <c r="T26" s="47">
        <f>T22+C.2项目每年借款信息!T5-T24</f>
        <v>8705</v>
      </c>
      <c r="U26" s="47">
        <f>U22+C.2项目每年借款信息!U5-U24</f>
        <v>8705</v>
      </c>
      <c r="V26" s="47">
        <f>V22+C.2项目每年借款信息!U5-V24</f>
        <v>8705</v>
      </c>
      <c r="W26" s="47">
        <f>W22+C.2项目每年借款信息!V5-W24</f>
        <v>8705</v>
      </c>
      <c r="X26" s="47">
        <f>X22+C.2项目每年借款信息!W5-X24</f>
        <v>8705</v>
      </c>
      <c r="Y26" s="47">
        <f>Y22+C.2项目每年借款信息!Y5-Y24</f>
        <v>8705</v>
      </c>
      <c r="Z26" s="47">
        <f>Z22+C.2项目每年借款信息!Z5-Z24</f>
        <v>0</v>
      </c>
      <c r="AA26" s="52"/>
      <c r="AB26" s="53" t="s">
        <v>157</v>
      </c>
    </row>
    <row r="27" customHeight="1" spans="1:28">
      <c r="A27" s="11">
        <v>3.4</v>
      </c>
      <c r="B27" s="7" t="s">
        <v>553</v>
      </c>
      <c r="C27" s="48">
        <f>SUM(D27:Z27)</f>
        <v>0.619796</v>
      </c>
      <c r="D27" s="48"/>
      <c r="E27" s="48"/>
      <c r="F27" s="48">
        <f>F23*A财务假设!$D$18</f>
        <v>0</v>
      </c>
      <c r="G27" s="48">
        <f>G23*A财务假设!$D$18</f>
        <v>0.0092273</v>
      </c>
      <c r="H27" s="48">
        <f>H23*A财务假设!$D$18</f>
        <v>0.0092273</v>
      </c>
      <c r="I27" s="48">
        <f>I23*A财务假设!$D$18</f>
        <v>0.0092273</v>
      </c>
      <c r="J27" s="48">
        <f>J23*A财务假设!$D$18</f>
        <v>0.0092273</v>
      </c>
      <c r="K27" s="48">
        <f>K23*A财务假设!$D$18</f>
        <v>0.0092273</v>
      </c>
      <c r="L27" s="48">
        <f>L23*A财务假设!$D$18</f>
        <v>0.0092273</v>
      </c>
      <c r="M27" s="48">
        <f>M23*A财务假设!$D$18</f>
        <v>0.0092273</v>
      </c>
      <c r="N27" s="48">
        <f>N23*A财务假设!$D$18</f>
        <v>0.0092273</v>
      </c>
      <c r="O27" s="48">
        <f>O23*A财务假设!$D$18</f>
        <v>0.0092273</v>
      </c>
      <c r="P27" s="48">
        <f>P23*A财务假设!$D$18</f>
        <v>0.0092273</v>
      </c>
      <c r="Q27" s="48">
        <f>Q23*A财务假设!$D$18</f>
        <v>0.0092273</v>
      </c>
      <c r="R27" s="48">
        <f>R23*A财务假设!$D$18</f>
        <v>0.0092273</v>
      </c>
      <c r="S27" s="48">
        <f>S23*A财务假设!$D$18</f>
        <v>0.0092273</v>
      </c>
      <c r="T27" s="48">
        <f>T23*A财务假设!$D$18</f>
        <v>0.0092273</v>
      </c>
      <c r="U27" s="48">
        <f>U23*A财务假设!$D$18</f>
        <v>0.0092273</v>
      </c>
      <c r="V27" s="48">
        <f>V23*A财务假设!$D$18</f>
        <v>0.0092273</v>
      </c>
      <c r="W27" s="48">
        <f>W23*A财务假设!$D$18</f>
        <v>0.0092273</v>
      </c>
      <c r="X27" s="48">
        <f>X23*A财务假设!$D$18</f>
        <v>0.0092273</v>
      </c>
      <c r="Y27" s="48">
        <f>Y23*A财务假设!$D$18</f>
        <v>0.0092273</v>
      </c>
      <c r="Z27" s="48">
        <f>Z23*A财务假设!$D$18</f>
        <v>0.4444773</v>
      </c>
      <c r="AA27" s="52"/>
      <c r="AB27" s="50"/>
    </row>
    <row r="28" customHeight="1" spans="1:28">
      <c r="A28" s="11">
        <v>3.5</v>
      </c>
      <c r="B28" s="7" t="s">
        <v>554</v>
      </c>
      <c r="C28" s="12">
        <f>SUM(D28:Z28)</f>
        <v>7.52112</v>
      </c>
      <c r="D28" s="12"/>
      <c r="E28" s="12"/>
      <c r="F28" s="47">
        <f>C.1项目融资信息!D6*(A财务假设!$D$17+IF(C.1项目融资信息!G6&gt;4,A财务假设!$D$16,A财务假设!$D$15))</f>
        <v>7.52112</v>
      </c>
      <c r="G28" s="12"/>
      <c r="H28" s="12"/>
      <c r="I28" s="12"/>
      <c r="J28" s="12"/>
      <c r="K28" s="12"/>
      <c r="L28" s="12"/>
      <c r="M28" s="12"/>
      <c r="N28" s="12"/>
      <c r="O28" s="12"/>
      <c r="P28" s="12"/>
      <c r="Q28" s="12"/>
      <c r="R28" s="12"/>
      <c r="S28" s="12"/>
      <c r="T28" s="12"/>
      <c r="U28" s="12"/>
      <c r="V28" s="12"/>
      <c r="W28" s="12"/>
      <c r="X28" s="12"/>
      <c r="Y28" s="12"/>
      <c r="Z28" s="12"/>
      <c r="AA28" s="52"/>
      <c r="AB28" s="53" t="s">
        <v>555</v>
      </c>
    </row>
    <row r="29" customHeight="1" spans="1:28">
      <c r="A29" s="11">
        <v>3.6</v>
      </c>
      <c r="B29" s="7" t="s">
        <v>556</v>
      </c>
      <c r="C29" s="12">
        <f>SUM(D29:G29)</f>
        <v>246.061333333333</v>
      </c>
      <c r="D29" s="12"/>
      <c r="E29" s="12"/>
      <c r="F29" s="47">
        <f>IF((F$2-YEAR(C.1项目融资信息!$E6))=0,(12-MONTH(C.1项目融资信息!$E6)+1)*C.1项目融资信息!$D6*C.1项目融资信息!$H6/12,C.1项目融资信息!$D6*C.1项目融资信息!$H6)</f>
        <v>61.5153333333333</v>
      </c>
      <c r="G29" s="47">
        <f>IF((G$2-YEAR(C.1项目融资信息!$E6))=0,(12-MONTH(C.1项目融资信息!$E6)+1)*C.1项目融资信息!$D6*C.1项目融资信息!$H6/12,C.1项目融资信息!$D6*C.1项目融资信息!$H6)</f>
        <v>184.546</v>
      </c>
      <c r="H29" s="47">
        <f>IF((H$2-YEAR(C.1项目融资信息!$E6))=0,(12-MONTH(C.1项目融资信息!$E6)+1)*C.1项目融资信息!$D6*C.1项目融资信息!$H6/12,C.1项目融资信息!$D6*C.1项目融资信息!$H6)</f>
        <v>184.546</v>
      </c>
      <c r="I29" s="47">
        <f>IF((I$2-YEAR(C.1项目融资信息!$E6))=0,(12-MONTH(C.1项目融资信息!$E6)+1)*C.1项目融资信息!$D6*C.1项目融资信息!$H6/12,C.1项目融资信息!$D6*C.1项目融资信息!$H6)</f>
        <v>184.546</v>
      </c>
      <c r="J29" s="47">
        <f>IF((J$2-YEAR(C.1项目融资信息!$E6))=0,(12-MONTH(C.1项目融资信息!$E6)+1)*C.1项目融资信息!$D6*C.1项目融资信息!$H6/12,C.1项目融资信息!$D6*C.1项目融资信息!$H6)</f>
        <v>184.546</v>
      </c>
      <c r="K29" s="47">
        <f>IF((K$2-YEAR(C.1项目融资信息!$E6))=0,(12-MONTH(C.1项目融资信息!$E6)+1)*C.1项目融资信息!$D6*C.1项目融资信息!$H6/12,C.1项目融资信息!$D6*C.1项目融资信息!$H6)</f>
        <v>184.546</v>
      </c>
      <c r="L29" s="47">
        <f>IF((L$2-YEAR(C.1项目融资信息!$E6))=0,(12-MONTH(C.1项目融资信息!$E6)+1)*C.1项目融资信息!$D6*C.1项目融资信息!$H6/12,C.1项目融资信息!$D6*C.1项目融资信息!$H6)</f>
        <v>184.546</v>
      </c>
      <c r="M29" s="47">
        <f>IF((M$2-YEAR(C.1项目融资信息!$E6))=0,(12-MONTH(C.1项目融资信息!$E6)+1)*C.1项目融资信息!$D6*C.1项目融资信息!$H6/12,C.1项目融资信息!$D6*C.1项目融资信息!$H6)</f>
        <v>184.546</v>
      </c>
      <c r="N29" s="47">
        <f>IF((N$2-YEAR(C.1项目融资信息!$E6))=0,(12-MONTH(C.1项目融资信息!$E6)+1)*C.1项目融资信息!$D6*C.1项目融资信息!$H6/12,C.1项目融资信息!$D6*C.1项目融资信息!$H6)</f>
        <v>184.546</v>
      </c>
      <c r="O29" s="47">
        <f>IF((O$2-YEAR(C.1项目融资信息!$E6))=0,(12-MONTH(C.1项目融资信息!$E6)+1)*C.1项目融资信息!$D6*C.1项目融资信息!$H6/12,C.1项目融资信息!$D6*C.1项目融资信息!$H6)</f>
        <v>184.546</v>
      </c>
      <c r="P29" s="47">
        <f>IF((P$2-YEAR(C.1项目融资信息!$E6))=0,(12-MONTH(C.1项目融资信息!$E6)+1)*C.1项目融资信息!$D6*C.1项目融资信息!$H6/12,C.1项目融资信息!$D6*C.1项目融资信息!$H6)</f>
        <v>184.546</v>
      </c>
      <c r="Q29" s="47">
        <f>IF((Q$2-YEAR(C.1项目融资信息!$E6))=0,(12-MONTH(C.1项目融资信息!$E6)+1)*C.1项目融资信息!$D6*C.1项目融资信息!$H6/12,C.1项目融资信息!$D6*C.1项目融资信息!$H6)</f>
        <v>184.546</v>
      </c>
      <c r="R29" s="47">
        <f>IF((R$2-YEAR(C.1项目融资信息!$E6))=0,(12-MONTH(C.1项目融资信息!$E6)+1)*C.1项目融资信息!$D6*C.1项目融资信息!$H6/12,C.1项目融资信息!$D6*C.1项目融资信息!$H6)</f>
        <v>184.546</v>
      </c>
      <c r="S29" s="47">
        <f>IF((S$2-YEAR(C.1项目融资信息!$E6))=0,(12-MONTH(C.1项目融资信息!$E6)+1)*C.1项目融资信息!$D6*C.1项目融资信息!$H6/12,C.1项目融资信息!$D6*C.1项目融资信息!$H6)</f>
        <v>184.546</v>
      </c>
      <c r="T29" s="47">
        <f>IF((T$2-YEAR(C.1项目融资信息!$E6))=0,(12-MONTH(C.1项目融资信息!$E6)+1)*C.1项目融资信息!$D6*C.1项目融资信息!$H6/12,C.1项目融资信息!$D6*C.1项目融资信息!$H6)</f>
        <v>184.546</v>
      </c>
      <c r="U29" s="47">
        <f>IF((U$2-YEAR(C.1项目融资信息!$E6))=0,(12-MONTH(C.1项目融资信息!$E6)+1)*C.1项目融资信息!$D6*C.1项目融资信息!$H6/12,C.1项目融资信息!$D6*C.1项目融资信息!$H6)</f>
        <v>184.546</v>
      </c>
      <c r="V29" s="47">
        <f>IF((V$2-YEAR(C.1项目融资信息!$E6))=0,(12-MONTH(C.1项目融资信息!$E6)+1)*C.1项目融资信息!$D6*C.1项目融资信息!$H6/12,C.1项目融资信息!$D6*C.1项目融资信息!$H6)</f>
        <v>184.546</v>
      </c>
      <c r="W29" s="47">
        <f>IF((W$2-YEAR(C.1项目融资信息!$E6))=0,(12-MONTH(C.1项目融资信息!$E6)+1)*C.1项目融资信息!$D6*C.1项目融资信息!$H6/12,C.1项目融资信息!$D6*C.1项目融资信息!$H6)</f>
        <v>184.546</v>
      </c>
      <c r="X29" s="47">
        <f>IF((X$2-YEAR(C.1项目融资信息!$E6))=0,(12-MONTH(C.1项目融资信息!$E6)+1)*C.1项目融资信息!$D6*C.1项目融资信息!$H6/12,C.1项目融资信息!$D6*C.1项目融资信息!$H6)</f>
        <v>184.546</v>
      </c>
      <c r="Y29" s="47">
        <f>IF((Y$2-YEAR(C.1项目融资信息!$E6))=0,(12-MONTH(C.1项目融资信息!$E6)+1)*C.1项目融资信息!$D6*C.1项目融资信息!$H6/12,C.1项目融资信息!$D6*C.1项目融资信息!$H6)</f>
        <v>184.546</v>
      </c>
      <c r="Z29" s="47">
        <f>(MONTH(C.1项目融资信息!$E6)-1)*C.1项目融资信息!$D6*C.1项目融资信息!$H6/12</f>
        <v>123.030666666667</v>
      </c>
      <c r="AA29" s="52"/>
      <c r="AB29" s="53" t="s">
        <v>557</v>
      </c>
    </row>
    <row r="30" customHeight="1" spans="1:29">
      <c r="A30" s="11">
        <v>4</v>
      </c>
      <c r="B30" s="11" t="s">
        <v>77</v>
      </c>
      <c r="C30" s="11"/>
      <c r="D30" s="11"/>
      <c r="E30" s="11"/>
      <c r="F30" s="11"/>
      <c r="G30" s="11"/>
      <c r="H30" s="11"/>
      <c r="I30" s="11"/>
      <c r="J30" s="11"/>
      <c r="K30" s="11"/>
      <c r="L30" s="11"/>
      <c r="M30" s="11"/>
      <c r="N30" s="11"/>
      <c r="O30" s="11"/>
      <c r="P30" s="11"/>
      <c r="Q30" s="11"/>
      <c r="R30" s="11"/>
      <c r="S30" s="11"/>
      <c r="T30" s="11"/>
      <c r="U30" s="11"/>
      <c r="V30" s="11"/>
      <c r="W30" s="11"/>
      <c r="X30" s="11"/>
      <c r="Y30" s="11"/>
      <c r="Z30" s="11"/>
      <c r="AA30" s="11"/>
      <c r="AB30" s="50"/>
      <c r="AC30" s="50"/>
    </row>
    <row r="31" customHeight="1" spans="1:29">
      <c r="A31" s="11">
        <v>4.1</v>
      </c>
      <c r="B31" s="7" t="s">
        <v>546</v>
      </c>
      <c r="C31" s="12" t="s">
        <v>163</v>
      </c>
      <c r="D31" s="39"/>
      <c r="E31" s="39"/>
      <c r="F31" s="39"/>
      <c r="G31" s="39">
        <v>0</v>
      </c>
      <c r="H31" s="39">
        <f>$G$35</f>
        <v>7530</v>
      </c>
      <c r="I31" s="39">
        <f t="shared" ref="I31:AA31" si="15">$G$35</f>
        <v>7530</v>
      </c>
      <c r="J31" s="39">
        <f t="shared" si="15"/>
        <v>7530</v>
      </c>
      <c r="K31" s="39">
        <f t="shared" si="15"/>
        <v>7530</v>
      </c>
      <c r="L31" s="39">
        <f t="shared" si="15"/>
        <v>7530</v>
      </c>
      <c r="M31" s="39">
        <f t="shared" si="15"/>
        <v>7530</v>
      </c>
      <c r="N31" s="39">
        <f t="shared" si="15"/>
        <v>7530</v>
      </c>
      <c r="O31" s="39">
        <f t="shared" si="15"/>
        <v>7530</v>
      </c>
      <c r="P31" s="39">
        <f t="shared" si="15"/>
        <v>7530</v>
      </c>
      <c r="Q31" s="39">
        <f t="shared" si="15"/>
        <v>7530</v>
      </c>
      <c r="R31" s="39">
        <f t="shared" si="15"/>
        <v>7530</v>
      </c>
      <c r="S31" s="39">
        <f t="shared" si="15"/>
        <v>7530</v>
      </c>
      <c r="T31" s="39">
        <f t="shared" si="15"/>
        <v>7530</v>
      </c>
      <c r="U31" s="39">
        <f t="shared" si="15"/>
        <v>7530</v>
      </c>
      <c r="V31" s="39">
        <f t="shared" si="15"/>
        <v>7530</v>
      </c>
      <c r="W31" s="39">
        <f t="shared" si="15"/>
        <v>7530</v>
      </c>
      <c r="X31" s="39">
        <f t="shared" si="15"/>
        <v>7530</v>
      </c>
      <c r="Y31" s="39">
        <f t="shared" si="15"/>
        <v>7530</v>
      </c>
      <c r="Z31" s="39">
        <f t="shared" si="15"/>
        <v>7530</v>
      </c>
      <c r="AA31" s="39">
        <f t="shared" si="15"/>
        <v>7530</v>
      </c>
      <c r="AB31" s="50"/>
      <c r="AC31" s="50"/>
    </row>
    <row r="32" customHeight="1" spans="1:29">
      <c r="A32" s="11">
        <v>4.2</v>
      </c>
      <c r="B32" s="7" t="s">
        <v>547</v>
      </c>
      <c r="C32" s="12">
        <f>SUM(D32:AA32)</f>
        <v>10722.72</v>
      </c>
      <c r="D32" s="12"/>
      <c r="E32" s="12"/>
      <c r="F32" s="12"/>
      <c r="G32" s="12">
        <f t="shared" ref="G32:AA32" si="16">G33+G34</f>
        <v>0</v>
      </c>
      <c r="H32" s="12">
        <f t="shared" si="16"/>
        <v>159.636</v>
      </c>
      <c r="I32" s="12">
        <f t="shared" si="16"/>
        <v>159.636</v>
      </c>
      <c r="J32" s="12">
        <f t="shared" si="16"/>
        <v>159.636</v>
      </c>
      <c r="K32" s="12">
        <f t="shared" si="16"/>
        <v>159.636</v>
      </c>
      <c r="L32" s="12">
        <f t="shared" si="16"/>
        <v>159.636</v>
      </c>
      <c r="M32" s="12">
        <f t="shared" si="16"/>
        <v>159.636</v>
      </c>
      <c r="N32" s="12">
        <f t="shared" si="16"/>
        <v>159.636</v>
      </c>
      <c r="O32" s="12">
        <f t="shared" si="16"/>
        <v>159.636</v>
      </c>
      <c r="P32" s="12">
        <f t="shared" si="16"/>
        <v>159.636</v>
      </c>
      <c r="Q32" s="12">
        <f t="shared" si="16"/>
        <v>159.636</v>
      </c>
      <c r="R32" s="12">
        <f t="shared" si="16"/>
        <v>159.636</v>
      </c>
      <c r="S32" s="12">
        <f t="shared" si="16"/>
        <v>159.636</v>
      </c>
      <c r="T32" s="12">
        <f t="shared" si="16"/>
        <v>159.636</v>
      </c>
      <c r="U32" s="12">
        <f t="shared" si="16"/>
        <v>159.636</v>
      </c>
      <c r="V32" s="12">
        <f t="shared" si="16"/>
        <v>159.636</v>
      </c>
      <c r="W32" s="12">
        <f t="shared" si="16"/>
        <v>159.636</v>
      </c>
      <c r="X32" s="12">
        <f t="shared" si="16"/>
        <v>159.636</v>
      </c>
      <c r="Y32" s="12">
        <f t="shared" si="16"/>
        <v>159.636</v>
      </c>
      <c r="Z32" s="12">
        <f t="shared" si="16"/>
        <v>159.636</v>
      </c>
      <c r="AA32" s="12">
        <f t="shared" si="16"/>
        <v>7689.636</v>
      </c>
      <c r="AB32" s="50"/>
      <c r="AC32" s="50"/>
    </row>
    <row r="33" customHeight="1" spans="1:29">
      <c r="A33" s="11" t="s">
        <v>560</v>
      </c>
      <c r="B33" s="7" t="s">
        <v>548</v>
      </c>
      <c r="C33" s="12">
        <f>SUM(D33:AA33)</f>
        <v>7530</v>
      </c>
      <c r="D33" s="39"/>
      <c r="E33" s="39"/>
      <c r="F33" s="39"/>
      <c r="G33" s="39">
        <v>0</v>
      </c>
      <c r="H33" s="39">
        <v>0</v>
      </c>
      <c r="I33" s="39">
        <v>0</v>
      </c>
      <c r="J33" s="39">
        <v>0</v>
      </c>
      <c r="K33" s="39">
        <v>0</v>
      </c>
      <c r="L33" s="39">
        <v>0</v>
      </c>
      <c r="M33" s="39">
        <v>0</v>
      </c>
      <c r="N33" s="39">
        <v>0</v>
      </c>
      <c r="O33" s="39">
        <v>0</v>
      </c>
      <c r="P33" s="39">
        <v>0</v>
      </c>
      <c r="Q33" s="39">
        <v>0</v>
      </c>
      <c r="R33" s="39">
        <v>0</v>
      </c>
      <c r="S33" s="39">
        <v>0</v>
      </c>
      <c r="T33" s="39">
        <v>0</v>
      </c>
      <c r="U33" s="39">
        <v>0</v>
      </c>
      <c r="V33" s="39">
        <v>0</v>
      </c>
      <c r="W33" s="39">
        <v>0</v>
      </c>
      <c r="X33" s="39">
        <v>0</v>
      </c>
      <c r="Y33" s="39">
        <v>0</v>
      </c>
      <c r="Z33" s="39">
        <v>0</v>
      </c>
      <c r="AA33" s="46">
        <f>G35</f>
        <v>7530</v>
      </c>
      <c r="AB33" s="53" t="s">
        <v>549</v>
      </c>
      <c r="AC33" s="50"/>
    </row>
    <row r="34" customHeight="1" spans="1:29">
      <c r="A34" s="11" t="s">
        <v>561</v>
      </c>
      <c r="B34" s="7" t="s">
        <v>550</v>
      </c>
      <c r="C34" s="12">
        <f>SUM(D34:AA34)</f>
        <v>3192.72</v>
      </c>
      <c r="D34" s="39"/>
      <c r="E34" s="39"/>
      <c r="F34" s="39"/>
      <c r="G34" s="46">
        <f>IF(C.1项目融资信息!G7&lt;10,0,IF(MONTH(C.1项目融资信息!E7)&gt;6,0,C.1项目融资信息!D7*C.1项目融资信息!H7/2))</f>
        <v>0</v>
      </c>
      <c r="H34" s="46">
        <f>C.1项目融资信息!$D$7*C.1项目融资信息!$H$7</f>
        <v>159.636</v>
      </c>
      <c r="I34" s="46">
        <f>C.1项目融资信息!$D$7*C.1项目融资信息!$H$7</f>
        <v>159.636</v>
      </c>
      <c r="J34" s="46">
        <f>C.1项目融资信息!$D$7*C.1项目融资信息!$H$7</f>
        <v>159.636</v>
      </c>
      <c r="K34" s="46">
        <f>C.1项目融资信息!$D$7*C.1项目融资信息!$H$7</f>
        <v>159.636</v>
      </c>
      <c r="L34" s="46">
        <f>C.1项目融资信息!$D$7*C.1项目融资信息!$H$7</f>
        <v>159.636</v>
      </c>
      <c r="M34" s="46">
        <f>C.1项目融资信息!$D$7*C.1项目融资信息!$H$7</f>
        <v>159.636</v>
      </c>
      <c r="N34" s="46">
        <f>C.1项目融资信息!$D$7*C.1项目融资信息!$H$7</f>
        <v>159.636</v>
      </c>
      <c r="O34" s="46">
        <f>C.1项目融资信息!$D$7*C.1项目融资信息!$H$7</f>
        <v>159.636</v>
      </c>
      <c r="P34" s="46">
        <f>C.1项目融资信息!$D$7*C.1项目融资信息!$H$7</f>
        <v>159.636</v>
      </c>
      <c r="Q34" s="46">
        <f>C.1项目融资信息!$D$7*C.1项目融资信息!$H$7</f>
        <v>159.636</v>
      </c>
      <c r="R34" s="46">
        <f>C.1项目融资信息!$D$7*C.1项目融资信息!$H$7</f>
        <v>159.636</v>
      </c>
      <c r="S34" s="46">
        <f>C.1项目融资信息!$D$7*C.1项目融资信息!$H$7</f>
        <v>159.636</v>
      </c>
      <c r="T34" s="46">
        <f>C.1项目融资信息!$D$7*C.1项目融资信息!$H$7</f>
        <v>159.636</v>
      </c>
      <c r="U34" s="46">
        <f>C.1项目融资信息!$D$7*C.1项目融资信息!$H$7</f>
        <v>159.636</v>
      </c>
      <c r="V34" s="46">
        <f>C.1项目融资信息!$D$7*C.1项目融资信息!$H$7</f>
        <v>159.636</v>
      </c>
      <c r="W34" s="46">
        <f>C.1项目融资信息!$D$7*C.1项目融资信息!$H$7</f>
        <v>159.636</v>
      </c>
      <c r="X34" s="46">
        <f>C.1项目融资信息!$D$7*C.1项目融资信息!$H$7</f>
        <v>159.636</v>
      </c>
      <c r="Y34" s="46">
        <f>C.1项目融资信息!$D$7*C.1项目融资信息!$H$7</f>
        <v>159.636</v>
      </c>
      <c r="Z34" s="46">
        <f>C.1项目融资信息!$D$7*C.1项目融资信息!$H$7</f>
        <v>159.636</v>
      </c>
      <c r="AA34" s="46">
        <f>C.1项目融资信息!$D$7*C.1项目融资信息!$H$7</f>
        <v>159.636</v>
      </c>
      <c r="AB34" s="53" t="s">
        <v>551</v>
      </c>
      <c r="AC34" s="50"/>
    </row>
    <row r="35" customHeight="1" spans="1:29">
      <c r="A35" s="11">
        <v>4.3</v>
      </c>
      <c r="B35" s="7" t="s">
        <v>552</v>
      </c>
      <c r="C35" s="12" t="s">
        <v>163</v>
      </c>
      <c r="D35" s="12"/>
      <c r="E35" s="12"/>
      <c r="F35" s="12"/>
      <c r="G35" s="47">
        <f>G31+C.2项目每年借款信息!F6-G33</f>
        <v>7530</v>
      </c>
      <c r="H35" s="47">
        <f>H31+C.2项目每年借款信息!H13-H33</f>
        <v>7530</v>
      </c>
      <c r="I35" s="47">
        <f>I31+C.2项目每年借款信息!I13-I33</f>
        <v>7530</v>
      </c>
      <c r="J35" s="47">
        <f>J31+C.2项目每年借款信息!J13-J33</f>
        <v>7530</v>
      </c>
      <c r="K35" s="47">
        <f>K31+C.2项目每年借款信息!K13-K33</f>
        <v>7530</v>
      </c>
      <c r="L35" s="47">
        <f>L31+C.2项目每年借款信息!L13-L33</f>
        <v>7530</v>
      </c>
      <c r="M35" s="47">
        <f>M31+C.2项目每年借款信息!M13-M33</f>
        <v>7530</v>
      </c>
      <c r="N35" s="47">
        <f>N31+C.2项目每年借款信息!N13-N33</f>
        <v>7530</v>
      </c>
      <c r="O35" s="47">
        <f>O31+C.2项目每年借款信息!O13-O33</f>
        <v>7530</v>
      </c>
      <c r="P35" s="47">
        <f>P31+C.2项目每年借款信息!P13-P33</f>
        <v>7530</v>
      </c>
      <c r="Q35" s="47">
        <f>Q31+C.2项目每年借款信息!Q13-Q33</f>
        <v>7530</v>
      </c>
      <c r="R35" s="47">
        <f>R31+C.2项目每年借款信息!R13-R33</f>
        <v>7530</v>
      </c>
      <c r="S35" s="47">
        <f>S31+C.2项目每年借款信息!S13-S33</f>
        <v>7530</v>
      </c>
      <c r="T35" s="47">
        <f>T31+C.2项目每年借款信息!T13-T33</f>
        <v>7530</v>
      </c>
      <c r="U35" s="47">
        <f>U31+C.2项目每年借款信息!U13-U33</f>
        <v>7530</v>
      </c>
      <c r="V35" s="47">
        <f>V31+C.2项目每年借款信息!U13-V33</f>
        <v>7530</v>
      </c>
      <c r="W35" s="47">
        <f>W31+C.2项目每年借款信息!V13-W33</f>
        <v>7530</v>
      </c>
      <c r="X35" s="47">
        <f>X31+C.2项目每年借款信息!W13-X33</f>
        <v>7530</v>
      </c>
      <c r="Y35" s="47">
        <f>Y31+C.2项目每年借款信息!X13-Y33</f>
        <v>7530</v>
      </c>
      <c r="Z35" s="47">
        <f>Z31+C.2项目每年借款信息!Y13-Z33</f>
        <v>7530</v>
      </c>
      <c r="AA35" s="47">
        <f>AA31+C.2项目每年借款信息!Z13-AA33</f>
        <v>0</v>
      </c>
      <c r="AB35" s="53" t="s">
        <v>157</v>
      </c>
      <c r="AC35" s="50"/>
    </row>
    <row r="36" customHeight="1" spans="1:29">
      <c r="A36" s="11">
        <v>4.4</v>
      </c>
      <c r="B36" s="7" t="s">
        <v>553</v>
      </c>
      <c r="C36" s="48">
        <f>SUM(D36:AA36)</f>
        <v>0.536136</v>
      </c>
      <c r="D36" s="48"/>
      <c r="E36" s="48"/>
      <c r="F36" s="48"/>
      <c r="G36" s="48">
        <f>G32*A财务假设!$D$18</f>
        <v>0</v>
      </c>
      <c r="H36" s="48">
        <f>H32*A财务假设!$D$18</f>
        <v>0.0079818</v>
      </c>
      <c r="I36" s="48">
        <f>I32*A财务假设!$D$18</f>
        <v>0.0079818</v>
      </c>
      <c r="J36" s="48">
        <f>J32*A财务假设!$D$18</f>
        <v>0.0079818</v>
      </c>
      <c r="K36" s="48">
        <f>K32*A财务假设!$D$18</f>
        <v>0.0079818</v>
      </c>
      <c r="L36" s="48">
        <f>L32*A财务假设!$D$18</f>
        <v>0.0079818</v>
      </c>
      <c r="M36" s="48">
        <f>M32*A财务假设!$D$18</f>
        <v>0.0079818</v>
      </c>
      <c r="N36" s="48">
        <f>N32*A财务假设!$D$18</f>
        <v>0.0079818</v>
      </c>
      <c r="O36" s="48">
        <f>O32*A财务假设!$D$18</f>
        <v>0.0079818</v>
      </c>
      <c r="P36" s="48">
        <f>P32*A财务假设!$D$18</f>
        <v>0.0079818</v>
      </c>
      <c r="Q36" s="48">
        <f>Q32*A财务假设!$D$18</f>
        <v>0.0079818</v>
      </c>
      <c r="R36" s="48">
        <f>R32*A财务假设!$D$18</f>
        <v>0.0079818</v>
      </c>
      <c r="S36" s="48">
        <f>S32*A财务假设!$D$18</f>
        <v>0.0079818</v>
      </c>
      <c r="T36" s="48">
        <f>T32*A财务假设!$D$18</f>
        <v>0.0079818</v>
      </c>
      <c r="U36" s="48">
        <f>U32*A财务假设!$D$18</f>
        <v>0.0079818</v>
      </c>
      <c r="V36" s="48">
        <f>V32*A财务假设!$D$18</f>
        <v>0.0079818</v>
      </c>
      <c r="W36" s="48">
        <f>W32*A财务假设!$D$18</f>
        <v>0.0079818</v>
      </c>
      <c r="X36" s="48">
        <f>X32*A财务假设!$D$18</f>
        <v>0.0079818</v>
      </c>
      <c r="Y36" s="48">
        <f>Y32*A财务假设!$D$18</f>
        <v>0.0079818</v>
      </c>
      <c r="Z36" s="48">
        <f>Z32*A财务假设!$D$18</f>
        <v>0.0079818</v>
      </c>
      <c r="AA36" s="48">
        <f>AA32*A财务假设!$D$18</f>
        <v>0.3844818</v>
      </c>
      <c r="AB36" s="50"/>
      <c r="AC36" s="50"/>
    </row>
    <row r="37" customHeight="1" spans="1:29">
      <c r="A37" s="11">
        <v>4.5</v>
      </c>
      <c r="B37" s="7" t="s">
        <v>554</v>
      </c>
      <c r="C37" s="12">
        <f>SUM(D37:AA37)</f>
        <v>6.50592</v>
      </c>
      <c r="D37" s="12"/>
      <c r="E37" s="12"/>
      <c r="F37" s="12"/>
      <c r="G37" s="47">
        <f>C.1项目融资信息!D7*(A财务假设!$D$17+IF(C.1项目融资信息!G7&gt;4,A财务假设!$D$16,A财务假设!$D$15))</f>
        <v>6.50592</v>
      </c>
      <c r="H37" s="12"/>
      <c r="I37" s="12"/>
      <c r="J37" s="12"/>
      <c r="K37" s="12"/>
      <c r="L37" s="12"/>
      <c r="M37" s="12"/>
      <c r="N37" s="12"/>
      <c r="O37" s="12"/>
      <c r="P37" s="12"/>
      <c r="Q37" s="12"/>
      <c r="R37" s="12"/>
      <c r="S37" s="12"/>
      <c r="T37" s="12"/>
      <c r="U37" s="12"/>
      <c r="V37" s="12"/>
      <c r="W37" s="12"/>
      <c r="X37" s="12"/>
      <c r="Y37" s="12"/>
      <c r="Z37" s="12"/>
      <c r="AA37" s="12"/>
      <c r="AB37" s="53" t="s">
        <v>555</v>
      </c>
      <c r="AC37" s="50"/>
    </row>
    <row r="38" customHeight="1" spans="1:29">
      <c r="A38" s="11">
        <v>4.6</v>
      </c>
      <c r="B38" s="7" t="s">
        <v>556</v>
      </c>
      <c r="C38" s="12">
        <f>SUM(D38:G38)</f>
        <v>53.212</v>
      </c>
      <c r="D38" s="12"/>
      <c r="E38" s="12"/>
      <c r="F38" s="12"/>
      <c r="G38" s="47">
        <f>IF((G$2-YEAR(C.1项目融资信息!$E7))=0,(12-MONTH(C.1项目融资信息!$E7)+1)*C.1项目融资信息!$D7*C.1项目融资信息!$H7/12,C.1项目融资信息!$D7*C.1项目融资信息!$H7)</f>
        <v>53.212</v>
      </c>
      <c r="H38" s="47">
        <f>IF((H$2-YEAR(C.1项目融资信息!$E7))=0,(12-MONTH(C.1项目融资信息!$E7)+1)*C.1项目融资信息!$D7*C.1项目融资信息!$H7/12,C.1项目融资信息!$D7*C.1项目融资信息!$H7)</f>
        <v>159.636</v>
      </c>
      <c r="I38" s="47">
        <f>IF((I$2-YEAR(C.1项目融资信息!$E7))=0,(12-MONTH(C.1项目融资信息!$E7)+1)*C.1项目融资信息!$D7*C.1项目融资信息!$H7/12,C.1项目融资信息!$D7*C.1项目融资信息!$H7)</f>
        <v>159.636</v>
      </c>
      <c r="J38" s="47">
        <f>IF((J$2-YEAR(C.1项目融资信息!$E7))=0,(12-MONTH(C.1项目融资信息!$E7)+1)*C.1项目融资信息!$D7*C.1项目融资信息!$H7/12,C.1项目融资信息!$D7*C.1项目融资信息!$H7)</f>
        <v>159.636</v>
      </c>
      <c r="K38" s="47">
        <f>IF((K$2-YEAR(C.1项目融资信息!$E7))=0,(12-MONTH(C.1项目融资信息!$E7)+1)*C.1项目融资信息!$D7*C.1项目融资信息!$H7/12,C.1项目融资信息!$D7*C.1项目融资信息!$H7)</f>
        <v>159.636</v>
      </c>
      <c r="L38" s="47">
        <f>IF((L$2-YEAR(C.1项目融资信息!$E7))=0,(12-MONTH(C.1项目融资信息!$E7)+1)*C.1项目融资信息!$D7*C.1项目融资信息!$H7/12,C.1项目融资信息!$D7*C.1项目融资信息!$H7)</f>
        <v>159.636</v>
      </c>
      <c r="M38" s="47">
        <f>IF((M$2-YEAR(C.1项目融资信息!$E7))=0,(12-MONTH(C.1项目融资信息!$E7)+1)*C.1项目融资信息!$D7*C.1项目融资信息!$H7/12,C.1项目融资信息!$D7*C.1项目融资信息!$H7)</f>
        <v>159.636</v>
      </c>
      <c r="N38" s="47">
        <f>IF((N$2-YEAR(C.1项目融资信息!$E7))=0,(12-MONTH(C.1项目融资信息!$E7)+1)*C.1项目融资信息!$D7*C.1项目融资信息!$H7/12,C.1项目融资信息!$D7*C.1项目融资信息!$H7)</f>
        <v>159.636</v>
      </c>
      <c r="O38" s="47">
        <f>IF((O$2-YEAR(C.1项目融资信息!$E7))=0,(12-MONTH(C.1项目融资信息!$E7)+1)*C.1项目融资信息!$D7*C.1项目融资信息!$H7/12,C.1项目融资信息!$D7*C.1项目融资信息!$H7)</f>
        <v>159.636</v>
      </c>
      <c r="P38" s="47">
        <f>IF((P$2-YEAR(C.1项目融资信息!$E7))=0,(12-MONTH(C.1项目融资信息!$E7)+1)*C.1项目融资信息!$D7*C.1项目融资信息!$H7/12,C.1项目融资信息!$D7*C.1项目融资信息!$H7)</f>
        <v>159.636</v>
      </c>
      <c r="Q38" s="47">
        <f>IF((Q$2-YEAR(C.1项目融资信息!$E7))=0,(12-MONTH(C.1项目融资信息!$E7)+1)*C.1项目融资信息!$D7*C.1项目融资信息!$H7/12,C.1项目融资信息!$D7*C.1项目融资信息!$H7)</f>
        <v>159.636</v>
      </c>
      <c r="R38" s="47">
        <f>IF((R$2-YEAR(C.1项目融资信息!$E7))=0,(12-MONTH(C.1项目融资信息!$E7)+1)*C.1项目融资信息!$D7*C.1项目融资信息!$H7/12,C.1项目融资信息!$D7*C.1项目融资信息!$H7)</f>
        <v>159.636</v>
      </c>
      <c r="S38" s="47">
        <f>IF((S$2-YEAR(C.1项目融资信息!$E7))=0,(12-MONTH(C.1项目融资信息!$E7)+1)*C.1项目融资信息!$D7*C.1项目融资信息!$H7/12,C.1项目融资信息!$D7*C.1项目融资信息!$H7)</f>
        <v>159.636</v>
      </c>
      <c r="T38" s="47">
        <f>IF((T$2-YEAR(C.1项目融资信息!$E7))=0,(12-MONTH(C.1项目融资信息!$E7)+1)*C.1项目融资信息!$D7*C.1项目融资信息!$H7/12,C.1项目融资信息!$D7*C.1项目融资信息!$H7)</f>
        <v>159.636</v>
      </c>
      <c r="U38" s="47">
        <f>IF((U$2-YEAR(C.1项目融资信息!$E7))=0,(12-MONTH(C.1项目融资信息!$E7)+1)*C.1项目融资信息!$D7*C.1项目融资信息!$H7/12,C.1项目融资信息!$D7*C.1项目融资信息!$H7)</f>
        <v>159.636</v>
      </c>
      <c r="V38" s="47">
        <f>IF((V$2-YEAR(C.1项目融资信息!$E7))=0,(12-MONTH(C.1项目融资信息!$E7)+1)*C.1项目融资信息!$D7*C.1项目融资信息!$H7/12,C.1项目融资信息!$D7*C.1项目融资信息!$H7)</f>
        <v>159.636</v>
      </c>
      <c r="W38" s="47">
        <f>IF((W$2-YEAR(C.1项目融资信息!$E7))=0,(12-MONTH(C.1项目融资信息!$E7)+1)*C.1项目融资信息!$D7*C.1项目融资信息!$H7/12,C.1项目融资信息!$D7*C.1项目融资信息!$H7)</f>
        <v>159.636</v>
      </c>
      <c r="X38" s="47">
        <f>IF((X$2-YEAR(C.1项目融资信息!$E7))=0,(12-MONTH(C.1项目融资信息!$E7)+1)*C.1项目融资信息!$D7*C.1项目融资信息!$H7/12,C.1项目融资信息!$D7*C.1项目融资信息!$H7)</f>
        <v>159.636</v>
      </c>
      <c r="Y38" s="47">
        <f>IF((Y$2-YEAR(C.1项目融资信息!$E7))=0,(12-MONTH(C.1项目融资信息!$E7)+1)*C.1项目融资信息!$D7*C.1项目融资信息!$H7/12,C.1项目融资信息!$D7*C.1项目融资信息!$H7)</f>
        <v>159.636</v>
      </c>
      <c r="Z38" s="47">
        <f>IF((Z$2-YEAR(C.1项目融资信息!$E7))=0,(12-MONTH(C.1项目融资信息!$E7)+1)*C.1项目融资信息!$D7*C.1项目融资信息!$H7/12,C.1项目融资信息!$D7*C.1项目融资信息!$H7)</f>
        <v>159.636</v>
      </c>
      <c r="AA38" s="47">
        <f>(MONTH(C.1项目融资信息!$E7)-1)*C.1项目融资信息!$D7*C.1项目融资信息!$H7/12</f>
        <v>106.424</v>
      </c>
      <c r="AB38" s="53" t="s">
        <v>557</v>
      </c>
      <c r="AC38" s="50"/>
    </row>
    <row r="39" customHeight="1" spans="1:29">
      <c r="A39" s="11" t="s">
        <v>562</v>
      </c>
      <c r="B39" s="11" t="s">
        <v>563</v>
      </c>
      <c r="C39" s="12">
        <f>C.1项目融资信息!D4+C.1项目融资信息!D5+C.1项目融资信息!D6+C.1项目融资信息!D7</f>
        <v>29000</v>
      </c>
      <c r="D39" s="49"/>
      <c r="E39" s="49"/>
      <c r="F39" s="49"/>
      <c r="G39" s="49"/>
      <c r="H39" s="49"/>
      <c r="I39" s="49"/>
      <c r="J39" s="49"/>
      <c r="K39" s="49"/>
      <c r="L39" s="49"/>
      <c r="M39" s="49"/>
      <c r="N39" s="49"/>
      <c r="O39" s="49"/>
      <c r="P39" s="49"/>
      <c r="Q39" s="49"/>
      <c r="R39" s="49"/>
      <c r="S39" s="49"/>
      <c r="T39" s="49"/>
      <c r="U39" s="49"/>
      <c r="V39" s="49"/>
      <c r="W39" s="49"/>
      <c r="X39" s="49"/>
      <c r="Y39" s="49"/>
      <c r="Z39" s="49"/>
      <c r="AA39" s="49"/>
      <c r="AB39" s="50"/>
      <c r="AC39" s="50"/>
    </row>
    <row r="40" customHeight="1" spans="1:29">
      <c r="A40" s="11" t="s">
        <v>564</v>
      </c>
      <c r="B40" s="7" t="s">
        <v>546</v>
      </c>
      <c r="C40" s="12" t="s">
        <v>163</v>
      </c>
      <c r="D40" s="47">
        <f t="shared" ref="D40:D47" si="17">D4+D13+D22+D31</f>
        <v>0</v>
      </c>
      <c r="E40" s="47">
        <f t="shared" ref="E40:AA40" si="18">E4+E13+E22+E31</f>
        <v>1175</v>
      </c>
      <c r="F40" s="47">
        <f t="shared" si="18"/>
        <v>12765</v>
      </c>
      <c r="G40" s="47">
        <f t="shared" si="18"/>
        <v>21470</v>
      </c>
      <c r="H40" s="47">
        <f t="shared" si="18"/>
        <v>29000</v>
      </c>
      <c r="I40" s="47">
        <f t="shared" si="18"/>
        <v>29000</v>
      </c>
      <c r="J40" s="47">
        <f t="shared" si="18"/>
        <v>29000</v>
      </c>
      <c r="K40" s="47">
        <f t="shared" si="18"/>
        <v>29000</v>
      </c>
      <c r="L40" s="47">
        <f t="shared" si="18"/>
        <v>29000</v>
      </c>
      <c r="M40" s="47">
        <f t="shared" si="18"/>
        <v>29000</v>
      </c>
      <c r="N40" s="47">
        <f t="shared" si="18"/>
        <v>29000</v>
      </c>
      <c r="O40" s="47">
        <f t="shared" si="18"/>
        <v>29000</v>
      </c>
      <c r="P40" s="47">
        <f t="shared" si="18"/>
        <v>29000</v>
      </c>
      <c r="Q40" s="47">
        <f t="shared" si="18"/>
        <v>29000</v>
      </c>
      <c r="R40" s="47">
        <f t="shared" si="18"/>
        <v>29000</v>
      </c>
      <c r="S40" s="47">
        <f t="shared" si="18"/>
        <v>29000</v>
      </c>
      <c r="T40" s="47">
        <f t="shared" si="18"/>
        <v>29000</v>
      </c>
      <c r="U40" s="47">
        <f t="shared" si="18"/>
        <v>29000</v>
      </c>
      <c r="V40" s="47">
        <f t="shared" si="18"/>
        <v>29000</v>
      </c>
      <c r="W40" s="47">
        <f t="shared" si="18"/>
        <v>29000</v>
      </c>
      <c r="X40" s="47">
        <f t="shared" si="18"/>
        <v>29000</v>
      </c>
      <c r="Y40" s="47">
        <f t="shared" si="18"/>
        <v>27825</v>
      </c>
      <c r="Z40" s="47">
        <f t="shared" si="18"/>
        <v>16235</v>
      </c>
      <c r="AA40" s="47">
        <f t="shared" si="18"/>
        <v>7530</v>
      </c>
      <c r="AB40" s="53" t="s">
        <v>565</v>
      </c>
      <c r="AC40" s="50"/>
    </row>
    <row r="41" customHeight="1" spans="1:29">
      <c r="A41" s="11" t="s">
        <v>566</v>
      </c>
      <c r="B41" s="7" t="s">
        <v>547</v>
      </c>
      <c r="C41" s="12">
        <f>SUM(D41:AA41)</f>
        <v>41296</v>
      </c>
      <c r="D41" s="47">
        <f t="shared" si="17"/>
        <v>0</v>
      </c>
      <c r="E41" s="47">
        <f t="shared" ref="E41:AA41" si="19">E5+E14+E23+E32</f>
        <v>24.91</v>
      </c>
      <c r="F41" s="47">
        <f t="shared" si="19"/>
        <v>270.618</v>
      </c>
      <c r="G41" s="47">
        <f t="shared" si="19"/>
        <v>455.164</v>
      </c>
      <c r="H41" s="47">
        <f t="shared" si="19"/>
        <v>614.8</v>
      </c>
      <c r="I41" s="47">
        <f t="shared" si="19"/>
        <v>614.8</v>
      </c>
      <c r="J41" s="47">
        <f t="shared" si="19"/>
        <v>614.8</v>
      </c>
      <c r="K41" s="47">
        <f t="shared" si="19"/>
        <v>614.8</v>
      </c>
      <c r="L41" s="47">
        <f t="shared" si="19"/>
        <v>614.8</v>
      </c>
      <c r="M41" s="47">
        <f t="shared" si="19"/>
        <v>614.8</v>
      </c>
      <c r="N41" s="47">
        <f t="shared" si="19"/>
        <v>614.8</v>
      </c>
      <c r="O41" s="47">
        <f t="shared" si="19"/>
        <v>614.8</v>
      </c>
      <c r="P41" s="47">
        <f t="shared" si="19"/>
        <v>614.8</v>
      </c>
      <c r="Q41" s="47">
        <f t="shared" si="19"/>
        <v>614.8</v>
      </c>
      <c r="R41" s="47">
        <f t="shared" si="19"/>
        <v>614.8</v>
      </c>
      <c r="S41" s="47">
        <f t="shared" si="19"/>
        <v>614.8</v>
      </c>
      <c r="T41" s="47">
        <f t="shared" si="19"/>
        <v>614.8</v>
      </c>
      <c r="U41" s="47">
        <f t="shared" si="19"/>
        <v>614.8</v>
      </c>
      <c r="V41" s="47">
        <f t="shared" si="19"/>
        <v>614.8</v>
      </c>
      <c r="W41" s="47">
        <f t="shared" si="19"/>
        <v>614.8</v>
      </c>
      <c r="X41" s="47">
        <f t="shared" si="19"/>
        <v>1789.8</v>
      </c>
      <c r="Y41" s="47">
        <f t="shared" si="19"/>
        <v>12179.89</v>
      </c>
      <c r="Z41" s="47">
        <f t="shared" si="19"/>
        <v>9049.182</v>
      </c>
      <c r="AA41" s="47">
        <f t="shared" si="19"/>
        <v>7689.636</v>
      </c>
      <c r="AB41" s="53" t="s">
        <v>565</v>
      </c>
      <c r="AC41" s="50"/>
    </row>
    <row r="42" customHeight="1" spans="1:29">
      <c r="A42" s="11" t="s">
        <v>567</v>
      </c>
      <c r="B42" s="7" t="s">
        <v>548</v>
      </c>
      <c r="C42" s="12">
        <f>SUM(D42:AA42)</f>
        <v>29000</v>
      </c>
      <c r="D42" s="47">
        <f t="shared" si="17"/>
        <v>0</v>
      </c>
      <c r="E42" s="47">
        <f t="shared" ref="E42:AA42" si="20">E6+E15+E24+E33</f>
        <v>0</v>
      </c>
      <c r="F42" s="47">
        <f t="shared" si="20"/>
        <v>0</v>
      </c>
      <c r="G42" s="47">
        <f t="shared" si="20"/>
        <v>0</v>
      </c>
      <c r="H42" s="47">
        <f t="shared" si="20"/>
        <v>0</v>
      </c>
      <c r="I42" s="47">
        <f t="shared" si="20"/>
        <v>0</v>
      </c>
      <c r="J42" s="47">
        <f t="shared" si="20"/>
        <v>0</v>
      </c>
      <c r="K42" s="47">
        <f t="shared" si="20"/>
        <v>0</v>
      </c>
      <c r="L42" s="47">
        <f t="shared" si="20"/>
        <v>0</v>
      </c>
      <c r="M42" s="47">
        <f t="shared" si="20"/>
        <v>0</v>
      </c>
      <c r="N42" s="47">
        <f t="shared" si="20"/>
        <v>0</v>
      </c>
      <c r="O42" s="47">
        <f t="shared" si="20"/>
        <v>0</v>
      </c>
      <c r="P42" s="47">
        <f t="shared" si="20"/>
        <v>0</v>
      </c>
      <c r="Q42" s="47">
        <f t="shared" si="20"/>
        <v>0</v>
      </c>
      <c r="R42" s="47">
        <f t="shared" si="20"/>
        <v>0</v>
      </c>
      <c r="S42" s="47">
        <f t="shared" si="20"/>
        <v>0</v>
      </c>
      <c r="T42" s="47">
        <f t="shared" si="20"/>
        <v>0</v>
      </c>
      <c r="U42" s="47">
        <f t="shared" si="20"/>
        <v>0</v>
      </c>
      <c r="V42" s="47">
        <f t="shared" si="20"/>
        <v>0</v>
      </c>
      <c r="W42" s="47">
        <f t="shared" si="20"/>
        <v>0</v>
      </c>
      <c r="X42" s="47">
        <f t="shared" si="20"/>
        <v>1175</v>
      </c>
      <c r="Y42" s="47">
        <f t="shared" si="20"/>
        <v>11590</v>
      </c>
      <c r="Z42" s="47">
        <f t="shared" si="20"/>
        <v>8705</v>
      </c>
      <c r="AA42" s="47">
        <f t="shared" si="20"/>
        <v>7530</v>
      </c>
      <c r="AB42" s="53" t="s">
        <v>565</v>
      </c>
      <c r="AC42" s="50"/>
    </row>
    <row r="43" customHeight="1" spans="1:29">
      <c r="A43" s="11" t="s">
        <v>568</v>
      </c>
      <c r="B43" s="7" t="s">
        <v>550</v>
      </c>
      <c r="C43" s="12">
        <f>SUM(D43:AA43)</f>
        <v>12296</v>
      </c>
      <c r="D43" s="47">
        <f t="shared" si="17"/>
        <v>0</v>
      </c>
      <c r="E43" s="47">
        <f t="shared" ref="E43:AA43" si="21">E7+E16+E25+E34</f>
        <v>24.91</v>
      </c>
      <c r="F43" s="47">
        <f t="shared" si="21"/>
        <v>270.618</v>
      </c>
      <c r="G43" s="47">
        <f t="shared" si="21"/>
        <v>455.164</v>
      </c>
      <c r="H43" s="47">
        <f t="shared" si="21"/>
        <v>614.8</v>
      </c>
      <c r="I43" s="47">
        <f t="shared" si="21"/>
        <v>614.8</v>
      </c>
      <c r="J43" s="47">
        <f t="shared" si="21"/>
        <v>614.8</v>
      </c>
      <c r="K43" s="47">
        <f t="shared" si="21"/>
        <v>614.8</v>
      </c>
      <c r="L43" s="47">
        <f t="shared" si="21"/>
        <v>614.8</v>
      </c>
      <c r="M43" s="47">
        <f t="shared" si="21"/>
        <v>614.8</v>
      </c>
      <c r="N43" s="47">
        <f t="shared" si="21"/>
        <v>614.8</v>
      </c>
      <c r="O43" s="47">
        <f t="shared" si="21"/>
        <v>614.8</v>
      </c>
      <c r="P43" s="47">
        <f t="shared" si="21"/>
        <v>614.8</v>
      </c>
      <c r="Q43" s="47">
        <f t="shared" si="21"/>
        <v>614.8</v>
      </c>
      <c r="R43" s="47">
        <f t="shared" si="21"/>
        <v>614.8</v>
      </c>
      <c r="S43" s="47">
        <f t="shared" si="21"/>
        <v>614.8</v>
      </c>
      <c r="T43" s="47">
        <f t="shared" si="21"/>
        <v>614.8</v>
      </c>
      <c r="U43" s="47">
        <f t="shared" si="21"/>
        <v>614.8</v>
      </c>
      <c r="V43" s="47">
        <f t="shared" si="21"/>
        <v>614.8</v>
      </c>
      <c r="W43" s="47">
        <f t="shared" si="21"/>
        <v>614.8</v>
      </c>
      <c r="X43" s="47">
        <f t="shared" si="21"/>
        <v>614.8</v>
      </c>
      <c r="Y43" s="47">
        <f t="shared" si="21"/>
        <v>589.89</v>
      </c>
      <c r="Z43" s="47">
        <f t="shared" si="21"/>
        <v>344.182</v>
      </c>
      <c r="AA43" s="47">
        <f t="shared" si="21"/>
        <v>159.636</v>
      </c>
      <c r="AB43" s="53" t="s">
        <v>565</v>
      </c>
      <c r="AC43" s="50"/>
    </row>
    <row r="44" customHeight="1" spans="1:29">
      <c r="A44" s="11" t="s">
        <v>569</v>
      </c>
      <c r="B44" s="7" t="s">
        <v>552</v>
      </c>
      <c r="C44" s="12" t="s">
        <v>163</v>
      </c>
      <c r="D44" s="47">
        <f t="shared" si="17"/>
        <v>1175</v>
      </c>
      <c r="E44" s="47">
        <f t="shared" ref="E44:AA44" si="22">E8+E17+E26+E35</f>
        <v>12765</v>
      </c>
      <c r="F44" s="47">
        <f t="shared" si="22"/>
        <v>21470</v>
      </c>
      <c r="G44" s="47">
        <f t="shared" si="22"/>
        <v>29000</v>
      </c>
      <c r="H44" s="47">
        <f t="shared" si="22"/>
        <v>29000</v>
      </c>
      <c r="I44" s="47">
        <f t="shared" si="22"/>
        <v>29000</v>
      </c>
      <c r="J44" s="47">
        <f t="shared" si="22"/>
        <v>29000</v>
      </c>
      <c r="K44" s="47">
        <f t="shared" si="22"/>
        <v>29000</v>
      </c>
      <c r="L44" s="47">
        <f t="shared" si="22"/>
        <v>29000</v>
      </c>
      <c r="M44" s="47">
        <f t="shared" si="22"/>
        <v>29000</v>
      </c>
      <c r="N44" s="47">
        <f t="shared" si="22"/>
        <v>29000</v>
      </c>
      <c r="O44" s="47">
        <f t="shared" si="22"/>
        <v>29000</v>
      </c>
      <c r="P44" s="47">
        <f t="shared" si="22"/>
        <v>29000</v>
      </c>
      <c r="Q44" s="47">
        <f t="shared" si="22"/>
        <v>29000</v>
      </c>
      <c r="R44" s="47">
        <f t="shared" si="22"/>
        <v>29000</v>
      </c>
      <c r="S44" s="47">
        <f t="shared" si="22"/>
        <v>29000</v>
      </c>
      <c r="T44" s="47">
        <f t="shared" si="22"/>
        <v>29000</v>
      </c>
      <c r="U44" s="47">
        <f t="shared" si="22"/>
        <v>29000</v>
      </c>
      <c r="V44" s="47">
        <f t="shared" si="22"/>
        <v>29000</v>
      </c>
      <c r="W44" s="47">
        <f t="shared" si="22"/>
        <v>29000</v>
      </c>
      <c r="X44" s="47">
        <f t="shared" si="22"/>
        <v>27825</v>
      </c>
      <c r="Y44" s="47">
        <f t="shared" si="22"/>
        <v>16235</v>
      </c>
      <c r="Z44" s="47">
        <f t="shared" si="22"/>
        <v>7530</v>
      </c>
      <c r="AA44" s="47">
        <f t="shared" si="22"/>
        <v>0</v>
      </c>
      <c r="AB44" s="53" t="s">
        <v>565</v>
      </c>
      <c r="AC44" s="50"/>
    </row>
    <row r="45" customHeight="1" spans="1:29">
      <c r="A45" s="11" t="s">
        <v>570</v>
      </c>
      <c r="B45" s="7" t="s">
        <v>553</v>
      </c>
      <c r="C45" s="48">
        <f>SUM(D45:AA45)</f>
        <v>2.0648</v>
      </c>
      <c r="D45" s="47">
        <f t="shared" si="17"/>
        <v>0</v>
      </c>
      <c r="E45" s="47">
        <f t="shared" ref="E45:AA45" si="23">E9+E18+E27+E36</f>
        <v>0.0012455</v>
      </c>
      <c r="F45" s="47">
        <f t="shared" si="23"/>
        <v>0.0135309</v>
      </c>
      <c r="G45" s="47">
        <f t="shared" si="23"/>
        <v>0.0227582</v>
      </c>
      <c r="H45" s="47">
        <f t="shared" si="23"/>
        <v>0.03074</v>
      </c>
      <c r="I45" s="47">
        <f t="shared" si="23"/>
        <v>0.03074</v>
      </c>
      <c r="J45" s="47">
        <f t="shared" si="23"/>
        <v>0.03074</v>
      </c>
      <c r="K45" s="47">
        <f t="shared" si="23"/>
        <v>0.03074</v>
      </c>
      <c r="L45" s="47">
        <f t="shared" si="23"/>
        <v>0.03074</v>
      </c>
      <c r="M45" s="47">
        <f t="shared" si="23"/>
        <v>0.03074</v>
      </c>
      <c r="N45" s="47">
        <f t="shared" si="23"/>
        <v>0.03074</v>
      </c>
      <c r="O45" s="47">
        <f t="shared" si="23"/>
        <v>0.03074</v>
      </c>
      <c r="P45" s="47">
        <f t="shared" si="23"/>
        <v>0.03074</v>
      </c>
      <c r="Q45" s="47">
        <f t="shared" si="23"/>
        <v>0.03074</v>
      </c>
      <c r="R45" s="47">
        <f t="shared" si="23"/>
        <v>0.03074</v>
      </c>
      <c r="S45" s="47">
        <f t="shared" si="23"/>
        <v>0.03074</v>
      </c>
      <c r="T45" s="47">
        <f t="shared" si="23"/>
        <v>0.03074</v>
      </c>
      <c r="U45" s="47">
        <f t="shared" si="23"/>
        <v>0.03074</v>
      </c>
      <c r="V45" s="47">
        <f t="shared" si="23"/>
        <v>0.03074</v>
      </c>
      <c r="W45" s="47">
        <f t="shared" si="23"/>
        <v>0.03074</v>
      </c>
      <c r="X45" s="47">
        <f t="shared" si="23"/>
        <v>0.08949</v>
      </c>
      <c r="Y45" s="47">
        <f t="shared" si="23"/>
        <v>0.6089945</v>
      </c>
      <c r="Z45" s="47">
        <f t="shared" si="23"/>
        <v>0.4524591</v>
      </c>
      <c r="AA45" s="47">
        <f t="shared" si="23"/>
        <v>0.3844818</v>
      </c>
      <c r="AB45" s="53" t="s">
        <v>565</v>
      </c>
      <c r="AC45" s="50"/>
    </row>
    <row r="46" ht="27.6" customHeight="1" spans="1:29">
      <c r="A46" s="11" t="s">
        <v>571</v>
      </c>
      <c r="B46" s="7" t="s">
        <v>554</v>
      </c>
      <c r="C46" s="48">
        <f>SUM(D46:AA46)</f>
        <v>25.056</v>
      </c>
      <c r="D46" s="47">
        <f t="shared" si="17"/>
        <v>1.0152</v>
      </c>
      <c r="E46" s="47">
        <f t="shared" ref="E46:AA46" si="24">E10+E19+E28+E37</f>
        <v>10.01376</v>
      </c>
      <c r="F46" s="47">
        <f t="shared" si="24"/>
        <v>7.52112</v>
      </c>
      <c r="G46" s="47">
        <f t="shared" si="24"/>
        <v>6.50592</v>
      </c>
      <c r="H46" s="47">
        <f t="shared" si="24"/>
        <v>0</v>
      </c>
      <c r="I46" s="47">
        <f t="shared" si="24"/>
        <v>0</v>
      </c>
      <c r="J46" s="47">
        <f t="shared" si="24"/>
        <v>0</v>
      </c>
      <c r="K46" s="47">
        <f t="shared" si="24"/>
        <v>0</v>
      </c>
      <c r="L46" s="47">
        <f t="shared" si="24"/>
        <v>0</v>
      </c>
      <c r="M46" s="47">
        <f t="shared" si="24"/>
        <v>0</v>
      </c>
      <c r="N46" s="47">
        <f t="shared" si="24"/>
        <v>0</v>
      </c>
      <c r="O46" s="47">
        <f t="shared" si="24"/>
        <v>0</v>
      </c>
      <c r="P46" s="47">
        <f t="shared" si="24"/>
        <v>0</v>
      </c>
      <c r="Q46" s="47">
        <f t="shared" si="24"/>
        <v>0</v>
      </c>
      <c r="R46" s="47">
        <f t="shared" si="24"/>
        <v>0</v>
      </c>
      <c r="S46" s="47">
        <f t="shared" si="24"/>
        <v>0</v>
      </c>
      <c r="T46" s="47">
        <f t="shared" si="24"/>
        <v>0</v>
      </c>
      <c r="U46" s="47">
        <f t="shared" si="24"/>
        <v>0</v>
      </c>
      <c r="V46" s="47">
        <f t="shared" si="24"/>
        <v>0</v>
      </c>
      <c r="W46" s="47">
        <f t="shared" si="24"/>
        <v>0</v>
      </c>
      <c r="X46" s="47">
        <f t="shared" si="24"/>
        <v>0</v>
      </c>
      <c r="Y46" s="47">
        <f t="shared" si="24"/>
        <v>0</v>
      </c>
      <c r="Z46" s="47">
        <f t="shared" si="24"/>
        <v>0</v>
      </c>
      <c r="AA46" s="47">
        <f t="shared" si="24"/>
        <v>0</v>
      </c>
      <c r="AB46" s="53" t="s">
        <v>565</v>
      </c>
      <c r="AC46" s="50"/>
    </row>
    <row r="47" ht="27.6" customHeight="1" spans="1:29">
      <c r="A47" s="11" t="s">
        <v>572</v>
      </c>
      <c r="B47" s="7" t="s">
        <v>556</v>
      </c>
      <c r="C47" s="12">
        <f>SUM(D47:G47)</f>
        <v>955.625333333333</v>
      </c>
      <c r="D47" s="47">
        <f t="shared" si="17"/>
        <v>8.30333333333333</v>
      </c>
      <c r="E47" s="47">
        <f t="shared" ref="E47:AA47" si="25">E11+E20+E29+E38</f>
        <v>106.812666666667</v>
      </c>
      <c r="F47" s="47">
        <f t="shared" si="25"/>
        <v>332.133333333333</v>
      </c>
      <c r="G47" s="47">
        <f t="shared" si="25"/>
        <v>508.376</v>
      </c>
      <c r="H47" s="47">
        <f t="shared" si="25"/>
        <v>614.8</v>
      </c>
      <c r="I47" s="47">
        <f t="shared" si="25"/>
        <v>614.8</v>
      </c>
      <c r="J47" s="47">
        <f t="shared" si="25"/>
        <v>614.8</v>
      </c>
      <c r="K47" s="47">
        <f t="shared" si="25"/>
        <v>614.8</v>
      </c>
      <c r="L47" s="47">
        <f t="shared" si="25"/>
        <v>614.8</v>
      </c>
      <c r="M47" s="47">
        <f t="shared" si="25"/>
        <v>614.8</v>
      </c>
      <c r="N47" s="47">
        <f t="shared" si="25"/>
        <v>614.8</v>
      </c>
      <c r="O47" s="47">
        <f t="shared" si="25"/>
        <v>614.8</v>
      </c>
      <c r="P47" s="47">
        <f t="shared" si="25"/>
        <v>614.8</v>
      </c>
      <c r="Q47" s="47">
        <f t="shared" si="25"/>
        <v>614.8</v>
      </c>
      <c r="R47" s="47">
        <f t="shared" si="25"/>
        <v>614.8</v>
      </c>
      <c r="S47" s="47">
        <f t="shared" si="25"/>
        <v>614.8</v>
      </c>
      <c r="T47" s="47">
        <f t="shared" si="25"/>
        <v>614.8</v>
      </c>
      <c r="U47" s="47">
        <f t="shared" si="25"/>
        <v>614.8</v>
      </c>
      <c r="V47" s="47">
        <f t="shared" si="25"/>
        <v>614.8</v>
      </c>
      <c r="W47" s="47">
        <f t="shared" si="25"/>
        <v>614.8</v>
      </c>
      <c r="X47" s="47">
        <f t="shared" si="25"/>
        <v>606.496666666667</v>
      </c>
      <c r="Y47" s="47">
        <f t="shared" si="25"/>
        <v>507.987333333333</v>
      </c>
      <c r="Z47" s="47">
        <f t="shared" si="25"/>
        <v>282.666666666667</v>
      </c>
      <c r="AA47" s="47">
        <f t="shared" si="25"/>
        <v>106.424</v>
      </c>
      <c r="AB47" s="53" t="s">
        <v>573</v>
      </c>
      <c r="AC47" s="50"/>
    </row>
    <row r="48" customHeight="1" spans="1:29">
      <c r="A48" s="7" t="s">
        <v>574</v>
      </c>
      <c r="B48" s="42" t="s">
        <v>575</v>
      </c>
      <c r="C48" s="27"/>
      <c r="D48" s="27" t="str">
        <f>IF(D43&lt;&gt;0,'b利润与利润分配表（损益和利润分配表）'!D25/D43,"")</f>
        <v/>
      </c>
      <c r="E48" s="27">
        <f>IF(E43&lt;&gt;0,'b利润与利润分配表（损益和利润分配表）'!E25/E43,"")</f>
        <v>4.68994085374013</v>
      </c>
      <c r="F48" s="27">
        <f>IF(F43&lt;&gt;0,'b利润与利润分配表（损益和利润分配表）'!F25/F43,"")</f>
        <v>0.29977129477074</v>
      </c>
      <c r="G48" s="27">
        <f>IF(G43&lt;&gt;0,'b利润与利润分配表（损益和利润分配表）'!G25/G43,"")</f>
        <v>3.04455051405793</v>
      </c>
      <c r="H48" s="27">
        <f>IF(H43&lt;&gt;0,'b利润与利润分配表（损益和利润分配表）'!H25/H43,"")</f>
        <v>1.89759890414264</v>
      </c>
      <c r="I48" s="27" t="e">
        <f>IF(I43&lt;&gt;0,'b利润与利润分配表（损益和利润分配表）'!#REF!/I43,"")</f>
        <v>#REF!</v>
      </c>
      <c r="J48" s="27" t="e">
        <f>IF(J43&lt;&gt;0,'b利润与利润分配表（损益和利润分配表）'!#REF!/J43,"")</f>
        <v>#REF!</v>
      </c>
      <c r="K48" s="27" t="e">
        <f>IF(K43&lt;&gt;0,'b利润与利润分配表（损益和利润分配表）'!#REF!/K43,"")</f>
        <v>#REF!</v>
      </c>
      <c r="L48" s="27" t="e">
        <f>IF(L43&lt;&gt;0,'b利润与利润分配表（损益和利润分配表）'!#REF!/L43,"")</f>
        <v>#REF!</v>
      </c>
      <c r="M48" s="27" t="e">
        <f>IF(M43&lt;&gt;0,'b利润与利润分配表（损益和利润分配表）'!#REF!/M43,"")</f>
        <v>#REF!</v>
      </c>
      <c r="N48" s="27" t="e">
        <f>IF(N43&lt;&gt;0,'b利润与利润分配表（损益和利润分配表）'!#REF!/N43,"")</f>
        <v>#REF!</v>
      </c>
      <c r="O48" s="27" t="e">
        <f>IF(O43&lt;&gt;0,'b利润与利润分配表（损益和利润分配表）'!#REF!/O43,"")</f>
        <v>#REF!</v>
      </c>
      <c r="P48" s="27" t="e">
        <f>IF(P43&lt;&gt;0,'b利润与利润分配表（损益和利润分配表）'!#REF!/P43,"")</f>
        <v>#REF!</v>
      </c>
      <c r="Q48" s="27" t="e">
        <f>IF(Q43&lt;&gt;0,'b利润与利润分配表（损益和利润分配表）'!#REF!/Q43,"")</f>
        <v>#REF!</v>
      </c>
      <c r="R48" s="27" t="e">
        <f>IF(R43&lt;&gt;0,'b利润与利润分配表（损益和利润分配表）'!#REF!/R43,"")</f>
        <v>#REF!</v>
      </c>
      <c r="S48" s="27" t="e">
        <f>IF(S43&lt;&gt;0,'b利润与利润分配表（损益和利润分配表）'!#REF!/S43,"")</f>
        <v>#REF!</v>
      </c>
      <c r="T48" s="27" t="e">
        <f>IF(T43&lt;&gt;0,'b利润与利润分配表（损益和利润分配表）'!#REF!/T43,"")</f>
        <v>#REF!</v>
      </c>
      <c r="U48" s="27" t="e">
        <f>IF(U43&lt;&gt;0,'b利润与利润分配表（损益和利润分配表）'!#REF!/U43,"")</f>
        <v>#REF!</v>
      </c>
      <c r="V48" s="27" t="e">
        <f>IF(V43&lt;&gt;0,'b利润与利润分配表（损益和利润分配表）'!#REF!/V43,"")</f>
        <v>#REF!</v>
      </c>
      <c r="W48" s="27" t="e">
        <f>IF(W43&lt;&gt;0,'b利润与利润分配表（损益和利润分配表）'!#REF!/W43,"")</f>
        <v>#REF!</v>
      </c>
      <c r="X48" s="27" t="e">
        <f>IF(X43&lt;&gt;0,'b利润与利润分配表（损益和利润分配表）'!#REF!/X43,"")</f>
        <v>#REF!</v>
      </c>
      <c r="Y48" s="27" t="e">
        <f>IF(Y43&lt;&gt;0,'b利润与利润分配表（损益和利润分配表）'!#REF!/Y43,"")</f>
        <v>#REF!</v>
      </c>
      <c r="Z48" s="27" t="e">
        <f>IF(Z43&lt;&gt;0,'b利润与利润分配表（损益和利润分配表）'!#REF!/Z43,"")</f>
        <v>#REF!</v>
      </c>
      <c r="AA48" s="27" t="e">
        <f>IF(AA43&lt;&gt;0,'b利润与利润分配表（损益和利润分配表）'!#REF!/AA43,"")</f>
        <v>#REF!</v>
      </c>
      <c r="AB48" s="50"/>
      <c r="AC48" s="50"/>
    </row>
    <row r="49" customHeight="1" spans="1:29">
      <c r="A49" s="7"/>
      <c r="B49" s="42" t="s">
        <v>576</v>
      </c>
      <c r="C49" s="27"/>
      <c r="D49" s="27" t="str">
        <f>IF(D41&lt;&gt;0,('b利润与利润分配表（损益和利润分配表）'!D26-'b利润与利润分配表（损益和利润分配表）'!D11)/D41,"")</f>
        <v/>
      </c>
      <c r="E49" s="27">
        <f>IF(E41&lt;&gt;0,('b利润与利润分配表（损益和利润分配表）'!E26-'b利润与利润分配表（损益和利润分配表）'!E11)/E41,"")</f>
        <v>4.68994085374013</v>
      </c>
      <c r="F49" s="27">
        <f>IF(F41&lt;&gt;0,('b利润与利润分配表（损益和利润分配表）'!F26-'b利润与利润分配表（损益和利润分配表）'!F11)/F41,"")</f>
        <v>2.32798520726891</v>
      </c>
      <c r="G49" s="27">
        <f>IF(G41&lt;&gt;0,('b利润与利润分配表（损益和利润分配表）'!G26-'b利润与利润分配表（损益和利润分配表）'!G11)/G41,"")</f>
        <v>3.91408756289863</v>
      </c>
      <c r="H49" s="27">
        <f>IF(H41&lt;&gt;0,('b利润与利润分配表（损益和利润分配表）'!H26-'b利润与利润分配表（损益和利润分配表）'!H11)/H41,"")</f>
        <v>3.67826699924305</v>
      </c>
      <c r="I49" s="27" t="e">
        <f>IF(I41&lt;&gt;0,('b利润与利润分配表（损益和利润分配表）'!#REF!-'b利润与利润分配表（损益和利润分配表）'!#REF!)/I41,"")</f>
        <v>#REF!</v>
      </c>
      <c r="J49" s="27" t="e">
        <f>IF(J41&lt;&gt;0,('b利润与利润分配表（损益和利润分配表）'!#REF!-'b利润与利润分配表（损益和利润分配表）'!#REF!)/J41,"")</f>
        <v>#REF!</v>
      </c>
      <c r="K49" s="27" t="e">
        <f>IF(K41&lt;&gt;0,('b利润与利润分配表（损益和利润分配表）'!#REF!-'b利润与利润分配表（损益和利润分配表）'!#REF!)/K41,"")</f>
        <v>#REF!</v>
      </c>
      <c r="L49" s="27" t="e">
        <f>IF(L41&lt;&gt;0,('b利润与利润分配表（损益和利润分配表）'!#REF!-'b利润与利润分配表（损益和利润分配表）'!#REF!)/L41,"")</f>
        <v>#REF!</v>
      </c>
      <c r="M49" s="27" t="e">
        <f>IF(M41&lt;&gt;0,('b利润与利润分配表（损益和利润分配表）'!#REF!-'b利润与利润分配表（损益和利润分配表）'!#REF!)/M41,"")</f>
        <v>#REF!</v>
      </c>
      <c r="N49" s="27" t="e">
        <f>IF(N41&lt;&gt;0,('b利润与利润分配表（损益和利润分配表）'!#REF!-'b利润与利润分配表（损益和利润分配表）'!#REF!)/N41,"")</f>
        <v>#REF!</v>
      </c>
      <c r="O49" s="27" t="e">
        <f>IF(O41&lt;&gt;0,('b利润与利润分配表（损益和利润分配表）'!#REF!-'b利润与利润分配表（损益和利润分配表）'!#REF!)/O41,"")</f>
        <v>#REF!</v>
      </c>
      <c r="P49" s="27" t="e">
        <f>IF(P41&lt;&gt;0,('b利润与利润分配表（损益和利润分配表）'!#REF!-'b利润与利润分配表（损益和利润分配表）'!#REF!)/P41,"")</f>
        <v>#REF!</v>
      </c>
      <c r="Q49" s="27" t="e">
        <f>IF(Q41&lt;&gt;0,('b利润与利润分配表（损益和利润分配表）'!#REF!-'b利润与利润分配表（损益和利润分配表）'!#REF!)/Q41,"")</f>
        <v>#REF!</v>
      </c>
      <c r="R49" s="27" t="e">
        <f>IF(R41&lt;&gt;0,('b利润与利润分配表（损益和利润分配表）'!#REF!-'b利润与利润分配表（损益和利润分配表）'!#REF!)/R41,"")</f>
        <v>#REF!</v>
      </c>
      <c r="S49" s="27" t="e">
        <f>IF(S41&lt;&gt;0,('b利润与利润分配表（损益和利润分配表）'!#REF!-'b利润与利润分配表（损益和利润分配表）'!#REF!)/S41,"")</f>
        <v>#REF!</v>
      </c>
      <c r="T49" s="27" t="e">
        <f>IF(T41&lt;&gt;0,('b利润与利润分配表（损益和利润分配表）'!#REF!-'b利润与利润分配表（损益和利润分配表）'!#REF!)/T41,"")</f>
        <v>#REF!</v>
      </c>
      <c r="U49" s="27" t="e">
        <f>IF(U41&lt;&gt;0,('b利润与利润分配表（损益和利润分配表）'!#REF!-'b利润与利润分配表（损益和利润分配表）'!#REF!)/U41,"")</f>
        <v>#REF!</v>
      </c>
      <c r="V49" s="27" t="e">
        <f>IF(V41&lt;&gt;0,('b利润与利润分配表（损益和利润分配表）'!#REF!-'b利润与利润分配表（损益和利润分配表）'!#REF!)/V41,"")</f>
        <v>#REF!</v>
      </c>
      <c r="W49" s="27" t="e">
        <f>IF(W41&lt;&gt;0,('b利润与利润分配表（损益和利润分配表）'!#REF!-'b利润与利润分配表（损益和利润分配表）'!#REF!)/W41,"")</f>
        <v>#REF!</v>
      </c>
      <c r="X49" s="27" t="e">
        <f>IF(X41&lt;&gt;0,('b利润与利润分配表（损益和利润分配表）'!#REF!-'b利润与利润分配表（损益和利润分配表）'!#REF!)/X41,"")</f>
        <v>#REF!</v>
      </c>
      <c r="Y49" s="27" t="e">
        <f>IF(Y41&lt;&gt;0,('b利润与利润分配表（损益和利润分配表）'!#REF!-'b利润与利润分配表（损益和利润分配表）'!#REF!)/Y41,"")</f>
        <v>#REF!</v>
      </c>
      <c r="Z49" s="27" t="e">
        <f>IF(Z41&lt;&gt;0,('b利润与利润分配表（损益和利润分配表）'!#REF!-'b利润与利润分配表（损益和利润分配表）'!#REF!)/Z41,"")</f>
        <v>#REF!</v>
      </c>
      <c r="AA49" s="27" t="e">
        <f>IF(AA41&lt;&gt;0,('b利润与利润分配表（损益和利润分配表）'!#REF!-'b利润与利润分配表（损益和利润分配表）'!#REF!)/AA41,"")</f>
        <v>#REF!</v>
      </c>
      <c r="AB49" s="50"/>
      <c r="AC49" s="50"/>
    </row>
    <row r="50" customHeight="1" spans="1:29">
      <c r="A50" s="50"/>
      <c r="B50" s="50"/>
      <c r="C50" s="50"/>
      <c r="D50" s="50"/>
      <c r="E50" s="50"/>
      <c r="F50" s="50"/>
      <c r="G50" s="50"/>
      <c r="H50" s="50"/>
      <c r="I50" s="50"/>
      <c r="J50" s="50"/>
      <c r="K50" s="50"/>
      <c r="L50" s="50"/>
      <c r="M50" s="50"/>
      <c r="N50" s="50"/>
      <c r="O50" s="50"/>
      <c r="P50" s="50"/>
      <c r="Q50" s="50"/>
      <c r="R50" s="50"/>
      <c r="S50" s="50"/>
      <c r="T50" s="50"/>
      <c r="U50" s="50"/>
      <c r="V50" s="50"/>
      <c r="W50" s="50"/>
      <c r="X50" s="50"/>
      <c r="Y50" s="50"/>
      <c r="Z50" s="50"/>
      <c r="AA50" s="50"/>
      <c r="AB50" s="50"/>
      <c r="AC50" s="50"/>
    </row>
    <row r="51" customHeight="1" spans="1:29">
      <c r="A51" s="50"/>
      <c r="B51" s="50"/>
      <c r="C51" s="50"/>
      <c r="D51" s="51"/>
      <c r="E51" s="51"/>
      <c r="F51" s="51"/>
      <c r="G51" s="51"/>
      <c r="H51" s="50"/>
      <c r="I51" s="50"/>
      <c r="J51" s="50"/>
      <c r="K51" s="50"/>
      <c r="L51" s="50"/>
      <c r="M51" s="50"/>
      <c r="N51" s="50"/>
      <c r="O51" s="50"/>
      <c r="P51" s="50"/>
      <c r="Q51" s="50"/>
      <c r="R51" s="50"/>
      <c r="S51" s="50"/>
      <c r="T51" s="50"/>
      <c r="U51" s="50"/>
      <c r="V51" s="50"/>
      <c r="W51" s="50"/>
      <c r="X51" s="50"/>
      <c r="Y51" s="50"/>
      <c r="Z51" s="50"/>
      <c r="AA51" s="50"/>
      <c r="AB51" s="50"/>
      <c r="AC51" s="50"/>
    </row>
    <row r="52" customHeight="1" spans="1:29">
      <c r="A52" s="50"/>
      <c r="B52" s="50"/>
      <c r="C52" s="50"/>
      <c r="D52" s="51"/>
      <c r="E52" s="50"/>
      <c r="F52" s="50"/>
      <c r="G52" s="50"/>
      <c r="H52" s="50"/>
      <c r="I52" s="50"/>
      <c r="J52" s="50"/>
      <c r="K52" s="50"/>
      <c r="L52" s="50"/>
      <c r="M52" s="50"/>
      <c r="N52" s="50"/>
      <c r="O52" s="50"/>
      <c r="P52" s="50"/>
      <c r="Q52" s="50"/>
      <c r="R52" s="50"/>
      <c r="S52" s="50"/>
      <c r="T52" s="50"/>
      <c r="U52" s="50"/>
      <c r="V52" s="50"/>
      <c r="W52" s="50"/>
      <c r="X52" s="50"/>
      <c r="Y52" s="50"/>
      <c r="Z52" s="50"/>
      <c r="AA52" s="50"/>
      <c r="AB52" s="50"/>
      <c r="AC52" s="50"/>
    </row>
    <row r="53" customHeight="1" spans="1:29">
      <c r="A53" s="50"/>
      <c r="B53" s="50"/>
      <c r="C53" s="50"/>
      <c r="D53" s="51"/>
      <c r="E53" s="50"/>
      <c r="F53" s="50"/>
      <c r="G53" s="50"/>
      <c r="H53" s="50"/>
      <c r="I53" s="50"/>
      <c r="J53" s="50"/>
      <c r="K53" s="50"/>
      <c r="L53" s="50"/>
      <c r="M53" s="50"/>
      <c r="N53" s="50"/>
      <c r="O53" s="50"/>
      <c r="P53" s="50"/>
      <c r="Q53" s="50"/>
      <c r="R53" s="50"/>
      <c r="S53" s="50"/>
      <c r="T53" s="50"/>
      <c r="U53" s="50"/>
      <c r="V53" s="50"/>
      <c r="W53" s="50"/>
      <c r="X53" s="50"/>
      <c r="Y53" s="50"/>
      <c r="Z53" s="50"/>
      <c r="AA53" s="50"/>
      <c r="AB53" s="50"/>
      <c r="AC53" s="50"/>
    </row>
    <row r="54" customHeight="1" spans="1:29">
      <c r="A54" s="50"/>
      <c r="B54" s="50"/>
      <c r="C54" s="50"/>
      <c r="D54" s="50"/>
      <c r="E54" s="50"/>
      <c r="F54" s="50"/>
      <c r="G54" s="50"/>
      <c r="H54" s="50"/>
      <c r="I54" s="50"/>
      <c r="J54" s="50"/>
      <c r="K54" s="50"/>
      <c r="L54" s="50"/>
      <c r="M54" s="50"/>
      <c r="N54" s="50"/>
      <c r="O54" s="50"/>
      <c r="P54" s="50"/>
      <c r="Q54" s="50"/>
      <c r="R54" s="50"/>
      <c r="S54" s="50"/>
      <c r="T54" s="50"/>
      <c r="U54" s="50"/>
      <c r="V54" s="50"/>
      <c r="W54" s="50"/>
      <c r="X54" s="50"/>
      <c r="Y54" s="50"/>
      <c r="Z54" s="50"/>
      <c r="AA54" s="50"/>
      <c r="AB54" s="50"/>
      <c r="AC54" s="50"/>
    </row>
    <row r="55" customHeight="1" spans="1:29">
      <c r="A55" s="50"/>
      <c r="B55" s="50"/>
      <c r="C55" s="50"/>
      <c r="D55" s="50"/>
      <c r="E55" s="50"/>
      <c r="F55" s="50"/>
      <c r="G55" s="50"/>
      <c r="H55" s="50"/>
      <c r="I55" s="50"/>
      <c r="J55" s="50"/>
      <c r="K55" s="50"/>
      <c r="L55" s="50"/>
      <c r="M55" s="50"/>
      <c r="N55" s="50"/>
      <c r="O55" s="50"/>
      <c r="P55" s="50"/>
      <c r="Q55" s="50"/>
      <c r="R55" s="50"/>
      <c r="S55" s="50"/>
      <c r="T55" s="50"/>
      <c r="U55" s="50"/>
      <c r="V55" s="50"/>
      <c r="W55" s="50"/>
      <c r="X55" s="50"/>
      <c r="Y55" s="50"/>
      <c r="Z55" s="50"/>
      <c r="AA55" s="50"/>
      <c r="AB55" s="50"/>
      <c r="AC55" s="50"/>
    </row>
  </sheetData>
  <mergeCells count="6">
    <mergeCell ref="A1:AA1"/>
    <mergeCell ref="C3:AA3"/>
    <mergeCell ref="C12:AA12"/>
    <mergeCell ref="C21:AA21"/>
    <mergeCell ref="C30:AA30"/>
    <mergeCell ref="A48:A49"/>
  </mergeCells>
  <pageMargins left="0.75" right="0.75" top="1" bottom="1" header="0.5" footer="0.5"/>
  <headerFooter/>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4">
    <tabColor rgb="FFFFC000"/>
  </sheetPr>
  <dimension ref="A1:H31"/>
  <sheetViews>
    <sheetView zoomScale="70" zoomScaleNormal="70" workbookViewId="0">
      <pane xSplit="3" ySplit="2" topLeftCell="D3" activePane="bottomRight" state="frozen"/>
      <selection/>
      <selection pane="topRight"/>
      <selection pane="bottomLeft"/>
      <selection pane="bottomRight" activeCell="N16" sqref="N16"/>
    </sheetView>
  </sheetViews>
  <sheetFormatPr defaultColWidth="8.89090909090909" defaultRowHeight="28.05" customHeight="1" outlineLevelCol="7"/>
  <cols>
    <col min="1" max="1" width="6.66363636363636" customWidth="1"/>
    <col min="2" max="2" width="21.5545454545455" customWidth="1"/>
    <col min="3" max="3" width="13" customWidth="1"/>
    <col min="4" max="4" width="11.5545454545455" customWidth="1"/>
    <col min="5" max="5" width="13" customWidth="1"/>
    <col min="6" max="8" width="11.8909090909091" customWidth="1"/>
  </cols>
  <sheetData>
    <row r="1" customHeight="1" spans="1:8">
      <c r="A1" s="38" t="s">
        <v>577</v>
      </c>
      <c r="B1" s="38"/>
      <c r="C1" s="38"/>
      <c r="D1" s="38"/>
      <c r="E1" s="38"/>
      <c r="F1" s="38"/>
      <c r="G1" s="38"/>
      <c r="H1" s="38"/>
    </row>
    <row r="2" customHeight="1" spans="1:8">
      <c r="A2" s="2" t="s">
        <v>1</v>
      </c>
      <c r="B2" s="2" t="s">
        <v>187</v>
      </c>
      <c r="C2" s="2" t="s">
        <v>80</v>
      </c>
      <c r="D2" s="34">
        <v>2025</v>
      </c>
      <c r="E2" s="34">
        <v>2026</v>
      </c>
      <c r="F2" s="34">
        <v>2027</v>
      </c>
      <c r="G2" s="34">
        <v>2028</v>
      </c>
      <c r="H2" s="34">
        <v>2029</v>
      </c>
    </row>
    <row r="3" customHeight="1" spans="1:8">
      <c r="A3" s="7">
        <v>1</v>
      </c>
      <c r="B3" s="7" t="s">
        <v>578</v>
      </c>
      <c r="C3" s="12">
        <f t="shared" ref="C3:C30" si="0">SUM(D3:H3)</f>
        <v>3833.75871150655</v>
      </c>
      <c r="D3" s="12">
        <f t="shared" ref="D3" si="1">D4-D9</f>
        <v>0</v>
      </c>
      <c r="E3" s="12">
        <f t="shared" ref="E3:H3" si="2">E4-E9</f>
        <v>0</v>
      </c>
      <c r="F3" s="12">
        <f t="shared" si="2"/>
        <v>267.339943396226</v>
      </c>
      <c r="G3" s="12">
        <f t="shared" si="2"/>
        <v>1265.2740859978</v>
      </c>
      <c r="H3" s="12">
        <f t="shared" si="2"/>
        <v>2301.14468211252</v>
      </c>
    </row>
    <row r="4" customHeight="1" spans="1:8">
      <c r="A4" s="7">
        <v>1.1</v>
      </c>
      <c r="B4" s="7" t="s">
        <v>476</v>
      </c>
      <c r="C4" s="12">
        <f t="shared" si="0"/>
        <v>6141.46120754717</v>
      </c>
      <c r="D4" s="12">
        <f t="shared" ref="D4" si="3">SUM(D5:D8)</f>
        <v>0</v>
      </c>
      <c r="E4" s="12">
        <f t="shared" ref="E4:H4" si="4">SUM(E5:E8)</f>
        <v>0</v>
      </c>
      <c r="F4" s="12">
        <f t="shared" si="4"/>
        <v>828.914943396226</v>
      </c>
      <c r="G4" s="12">
        <f t="shared" si="4"/>
        <v>2140.4860754717</v>
      </c>
      <c r="H4" s="12">
        <f t="shared" si="4"/>
        <v>3172.06018867925</v>
      </c>
    </row>
    <row r="5" customHeight="1" spans="1:8">
      <c r="A5" s="7" t="s">
        <v>347</v>
      </c>
      <c r="B5" s="7" t="s">
        <v>477</v>
      </c>
      <c r="C5" s="12">
        <f t="shared" si="0"/>
        <v>5931.24905660377</v>
      </c>
      <c r="D5" s="41">
        <f>F项目收入!D24</f>
        <v>0</v>
      </c>
      <c r="E5" s="41">
        <f>F项目收入!E24</f>
        <v>0</v>
      </c>
      <c r="F5" s="41">
        <f>F项目收入!F24</f>
        <v>798.758490566038</v>
      </c>
      <c r="G5" s="41">
        <f>F项目收入!G24</f>
        <v>2071.55660377358</v>
      </c>
      <c r="H5" s="41">
        <f>F项目收入!H24</f>
        <v>3060.93396226415</v>
      </c>
    </row>
    <row r="6" customHeight="1" spans="1:8">
      <c r="A6" s="7" t="s">
        <v>349</v>
      </c>
      <c r="B6" s="7" t="s">
        <v>579</v>
      </c>
      <c r="C6" s="12">
        <f t="shared" si="0"/>
        <v>210.212150943396</v>
      </c>
      <c r="D6" s="43">
        <f>G.税金及附加测算表!D25</f>
        <v>0</v>
      </c>
      <c r="E6" s="43">
        <f>G.税金及附加测算表!E25</f>
        <v>0</v>
      </c>
      <c r="F6" s="43">
        <f>G.税金及附加测算表!F25</f>
        <v>30.1564528301887</v>
      </c>
      <c r="G6" s="43">
        <f>G.税金及附加测算表!G25</f>
        <v>68.9294716981132</v>
      </c>
      <c r="H6" s="43">
        <f>G.税金及附加测算表!H25</f>
        <v>111.126226415094</v>
      </c>
    </row>
    <row r="7" customHeight="1" spans="1:8">
      <c r="A7" s="7" t="s">
        <v>352</v>
      </c>
      <c r="B7" s="7" t="s">
        <v>478</v>
      </c>
      <c r="C7" s="12">
        <f t="shared" si="0"/>
        <v>0</v>
      </c>
      <c r="D7" s="41">
        <v>0</v>
      </c>
      <c r="E7" s="41">
        <v>0</v>
      </c>
      <c r="F7" s="41">
        <v>0</v>
      </c>
      <c r="G7" s="41">
        <v>0</v>
      </c>
      <c r="H7" s="41">
        <v>0</v>
      </c>
    </row>
    <row r="8" customHeight="1" spans="1:8">
      <c r="A8" s="7" t="s">
        <v>580</v>
      </c>
      <c r="B8" s="7" t="s">
        <v>581</v>
      </c>
      <c r="C8" s="12">
        <f t="shared" si="0"/>
        <v>0</v>
      </c>
      <c r="D8" s="39">
        <v>0</v>
      </c>
      <c r="E8" s="39">
        <v>0</v>
      </c>
      <c r="F8" s="39">
        <v>0</v>
      </c>
      <c r="G8" s="39">
        <v>0</v>
      </c>
      <c r="H8" s="39">
        <v>0</v>
      </c>
    </row>
    <row r="9" customHeight="1" spans="1:8">
      <c r="A9" s="7">
        <v>1.2</v>
      </c>
      <c r="B9" s="7" t="s">
        <v>481</v>
      </c>
      <c r="C9" s="12">
        <f t="shared" si="0"/>
        <v>2307.70249604062</v>
      </c>
      <c r="D9" s="12">
        <f t="shared" ref="D9" si="5">SUM(D10:D15)</f>
        <v>0</v>
      </c>
      <c r="E9" s="12">
        <f t="shared" ref="E9:H9" si="6">SUM(E10:E15)</f>
        <v>0</v>
      </c>
      <c r="F9" s="12">
        <f t="shared" si="6"/>
        <v>561.575</v>
      </c>
      <c r="G9" s="12">
        <f t="shared" si="6"/>
        <v>875.211989473899</v>
      </c>
      <c r="H9" s="12">
        <f t="shared" si="6"/>
        <v>870.915506566724</v>
      </c>
    </row>
    <row r="10" customHeight="1" spans="1:8">
      <c r="A10" s="7" t="s">
        <v>193</v>
      </c>
      <c r="B10" s="7" t="s">
        <v>482</v>
      </c>
      <c r="C10" s="12">
        <f t="shared" si="0"/>
        <v>1821.79792866196</v>
      </c>
      <c r="D10" s="12">
        <f>E总成本费用估算表!C11</f>
        <v>0</v>
      </c>
      <c r="E10" s="12">
        <f>E总成本费用估算表!D11</f>
        <v>0</v>
      </c>
      <c r="F10" s="12">
        <f>E总成本费用估算表!E11</f>
        <v>508.418243078672</v>
      </c>
      <c r="G10" s="12">
        <f>E总成本费用估算表!F11</f>
        <v>651.797541020492</v>
      </c>
      <c r="H10" s="12">
        <f>E总成本费用估算表!G11</f>
        <v>661.582144562799</v>
      </c>
    </row>
    <row r="11" customHeight="1" spans="1:8">
      <c r="A11" s="7" t="s">
        <v>195</v>
      </c>
      <c r="B11" s="7" t="s">
        <v>582</v>
      </c>
      <c r="C11" s="12">
        <f t="shared" si="0"/>
        <v>194.862069538037</v>
      </c>
      <c r="D11" s="39">
        <f>G.税金及附加测算表!D4</f>
        <v>0</v>
      </c>
      <c r="E11" s="39">
        <f>G.税金及附加测算表!E4</f>
        <v>0</v>
      </c>
      <c r="F11" s="39">
        <f>G.税金及附加测算表!F4</f>
        <v>53.1567569213283</v>
      </c>
      <c r="G11" s="39">
        <f>G.税金及附加测算表!G4</f>
        <v>70.325217179508</v>
      </c>
      <c r="H11" s="39">
        <f>G.税金及附加测算表!H4</f>
        <v>71.3800954372006</v>
      </c>
    </row>
    <row r="12" customHeight="1" spans="1:8">
      <c r="A12" s="7" t="s">
        <v>197</v>
      </c>
      <c r="B12" s="7" t="s">
        <v>483</v>
      </c>
      <c r="C12" s="12">
        <f t="shared" si="0"/>
        <v>0</v>
      </c>
      <c r="D12" s="12">
        <f>G.税金及附加测算表!D30</f>
        <v>0</v>
      </c>
      <c r="E12" s="12">
        <f>G.税金及附加测算表!E30</f>
        <v>0</v>
      </c>
      <c r="F12" s="12">
        <f>G.税金及附加测算表!F30</f>
        <v>0</v>
      </c>
      <c r="G12" s="12">
        <f>G.税金及附加测算表!G30</f>
        <v>0</v>
      </c>
      <c r="H12" s="12">
        <f>G.税金及附加测算表!H30</f>
        <v>0</v>
      </c>
    </row>
    <row r="13" customHeight="1" spans="1:8">
      <c r="A13" s="7" t="s">
        <v>200</v>
      </c>
      <c r="B13" s="7" t="s">
        <v>484</v>
      </c>
      <c r="C13" s="12">
        <f t="shared" si="0"/>
        <v>0</v>
      </c>
      <c r="D13" s="12">
        <f>G.税金及附加测算表!D29</f>
        <v>0</v>
      </c>
      <c r="E13" s="12">
        <f>G.税金及附加测算表!E29</f>
        <v>0</v>
      </c>
      <c r="F13" s="12">
        <f>G.税金及附加测算表!F29</f>
        <v>0</v>
      </c>
      <c r="G13" s="12">
        <f>G.税金及附加测算表!G29</f>
        <v>0</v>
      </c>
      <c r="H13" s="12">
        <f>G.税金及附加测算表!H29</f>
        <v>0</v>
      </c>
    </row>
    <row r="14" customHeight="1" spans="1:8">
      <c r="A14" s="7" t="s">
        <v>583</v>
      </c>
      <c r="B14" s="7" t="s">
        <v>519</v>
      </c>
      <c r="C14" s="12">
        <f t="shared" si="0"/>
        <v>291.042497840623</v>
      </c>
      <c r="D14" s="12">
        <f>'b利润与利润分配表（损益和利润分配表）'!D11</f>
        <v>0</v>
      </c>
      <c r="E14" s="12">
        <f>'b利润与利润分配表（损益和利润分配表）'!E11</f>
        <v>0</v>
      </c>
      <c r="F14" s="12">
        <f>'b利润与利润分配表（损益和利润分配表）'!F11</f>
        <v>0</v>
      </c>
      <c r="G14" s="12">
        <f>'b利润与利润分配表（损益和利润分配表）'!G11</f>
        <v>153.089231273899</v>
      </c>
      <c r="H14" s="12">
        <f>'b利润与利润分配表（损益和利润分配表）'!H11</f>
        <v>137.953266566724</v>
      </c>
    </row>
    <row r="15" customHeight="1" spans="1:8">
      <c r="A15" s="7" t="s">
        <v>584</v>
      </c>
      <c r="B15" s="7" t="s">
        <v>585</v>
      </c>
      <c r="C15" s="12">
        <f t="shared" si="0"/>
        <v>0</v>
      </c>
      <c r="D15" s="39">
        <v>0</v>
      </c>
      <c r="E15" s="39">
        <v>0</v>
      </c>
      <c r="F15" s="39">
        <v>0</v>
      </c>
      <c r="G15" s="39">
        <v>0</v>
      </c>
      <c r="H15" s="39">
        <v>0</v>
      </c>
    </row>
    <row r="16" customHeight="1" spans="1:8">
      <c r="A16" s="7">
        <v>2</v>
      </c>
      <c r="B16" s="7" t="s">
        <v>586</v>
      </c>
      <c r="C16" s="12">
        <f t="shared" si="0"/>
        <v>-12968.7275544616</v>
      </c>
      <c r="D16" s="12">
        <f t="shared" ref="D16" si="7">D17-D18</f>
        <v>-1862.88206098348</v>
      </c>
      <c r="E16" s="12">
        <f t="shared" ref="E16:H16" si="8">E17-E18</f>
        <v>-10556.3316789064</v>
      </c>
      <c r="F16" s="12">
        <f t="shared" si="8"/>
        <v>-534.801238301946</v>
      </c>
      <c r="G16" s="12">
        <f t="shared" si="8"/>
        <v>-11.2518209936768</v>
      </c>
      <c r="H16" s="12">
        <f t="shared" si="8"/>
        <v>-3.46075527611296</v>
      </c>
    </row>
    <row r="17" ht="25.2" customHeight="1" spans="1:8">
      <c r="A17" s="7">
        <v>2.1</v>
      </c>
      <c r="B17" s="36" t="s">
        <v>476</v>
      </c>
      <c r="C17" s="12">
        <f t="shared" si="0"/>
        <v>0</v>
      </c>
      <c r="D17" s="39">
        <v>0</v>
      </c>
      <c r="E17" s="39">
        <v>0</v>
      </c>
      <c r="F17" s="39">
        <v>0</v>
      </c>
      <c r="G17" s="39">
        <v>0</v>
      </c>
      <c r="H17" s="39">
        <v>0</v>
      </c>
    </row>
    <row r="18" customHeight="1" spans="1:8">
      <c r="A18" s="7">
        <v>2.2</v>
      </c>
      <c r="B18" s="7" t="s">
        <v>481</v>
      </c>
      <c r="C18" s="12">
        <f t="shared" si="0"/>
        <v>12968.7275544616</v>
      </c>
      <c r="D18" s="12">
        <f t="shared" ref="D18" si="9">SUM(D19:D22)</f>
        <v>1862.88206098348</v>
      </c>
      <c r="E18" s="12">
        <f t="shared" ref="E18:H18" si="10">SUM(E19:E22)</f>
        <v>10556.3316789064</v>
      </c>
      <c r="F18" s="12">
        <f t="shared" si="10"/>
        <v>534.801238301946</v>
      </c>
      <c r="G18" s="12">
        <f t="shared" si="10"/>
        <v>11.2518209936768</v>
      </c>
      <c r="H18" s="12">
        <f t="shared" si="10"/>
        <v>3.46075527611296</v>
      </c>
    </row>
    <row r="19" customHeight="1" spans="1:8">
      <c r="A19" s="7" t="s">
        <v>158</v>
      </c>
      <c r="B19" s="7" t="s">
        <v>145</v>
      </c>
      <c r="C19" s="12">
        <f t="shared" si="0"/>
        <v>12922.7037553724</v>
      </c>
      <c r="D19" s="12">
        <f>E.4建设投资税后金额表!I17</f>
        <v>1862.88206098348</v>
      </c>
      <c r="E19" s="12">
        <f>E.4建设投资税后金额表!J17</f>
        <v>10556.3316789064</v>
      </c>
      <c r="F19" s="12">
        <f>E.4建设投资税后金额表!L17</f>
        <v>503.490015482537</v>
      </c>
      <c r="G19" s="12">
        <f>E.4建设投资税后金额表!M17</f>
        <v>0</v>
      </c>
      <c r="H19" s="12">
        <f>E.4建设投资税后金额表!N17</f>
        <v>0</v>
      </c>
    </row>
    <row r="20" customHeight="1" spans="1:8">
      <c r="A20" s="7" t="s">
        <v>159</v>
      </c>
      <c r="B20" s="7" t="s">
        <v>485</v>
      </c>
      <c r="C20" s="12">
        <f t="shared" si="0"/>
        <v>0</v>
      </c>
      <c r="D20" s="39">
        <v>0</v>
      </c>
      <c r="E20" s="39">
        <v>0</v>
      </c>
      <c r="F20" s="39">
        <v>0</v>
      </c>
      <c r="G20" s="39">
        <v>0</v>
      </c>
      <c r="H20" s="39">
        <v>0</v>
      </c>
    </row>
    <row r="21" customHeight="1" spans="1:8">
      <c r="A21" s="7" t="s">
        <v>160</v>
      </c>
      <c r="B21" s="7" t="s">
        <v>147</v>
      </c>
      <c r="C21" s="12">
        <f t="shared" si="0"/>
        <v>46.0237990891992</v>
      </c>
      <c r="D21" s="12">
        <f>D.2项目总投资使用计划与资金筹措表!D6</f>
        <v>0</v>
      </c>
      <c r="E21" s="12">
        <f>D.2项目总投资使用计划与资金筹措表!E6</f>
        <v>0</v>
      </c>
      <c r="F21" s="12">
        <f>D.2项目总投资使用计划与资金筹措表!F6</f>
        <v>31.3112228194095</v>
      </c>
      <c r="G21" s="12">
        <f>D.2项目总投资使用计划与资金筹措表!G6</f>
        <v>11.2518209936768</v>
      </c>
      <c r="H21" s="12">
        <f>D.2项目总投资使用计划与资金筹措表!H6</f>
        <v>3.46075527611296</v>
      </c>
    </row>
    <row r="22" customHeight="1" spans="1:8">
      <c r="A22" s="7" t="s">
        <v>587</v>
      </c>
      <c r="B22" s="7" t="s">
        <v>585</v>
      </c>
      <c r="C22" s="12">
        <f t="shared" si="0"/>
        <v>0</v>
      </c>
      <c r="D22" s="39">
        <v>0</v>
      </c>
      <c r="E22" s="39">
        <v>0</v>
      </c>
      <c r="F22" s="39">
        <v>0</v>
      </c>
      <c r="G22" s="39">
        <v>0</v>
      </c>
      <c r="H22" s="39">
        <v>0</v>
      </c>
    </row>
    <row r="23" customHeight="1" spans="1:8">
      <c r="A23" s="7">
        <v>3</v>
      </c>
      <c r="B23" s="7" t="s">
        <v>588</v>
      </c>
      <c r="C23" s="12">
        <f t="shared" si="0"/>
        <v>27888.4808493886</v>
      </c>
      <c r="D23" s="12">
        <f t="shared" ref="D23" si="11">D24-D27</f>
        <v>2047.73040785312</v>
      </c>
      <c r="E23" s="12">
        <f t="shared" ref="E23:H23" si="12">E24-E27</f>
        <v>11642.9170489455</v>
      </c>
      <c r="F23" s="12">
        <f t="shared" si="12"/>
        <v>14184.6124058001</v>
      </c>
      <c r="G23" s="12">
        <f t="shared" si="12"/>
        <v>624.560231513719</v>
      </c>
      <c r="H23" s="12">
        <f t="shared" si="12"/>
        <v>-611.339244723887</v>
      </c>
    </row>
    <row r="24" customHeight="1" spans="1:8">
      <c r="A24" s="7">
        <v>3.1</v>
      </c>
      <c r="B24" s="7" t="s">
        <v>476</v>
      </c>
      <c r="C24" s="12">
        <f t="shared" si="0"/>
        <v>29253.9728493886</v>
      </c>
      <c r="D24" s="12">
        <f t="shared" ref="D24" si="13">SUM(D25:D26)</f>
        <v>2047.73040785312</v>
      </c>
      <c r="E24" s="12">
        <f t="shared" ref="E24:H24" si="14">SUM(E25:E26)</f>
        <v>11667.8270489455</v>
      </c>
      <c r="F24" s="12">
        <f t="shared" si="14"/>
        <v>14455.2304058001</v>
      </c>
      <c r="G24" s="12">
        <f t="shared" si="14"/>
        <v>1079.72423151372</v>
      </c>
      <c r="H24" s="12">
        <f t="shared" si="14"/>
        <v>3.46075527611296</v>
      </c>
    </row>
    <row r="25" customHeight="1" spans="1:8">
      <c r="A25" s="7" t="s">
        <v>589</v>
      </c>
      <c r="B25" s="7" t="s">
        <v>590</v>
      </c>
      <c r="C25" s="12">
        <f t="shared" si="0"/>
        <v>253.972849388565</v>
      </c>
      <c r="D25" s="12">
        <f>D.2项目总投资使用计划与资金筹措表!D8</f>
        <v>872.730407853123</v>
      </c>
      <c r="E25" s="12">
        <f>D.2项目总投资使用计划与资金筹措表!E8</f>
        <v>77.8270489454664</v>
      </c>
      <c r="F25" s="12">
        <f>D.2项目总投资使用计划与资金筹措表!F8</f>
        <v>5750.23040580014</v>
      </c>
      <c r="G25" s="12">
        <f>D.2项目总投资使用计划与资金筹措表!G8</f>
        <v>-6450.27576848628</v>
      </c>
      <c r="H25" s="12">
        <f>D.2项目总投资使用计划与资金筹措表!H8</f>
        <v>3.46075527611296</v>
      </c>
    </row>
    <row r="26" customHeight="1" spans="1:8">
      <c r="A26" s="7" t="s">
        <v>591</v>
      </c>
      <c r="B26" s="7" t="s">
        <v>592</v>
      </c>
      <c r="C26" s="12">
        <f t="shared" si="0"/>
        <v>29000</v>
      </c>
      <c r="D26" s="12">
        <f>D.2项目总投资使用计划与资金筹措表!D12</f>
        <v>1175</v>
      </c>
      <c r="E26" s="12">
        <f>D.2项目总投资使用计划与资金筹措表!E12</f>
        <v>11590</v>
      </c>
      <c r="F26" s="12">
        <f>D.2项目总投资使用计划与资金筹措表!F12</f>
        <v>8705</v>
      </c>
      <c r="G26" s="12">
        <f>D.2项目总投资使用计划与资金筹措表!G12</f>
        <v>7530</v>
      </c>
      <c r="H26" s="12">
        <f>D.2项目总投资使用计划与资金筹措表!H12</f>
        <v>0</v>
      </c>
    </row>
    <row r="27" customHeight="1" spans="1:8">
      <c r="A27" s="7">
        <v>3.2</v>
      </c>
      <c r="B27" s="7" t="s">
        <v>481</v>
      </c>
      <c r="C27" s="12">
        <f t="shared" si="0"/>
        <v>1365.492</v>
      </c>
      <c r="D27" s="12">
        <f t="shared" ref="D27" si="15">SUM(D28:D29)</f>
        <v>0</v>
      </c>
      <c r="E27" s="12">
        <f t="shared" ref="E27:H27" si="16">SUM(E28:E29)</f>
        <v>24.91</v>
      </c>
      <c r="F27" s="12">
        <f t="shared" si="16"/>
        <v>270.618</v>
      </c>
      <c r="G27" s="12">
        <f t="shared" si="16"/>
        <v>455.164</v>
      </c>
      <c r="H27" s="12">
        <f t="shared" si="16"/>
        <v>614.8</v>
      </c>
    </row>
    <row r="28" customHeight="1" spans="1:8">
      <c r="A28" s="7" t="s">
        <v>558</v>
      </c>
      <c r="B28" s="7" t="s">
        <v>593</v>
      </c>
      <c r="C28" s="12">
        <f t="shared" si="0"/>
        <v>1365.492</v>
      </c>
      <c r="D28" s="12">
        <f>c借款还本付息计划表!D43</f>
        <v>0</v>
      </c>
      <c r="E28" s="12">
        <f>c借款还本付息计划表!E43</f>
        <v>24.91</v>
      </c>
      <c r="F28" s="12">
        <f>c借款还本付息计划表!F43</f>
        <v>270.618</v>
      </c>
      <c r="G28" s="12">
        <f>c借款还本付息计划表!G43</f>
        <v>455.164</v>
      </c>
      <c r="H28" s="12">
        <f>c借款还本付息计划表!H43</f>
        <v>614.8</v>
      </c>
    </row>
    <row r="29" customHeight="1" spans="1:8">
      <c r="A29" s="7" t="s">
        <v>559</v>
      </c>
      <c r="B29" s="7" t="s">
        <v>594</v>
      </c>
      <c r="C29" s="12">
        <f t="shared" si="0"/>
        <v>0</v>
      </c>
      <c r="D29" s="12">
        <f>c借款还本付息计划表!D42</f>
        <v>0</v>
      </c>
      <c r="E29" s="12">
        <f>c借款还本付息计划表!E42</f>
        <v>0</v>
      </c>
      <c r="F29" s="12">
        <f>c借款还本付息计划表!F42</f>
        <v>0</v>
      </c>
      <c r="G29" s="12">
        <f>c借款还本付息计划表!G42</f>
        <v>0</v>
      </c>
      <c r="H29" s="12">
        <f>c借款还本付息计划表!H42</f>
        <v>0</v>
      </c>
    </row>
    <row r="30" customHeight="1" spans="1:8">
      <c r="A30" s="7">
        <v>4</v>
      </c>
      <c r="B30" s="7" t="s">
        <v>520</v>
      </c>
      <c r="C30" s="12">
        <f t="shared" si="0"/>
        <v>18753.5120064335</v>
      </c>
      <c r="D30" s="12">
        <f t="shared" ref="D30" si="17">D3+D16+D23</f>
        <v>184.848346869643</v>
      </c>
      <c r="E30" s="12">
        <f t="shared" ref="E30:H30" si="18">E3+E16+E23</f>
        <v>1086.58537003907</v>
      </c>
      <c r="F30" s="12">
        <f t="shared" si="18"/>
        <v>13917.1511108944</v>
      </c>
      <c r="G30" s="12">
        <f t="shared" si="18"/>
        <v>1878.58249651784</v>
      </c>
      <c r="H30" s="12">
        <f t="shared" si="18"/>
        <v>1686.34468211252</v>
      </c>
    </row>
    <row r="31" customHeight="1" spans="1:8">
      <c r="A31" s="7">
        <v>5</v>
      </c>
      <c r="B31" s="7" t="s">
        <v>595</v>
      </c>
      <c r="C31" s="12"/>
      <c r="D31" s="12">
        <f>D30</f>
        <v>184.848346869643</v>
      </c>
      <c r="E31" s="12">
        <f>E30+D31</f>
        <v>1271.43371690871</v>
      </c>
      <c r="F31" s="12">
        <f t="shared" ref="F31:H31" si="19">F30+E31</f>
        <v>15188.5848278031</v>
      </c>
      <c r="G31" s="12">
        <f t="shared" si="19"/>
        <v>17067.167324321</v>
      </c>
      <c r="H31" s="12">
        <f t="shared" si="19"/>
        <v>18753.5120064335</v>
      </c>
    </row>
  </sheetData>
  <mergeCells count="1">
    <mergeCell ref="A1:H1"/>
  </mergeCells>
  <pageMargins left="0.75" right="0.75" top="1" bottom="1" header="0.5" footer="0.5"/>
  <headerFooter/>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5">
    <tabColor rgb="FFFFC000"/>
  </sheetPr>
  <dimension ref="A1:K27"/>
  <sheetViews>
    <sheetView zoomScale="70" zoomScaleNormal="70" workbookViewId="0">
      <pane xSplit="2" ySplit="2" topLeftCell="C3" activePane="bottomRight" state="frozen"/>
      <selection/>
      <selection pane="topRight"/>
      <selection pane="bottomLeft"/>
      <selection pane="bottomRight" activeCell="R9" sqref="R9"/>
    </sheetView>
  </sheetViews>
  <sheetFormatPr defaultColWidth="8.89090909090909" defaultRowHeight="28.05" customHeight="1"/>
  <cols>
    <col min="2" max="2" width="20.6636363636364" customWidth="1"/>
    <col min="3" max="3" width="11" customWidth="1"/>
    <col min="4" max="7" width="11.2181818181818" customWidth="1"/>
  </cols>
  <sheetData>
    <row r="1" customHeight="1" spans="1:7">
      <c r="A1" s="38" t="s">
        <v>596</v>
      </c>
      <c r="B1" s="38"/>
      <c r="C1" s="38"/>
      <c r="D1" s="38"/>
      <c r="E1" s="38"/>
      <c r="F1" s="38"/>
      <c r="G1" s="38"/>
    </row>
    <row r="2" customHeight="1" spans="1:7">
      <c r="A2" s="2" t="s">
        <v>1</v>
      </c>
      <c r="B2" s="2" t="s">
        <v>187</v>
      </c>
      <c r="C2" s="34">
        <v>2025</v>
      </c>
      <c r="D2" s="34">
        <v>2026</v>
      </c>
      <c r="E2" s="34">
        <v>2027</v>
      </c>
      <c r="F2" s="34">
        <v>2028</v>
      </c>
      <c r="G2" s="34">
        <v>2029</v>
      </c>
    </row>
    <row r="3" customHeight="1" spans="1:7">
      <c r="A3" s="7">
        <v>1</v>
      </c>
      <c r="B3" s="7" t="s">
        <v>597</v>
      </c>
      <c r="C3" s="12">
        <f t="shared" ref="C3" si="0">SUM(C4+C10+C11+C12)</f>
        <v>2232.57875472277</v>
      </c>
      <c r="D3" s="12">
        <f t="shared" ref="D3:G3" si="1">SUM(D4+D10+D11+D12)</f>
        <v>12939.2607658542</v>
      </c>
      <c r="E3" s="12">
        <f t="shared" si="1"/>
        <v>41671.6904163395</v>
      </c>
      <c r="F3" s="12">
        <f t="shared" si="1"/>
        <v>29637.1473669922</v>
      </c>
      <c r="G3" s="12">
        <f t="shared" si="1"/>
        <v>43334.6066540389</v>
      </c>
    </row>
    <row r="4" customHeight="1" spans="1:7">
      <c r="A4" s="7">
        <v>1.1</v>
      </c>
      <c r="B4" s="7" t="s">
        <v>598</v>
      </c>
      <c r="C4" s="12">
        <f t="shared" ref="C4" si="2">SUM(C5:C9)</f>
        <v>184.848346869643</v>
      </c>
      <c r="D4" s="12">
        <f t="shared" ref="D4:G4" si="3">SUM(D5:D9)</f>
        <v>1271.43371690871</v>
      </c>
      <c r="E4" s="12">
        <f t="shared" si="3"/>
        <v>15219.9725032219</v>
      </c>
      <c r="F4" s="12">
        <f t="shared" si="3"/>
        <v>17109.8068207334</v>
      </c>
      <c r="G4" s="12">
        <f t="shared" si="3"/>
        <v>18799.6134049111</v>
      </c>
    </row>
    <row r="5" customHeight="1" spans="1:7">
      <c r="A5" s="7" t="s">
        <v>347</v>
      </c>
      <c r="B5" s="7" t="s">
        <v>599</v>
      </c>
      <c r="C5" s="12">
        <f>D.4流动资金估算表!E10+d财务计划现金流量表!D31</f>
        <v>184.848346869643</v>
      </c>
      <c r="D5" s="12">
        <f>D.4流动资金估算表!F10+d财务计划现金流量表!E31</f>
        <v>1271.43371690871</v>
      </c>
      <c r="E5" s="12">
        <f>D.4流动资金估算表!G10+d财务计划现金流量表!F31</f>
        <v>15196.0542467634</v>
      </c>
      <c r="F5" s="12">
        <f>D.4流动资金估算表!H10+d财务计划现金流量表!G31</f>
        <v>17076.1667435273</v>
      </c>
      <c r="G5" s="12">
        <f>D.4流动资金估算表!I10+d财务计划现金流量表!H31</f>
        <v>18762.6467352791</v>
      </c>
    </row>
    <row r="6" customHeight="1" spans="1:7">
      <c r="A6" s="7" t="s">
        <v>349</v>
      </c>
      <c r="B6" s="7" t="s">
        <v>191</v>
      </c>
      <c r="C6" s="12">
        <f>D.4流动资金估算表!E4</f>
        <v>0</v>
      </c>
      <c r="D6" s="12">
        <f>D.4流动资金估算表!F4</f>
        <v>0</v>
      </c>
      <c r="E6" s="12">
        <f>D.4流动资金估算表!G4</f>
        <v>2.3519</v>
      </c>
      <c r="F6" s="12">
        <f>D.4流动资金估算表!H4</f>
        <v>6.09958333333333</v>
      </c>
      <c r="G6" s="12">
        <f>D.4流动资金估算表!I4</f>
        <v>9.01275</v>
      </c>
    </row>
    <row r="7" customHeight="1" spans="1:7">
      <c r="A7" s="7" t="s">
        <v>352</v>
      </c>
      <c r="B7" s="7" t="s">
        <v>600</v>
      </c>
      <c r="C7" s="39">
        <v>0</v>
      </c>
      <c r="D7" s="39">
        <v>0</v>
      </c>
      <c r="E7" s="39">
        <v>0</v>
      </c>
      <c r="F7" s="39">
        <v>0</v>
      </c>
      <c r="G7" s="39">
        <v>0</v>
      </c>
    </row>
    <row r="8" customHeight="1" spans="1:7">
      <c r="A8" s="7" t="s">
        <v>580</v>
      </c>
      <c r="B8" s="7" t="s">
        <v>192</v>
      </c>
      <c r="C8" s="12">
        <f>D.4流动资金估算表!E5</f>
        <v>0</v>
      </c>
      <c r="D8" s="12">
        <f>D.4流动资金估算表!F5</f>
        <v>0</v>
      </c>
      <c r="E8" s="12">
        <f>D.4流动资金估算表!G5</f>
        <v>21.5663564585532</v>
      </c>
      <c r="F8" s="12">
        <f>D.4流动资金估算表!H5</f>
        <v>27.5404938727957</v>
      </c>
      <c r="G8" s="12">
        <f>D.4流动资金估算表!I5</f>
        <v>27.9539196320127</v>
      </c>
    </row>
    <row r="9" customHeight="1" spans="1:7">
      <c r="A9" s="7" t="s">
        <v>601</v>
      </c>
      <c r="B9" s="7" t="s">
        <v>602</v>
      </c>
      <c r="C9" s="39">
        <v>0</v>
      </c>
      <c r="D9" s="39">
        <v>0</v>
      </c>
      <c r="E9" s="39">
        <v>0</v>
      </c>
      <c r="F9" s="39">
        <v>0</v>
      </c>
      <c r="G9" s="39">
        <v>0</v>
      </c>
    </row>
    <row r="10" customHeight="1" spans="1:7">
      <c r="A10" s="7">
        <v>1.2</v>
      </c>
      <c r="B10" s="7" t="s">
        <v>603</v>
      </c>
      <c r="C10" s="12">
        <f>D.2项目总投资使用计划与资金筹措表!D3</f>
        <v>2047.73040785312</v>
      </c>
      <c r="D10" s="12">
        <f>D.2项目总投资使用计划与资金筹措表!E3</f>
        <v>11667.8270489455</v>
      </c>
      <c r="E10" s="12">
        <f>D.2项目总投资使用计划与资金筹措表!F3</f>
        <v>14455.2304058001</v>
      </c>
      <c r="F10" s="12">
        <f>D.2项目总投资使用计划与资金筹措表!G3</f>
        <v>1079.72423151372</v>
      </c>
      <c r="G10" s="12">
        <f>D.2项目总投资使用计划与资金筹措表!H3</f>
        <v>3.46075527611296</v>
      </c>
    </row>
    <row r="11" customHeight="1" spans="1:7">
      <c r="A11" s="7">
        <v>1.3</v>
      </c>
      <c r="B11" s="7" t="s">
        <v>604</v>
      </c>
      <c r="C11" s="39">
        <f>E.2固定资产折旧费估算表!F6</f>
        <v>0</v>
      </c>
      <c r="D11" s="39">
        <f>E.2固定资产折旧费估算表!G6</f>
        <v>0</v>
      </c>
      <c r="E11" s="39">
        <f>E.2固定资产折旧费估算表!H6</f>
        <v>8997.77395671708</v>
      </c>
      <c r="F11" s="39">
        <f>E.2固定资产折旧费估算表!I6</f>
        <v>8591.69864750658</v>
      </c>
      <c r="G11" s="39">
        <f>E.2固定资产折旧费估算表!J6</f>
        <v>20375.4861816733</v>
      </c>
    </row>
    <row r="12" customHeight="1" spans="1:7">
      <c r="A12" s="7">
        <v>1.4</v>
      </c>
      <c r="B12" s="7" t="s">
        <v>605</v>
      </c>
      <c r="C12" s="39">
        <f>E.3无形资产和其他资产摊销费估算表!F33</f>
        <v>0</v>
      </c>
      <c r="D12" s="39">
        <f>E.3无形资产和其他资产摊销费估算表!G33</f>
        <v>0</v>
      </c>
      <c r="E12" s="39">
        <f>E.3无形资产和其他资产摊销费估算表!H33</f>
        <v>2998.71355060034</v>
      </c>
      <c r="F12" s="39">
        <f>E.3无形资产和其他资产摊销费估算表!I33</f>
        <v>2855.91766723842</v>
      </c>
      <c r="G12" s="39">
        <f>E.3无形资产和其他资产摊销费估算表!J33</f>
        <v>4156.04631217838</v>
      </c>
    </row>
    <row r="13" customHeight="1" spans="1:7">
      <c r="A13" s="7">
        <v>2</v>
      </c>
      <c r="B13" s="7" t="s">
        <v>606</v>
      </c>
      <c r="C13" s="12">
        <f t="shared" ref="C13" si="4">C21+C22</f>
        <v>2047.73040785312</v>
      </c>
      <c r="D13" s="12">
        <f t="shared" ref="D13:G13" si="5">D21+D22</f>
        <v>12842.8270489455</v>
      </c>
      <c r="E13" s="12">
        <f t="shared" si="5"/>
        <v>26961.7759133145</v>
      </c>
      <c r="F13" s="12">
        <f t="shared" si="5"/>
        <v>23046.5553649721</v>
      </c>
      <c r="G13" s="12">
        <f t="shared" si="5"/>
        <v>29810.0720325822</v>
      </c>
    </row>
    <row r="14" customHeight="1" spans="1:7">
      <c r="A14" s="7">
        <v>2.1</v>
      </c>
      <c r="B14" s="7" t="s">
        <v>607</v>
      </c>
      <c r="C14" s="12">
        <f t="shared" ref="C14" si="6">SUM(C15:C18)</f>
        <v>0</v>
      </c>
      <c r="D14" s="12">
        <f t="shared" ref="D14:G14" si="7">SUM(D15:D18)</f>
        <v>0</v>
      </c>
      <c r="E14" s="12">
        <f t="shared" si="7"/>
        <v>0.0764525993883792</v>
      </c>
      <c r="F14" s="12">
        <f t="shared" si="7"/>
        <v>0.0764525993883792</v>
      </c>
      <c r="G14" s="12">
        <f t="shared" si="7"/>
        <v>0.0775993883792049</v>
      </c>
    </row>
    <row r="15" customHeight="1" spans="1:7">
      <c r="A15" s="7" t="s">
        <v>150</v>
      </c>
      <c r="B15" s="7" t="s">
        <v>608</v>
      </c>
      <c r="C15" s="39">
        <v>0</v>
      </c>
      <c r="D15" s="39">
        <v>0</v>
      </c>
      <c r="E15" s="39">
        <v>0</v>
      </c>
      <c r="F15" s="39">
        <v>0</v>
      </c>
      <c r="G15" s="39">
        <v>0</v>
      </c>
    </row>
    <row r="16" customHeight="1" spans="1:7">
      <c r="A16" s="7" t="s">
        <v>152</v>
      </c>
      <c r="B16" s="7" t="s">
        <v>204</v>
      </c>
      <c r="C16" s="12">
        <f>D.4流动资金估算表!E12</f>
        <v>0</v>
      </c>
      <c r="D16" s="12">
        <f>D.4流动资金估算表!F12</f>
        <v>0</v>
      </c>
      <c r="E16" s="12">
        <f>D.4流动资金估算表!G12</f>
        <v>0.0764525993883792</v>
      </c>
      <c r="F16" s="12">
        <f>D.4流动资金估算表!H12</f>
        <v>0.0764525993883792</v>
      </c>
      <c r="G16" s="12">
        <f>D.4流动资金估算表!I12</f>
        <v>0.0775993883792049</v>
      </c>
    </row>
    <row r="17" customHeight="1" spans="1:7">
      <c r="A17" s="7" t="s">
        <v>154</v>
      </c>
      <c r="B17" s="7" t="s">
        <v>609</v>
      </c>
      <c r="C17" s="39">
        <v>0</v>
      </c>
      <c r="D17" s="39">
        <v>0</v>
      </c>
      <c r="E17" s="39">
        <v>0</v>
      </c>
      <c r="F17" s="39">
        <v>0</v>
      </c>
      <c r="G17" s="39">
        <v>0</v>
      </c>
    </row>
    <row r="18" customHeight="1" spans="1:7">
      <c r="A18" s="7" t="s">
        <v>610</v>
      </c>
      <c r="B18" s="7" t="s">
        <v>602</v>
      </c>
      <c r="C18" s="39">
        <v>0</v>
      </c>
      <c r="D18" s="39">
        <v>0</v>
      </c>
      <c r="E18" s="39">
        <v>0</v>
      </c>
      <c r="F18" s="39">
        <v>0</v>
      </c>
      <c r="G18" s="39">
        <v>0</v>
      </c>
    </row>
    <row r="19" s="37" customFormat="1" customHeight="1" spans="1:11">
      <c r="A19" s="40">
        <v>2.2</v>
      </c>
      <c r="B19" s="40" t="s">
        <v>592</v>
      </c>
      <c r="C19" s="41">
        <f>c借款还本付息计划表!D44</f>
        <v>1175</v>
      </c>
      <c r="D19" s="41">
        <f>c借款还本付息计划表!E44</f>
        <v>12765</v>
      </c>
      <c r="E19" s="41">
        <f>c借款还本付息计划表!F44</f>
        <v>21470</v>
      </c>
      <c r="F19" s="41">
        <f>c借款还本付息计划表!G44</f>
        <v>29000</v>
      </c>
      <c r="G19" s="41">
        <f>c借款还本付息计划表!H44</f>
        <v>29000</v>
      </c>
      <c r="H19"/>
      <c r="I19"/>
      <c r="J19"/>
      <c r="K19"/>
    </row>
    <row r="20" customHeight="1" spans="1:7">
      <c r="A20" s="7">
        <v>2.3</v>
      </c>
      <c r="B20" s="7" t="s">
        <v>611</v>
      </c>
      <c r="C20" s="12">
        <f>D.4流动资金估算表!E15</f>
        <v>0</v>
      </c>
      <c r="D20" s="12">
        <f>D.4流动资金估算表!F15</f>
        <v>0</v>
      </c>
      <c r="E20" s="12">
        <f>D.4流动资金估算表!G15</f>
        <v>0</v>
      </c>
      <c r="F20" s="12">
        <f>D.4流动资金估算表!H15</f>
        <v>0</v>
      </c>
      <c r="G20" s="12">
        <f>D.4流动资金估算表!I15</f>
        <v>0</v>
      </c>
    </row>
    <row r="21" customHeight="1" spans="1:7">
      <c r="A21" s="7">
        <v>2.4</v>
      </c>
      <c r="B21" s="7" t="s">
        <v>612</v>
      </c>
      <c r="C21" s="12">
        <f t="shared" ref="C21" si="8">C14+C19+C20</f>
        <v>1175</v>
      </c>
      <c r="D21" s="12">
        <f t="shared" ref="D21:G21" si="9">D14+D19+D20</f>
        <v>12765</v>
      </c>
      <c r="E21" s="12">
        <f t="shared" si="9"/>
        <v>21470.0764525994</v>
      </c>
      <c r="F21" s="12">
        <f t="shared" si="9"/>
        <v>29000.0764525994</v>
      </c>
      <c r="G21" s="12">
        <f t="shared" si="9"/>
        <v>29000.0775993884</v>
      </c>
    </row>
    <row r="22" customHeight="1" spans="1:7">
      <c r="A22" s="7">
        <v>2.5</v>
      </c>
      <c r="B22" s="7" t="s">
        <v>613</v>
      </c>
      <c r="C22" s="12">
        <f t="shared" ref="C22" si="10">SUM(C23:C26)</f>
        <v>872.730407853123</v>
      </c>
      <c r="D22" s="12">
        <f t="shared" ref="D22:G22" si="11">SUM(D23:D26)</f>
        <v>77.8270489454664</v>
      </c>
      <c r="E22" s="12">
        <f t="shared" si="11"/>
        <v>5491.69946071508</v>
      </c>
      <c r="F22" s="12">
        <f t="shared" si="11"/>
        <v>-5953.52108762725</v>
      </c>
      <c r="G22" s="12">
        <f t="shared" si="11"/>
        <v>809.994433193835</v>
      </c>
    </row>
    <row r="23" customHeight="1" spans="1:7">
      <c r="A23" s="7" t="s">
        <v>614</v>
      </c>
      <c r="B23" s="7" t="s">
        <v>615</v>
      </c>
      <c r="C23" s="12">
        <f>D.2项目总投资使用计划与资金筹措表!D8</f>
        <v>872.730407853123</v>
      </c>
      <c r="D23" s="12">
        <f>D.2项目总投资使用计划与资金筹措表!E8</f>
        <v>77.8270489454664</v>
      </c>
      <c r="E23" s="12">
        <f>D.2项目总投资使用计划与资金筹措表!F8</f>
        <v>5750.23040580014</v>
      </c>
      <c r="F23" s="12">
        <f>D.2项目总投资使用计划与资金筹措表!G8</f>
        <v>-6450.27576848628</v>
      </c>
      <c r="G23" s="12">
        <f>D.2项目总投资使用计划与资金筹措表!H8</f>
        <v>3.46075527611296</v>
      </c>
    </row>
    <row r="24" customHeight="1" spans="1:7">
      <c r="A24" s="7" t="s">
        <v>616</v>
      </c>
      <c r="B24" s="7" t="s">
        <v>617</v>
      </c>
      <c r="C24" s="12">
        <f>'b利润与利润分配表（损益和利润分配表）'!D15</f>
        <v>0</v>
      </c>
      <c r="D24" s="12">
        <f>'b利润与利润分配表（损益和利润分配表）'!E15</f>
        <v>0</v>
      </c>
      <c r="E24" s="12">
        <f>'b利润与利润分配表（损益和利润分配表）'!F15</f>
        <v>-25.8530945085065</v>
      </c>
      <c r="F24" s="12">
        <f>'b利润与利润分配表（损益和利润分配表）'!G15</f>
        <v>71.7798638906762</v>
      </c>
      <c r="G24" s="12">
        <f>'b利润与利润分配表（损益和利润分配表）'!H15</f>
        <v>41.3859799700171</v>
      </c>
    </row>
    <row r="25" customHeight="1" spans="1:7">
      <c r="A25" s="7" t="s">
        <v>618</v>
      </c>
      <c r="B25" s="7" t="s">
        <v>619</v>
      </c>
      <c r="C25" s="12">
        <f>'b利润与利润分配表（损益和利润分配表）'!D18</f>
        <v>0</v>
      </c>
      <c r="D25" s="12">
        <f>'b利润与利润分配表（损益和利润分配表）'!E18</f>
        <v>0</v>
      </c>
      <c r="E25" s="12">
        <f>'b利润与利润分配表（损益和利润分配表）'!F18</f>
        <v>-11.6338925288279</v>
      </c>
      <c r="F25" s="12">
        <f>'b利润与利润分配表（损益和利润分配表）'!G18</f>
        <v>32.3009387508043</v>
      </c>
      <c r="G25" s="12">
        <f>'b利润与利润分配表（损益和利润分配表）'!H18</f>
        <v>18.6236909865077</v>
      </c>
    </row>
    <row r="26" customHeight="1" spans="1:7">
      <c r="A26" s="7" t="s">
        <v>620</v>
      </c>
      <c r="B26" s="7" t="s">
        <v>541</v>
      </c>
      <c r="C26" s="12">
        <f>'b利润与利润分配表（损益和利润分配表）'!D24</f>
        <v>0</v>
      </c>
      <c r="D26" s="12">
        <f>'b利润与利润分配表（损益和利润分配表）'!E24</f>
        <v>0</v>
      </c>
      <c r="E26" s="12">
        <f>'b利润与利润分配表（损益和利润分配表）'!F24</f>
        <v>-221.043958047731</v>
      </c>
      <c r="F26" s="12">
        <f>'b利润与利润分配表（损益和利润分配表）'!G24</f>
        <v>392.673878217551</v>
      </c>
      <c r="G26" s="12">
        <f>'b利润与利润分配表（损益和利润分配表）'!H24</f>
        <v>746.524006961197</v>
      </c>
    </row>
    <row r="27" customHeight="1" spans="1:7">
      <c r="A27" s="42" t="s">
        <v>621</v>
      </c>
      <c r="B27" s="42"/>
      <c r="C27" s="27">
        <f t="shared" ref="C27" si="12">C21/C3</f>
        <v>0.526297223564643</v>
      </c>
      <c r="D27" s="27">
        <f t="shared" ref="D27:G27" si="13">D21/D3</f>
        <v>0.986532401733951</v>
      </c>
      <c r="E27" s="27">
        <f t="shared" si="13"/>
        <v>0.515219714825414</v>
      </c>
      <c r="F27" s="27">
        <f t="shared" si="13"/>
        <v>0.978504310603716</v>
      </c>
      <c r="G27" s="27">
        <f t="shared" si="13"/>
        <v>0.669212895617353</v>
      </c>
    </row>
  </sheetData>
  <mergeCells count="2">
    <mergeCell ref="A1:G1"/>
    <mergeCell ref="A27:B27"/>
  </mergeCells>
  <pageMargins left="0.75" right="0.75" top="1" bottom="1" header="0.5" footer="0.5"/>
  <headerFooter/>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7">
    <tabColor rgb="FFFFC000"/>
  </sheetPr>
  <dimension ref="A1:G4"/>
  <sheetViews>
    <sheetView workbookViewId="0">
      <selection activeCell="J17" sqref="J17"/>
    </sheetView>
  </sheetViews>
  <sheetFormatPr defaultColWidth="14.7818181818182" defaultRowHeight="28.05" customHeight="1" outlineLevelRow="3" outlineLevelCol="6"/>
  <cols>
    <col min="1" max="1" width="20.2181818181818" customWidth="1"/>
    <col min="2" max="2" width="14.7818181818182" customWidth="1"/>
    <col min="3" max="3" width="17.7818181818182" customWidth="1"/>
    <col min="4" max="4" width="14.7818181818182" customWidth="1"/>
  </cols>
  <sheetData>
    <row r="1" customHeight="1" spans="1:7">
      <c r="A1" s="14" t="s">
        <v>622</v>
      </c>
      <c r="B1" s="15"/>
      <c r="C1" s="15"/>
      <c r="D1" s="15"/>
      <c r="E1" s="15"/>
      <c r="F1" s="15"/>
      <c r="G1" s="33"/>
    </row>
    <row r="2" customHeight="1" spans="1:7">
      <c r="A2" s="2" t="s">
        <v>623</v>
      </c>
      <c r="B2" s="2" t="s">
        <v>624</v>
      </c>
      <c r="C2" s="2" t="s">
        <v>113</v>
      </c>
      <c r="D2" s="2" t="s">
        <v>625</v>
      </c>
      <c r="E2" s="2" t="s">
        <v>140</v>
      </c>
      <c r="F2" s="2" t="s">
        <v>147</v>
      </c>
      <c r="G2" s="2" t="s">
        <v>80</v>
      </c>
    </row>
    <row r="3" customHeight="1" spans="1:7">
      <c r="A3" s="7" t="s">
        <v>626</v>
      </c>
      <c r="B3" s="8">
        <f>D.1建设投资!F3</f>
        <v>24474.93</v>
      </c>
      <c r="C3" s="8">
        <f>D.1建设投资!F16</f>
        <v>380</v>
      </c>
      <c r="D3" s="8">
        <f>D.1建设投资!F38</f>
        <v>772.736</v>
      </c>
      <c r="E3" s="8">
        <f>D.2项目总投资使用计划与资金筹措表!C5</f>
        <v>980.681333333333</v>
      </c>
      <c r="F3" s="8">
        <f>D.2项目总投资使用计划与资金筹措表!C6</f>
        <v>46.0237990891992</v>
      </c>
      <c r="G3" s="8">
        <f>SUM(B3:F3)</f>
        <v>26654.3711324225</v>
      </c>
    </row>
    <row r="4" customHeight="1" spans="1:7">
      <c r="A4" s="7" t="s">
        <v>627</v>
      </c>
      <c r="B4" s="27">
        <f t="shared" ref="B4:F4" si="0">B3/$G$3</f>
        <v>0.918233256316768</v>
      </c>
      <c r="C4" s="27">
        <f t="shared" si="0"/>
        <v>0.0142565734570179</v>
      </c>
      <c r="D4" s="27">
        <f t="shared" si="0"/>
        <v>0.0289909672286374</v>
      </c>
      <c r="E4" s="27">
        <f t="shared" si="0"/>
        <v>0.0367925143857709</v>
      </c>
      <c r="F4" s="27">
        <f t="shared" si="0"/>
        <v>0.0017266886118058</v>
      </c>
      <c r="G4" s="27" t="s">
        <v>163</v>
      </c>
    </row>
  </sheetData>
  <mergeCells count="1">
    <mergeCell ref="A1:G1"/>
  </mergeCells>
  <pageMargins left="0.75" right="0.75" top="1" bottom="1" header="0.5" footer="0.5"/>
  <headerFooter/>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8">
    <tabColor rgb="FFFFC000"/>
  </sheetPr>
  <dimension ref="A1:G10"/>
  <sheetViews>
    <sheetView workbookViewId="0">
      <selection activeCell="G6" sqref="G6"/>
    </sheetView>
  </sheetViews>
  <sheetFormatPr defaultColWidth="14.7818181818182" defaultRowHeight="28.05" customHeight="1" outlineLevelCol="6"/>
  <cols>
    <col min="1" max="1" width="22" customWidth="1"/>
    <col min="2" max="2" width="15.6636363636364" customWidth="1"/>
  </cols>
  <sheetData>
    <row r="1" customHeight="1" spans="1:7">
      <c r="A1" s="14" t="s">
        <v>628</v>
      </c>
      <c r="B1" s="15"/>
      <c r="C1" s="15"/>
      <c r="D1" s="15"/>
      <c r="E1" s="15"/>
      <c r="F1" s="33"/>
      <c r="G1" s="13" t="s">
        <v>629</v>
      </c>
    </row>
    <row r="2" customHeight="1" spans="1:6">
      <c r="A2" s="2" t="s">
        <v>630</v>
      </c>
      <c r="B2" s="34">
        <v>2025</v>
      </c>
      <c r="C2" s="34">
        <v>2026</v>
      </c>
      <c r="D2" s="34">
        <v>2027</v>
      </c>
      <c r="E2" s="2" t="s">
        <v>80</v>
      </c>
      <c r="F2" s="2" t="s">
        <v>631</v>
      </c>
    </row>
    <row r="3" customHeight="1" spans="1:6">
      <c r="A3" s="7" t="s">
        <v>632</v>
      </c>
      <c r="B3" s="35"/>
      <c r="C3" s="35"/>
      <c r="D3" s="35"/>
      <c r="E3" s="8">
        <f t="shared" ref="E3:E8" si="0">SUM(B3:D3)</f>
        <v>0</v>
      </c>
      <c r="F3" s="27" t="e">
        <f>E3/E9</f>
        <v>#DIV/0!</v>
      </c>
    </row>
    <row r="4" customHeight="1" spans="1:6">
      <c r="A4" s="7" t="s">
        <v>633</v>
      </c>
      <c r="B4" s="12"/>
      <c r="C4" s="12"/>
      <c r="D4" s="12"/>
      <c r="E4" s="12">
        <f t="shared" si="0"/>
        <v>0</v>
      </c>
      <c r="F4" s="27" t="e">
        <f>E4/E9</f>
        <v>#DIV/0!</v>
      </c>
    </row>
    <row r="5" ht="39" customHeight="1" spans="1:6">
      <c r="A5" s="36" t="s">
        <v>634</v>
      </c>
      <c r="B5" s="35"/>
      <c r="C5" s="35"/>
      <c r="D5" s="35"/>
      <c r="E5" s="8">
        <f t="shared" si="0"/>
        <v>0</v>
      </c>
      <c r="F5" s="27" t="e">
        <f>E5/E9</f>
        <v>#DIV/0!</v>
      </c>
    </row>
    <row r="6" ht="39" customHeight="1" spans="1:6">
      <c r="A6" s="36" t="s">
        <v>635</v>
      </c>
      <c r="B6" s="8"/>
      <c r="C6" s="8"/>
      <c r="D6" s="8"/>
      <c r="E6" s="8">
        <f t="shared" si="0"/>
        <v>0</v>
      </c>
      <c r="F6" s="27" t="e">
        <f>E6/E9</f>
        <v>#DIV/0!</v>
      </c>
    </row>
    <row r="7" customHeight="1" spans="1:6">
      <c r="A7" s="7" t="s">
        <v>636</v>
      </c>
      <c r="B7" s="35"/>
      <c r="C7" s="35"/>
      <c r="D7" s="35"/>
      <c r="E7" s="8">
        <f t="shared" si="0"/>
        <v>0</v>
      </c>
      <c r="F7" s="27" t="e">
        <f>E7/E9</f>
        <v>#DIV/0!</v>
      </c>
    </row>
    <row r="8" customHeight="1" spans="1:6">
      <c r="A8" s="7" t="s">
        <v>637</v>
      </c>
      <c r="B8" s="35"/>
      <c r="C8" s="35"/>
      <c r="D8" s="35"/>
      <c r="E8" s="8">
        <f t="shared" si="0"/>
        <v>0</v>
      </c>
      <c r="F8" s="27" t="e">
        <f>E8/E9</f>
        <v>#DIV/0!</v>
      </c>
    </row>
    <row r="9" customHeight="1" spans="1:6">
      <c r="A9" s="7" t="s">
        <v>80</v>
      </c>
      <c r="B9" s="8">
        <f>SUM(B3:B8)</f>
        <v>0</v>
      </c>
      <c r="C9" s="8">
        <f>SUM(C3:C8)</f>
        <v>0</v>
      </c>
      <c r="D9" s="8">
        <f>SUM(D3:D8)</f>
        <v>0</v>
      </c>
      <c r="E9" s="8">
        <f>SUM(E3:E8)</f>
        <v>0</v>
      </c>
      <c r="F9" s="7" t="s">
        <v>163</v>
      </c>
    </row>
    <row r="10" customHeight="1" spans="1:6">
      <c r="A10" s="7" t="s">
        <v>638</v>
      </c>
      <c r="B10" s="27" t="e">
        <f>B9/E9</f>
        <v>#DIV/0!</v>
      </c>
      <c r="C10" s="27" t="e">
        <f>C9/E9</f>
        <v>#DIV/0!</v>
      </c>
      <c r="D10" s="27" t="e">
        <f>D9/E9</f>
        <v>#DIV/0!</v>
      </c>
      <c r="E10" s="7" t="s">
        <v>163</v>
      </c>
      <c r="F10" s="7" t="s">
        <v>163</v>
      </c>
    </row>
  </sheetData>
  <mergeCells count="1">
    <mergeCell ref="A1:F1"/>
  </mergeCells>
  <pageMargins left="0.75" right="0.75" top="1" bottom="1" header="0.5" footer="0.5"/>
  <headerFooter/>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9">
    <tabColor rgb="FFFFC000"/>
  </sheetPr>
  <dimension ref="A1:Z6"/>
  <sheetViews>
    <sheetView workbookViewId="0">
      <pane xSplit="1" ySplit="3" topLeftCell="G4" activePane="bottomRight" state="frozen"/>
      <selection/>
      <selection pane="topRight"/>
      <selection pane="bottomLeft"/>
      <selection pane="bottomRight" activeCell="Z1" sqref="Z1"/>
    </sheetView>
  </sheetViews>
  <sheetFormatPr defaultColWidth="15.7818181818182" defaultRowHeight="28.05" customHeight="1" outlineLevelRow="5"/>
  <cols>
    <col min="1" max="1" width="15.7818181818182" customWidth="1"/>
    <col min="2" max="2" width="6.44545454545455" customWidth="1"/>
    <col min="3" max="25" width="8.78181818181818" customWidth="1"/>
  </cols>
  <sheetData>
    <row r="1" customHeight="1" spans="1:26">
      <c r="A1" s="14" t="s">
        <v>639</v>
      </c>
      <c r="B1" s="15"/>
      <c r="C1" s="15"/>
      <c r="D1" s="15"/>
      <c r="E1" s="15"/>
      <c r="F1" s="15"/>
      <c r="G1" s="15"/>
      <c r="H1" s="15"/>
      <c r="I1" s="15"/>
      <c r="J1" s="15"/>
      <c r="K1" s="15"/>
      <c r="L1" s="15"/>
      <c r="M1" s="15"/>
      <c r="N1" s="15"/>
      <c r="O1" s="15"/>
      <c r="P1" s="15"/>
      <c r="Q1" s="15"/>
      <c r="R1" s="15"/>
      <c r="S1" s="15"/>
      <c r="T1" s="15"/>
      <c r="U1" s="15"/>
      <c r="V1" s="15"/>
      <c r="W1" s="15"/>
      <c r="X1" s="15"/>
      <c r="Y1" s="15"/>
      <c r="Z1" s="32" t="s">
        <v>640</v>
      </c>
    </row>
    <row r="2" customHeight="1" spans="1:25">
      <c r="A2" s="16" t="s">
        <v>641</v>
      </c>
      <c r="B2" s="29" t="s">
        <v>642</v>
      </c>
      <c r="C2" s="30"/>
      <c r="D2" s="30"/>
      <c r="E2" s="30"/>
      <c r="F2" s="30"/>
      <c r="G2" s="30"/>
      <c r="H2" s="30"/>
      <c r="I2" s="30"/>
      <c r="J2" s="30"/>
      <c r="K2" s="30"/>
      <c r="L2" s="30"/>
      <c r="M2" s="30"/>
      <c r="N2" s="30"/>
      <c r="O2" s="30"/>
      <c r="P2" s="30"/>
      <c r="Q2" s="30"/>
      <c r="R2" s="30"/>
      <c r="S2" s="30"/>
      <c r="T2" s="30"/>
      <c r="U2" s="30"/>
      <c r="V2" s="30"/>
      <c r="W2" s="30"/>
      <c r="X2" s="30"/>
      <c r="Y2" s="30"/>
    </row>
    <row r="3" customHeight="1" spans="1:25">
      <c r="A3" s="17"/>
      <c r="B3" s="31">
        <v>2025</v>
      </c>
      <c r="C3" s="31">
        <v>2026</v>
      </c>
      <c r="D3" s="31">
        <v>2027</v>
      </c>
      <c r="E3" s="31">
        <v>2028</v>
      </c>
      <c r="F3" s="31">
        <v>2029</v>
      </c>
      <c r="G3" s="31">
        <v>2030</v>
      </c>
      <c r="H3" s="31">
        <v>2031</v>
      </c>
      <c r="I3" s="31">
        <v>2032</v>
      </c>
      <c r="J3" s="31">
        <v>2033</v>
      </c>
      <c r="K3" s="31">
        <v>2034</v>
      </c>
      <c r="L3" s="31">
        <v>2035</v>
      </c>
      <c r="M3" s="31">
        <v>2036</v>
      </c>
      <c r="N3" s="31">
        <v>2037</v>
      </c>
      <c r="O3" s="31">
        <v>2038</v>
      </c>
      <c r="P3" s="31">
        <v>2039</v>
      </c>
      <c r="Q3" s="31">
        <v>2040</v>
      </c>
      <c r="R3" s="31">
        <v>2041</v>
      </c>
      <c r="S3" s="31">
        <v>2042</v>
      </c>
      <c r="T3" s="31">
        <v>2043</v>
      </c>
      <c r="U3" s="31">
        <v>2044</v>
      </c>
      <c r="V3" s="31">
        <v>2045</v>
      </c>
      <c r="W3" s="31">
        <v>2046</v>
      </c>
      <c r="X3" s="31">
        <v>2047</v>
      </c>
      <c r="Y3" s="31">
        <v>2048</v>
      </c>
    </row>
    <row r="4" customHeight="1" spans="1:25">
      <c r="A4" s="7" t="s">
        <v>643</v>
      </c>
      <c r="B4" s="8">
        <f>F项目收入!D23</f>
        <v>0</v>
      </c>
      <c r="C4" s="8">
        <f>F项目收入!E23</f>
        <v>0</v>
      </c>
      <c r="D4" s="8">
        <f>F项目收入!F23</f>
        <v>846.684</v>
      </c>
      <c r="E4" s="8">
        <f>F项目收入!G23</f>
        <v>2195.85</v>
      </c>
      <c r="F4" s="8">
        <f>F项目收入!H23</f>
        <v>3244.59</v>
      </c>
      <c r="G4" s="8" t="e">
        <f>F项目收入!#REF!</f>
        <v>#REF!</v>
      </c>
      <c r="H4" s="8" t="e">
        <f>F项目收入!#REF!</f>
        <v>#REF!</v>
      </c>
      <c r="I4" s="8" t="e">
        <f>F项目收入!#REF!</f>
        <v>#REF!</v>
      </c>
      <c r="J4" s="8" t="e">
        <f>F项目收入!#REF!</f>
        <v>#REF!</v>
      </c>
      <c r="K4" s="8" t="e">
        <f>F项目收入!#REF!</f>
        <v>#REF!</v>
      </c>
      <c r="L4" s="8" t="e">
        <f>F项目收入!#REF!</f>
        <v>#REF!</v>
      </c>
      <c r="M4" s="8" t="e">
        <f>F项目收入!#REF!</f>
        <v>#REF!</v>
      </c>
      <c r="N4" s="8" t="e">
        <f>F项目收入!#REF!</f>
        <v>#REF!</v>
      </c>
      <c r="O4" s="8" t="e">
        <f>F项目收入!#REF!</f>
        <v>#REF!</v>
      </c>
      <c r="P4" s="8" t="e">
        <f>F项目收入!#REF!</f>
        <v>#REF!</v>
      </c>
      <c r="Q4" s="8" t="e">
        <f>F项目收入!#REF!</f>
        <v>#REF!</v>
      </c>
      <c r="R4" s="8" t="e">
        <f>F项目收入!#REF!</f>
        <v>#REF!</v>
      </c>
      <c r="S4" s="8" t="e">
        <f>F项目收入!#REF!</f>
        <v>#REF!</v>
      </c>
      <c r="T4" s="8" t="e">
        <f>F项目收入!#REF!</f>
        <v>#REF!</v>
      </c>
      <c r="U4" s="8" t="e">
        <f>F项目收入!#REF!</f>
        <v>#REF!</v>
      </c>
      <c r="V4" s="8" t="e">
        <f>F项目收入!#REF!</f>
        <v>#REF!</v>
      </c>
      <c r="W4" s="8" t="e">
        <f>F项目收入!#REF!</f>
        <v>#REF!</v>
      </c>
      <c r="X4" s="8" t="e">
        <f>F项目收入!#REF!</f>
        <v>#REF!</v>
      </c>
      <c r="Y4" s="8" t="e">
        <f>F项目收入!#REF!</f>
        <v>#REF!</v>
      </c>
    </row>
    <row r="5" customHeight="1" spans="1:25">
      <c r="A5" s="7" t="s">
        <v>644</v>
      </c>
      <c r="B5" s="8">
        <v>0</v>
      </c>
      <c r="C5" s="8">
        <v>0</v>
      </c>
      <c r="D5" s="8">
        <v>0</v>
      </c>
      <c r="E5" s="8">
        <v>0</v>
      </c>
      <c r="F5" s="8">
        <v>0</v>
      </c>
      <c r="G5" s="8">
        <v>0</v>
      </c>
      <c r="H5" s="8">
        <v>0</v>
      </c>
      <c r="I5" s="8">
        <v>0</v>
      </c>
      <c r="J5" s="8">
        <v>0</v>
      </c>
      <c r="K5" s="8">
        <v>0</v>
      </c>
      <c r="L5" s="8">
        <v>0</v>
      </c>
      <c r="M5" s="8">
        <v>0</v>
      </c>
      <c r="N5" s="8">
        <v>0</v>
      </c>
      <c r="O5" s="8">
        <v>0</v>
      </c>
      <c r="P5" s="8">
        <v>0</v>
      </c>
      <c r="Q5" s="8">
        <v>0</v>
      </c>
      <c r="R5" s="8">
        <v>0</v>
      </c>
      <c r="S5" s="8">
        <v>0</v>
      </c>
      <c r="T5" s="8">
        <v>0</v>
      </c>
      <c r="U5" s="8">
        <v>0</v>
      </c>
      <c r="V5" s="8">
        <v>0</v>
      </c>
      <c r="W5" s="8">
        <v>0</v>
      </c>
      <c r="X5" s="8">
        <v>0</v>
      </c>
      <c r="Y5" s="8">
        <v>0</v>
      </c>
    </row>
    <row r="6" customHeight="1" spans="1:25">
      <c r="A6" s="7" t="s">
        <v>80</v>
      </c>
      <c r="B6" s="8">
        <f t="shared" ref="B6" si="0">SUM(B4:B5)</f>
        <v>0</v>
      </c>
      <c r="C6" s="8">
        <f t="shared" ref="C6:U6" si="1">SUM(C4:C5)</f>
        <v>0</v>
      </c>
      <c r="D6" s="8">
        <f t="shared" si="1"/>
        <v>846.684</v>
      </c>
      <c r="E6" s="8">
        <f t="shared" si="1"/>
        <v>2195.85</v>
      </c>
      <c r="F6" s="8">
        <f t="shared" si="1"/>
        <v>3244.59</v>
      </c>
      <c r="G6" s="8" t="e">
        <f t="shared" si="1"/>
        <v>#REF!</v>
      </c>
      <c r="H6" s="8" t="e">
        <f t="shared" si="1"/>
        <v>#REF!</v>
      </c>
      <c r="I6" s="8" t="e">
        <f t="shared" si="1"/>
        <v>#REF!</v>
      </c>
      <c r="J6" s="8" t="e">
        <f t="shared" si="1"/>
        <v>#REF!</v>
      </c>
      <c r="K6" s="8" t="e">
        <f t="shared" si="1"/>
        <v>#REF!</v>
      </c>
      <c r="L6" s="8" t="e">
        <f t="shared" si="1"/>
        <v>#REF!</v>
      </c>
      <c r="M6" s="8" t="e">
        <f t="shared" si="1"/>
        <v>#REF!</v>
      </c>
      <c r="N6" s="8" t="e">
        <f t="shared" si="1"/>
        <v>#REF!</v>
      </c>
      <c r="O6" s="8" t="e">
        <f t="shared" si="1"/>
        <v>#REF!</v>
      </c>
      <c r="P6" s="8" t="e">
        <f t="shared" si="1"/>
        <v>#REF!</v>
      </c>
      <c r="Q6" s="8" t="e">
        <f t="shared" si="1"/>
        <v>#REF!</v>
      </c>
      <c r="R6" s="8" t="e">
        <f t="shared" si="1"/>
        <v>#REF!</v>
      </c>
      <c r="S6" s="8" t="e">
        <f t="shared" si="1"/>
        <v>#REF!</v>
      </c>
      <c r="T6" s="8" t="e">
        <f t="shared" si="1"/>
        <v>#REF!</v>
      </c>
      <c r="U6" s="8" t="e">
        <f t="shared" si="1"/>
        <v>#REF!</v>
      </c>
      <c r="V6" s="8" t="e">
        <f t="shared" ref="V6:Y6" si="2">SUM(V4:V5)</f>
        <v>#REF!</v>
      </c>
      <c r="W6" s="8" t="e">
        <f t="shared" si="2"/>
        <v>#REF!</v>
      </c>
      <c r="X6" s="8" t="e">
        <f t="shared" si="2"/>
        <v>#REF!</v>
      </c>
      <c r="Y6" s="8" t="e">
        <f t="shared" si="2"/>
        <v>#REF!</v>
      </c>
    </row>
  </sheetData>
  <mergeCells count="3">
    <mergeCell ref="A1:Y1"/>
    <mergeCell ref="B2:Y2"/>
    <mergeCell ref="A2:A3"/>
  </mergeCells>
  <pageMargins left="0.75" right="0.75" top="1" bottom="1" header="0.5" footer="0.5"/>
  <headerFooter/>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0">
    <tabColor rgb="FFFFC000"/>
  </sheetPr>
  <dimension ref="A1:AG23"/>
  <sheetViews>
    <sheetView zoomScale="70" zoomScaleNormal="70" topLeftCell="U7" workbookViewId="0">
      <selection activeCell="AH13" sqref="AH13"/>
    </sheetView>
  </sheetViews>
  <sheetFormatPr defaultColWidth="13.7818181818182" defaultRowHeight="28.05" customHeight="1"/>
  <cols>
    <col min="1" max="1" width="13.6636363636364" customWidth="1"/>
    <col min="2" max="2" width="11.2181818181818" customWidth="1"/>
    <col min="3" max="3" width="44.2181818181818" style="18" customWidth="1"/>
    <col min="4" max="4" width="43.8909090909091" style="18" customWidth="1"/>
    <col min="5" max="16374" width="13.7818181818182" customWidth="1"/>
  </cols>
  <sheetData>
    <row r="1" customHeight="1" spans="1:33">
      <c r="A1" s="19" t="s">
        <v>645</v>
      </c>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28" t="s">
        <v>646</v>
      </c>
    </row>
    <row r="2" customHeight="1" spans="1:32">
      <c r="A2" s="20" t="s">
        <v>228</v>
      </c>
      <c r="B2" s="20" t="s">
        <v>1</v>
      </c>
      <c r="C2" s="21" t="s">
        <v>143</v>
      </c>
      <c r="D2" s="21" t="s">
        <v>229</v>
      </c>
      <c r="E2" s="20" t="s">
        <v>86</v>
      </c>
      <c r="F2" s="21" t="s">
        <v>230</v>
      </c>
      <c r="G2" s="2" t="s">
        <v>321</v>
      </c>
      <c r="H2" s="22">
        <v>2025</v>
      </c>
      <c r="I2" s="26">
        <v>2026</v>
      </c>
      <c r="J2" s="22">
        <v>2027</v>
      </c>
      <c r="K2" s="26">
        <v>2028</v>
      </c>
      <c r="L2" s="22">
        <v>2029</v>
      </c>
      <c r="M2" s="26">
        <v>2030</v>
      </c>
      <c r="N2" s="22">
        <v>2031</v>
      </c>
      <c r="O2" s="26">
        <v>2032</v>
      </c>
      <c r="P2" s="22">
        <v>2033</v>
      </c>
      <c r="Q2" s="26">
        <v>2034</v>
      </c>
      <c r="R2" s="22">
        <v>2035</v>
      </c>
      <c r="S2" s="26">
        <v>2036</v>
      </c>
      <c r="T2" s="22">
        <v>2037</v>
      </c>
      <c r="U2" s="26">
        <v>2038</v>
      </c>
      <c r="V2" s="22">
        <v>2039</v>
      </c>
      <c r="W2" s="26">
        <v>2040</v>
      </c>
      <c r="X2" s="22">
        <v>2041</v>
      </c>
      <c r="Y2" s="26">
        <v>2042</v>
      </c>
      <c r="Z2" s="26">
        <v>2043</v>
      </c>
      <c r="AA2" s="26">
        <v>2044</v>
      </c>
      <c r="AB2" s="26">
        <v>2045</v>
      </c>
      <c r="AC2" s="26">
        <v>2046</v>
      </c>
      <c r="AD2" s="26">
        <v>2047</v>
      </c>
      <c r="AE2" s="26">
        <v>2048</v>
      </c>
      <c r="AF2" s="17" t="s">
        <v>80</v>
      </c>
    </row>
    <row r="3" customHeight="1" spans="1:32">
      <c r="A3" s="17"/>
      <c r="B3" s="17"/>
      <c r="C3" s="23"/>
      <c r="D3" s="23"/>
      <c r="E3" s="17"/>
      <c r="F3" s="17"/>
      <c r="G3" s="2"/>
      <c r="H3" s="24" t="s">
        <v>232</v>
      </c>
      <c r="I3" s="27">
        <f>E.1项目运营期费用!I3</f>
        <v>0.7</v>
      </c>
      <c r="J3" s="27">
        <f>E.1项目运营期费用!J3</f>
        <v>0.7</v>
      </c>
      <c r="K3" s="27">
        <f>E.1项目运营期费用!K3</f>
        <v>0.8</v>
      </c>
      <c r="L3" s="27">
        <f>E.1项目运营期费用!L3</f>
        <v>0.9</v>
      </c>
      <c r="M3" s="27" t="e">
        <f>E.1项目运营期费用!#REF!</f>
        <v>#REF!</v>
      </c>
      <c r="N3" s="27" t="e">
        <f>E.1项目运营期费用!#REF!</f>
        <v>#REF!</v>
      </c>
      <c r="O3" s="27" t="e">
        <f>E.1项目运营期费用!#REF!</f>
        <v>#REF!</v>
      </c>
      <c r="P3" s="27" t="e">
        <f>E.1项目运营期费用!#REF!</f>
        <v>#REF!</v>
      </c>
      <c r="Q3" s="27" t="e">
        <f>E.1项目运营期费用!#REF!</f>
        <v>#REF!</v>
      </c>
      <c r="R3" s="27" t="e">
        <f>E.1项目运营期费用!#REF!</f>
        <v>#REF!</v>
      </c>
      <c r="S3" s="27" t="e">
        <f>E.1项目运营期费用!#REF!</f>
        <v>#REF!</v>
      </c>
      <c r="T3" s="27" t="e">
        <f>E.1项目运营期费用!#REF!</f>
        <v>#REF!</v>
      </c>
      <c r="U3" s="27" t="e">
        <f>E.1项目运营期费用!#REF!</f>
        <v>#REF!</v>
      </c>
      <c r="V3" s="27" t="e">
        <f>E.1项目运营期费用!#REF!</f>
        <v>#REF!</v>
      </c>
      <c r="W3" s="27" t="e">
        <f>E.1项目运营期费用!#REF!</f>
        <v>#REF!</v>
      </c>
      <c r="X3" s="27" t="e">
        <f>E.1项目运营期费用!#REF!</f>
        <v>#REF!</v>
      </c>
      <c r="Y3" s="27" t="e">
        <f>E.1项目运营期费用!#REF!</f>
        <v>#REF!</v>
      </c>
      <c r="Z3" s="27" t="e">
        <f>E.1项目运营期费用!#REF!</f>
        <v>#REF!</v>
      </c>
      <c r="AA3" s="27" t="e">
        <f>E.1项目运营期费用!#REF!</f>
        <v>#REF!</v>
      </c>
      <c r="AB3" s="27" t="e">
        <f>E.1项目运营期费用!#REF!</f>
        <v>#REF!</v>
      </c>
      <c r="AC3" s="27" t="e">
        <f>E.1项目运营期费用!#REF!</f>
        <v>#REF!</v>
      </c>
      <c r="AD3" s="27" t="e">
        <f>E.1项目运营期费用!#REF!</f>
        <v>#REF!</v>
      </c>
      <c r="AE3" s="27" t="e">
        <f>E.1项目运营期费用!#REF!</f>
        <v>#REF!</v>
      </c>
      <c r="AF3" s="7" t="s">
        <v>163</v>
      </c>
    </row>
    <row r="4" customHeight="1" spans="1:32">
      <c r="A4" s="11" t="str">
        <f>E.1项目运营期费用!A4</f>
        <v>场地维护成本</v>
      </c>
      <c r="B4" s="11">
        <f>E.1项目运营期费用!B4</f>
        <v>1</v>
      </c>
      <c r="C4" s="25" t="str">
        <f>E.1项目运营期费用!C4</f>
        <v>场地租金</v>
      </c>
      <c r="D4" s="25" t="str">
        <f>E.1项目运营期费用!D4</f>
        <v>按面积×租金单价</v>
      </c>
      <c r="E4" s="7">
        <f>E.1项目运营期费用!E4</f>
        <v>0</v>
      </c>
      <c r="F4" s="7">
        <f>E.1项目运营期费用!F4</f>
        <v>0</v>
      </c>
      <c r="G4" s="7">
        <f>E.1项目运营期费用!G4</f>
        <v>0</v>
      </c>
      <c r="H4" s="7">
        <f>E.1项目运营期费用!H4</f>
        <v>0</v>
      </c>
      <c r="I4" s="7">
        <f>E.1项目运营期费用!I4</f>
        <v>0</v>
      </c>
      <c r="J4" s="7">
        <f>E.1项目运营期费用!J4</f>
        <v>120</v>
      </c>
      <c r="K4" s="7">
        <f>E.1项目运营期费用!K4</f>
        <v>160</v>
      </c>
      <c r="L4" s="7">
        <f>E.1项目运营期费用!L4</f>
        <v>162.4</v>
      </c>
      <c r="M4" s="7" t="e">
        <f>E.1项目运营期费用!#REF!</f>
        <v>#REF!</v>
      </c>
      <c r="N4" s="7" t="e">
        <f>E.1项目运营期费用!#REF!</f>
        <v>#REF!</v>
      </c>
      <c r="O4" s="7" t="e">
        <f>E.1项目运营期费用!#REF!</f>
        <v>#REF!</v>
      </c>
      <c r="P4" s="7" t="e">
        <f>E.1项目运营期费用!#REF!</f>
        <v>#REF!</v>
      </c>
      <c r="Q4" s="7" t="e">
        <f>E.1项目运营期费用!#REF!</f>
        <v>#REF!</v>
      </c>
      <c r="R4" s="7" t="e">
        <f>E.1项目运营期费用!#REF!</f>
        <v>#REF!</v>
      </c>
      <c r="S4" s="7" t="e">
        <f>E.1项目运营期费用!#REF!</f>
        <v>#REF!</v>
      </c>
      <c r="T4" s="7" t="e">
        <f>E.1项目运营期费用!#REF!</f>
        <v>#REF!</v>
      </c>
      <c r="U4" s="7" t="e">
        <f>E.1项目运营期费用!#REF!</f>
        <v>#REF!</v>
      </c>
      <c r="V4" s="7" t="e">
        <f>E.1项目运营期费用!#REF!</f>
        <v>#REF!</v>
      </c>
      <c r="W4" s="7" t="e">
        <f>E.1项目运营期费用!#REF!</f>
        <v>#REF!</v>
      </c>
      <c r="X4" s="7" t="e">
        <f>E.1项目运营期费用!#REF!</f>
        <v>#REF!</v>
      </c>
      <c r="Y4" s="7" t="e">
        <f>E.1项目运营期费用!#REF!</f>
        <v>#REF!</v>
      </c>
      <c r="Z4" s="7" t="e">
        <f>E.1项目运营期费用!#REF!</f>
        <v>#REF!</v>
      </c>
      <c r="AA4" s="7" t="e">
        <f>E.1项目运营期费用!#REF!</f>
        <v>#REF!</v>
      </c>
      <c r="AB4" s="7" t="e">
        <f>E.1项目运营期费用!#REF!</f>
        <v>#REF!</v>
      </c>
      <c r="AC4" s="7" t="e">
        <f>E.1项目运营期费用!#REF!</f>
        <v>#REF!</v>
      </c>
      <c r="AD4" s="7" t="e">
        <f>E.1项目运营期费用!#REF!</f>
        <v>#REF!</v>
      </c>
      <c r="AE4" s="7" t="e">
        <f>E.1项目运营期费用!#REF!</f>
        <v>#REF!</v>
      </c>
      <c r="AF4" s="7">
        <f>E.1项目运营期费用!M4</f>
        <v>442.4</v>
      </c>
    </row>
    <row r="5" customHeight="1" spans="1:32">
      <c r="A5" s="11"/>
      <c r="B5" s="11">
        <f>E.1项目运营期费用!B5</f>
        <v>2</v>
      </c>
      <c r="C5" s="25" t="str">
        <f>E.1项目运营期费用!C5</f>
        <v>场地日常维护（停机坪/起降场/交通枢纽/飞行营地/指挥中心等）</v>
      </c>
      <c r="D5" s="25" t="str">
        <f>E.1项目运营期费用!D5</f>
        <v>按面积 × 单位维护单价（元 / ㎡・年）</v>
      </c>
      <c r="E5" s="7">
        <f>E.1项目运营期费用!E5</f>
        <v>0</v>
      </c>
      <c r="F5" s="7">
        <f>E.1项目运营期费用!F5</f>
        <v>0</v>
      </c>
      <c r="G5" s="7">
        <f>E.1项目运营期费用!G5</f>
        <v>0</v>
      </c>
      <c r="H5" s="7">
        <f>E.1项目运营期费用!H5</f>
        <v>0</v>
      </c>
      <c r="I5" s="7">
        <f>E.1项目运营期费用!I5</f>
        <v>0</v>
      </c>
      <c r="J5" s="7">
        <f>E.1项目运营期费用!J5</f>
        <v>0</v>
      </c>
      <c r="K5" s="7">
        <f>E.1项目运营期费用!K5</f>
        <v>0</v>
      </c>
      <c r="L5" s="7">
        <f>E.1项目运营期费用!L5</f>
        <v>0</v>
      </c>
      <c r="M5" s="7" t="e">
        <f>E.1项目运营期费用!#REF!</f>
        <v>#REF!</v>
      </c>
      <c r="N5" s="7" t="e">
        <f>E.1项目运营期费用!#REF!</f>
        <v>#REF!</v>
      </c>
      <c r="O5" s="7" t="e">
        <f>E.1项目运营期费用!#REF!</f>
        <v>#REF!</v>
      </c>
      <c r="P5" s="7" t="e">
        <f>E.1项目运营期费用!#REF!</f>
        <v>#REF!</v>
      </c>
      <c r="Q5" s="7" t="e">
        <f>E.1项目运营期费用!#REF!</f>
        <v>#REF!</v>
      </c>
      <c r="R5" s="7" t="e">
        <f>E.1项目运营期费用!#REF!</f>
        <v>#REF!</v>
      </c>
      <c r="S5" s="7" t="e">
        <f>E.1项目运营期费用!#REF!</f>
        <v>#REF!</v>
      </c>
      <c r="T5" s="7" t="e">
        <f>E.1项目运营期费用!#REF!</f>
        <v>#REF!</v>
      </c>
      <c r="U5" s="7" t="e">
        <f>E.1项目运营期费用!#REF!</f>
        <v>#REF!</v>
      </c>
      <c r="V5" s="7" t="e">
        <f>E.1项目运营期费用!#REF!</f>
        <v>#REF!</v>
      </c>
      <c r="W5" s="7" t="e">
        <f>E.1项目运营期费用!#REF!</f>
        <v>#REF!</v>
      </c>
      <c r="X5" s="7" t="e">
        <f>E.1项目运营期费用!#REF!</f>
        <v>#REF!</v>
      </c>
      <c r="Y5" s="7" t="e">
        <f>E.1项目运营期费用!#REF!</f>
        <v>#REF!</v>
      </c>
      <c r="Z5" s="7" t="e">
        <f>E.1项目运营期费用!#REF!</f>
        <v>#REF!</v>
      </c>
      <c r="AA5" s="7" t="e">
        <f>E.1项目运营期费用!#REF!</f>
        <v>#REF!</v>
      </c>
      <c r="AB5" s="7" t="e">
        <f>E.1项目运营期费用!#REF!</f>
        <v>#REF!</v>
      </c>
      <c r="AC5" s="7" t="e">
        <f>E.1项目运营期费用!#REF!</f>
        <v>#REF!</v>
      </c>
      <c r="AD5" s="7" t="e">
        <f>E.1项目运营期费用!#REF!</f>
        <v>#REF!</v>
      </c>
      <c r="AE5" s="7" t="e">
        <f>E.1项目运营期费用!#REF!</f>
        <v>#REF!</v>
      </c>
      <c r="AF5" s="7">
        <f>E.1项目运营期费用!M5</f>
        <v>0</v>
      </c>
    </row>
    <row r="6" customHeight="1" spans="1:32">
      <c r="A6" s="11"/>
      <c r="B6" s="11">
        <f>E.1项目运营期费用!B6</f>
        <v>3</v>
      </c>
      <c r="C6" s="25" t="str">
        <f>E.1项目运营期费用!C6</f>
        <v>消防设施年检</v>
      </c>
      <c r="D6" s="25" t="str">
        <f>E.1项目运营期费用!D6</f>
        <v>按设备数量 × 单台年检费（元 / 台・次）</v>
      </c>
      <c r="E6" s="7">
        <f>E.1项目运营期费用!E6</f>
        <v>0</v>
      </c>
      <c r="F6" s="7">
        <f>E.1项目运营期费用!F6</f>
        <v>0</v>
      </c>
      <c r="G6" s="7">
        <f>E.1项目运营期费用!G6</f>
        <v>0</v>
      </c>
      <c r="H6" s="7">
        <f>E.1项目运营期费用!H6</f>
        <v>0</v>
      </c>
      <c r="I6" s="7">
        <f>E.1项目运营期费用!I6</f>
        <v>0</v>
      </c>
      <c r="J6" s="7">
        <f>E.1项目运营期费用!J6</f>
        <v>0</v>
      </c>
      <c r="K6" s="7">
        <f>E.1项目运营期费用!K6</f>
        <v>0</v>
      </c>
      <c r="L6" s="7">
        <f>E.1项目运营期费用!L6</f>
        <v>0</v>
      </c>
      <c r="M6" s="7" t="e">
        <f>E.1项目运营期费用!#REF!</f>
        <v>#REF!</v>
      </c>
      <c r="N6" s="7" t="e">
        <f>E.1项目运营期费用!#REF!</f>
        <v>#REF!</v>
      </c>
      <c r="O6" s="7" t="e">
        <f>E.1项目运营期费用!#REF!</f>
        <v>#REF!</v>
      </c>
      <c r="P6" s="7" t="e">
        <f>E.1项目运营期费用!#REF!</f>
        <v>#REF!</v>
      </c>
      <c r="Q6" s="7" t="e">
        <f>E.1项目运营期费用!#REF!</f>
        <v>#REF!</v>
      </c>
      <c r="R6" s="7" t="e">
        <f>E.1项目运营期费用!#REF!</f>
        <v>#REF!</v>
      </c>
      <c r="S6" s="7" t="e">
        <f>E.1项目运营期费用!#REF!</f>
        <v>#REF!</v>
      </c>
      <c r="T6" s="7" t="e">
        <f>E.1项目运营期费用!#REF!</f>
        <v>#REF!</v>
      </c>
      <c r="U6" s="7" t="e">
        <f>E.1项目运营期费用!#REF!</f>
        <v>#REF!</v>
      </c>
      <c r="V6" s="7" t="e">
        <f>E.1项目运营期费用!#REF!</f>
        <v>#REF!</v>
      </c>
      <c r="W6" s="7" t="e">
        <f>E.1项目运营期费用!#REF!</f>
        <v>#REF!</v>
      </c>
      <c r="X6" s="7" t="e">
        <f>E.1项目运营期费用!#REF!</f>
        <v>#REF!</v>
      </c>
      <c r="Y6" s="7" t="e">
        <f>E.1项目运营期费用!#REF!</f>
        <v>#REF!</v>
      </c>
      <c r="Z6" s="7" t="e">
        <f>E.1项目运营期费用!#REF!</f>
        <v>#REF!</v>
      </c>
      <c r="AA6" s="7" t="e">
        <f>E.1项目运营期费用!#REF!</f>
        <v>#REF!</v>
      </c>
      <c r="AB6" s="7" t="e">
        <f>E.1项目运营期费用!#REF!</f>
        <v>#REF!</v>
      </c>
      <c r="AC6" s="7" t="e">
        <f>E.1项目运营期费用!#REF!</f>
        <v>#REF!</v>
      </c>
      <c r="AD6" s="7" t="e">
        <f>E.1项目运营期费用!#REF!</f>
        <v>#REF!</v>
      </c>
      <c r="AE6" s="7" t="e">
        <f>E.1项目运营期费用!#REF!</f>
        <v>#REF!</v>
      </c>
      <c r="AF6" s="7">
        <f>E.1项目运营期费用!M6</f>
        <v>0</v>
      </c>
    </row>
    <row r="7" customHeight="1" spans="1:32">
      <c r="A7" s="11"/>
      <c r="B7" s="11">
        <f>E.1项目运营期费用!B7</f>
        <v>4</v>
      </c>
      <c r="C7" s="25" t="str">
        <f>E.1项目运营期费用!C7</f>
        <v>防鸟措施（驱鸟器维护）</v>
      </c>
      <c r="D7" s="25" t="str">
        <f>E.1项目运营期费用!D7</f>
        <v>按套数 × 年费（元 / 套・年）+ 耗材费（如驱鸟剂）</v>
      </c>
      <c r="E7" s="7">
        <f>E.1项目运营期费用!E7</f>
        <v>0</v>
      </c>
      <c r="F7" s="7">
        <f>E.1项目运营期费用!F7</f>
        <v>0</v>
      </c>
      <c r="G7" s="7">
        <f>E.1项目运营期费用!G7</f>
        <v>0</v>
      </c>
      <c r="H7" s="7">
        <f>E.1项目运营期费用!H7</f>
        <v>0</v>
      </c>
      <c r="I7" s="7">
        <f>E.1项目运营期费用!I7</f>
        <v>0</v>
      </c>
      <c r="J7" s="7">
        <f>E.1项目运营期费用!J7</f>
        <v>0</v>
      </c>
      <c r="K7" s="7">
        <f>E.1项目运营期费用!K7</f>
        <v>0</v>
      </c>
      <c r="L7" s="7">
        <f>E.1项目运营期费用!L7</f>
        <v>0</v>
      </c>
      <c r="M7" s="7" t="e">
        <f>E.1项目运营期费用!#REF!</f>
        <v>#REF!</v>
      </c>
      <c r="N7" s="7" t="e">
        <f>E.1项目运营期费用!#REF!</f>
        <v>#REF!</v>
      </c>
      <c r="O7" s="7" t="e">
        <f>E.1项目运营期费用!#REF!</f>
        <v>#REF!</v>
      </c>
      <c r="P7" s="7" t="e">
        <f>E.1项目运营期费用!#REF!</f>
        <v>#REF!</v>
      </c>
      <c r="Q7" s="7" t="e">
        <f>E.1项目运营期费用!#REF!</f>
        <v>#REF!</v>
      </c>
      <c r="R7" s="7" t="e">
        <f>E.1项目运营期费用!#REF!</f>
        <v>#REF!</v>
      </c>
      <c r="S7" s="7" t="e">
        <f>E.1项目运营期费用!#REF!</f>
        <v>#REF!</v>
      </c>
      <c r="T7" s="7" t="e">
        <f>E.1项目运营期费用!#REF!</f>
        <v>#REF!</v>
      </c>
      <c r="U7" s="7" t="e">
        <f>E.1项目运营期费用!#REF!</f>
        <v>#REF!</v>
      </c>
      <c r="V7" s="7" t="e">
        <f>E.1项目运营期费用!#REF!</f>
        <v>#REF!</v>
      </c>
      <c r="W7" s="7" t="e">
        <f>E.1项目运营期费用!#REF!</f>
        <v>#REF!</v>
      </c>
      <c r="X7" s="7" t="e">
        <f>E.1项目运营期费用!#REF!</f>
        <v>#REF!</v>
      </c>
      <c r="Y7" s="7" t="e">
        <f>E.1项目运营期费用!#REF!</f>
        <v>#REF!</v>
      </c>
      <c r="Z7" s="7" t="e">
        <f>E.1项目运营期费用!#REF!</f>
        <v>#REF!</v>
      </c>
      <c r="AA7" s="7" t="e">
        <f>E.1项目运营期费用!#REF!</f>
        <v>#REF!</v>
      </c>
      <c r="AB7" s="7" t="e">
        <f>E.1项目运营期费用!#REF!</f>
        <v>#REF!</v>
      </c>
      <c r="AC7" s="7" t="e">
        <f>E.1项目运营期费用!#REF!</f>
        <v>#REF!</v>
      </c>
      <c r="AD7" s="7" t="e">
        <f>E.1项目运营期费用!#REF!</f>
        <v>#REF!</v>
      </c>
      <c r="AE7" s="7" t="e">
        <f>E.1项目运营期费用!#REF!</f>
        <v>#REF!</v>
      </c>
      <c r="AF7" s="7">
        <f>E.1项目运营期费用!M7</f>
        <v>0</v>
      </c>
    </row>
    <row r="8" customHeight="1" spans="1:32">
      <c r="A8" s="11" t="str">
        <f>E.1项目运营期费用!A8</f>
        <v>燃料动力费</v>
      </c>
      <c r="B8" s="11">
        <f>E.1项目运营期费用!B8</f>
        <v>5</v>
      </c>
      <c r="C8" s="25" t="str">
        <f>E.1项目运营期费用!C8</f>
        <v>飞行器能耗</v>
      </c>
      <c r="D8" s="25" t="str">
        <f>E.1项目运营期费用!D8</f>
        <v>按电耗或油耗计算</v>
      </c>
      <c r="E8" s="7">
        <f>E.1项目运营期费用!E8</f>
        <v>0</v>
      </c>
      <c r="F8" s="7">
        <f>E.1项目运营期费用!F8</f>
        <v>0</v>
      </c>
      <c r="G8" s="7">
        <f>E.1项目运营期费用!G8</f>
        <v>0</v>
      </c>
      <c r="H8" s="7">
        <f>E.1项目运营期费用!H8</f>
        <v>0</v>
      </c>
      <c r="I8" s="7">
        <f>E.1项目运营期费用!I8</f>
        <v>0</v>
      </c>
      <c r="J8" s="7">
        <f>E.1项目运营期费用!J8</f>
        <v>0</v>
      </c>
      <c r="K8" s="7">
        <f>E.1项目运营期费用!K8</f>
        <v>0</v>
      </c>
      <c r="L8" s="7">
        <f>E.1项目运营期费用!L8</f>
        <v>0</v>
      </c>
      <c r="M8" s="7" t="e">
        <f>E.1项目运营期费用!#REF!</f>
        <v>#REF!</v>
      </c>
      <c r="N8" s="7" t="e">
        <f>E.1项目运营期费用!#REF!</f>
        <v>#REF!</v>
      </c>
      <c r="O8" s="7" t="e">
        <f>E.1项目运营期费用!#REF!</f>
        <v>#REF!</v>
      </c>
      <c r="P8" s="7" t="e">
        <f>E.1项目运营期费用!#REF!</f>
        <v>#REF!</v>
      </c>
      <c r="Q8" s="7" t="e">
        <f>E.1项目运营期费用!#REF!</f>
        <v>#REF!</v>
      </c>
      <c r="R8" s="7" t="e">
        <f>E.1项目运营期费用!#REF!</f>
        <v>#REF!</v>
      </c>
      <c r="S8" s="7" t="e">
        <f>E.1项目运营期费用!#REF!</f>
        <v>#REF!</v>
      </c>
      <c r="T8" s="7" t="e">
        <f>E.1项目运营期费用!#REF!</f>
        <v>#REF!</v>
      </c>
      <c r="U8" s="7" t="e">
        <f>E.1项目运营期费用!#REF!</f>
        <v>#REF!</v>
      </c>
      <c r="V8" s="7" t="e">
        <f>E.1项目运营期费用!#REF!</f>
        <v>#REF!</v>
      </c>
      <c r="W8" s="7" t="e">
        <f>E.1项目运营期费用!#REF!</f>
        <v>#REF!</v>
      </c>
      <c r="X8" s="7" t="e">
        <f>E.1项目运营期费用!#REF!</f>
        <v>#REF!</v>
      </c>
      <c r="Y8" s="7" t="e">
        <f>E.1项目运营期费用!#REF!</f>
        <v>#REF!</v>
      </c>
      <c r="Z8" s="7" t="e">
        <f>E.1项目运营期费用!#REF!</f>
        <v>#REF!</v>
      </c>
      <c r="AA8" s="7" t="e">
        <f>E.1项目运营期费用!#REF!</f>
        <v>#REF!</v>
      </c>
      <c r="AB8" s="7" t="e">
        <f>E.1项目运营期费用!#REF!</f>
        <v>#REF!</v>
      </c>
      <c r="AC8" s="7" t="e">
        <f>E.1项目运营期费用!#REF!</f>
        <v>#REF!</v>
      </c>
      <c r="AD8" s="7" t="e">
        <f>E.1项目运营期费用!#REF!</f>
        <v>#REF!</v>
      </c>
      <c r="AE8" s="7" t="e">
        <f>E.1项目运营期费用!#REF!</f>
        <v>#REF!</v>
      </c>
      <c r="AF8" s="7">
        <f>E.1项目运营期费用!M8</f>
        <v>0</v>
      </c>
    </row>
    <row r="9" customHeight="1" spans="1:32">
      <c r="A9" s="11"/>
      <c r="B9" s="11">
        <f>E.1项目运营期费用!B9</f>
        <v>6</v>
      </c>
      <c r="C9" s="25" t="str">
        <f>E.1项目运营期费用!C9</f>
        <v>核心设备电力能耗</v>
      </c>
      <c r="D9" s="25" t="str">
        <f>E.1项目运营期费用!D9</f>
        <v>按实际用电量 × 电价（元 / 千瓦 时）</v>
      </c>
      <c r="E9" s="7">
        <f>E.1项目运营期费用!E9</f>
        <v>0</v>
      </c>
      <c r="F9" s="7">
        <f>E.1项目运营期费用!F9</f>
        <v>0</v>
      </c>
      <c r="G9" s="7">
        <f>E.1项目运营期费用!G9</f>
        <v>0</v>
      </c>
      <c r="H9" s="7">
        <f>E.1项目运营期费用!H9</f>
        <v>0</v>
      </c>
      <c r="I9" s="7">
        <f>E.1项目运营期费用!I9</f>
        <v>0</v>
      </c>
      <c r="J9" s="7">
        <f>E.1项目运营期费用!J9</f>
        <v>0</v>
      </c>
      <c r="K9" s="7">
        <f>E.1项目运营期费用!K9</f>
        <v>0</v>
      </c>
      <c r="L9" s="7">
        <f>E.1项目运营期费用!L9</f>
        <v>0</v>
      </c>
      <c r="M9" s="7" t="e">
        <f>E.1项目运营期费用!#REF!</f>
        <v>#REF!</v>
      </c>
      <c r="N9" s="7" t="e">
        <f>E.1项目运营期费用!#REF!</f>
        <v>#REF!</v>
      </c>
      <c r="O9" s="7" t="e">
        <f>E.1项目运营期费用!#REF!</f>
        <v>#REF!</v>
      </c>
      <c r="P9" s="7" t="e">
        <f>E.1项目运营期费用!#REF!</f>
        <v>#REF!</v>
      </c>
      <c r="Q9" s="7" t="e">
        <f>E.1项目运营期费用!#REF!</f>
        <v>#REF!</v>
      </c>
      <c r="R9" s="7" t="e">
        <f>E.1项目运营期费用!#REF!</f>
        <v>#REF!</v>
      </c>
      <c r="S9" s="7" t="e">
        <f>E.1项目运营期费用!#REF!</f>
        <v>#REF!</v>
      </c>
      <c r="T9" s="7" t="e">
        <f>E.1项目运营期费用!#REF!</f>
        <v>#REF!</v>
      </c>
      <c r="U9" s="7" t="e">
        <f>E.1项目运营期费用!#REF!</f>
        <v>#REF!</v>
      </c>
      <c r="V9" s="7" t="e">
        <f>E.1项目运营期费用!#REF!</f>
        <v>#REF!</v>
      </c>
      <c r="W9" s="7" t="e">
        <f>E.1项目运营期费用!#REF!</f>
        <v>#REF!</v>
      </c>
      <c r="X9" s="7" t="e">
        <f>E.1项目运营期费用!#REF!</f>
        <v>#REF!</v>
      </c>
      <c r="Y9" s="7" t="e">
        <f>E.1项目运营期费用!#REF!</f>
        <v>#REF!</v>
      </c>
      <c r="Z9" s="7" t="e">
        <f>E.1项目运营期费用!#REF!</f>
        <v>#REF!</v>
      </c>
      <c r="AA9" s="7" t="e">
        <f>E.1项目运营期费用!#REF!</f>
        <v>#REF!</v>
      </c>
      <c r="AB9" s="7" t="e">
        <f>E.1项目运营期费用!#REF!</f>
        <v>#REF!</v>
      </c>
      <c r="AC9" s="7" t="e">
        <f>E.1项目运营期费用!#REF!</f>
        <v>#REF!</v>
      </c>
      <c r="AD9" s="7" t="e">
        <f>E.1项目运营期费用!#REF!</f>
        <v>#REF!</v>
      </c>
      <c r="AE9" s="7" t="e">
        <f>E.1项目运营期费用!#REF!</f>
        <v>#REF!</v>
      </c>
      <c r="AF9" s="7">
        <f>E.1项目运营期费用!M9</f>
        <v>0</v>
      </c>
    </row>
    <row r="10" customHeight="1" spans="1:32">
      <c r="A10" s="11"/>
      <c r="B10" s="11">
        <f>E.1项目运营期费用!B10</f>
        <v>7</v>
      </c>
      <c r="C10" s="25" t="str">
        <f>E.1项目运营期费用!C10</f>
        <v>水电能耗</v>
      </c>
      <c r="D10" s="25" t="str">
        <f>E.1项目运营期费用!D10</f>
        <v>按面积估算</v>
      </c>
      <c r="E10" s="7">
        <f>E.1项目运营期费用!E10</f>
        <v>0</v>
      </c>
      <c r="F10" s="7">
        <f>E.1项目运营期费用!F10</f>
        <v>0</v>
      </c>
      <c r="G10" s="7">
        <f>E.1项目运营期费用!G10</f>
        <v>0</v>
      </c>
      <c r="H10" s="7">
        <f>E.1项目运营期费用!H10</f>
        <v>0</v>
      </c>
      <c r="I10" s="7">
        <f>E.1项目运营期费用!I10</f>
        <v>0</v>
      </c>
      <c r="J10" s="7">
        <f>E.1项目运营期费用!J10</f>
        <v>10</v>
      </c>
      <c r="K10" s="7">
        <f>E.1项目运营期费用!K10</f>
        <v>10</v>
      </c>
      <c r="L10" s="7">
        <f>E.1项目运营期费用!L10</f>
        <v>10.15</v>
      </c>
      <c r="M10" s="7" t="e">
        <f>E.1项目运营期费用!#REF!</f>
        <v>#REF!</v>
      </c>
      <c r="N10" s="7" t="e">
        <f>E.1项目运营期费用!#REF!</f>
        <v>#REF!</v>
      </c>
      <c r="O10" s="7" t="e">
        <f>E.1项目运营期费用!#REF!</f>
        <v>#REF!</v>
      </c>
      <c r="P10" s="7" t="e">
        <f>E.1项目运营期费用!#REF!</f>
        <v>#REF!</v>
      </c>
      <c r="Q10" s="7" t="e">
        <f>E.1项目运营期费用!#REF!</f>
        <v>#REF!</v>
      </c>
      <c r="R10" s="7" t="e">
        <f>E.1项目运营期费用!#REF!</f>
        <v>#REF!</v>
      </c>
      <c r="S10" s="7" t="e">
        <f>E.1项目运营期费用!#REF!</f>
        <v>#REF!</v>
      </c>
      <c r="T10" s="7" t="e">
        <f>E.1项目运营期费用!#REF!</f>
        <v>#REF!</v>
      </c>
      <c r="U10" s="7" t="e">
        <f>E.1项目运营期费用!#REF!</f>
        <v>#REF!</v>
      </c>
      <c r="V10" s="7" t="e">
        <f>E.1项目运营期费用!#REF!</f>
        <v>#REF!</v>
      </c>
      <c r="W10" s="7" t="e">
        <f>E.1项目运营期费用!#REF!</f>
        <v>#REF!</v>
      </c>
      <c r="X10" s="7" t="e">
        <f>E.1项目运营期费用!#REF!</f>
        <v>#REF!</v>
      </c>
      <c r="Y10" s="7" t="e">
        <f>E.1项目运营期费用!#REF!</f>
        <v>#REF!</v>
      </c>
      <c r="Z10" s="7" t="e">
        <f>E.1项目运营期费用!#REF!</f>
        <v>#REF!</v>
      </c>
      <c r="AA10" s="7" t="e">
        <f>E.1项目运营期费用!#REF!</f>
        <v>#REF!</v>
      </c>
      <c r="AB10" s="7" t="e">
        <f>E.1项目运营期费用!#REF!</f>
        <v>#REF!</v>
      </c>
      <c r="AC10" s="7" t="e">
        <f>E.1项目运营期费用!#REF!</f>
        <v>#REF!</v>
      </c>
      <c r="AD10" s="7" t="e">
        <f>E.1项目运营期费用!#REF!</f>
        <v>#REF!</v>
      </c>
      <c r="AE10" s="7" t="e">
        <f>E.1项目运营期费用!#REF!</f>
        <v>#REF!</v>
      </c>
      <c r="AF10" s="7">
        <f>E.1项目运营期费用!M10</f>
        <v>30.15</v>
      </c>
    </row>
    <row r="11" customHeight="1" spans="1:32">
      <c r="A11" s="11" t="str">
        <f>E.1项目运营期费用!A11</f>
        <v>网络费</v>
      </c>
      <c r="B11" s="11">
        <f>E.1项目运营期费用!B11</f>
        <v>8</v>
      </c>
      <c r="C11" s="25" t="str">
        <f>E.1项目运营期费用!C11</f>
        <v>网络通信费用</v>
      </c>
      <c r="D11" s="25" t="str">
        <f>E.1项目运营期费用!D11</f>
        <v>按年计算租金</v>
      </c>
      <c r="E11" s="7">
        <f>E.1项目运营期费用!E11</f>
        <v>0</v>
      </c>
      <c r="F11" s="7">
        <f>E.1项目运营期费用!F11</f>
        <v>0</v>
      </c>
      <c r="G11" s="7">
        <f>E.1项目运营期费用!G11</f>
        <v>0</v>
      </c>
      <c r="H11" s="7">
        <f>E.1项目运营期费用!H11</f>
        <v>0</v>
      </c>
      <c r="I11" s="7">
        <f>E.1项目运营期费用!I11</f>
        <v>0</v>
      </c>
      <c r="J11" s="7">
        <f>E.1项目运营期费用!J11</f>
        <v>10</v>
      </c>
      <c r="K11" s="7">
        <f>E.1项目运营期费用!K11</f>
        <v>10</v>
      </c>
      <c r="L11" s="7">
        <f>E.1项目运营期费用!L11</f>
        <v>10.15</v>
      </c>
      <c r="M11" s="7" t="e">
        <f>E.1项目运营期费用!#REF!</f>
        <v>#REF!</v>
      </c>
      <c r="N11" s="7" t="e">
        <f>E.1项目运营期费用!#REF!</f>
        <v>#REF!</v>
      </c>
      <c r="O11" s="7" t="e">
        <f>E.1项目运营期费用!#REF!</f>
        <v>#REF!</v>
      </c>
      <c r="P11" s="7" t="e">
        <f>E.1项目运营期费用!#REF!</f>
        <v>#REF!</v>
      </c>
      <c r="Q11" s="7" t="e">
        <f>E.1项目运营期费用!#REF!</f>
        <v>#REF!</v>
      </c>
      <c r="R11" s="7" t="e">
        <f>E.1项目运营期费用!#REF!</f>
        <v>#REF!</v>
      </c>
      <c r="S11" s="7" t="e">
        <f>E.1项目运营期费用!#REF!</f>
        <v>#REF!</v>
      </c>
      <c r="T11" s="7" t="e">
        <f>E.1项目运营期费用!#REF!</f>
        <v>#REF!</v>
      </c>
      <c r="U11" s="7" t="e">
        <f>E.1项目运营期费用!#REF!</f>
        <v>#REF!</v>
      </c>
      <c r="V11" s="7" t="e">
        <f>E.1项目运营期费用!#REF!</f>
        <v>#REF!</v>
      </c>
      <c r="W11" s="7" t="e">
        <f>E.1项目运营期费用!#REF!</f>
        <v>#REF!</v>
      </c>
      <c r="X11" s="7" t="e">
        <f>E.1项目运营期费用!#REF!</f>
        <v>#REF!</v>
      </c>
      <c r="Y11" s="7" t="e">
        <f>E.1项目运营期费用!#REF!</f>
        <v>#REF!</v>
      </c>
      <c r="Z11" s="7" t="e">
        <f>E.1项目运营期费用!#REF!</f>
        <v>#REF!</v>
      </c>
      <c r="AA11" s="7" t="e">
        <f>E.1项目运营期费用!#REF!</f>
        <v>#REF!</v>
      </c>
      <c r="AB11" s="7" t="e">
        <f>E.1项目运营期费用!#REF!</f>
        <v>#REF!</v>
      </c>
      <c r="AC11" s="7" t="e">
        <f>E.1项目运营期费用!#REF!</f>
        <v>#REF!</v>
      </c>
      <c r="AD11" s="7" t="e">
        <f>E.1项目运营期费用!#REF!</f>
        <v>#REF!</v>
      </c>
      <c r="AE11" s="7" t="e">
        <f>E.1项目运营期费用!#REF!</f>
        <v>#REF!</v>
      </c>
      <c r="AF11" s="7">
        <f>E.1项目运营期费用!M11</f>
        <v>30.15</v>
      </c>
    </row>
    <row r="12" customHeight="1" spans="1:32">
      <c r="A12" s="11" t="str">
        <f>E.1项目运营期费用!A12</f>
        <v>硬件维护成本</v>
      </c>
      <c r="B12" s="11">
        <f>E.1项目运营期费用!B12</f>
        <v>9</v>
      </c>
      <c r="C12" s="25" t="str">
        <f>E.1项目运营期费用!C12</f>
        <v>硬件设备维护</v>
      </c>
      <c r="D12" s="25" t="str">
        <f>E.1项目运营期费用!D12</f>
        <v>按照固定资产15%计算</v>
      </c>
      <c r="E12" s="7">
        <f>E.1项目运营期费用!E12</f>
        <v>0</v>
      </c>
      <c r="F12" s="7">
        <f>E.1项目运营期费用!F12</f>
        <v>0</v>
      </c>
      <c r="G12" s="7">
        <f>E.1项目运营期费用!G12</f>
        <v>0</v>
      </c>
      <c r="H12" s="7">
        <f>E.1项目运营期费用!H12</f>
        <v>0</v>
      </c>
      <c r="I12" s="7">
        <f>E.1项目运营期费用!I12</f>
        <v>0</v>
      </c>
      <c r="J12" s="7">
        <f>E.1项目运营期费用!J12</f>
        <v>361.575</v>
      </c>
      <c r="K12" s="7">
        <f>E.1项目运营期费用!K12</f>
        <v>482.1</v>
      </c>
      <c r="L12" s="7">
        <f>E.1项目运营期费用!L12</f>
        <v>489.3315</v>
      </c>
      <c r="M12" s="7" t="e">
        <f>E.1项目运营期费用!#REF!</f>
        <v>#REF!</v>
      </c>
      <c r="N12" s="7" t="e">
        <f>E.1项目运营期费用!#REF!</f>
        <v>#REF!</v>
      </c>
      <c r="O12" s="7" t="e">
        <f>E.1项目运营期费用!#REF!</f>
        <v>#REF!</v>
      </c>
      <c r="P12" s="7" t="e">
        <f>E.1项目运营期费用!#REF!</f>
        <v>#REF!</v>
      </c>
      <c r="Q12" s="7" t="e">
        <f>E.1项目运营期费用!#REF!</f>
        <v>#REF!</v>
      </c>
      <c r="R12" s="7" t="e">
        <f>E.1项目运营期费用!#REF!</f>
        <v>#REF!</v>
      </c>
      <c r="S12" s="7" t="e">
        <f>E.1项目运营期费用!#REF!</f>
        <v>#REF!</v>
      </c>
      <c r="T12" s="7" t="e">
        <f>E.1项目运营期费用!#REF!</f>
        <v>#REF!</v>
      </c>
      <c r="U12" s="7" t="e">
        <f>E.1项目运营期费用!#REF!</f>
        <v>#REF!</v>
      </c>
      <c r="V12" s="7" t="e">
        <f>E.1项目运营期费用!#REF!</f>
        <v>#REF!</v>
      </c>
      <c r="W12" s="7" t="e">
        <f>E.1项目运营期费用!#REF!</f>
        <v>#REF!</v>
      </c>
      <c r="X12" s="7" t="e">
        <f>E.1项目运营期费用!#REF!</f>
        <v>#REF!</v>
      </c>
      <c r="Y12" s="7" t="e">
        <f>E.1项目运营期费用!#REF!</f>
        <v>#REF!</v>
      </c>
      <c r="Z12" s="7" t="e">
        <f>E.1项目运营期费用!#REF!</f>
        <v>#REF!</v>
      </c>
      <c r="AA12" s="7" t="e">
        <f>E.1项目运营期费用!#REF!</f>
        <v>#REF!</v>
      </c>
      <c r="AB12" s="7" t="e">
        <f>E.1项目运营期费用!#REF!</f>
        <v>#REF!</v>
      </c>
      <c r="AC12" s="7" t="e">
        <f>E.1项目运营期费用!#REF!</f>
        <v>#REF!</v>
      </c>
      <c r="AD12" s="7" t="e">
        <f>E.1项目运营期费用!#REF!</f>
        <v>#REF!</v>
      </c>
      <c r="AE12" s="7" t="e">
        <f>E.1项目运营期费用!#REF!</f>
        <v>#REF!</v>
      </c>
      <c r="AF12" s="7">
        <f>E.1项目运营期费用!M12</f>
        <v>1333.0065</v>
      </c>
    </row>
    <row r="13" customHeight="1" spans="1:32">
      <c r="A13" s="11"/>
      <c r="B13" s="11">
        <f>E.1项目运营期费用!B13</f>
        <v>10</v>
      </c>
      <c r="C13" s="25" t="str">
        <f>E.1项目运营期费用!C13</f>
        <v>备品备件储备</v>
      </c>
      <c r="D13" s="25" t="str">
        <f>E.1项目运营期费用!D13</f>
        <v>按年度设备维护预算 × 储备比例 （10%-20%）</v>
      </c>
      <c r="E13" s="7">
        <f>E.1项目运营期费用!E13</f>
        <v>0</v>
      </c>
      <c r="F13" s="7">
        <f>E.1项目运营期费用!F13</f>
        <v>0</v>
      </c>
      <c r="G13" s="7">
        <f>E.1项目运营期费用!G13</f>
        <v>0</v>
      </c>
      <c r="H13" s="7">
        <f>E.1项目运营期费用!H13</f>
        <v>0</v>
      </c>
      <c r="I13" s="7">
        <f>E.1项目运营期费用!I13</f>
        <v>0</v>
      </c>
      <c r="J13" s="7">
        <f>E.1项目运营期费用!J13</f>
        <v>0</v>
      </c>
      <c r="K13" s="7">
        <f>E.1项目运营期费用!K13</f>
        <v>0</v>
      </c>
      <c r="L13" s="7">
        <f>E.1项目运营期费用!L13</f>
        <v>0</v>
      </c>
      <c r="M13" s="7" t="e">
        <f>E.1项目运营期费用!#REF!</f>
        <v>#REF!</v>
      </c>
      <c r="N13" s="7" t="e">
        <f>E.1项目运营期费用!#REF!</f>
        <v>#REF!</v>
      </c>
      <c r="O13" s="7" t="e">
        <f>E.1项目运营期费用!#REF!</f>
        <v>#REF!</v>
      </c>
      <c r="P13" s="7" t="e">
        <f>E.1项目运营期费用!#REF!</f>
        <v>#REF!</v>
      </c>
      <c r="Q13" s="7" t="e">
        <f>E.1项目运营期费用!#REF!</f>
        <v>#REF!</v>
      </c>
      <c r="R13" s="7" t="e">
        <f>E.1项目运营期费用!#REF!</f>
        <v>#REF!</v>
      </c>
      <c r="S13" s="7" t="e">
        <f>E.1项目运营期费用!#REF!</f>
        <v>#REF!</v>
      </c>
      <c r="T13" s="7" t="e">
        <f>E.1项目运营期费用!#REF!</f>
        <v>#REF!</v>
      </c>
      <c r="U13" s="7" t="e">
        <f>E.1项目运营期费用!#REF!</f>
        <v>#REF!</v>
      </c>
      <c r="V13" s="7" t="e">
        <f>E.1项目运营期费用!#REF!</f>
        <v>#REF!</v>
      </c>
      <c r="W13" s="7" t="e">
        <f>E.1项目运营期费用!#REF!</f>
        <v>#REF!</v>
      </c>
      <c r="X13" s="7" t="e">
        <f>E.1项目运营期费用!#REF!</f>
        <v>#REF!</v>
      </c>
      <c r="Y13" s="7" t="e">
        <f>E.1项目运营期费用!#REF!</f>
        <v>#REF!</v>
      </c>
      <c r="Z13" s="7" t="e">
        <f>E.1项目运营期费用!#REF!</f>
        <v>#REF!</v>
      </c>
      <c r="AA13" s="7" t="e">
        <f>E.1项目运营期费用!#REF!</f>
        <v>#REF!</v>
      </c>
      <c r="AB13" s="7" t="e">
        <f>E.1项目运营期费用!#REF!</f>
        <v>#REF!</v>
      </c>
      <c r="AC13" s="7" t="e">
        <f>E.1项目运营期费用!#REF!</f>
        <v>#REF!</v>
      </c>
      <c r="AD13" s="7" t="e">
        <f>E.1项目运营期费用!#REF!</f>
        <v>#REF!</v>
      </c>
      <c r="AE13" s="7" t="e">
        <f>E.1项目运营期费用!#REF!</f>
        <v>#REF!</v>
      </c>
      <c r="AF13" s="7">
        <f>E.1项目运营期费用!M13</f>
        <v>0</v>
      </c>
    </row>
    <row r="14" customHeight="1" spans="1:32">
      <c r="A14" s="11" t="str">
        <f>E.1项目运营期费用!A14</f>
        <v>软件维护费</v>
      </c>
      <c r="B14" s="11">
        <f>E.1项目运营期费用!B14</f>
        <v>11</v>
      </c>
      <c r="C14" s="25" t="str">
        <f>E.1项目运营期费用!C14</f>
        <v>软件维护</v>
      </c>
      <c r="D14" s="25" t="str">
        <f>E.1项目运营期费用!D14</f>
        <v>按无形资产造价的20%计算</v>
      </c>
      <c r="E14" s="7">
        <f>E.1项目运营期费用!E14</f>
        <v>0</v>
      </c>
      <c r="F14" s="7">
        <f>E.1项目运营期费用!F14</f>
        <v>0</v>
      </c>
      <c r="G14" s="7">
        <f>E.1项目运营期费用!G14</f>
        <v>0</v>
      </c>
      <c r="H14" s="7">
        <f>E.1项目运营期费用!H14</f>
        <v>0</v>
      </c>
      <c r="I14" s="7">
        <f>E.1项目运营期费用!I14</f>
        <v>0</v>
      </c>
      <c r="J14" s="7">
        <f>E.1项目运营期费用!J14</f>
        <v>0</v>
      </c>
      <c r="K14" s="7">
        <f>E.1项目运营期费用!K14</f>
        <v>0</v>
      </c>
      <c r="L14" s="7">
        <f>E.1项目运营期费用!L14</f>
        <v>0</v>
      </c>
      <c r="M14" s="7" t="e">
        <f>E.1项目运营期费用!#REF!</f>
        <v>#REF!</v>
      </c>
      <c r="N14" s="7" t="e">
        <f>E.1项目运营期费用!#REF!</f>
        <v>#REF!</v>
      </c>
      <c r="O14" s="7" t="e">
        <f>E.1项目运营期费用!#REF!</f>
        <v>#REF!</v>
      </c>
      <c r="P14" s="7" t="e">
        <f>E.1项目运营期费用!#REF!</f>
        <v>#REF!</v>
      </c>
      <c r="Q14" s="7" t="e">
        <f>E.1项目运营期费用!#REF!</f>
        <v>#REF!</v>
      </c>
      <c r="R14" s="7" t="e">
        <f>E.1项目运营期费用!#REF!</f>
        <v>#REF!</v>
      </c>
      <c r="S14" s="7" t="e">
        <f>E.1项目运营期费用!#REF!</f>
        <v>#REF!</v>
      </c>
      <c r="T14" s="7" t="e">
        <f>E.1项目运营期费用!#REF!</f>
        <v>#REF!</v>
      </c>
      <c r="U14" s="7" t="e">
        <f>E.1项目运营期费用!#REF!</f>
        <v>#REF!</v>
      </c>
      <c r="V14" s="7" t="e">
        <f>E.1项目运营期费用!#REF!</f>
        <v>#REF!</v>
      </c>
      <c r="W14" s="7" t="e">
        <f>E.1项目运营期费用!#REF!</f>
        <v>#REF!</v>
      </c>
      <c r="X14" s="7" t="e">
        <f>E.1项目运营期费用!#REF!</f>
        <v>#REF!</v>
      </c>
      <c r="Y14" s="7" t="e">
        <f>E.1项目运营期费用!#REF!</f>
        <v>#REF!</v>
      </c>
      <c r="Z14" s="7" t="e">
        <f>E.1项目运营期费用!#REF!</f>
        <v>#REF!</v>
      </c>
      <c r="AA14" s="7" t="e">
        <f>E.1项目运营期费用!#REF!</f>
        <v>#REF!</v>
      </c>
      <c r="AB14" s="7" t="e">
        <f>E.1项目运营期费用!#REF!</f>
        <v>#REF!</v>
      </c>
      <c r="AC14" s="7" t="e">
        <f>E.1项目运营期费用!#REF!</f>
        <v>#REF!</v>
      </c>
      <c r="AD14" s="7" t="e">
        <f>E.1项目运营期费用!#REF!</f>
        <v>#REF!</v>
      </c>
      <c r="AE14" s="7" t="e">
        <f>E.1项目运营期费用!#REF!</f>
        <v>#REF!</v>
      </c>
      <c r="AF14" s="7">
        <f>E.1项目运营期费用!M14</f>
        <v>0</v>
      </c>
    </row>
    <row r="15" customHeight="1" spans="1:32">
      <c r="A15" s="11" t="str">
        <f>E.1项目运营期费用!A15</f>
        <v>营销费用</v>
      </c>
      <c r="B15" s="11">
        <f>E.1项目运营期费用!B15</f>
        <v>12</v>
      </c>
      <c r="C15" s="25" t="str">
        <f>E.1项目运营期费用!C15</f>
        <v>营销及活动</v>
      </c>
      <c r="D15" s="25" t="str">
        <f>E.1项目运营期费用!D15</f>
        <v>按年平均营业收入的2%计算</v>
      </c>
      <c r="E15" s="7">
        <f>E.1项目运营期费用!E15</f>
        <v>0</v>
      </c>
      <c r="F15" s="7">
        <f>E.1项目运营期费用!F15</f>
        <v>0</v>
      </c>
      <c r="G15" s="7">
        <f>E.1项目运营期费用!G15</f>
        <v>0</v>
      </c>
      <c r="H15" s="7">
        <f>E.1项目运营期费用!H15</f>
        <v>0</v>
      </c>
      <c r="I15" s="7">
        <f>E.1项目运营期费用!I15</f>
        <v>0</v>
      </c>
      <c r="J15" s="7">
        <f>E.1项目运营期费用!J15</f>
        <v>0</v>
      </c>
      <c r="K15" s="7">
        <f>E.1项目运营期费用!K15</f>
        <v>0</v>
      </c>
      <c r="L15" s="7">
        <f>E.1项目运营期费用!L15</f>
        <v>0</v>
      </c>
      <c r="M15" s="7" t="e">
        <f>E.1项目运营期费用!#REF!</f>
        <v>#REF!</v>
      </c>
      <c r="N15" s="7" t="e">
        <f>E.1项目运营期费用!#REF!</f>
        <v>#REF!</v>
      </c>
      <c r="O15" s="7" t="e">
        <f>E.1项目运营期费用!#REF!</f>
        <v>#REF!</v>
      </c>
      <c r="P15" s="7" t="e">
        <f>E.1项目运营期费用!#REF!</f>
        <v>#REF!</v>
      </c>
      <c r="Q15" s="7" t="e">
        <f>E.1项目运营期费用!#REF!</f>
        <v>#REF!</v>
      </c>
      <c r="R15" s="7" t="e">
        <f>E.1项目运营期费用!#REF!</f>
        <v>#REF!</v>
      </c>
      <c r="S15" s="7" t="e">
        <f>E.1项目运营期费用!#REF!</f>
        <v>#REF!</v>
      </c>
      <c r="T15" s="7" t="e">
        <f>E.1项目运营期费用!#REF!</f>
        <v>#REF!</v>
      </c>
      <c r="U15" s="7" t="e">
        <f>E.1项目运营期费用!#REF!</f>
        <v>#REF!</v>
      </c>
      <c r="V15" s="7" t="e">
        <f>E.1项目运营期费用!#REF!</f>
        <v>#REF!</v>
      </c>
      <c r="W15" s="7" t="e">
        <f>E.1项目运营期费用!#REF!</f>
        <v>#REF!</v>
      </c>
      <c r="X15" s="7" t="e">
        <f>E.1项目运营期费用!#REF!</f>
        <v>#REF!</v>
      </c>
      <c r="Y15" s="7" t="e">
        <f>E.1项目运营期费用!#REF!</f>
        <v>#REF!</v>
      </c>
      <c r="Z15" s="7" t="e">
        <f>E.1项目运营期费用!#REF!</f>
        <v>#REF!</v>
      </c>
      <c r="AA15" s="7" t="e">
        <f>E.1项目运营期费用!#REF!</f>
        <v>#REF!</v>
      </c>
      <c r="AB15" s="7" t="e">
        <f>E.1项目运营期费用!#REF!</f>
        <v>#REF!</v>
      </c>
      <c r="AC15" s="7" t="e">
        <f>E.1项目运营期费用!#REF!</f>
        <v>#REF!</v>
      </c>
      <c r="AD15" s="7" t="e">
        <f>E.1项目运营期费用!#REF!</f>
        <v>#REF!</v>
      </c>
      <c r="AE15" s="7" t="e">
        <f>E.1项目运营期费用!#REF!</f>
        <v>#REF!</v>
      </c>
      <c r="AF15" s="7">
        <f>E.1项目运营期费用!M15</f>
        <v>0</v>
      </c>
    </row>
    <row r="16" customHeight="1" spans="1:32">
      <c r="A16" s="11" t="str">
        <f>E.1项目运营期费用!A16</f>
        <v>工资及福利费</v>
      </c>
      <c r="B16" s="11">
        <f>E.1项目运营期费用!B16</f>
        <v>13</v>
      </c>
      <c r="C16" s="25" t="str">
        <f>E.1项目运营期费用!C16</f>
        <v>人员薪酬</v>
      </c>
      <c r="D16" s="25" t="str">
        <f>E.1项目运营期费用!D16</f>
        <v>按岗位月薪 ×12 + 福利（月薪 ×20%-30%）</v>
      </c>
      <c r="E16" s="7">
        <f>E.1项目运营期费用!E16</f>
        <v>0</v>
      </c>
      <c r="F16" s="7">
        <f>E.1项目运营期费用!F16</f>
        <v>0</v>
      </c>
      <c r="G16" s="7">
        <f>E.1项目运营期费用!G16</f>
        <v>0</v>
      </c>
      <c r="H16" s="7">
        <f>E.1项目运营期费用!H16</f>
        <v>0</v>
      </c>
      <c r="I16" s="7">
        <f>E.1项目运营期费用!I16</f>
        <v>0</v>
      </c>
      <c r="J16" s="7">
        <f>E.1项目运营期费用!J16</f>
        <v>60</v>
      </c>
      <c r="K16" s="7">
        <f>E.1项目运营期费用!K16</f>
        <v>60</v>
      </c>
      <c r="L16" s="7">
        <f>E.1项目运营期费用!L16</f>
        <v>60.9</v>
      </c>
      <c r="M16" s="7" t="e">
        <f>E.1项目运营期费用!#REF!</f>
        <v>#REF!</v>
      </c>
      <c r="N16" s="7" t="e">
        <f>E.1项目运营期费用!#REF!</f>
        <v>#REF!</v>
      </c>
      <c r="O16" s="7" t="e">
        <f>E.1项目运营期费用!#REF!</f>
        <v>#REF!</v>
      </c>
      <c r="P16" s="7" t="e">
        <f>E.1项目运营期费用!#REF!</f>
        <v>#REF!</v>
      </c>
      <c r="Q16" s="7" t="e">
        <f>E.1项目运营期费用!#REF!</f>
        <v>#REF!</v>
      </c>
      <c r="R16" s="7" t="e">
        <f>E.1项目运营期费用!#REF!</f>
        <v>#REF!</v>
      </c>
      <c r="S16" s="7" t="e">
        <f>E.1项目运营期费用!#REF!</f>
        <v>#REF!</v>
      </c>
      <c r="T16" s="7" t="e">
        <f>E.1项目运营期费用!#REF!</f>
        <v>#REF!</v>
      </c>
      <c r="U16" s="7" t="e">
        <f>E.1项目运营期费用!#REF!</f>
        <v>#REF!</v>
      </c>
      <c r="V16" s="7" t="e">
        <f>E.1项目运营期费用!#REF!</f>
        <v>#REF!</v>
      </c>
      <c r="W16" s="7" t="e">
        <f>E.1项目运营期费用!#REF!</f>
        <v>#REF!</v>
      </c>
      <c r="X16" s="7" t="e">
        <f>E.1项目运营期费用!#REF!</f>
        <v>#REF!</v>
      </c>
      <c r="Y16" s="7" t="e">
        <f>E.1项目运营期费用!#REF!</f>
        <v>#REF!</v>
      </c>
      <c r="Z16" s="7" t="e">
        <f>E.1项目运营期费用!#REF!</f>
        <v>#REF!</v>
      </c>
      <c r="AA16" s="7" t="e">
        <f>E.1项目运营期费用!#REF!</f>
        <v>#REF!</v>
      </c>
      <c r="AB16" s="7" t="e">
        <f>E.1项目运营期费用!#REF!</f>
        <v>#REF!</v>
      </c>
      <c r="AC16" s="7" t="e">
        <f>E.1项目运营期费用!#REF!</f>
        <v>#REF!</v>
      </c>
      <c r="AD16" s="7" t="e">
        <f>E.1项目运营期费用!#REF!</f>
        <v>#REF!</v>
      </c>
      <c r="AE16" s="7" t="e">
        <f>E.1项目运营期费用!#REF!</f>
        <v>#REF!</v>
      </c>
      <c r="AF16" s="7">
        <f>E.1项目运营期费用!M16</f>
        <v>180.9</v>
      </c>
    </row>
    <row r="17" customHeight="1" spans="1:32">
      <c r="A17" s="11"/>
      <c r="B17" s="11">
        <f>E.1项目运营期费用!B17</f>
        <v>14</v>
      </c>
      <c r="C17" s="25" t="str">
        <f>E.1项目运营期费用!C17</f>
        <v>培训与资质认证</v>
      </c>
      <c r="D17" s="25" t="str">
        <f>E.1项目运营期费用!D17</f>
        <v>按人次 × 人均培训费（元 / 人 次）</v>
      </c>
      <c r="E17" s="7">
        <f>E.1项目运营期费用!E17</f>
        <v>0</v>
      </c>
      <c r="F17" s="7">
        <f>E.1项目运营期费用!F17</f>
        <v>0</v>
      </c>
      <c r="G17" s="7">
        <f>E.1项目运营期费用!G17</f>
        <v>0</v>
      </c>
      <c r="H17" s="7">
        <f>E.1项目运营期费用!H17</f>
        <v>0</v>
      </c>
      <c r="I17" s="7">
        <f>E.1项目运营期费用!I17</f>
        <v>0</v>
      </c>
      <c r="J17" s="7">
        <f>E.1项目运营期费用!J17</f>
        <v>0</v>
      </c>
      <c r="K17" s="7">
        <f>E.1项目运营期费用!K17</f>
        <v>0</v>
      </c>
      <c r="L17" s="7">
        <f>E.1项目运营期费用!L17</f>
        <v>0</v>
      </c>
      <c r="M17" s="7" t="e">
        <f>E.1项目运营期费用!#REF!</f>
        <v>#REF!</v>
      </c>
      <c r="N17" s="7" t="e">
        <f>E.1项目运营期费用!#REF!</f>
        <v>#REF!</v>
      </c>
      <c r="O17" s="7" t="e">
        <f>E.1项目运营期费用!#REF!</f>
        <v>#REF!</v>
      </c>
      <c r="P17" s="7" t="e">
        <f>E.1项目运营期费用!#REF!</f>
        <v>#REF!</v>
      </c>
      <c r="Q17" s="7" t="e">
        <f>E.1项目运营期费用!#REF!</f>
        <v>#REF!</v>
      </c>
      <c r="R17" s="7" t="e">
        <f>E.1项目运营期费用!#REF!</f>
        <v>#REF!</v>
      </c>
      <c r="S17" s="7" t="e">
        <f>E.1项目运营期费用!#REF!</f>
        <v>#REF!</v>
      </c>
      <c r="T17" s="7" t="e">
        <f>E.1项目运营期费用!#REF!</f>
        <v>#REF!</v>
      </c>
      <c r="U17" s="7" t="e">
        <f>E.1项目运营期费用!#REF!</f>
        <v>#REF!</v>
      </c>
      <c r="V17" s="7" t="e">
        <f>E.1项目运营期费用!#REF!</f>
        <v>#REF!</v>
      </c>
      <c r="W17" s="7" t="e">
        <f>E.1项目运营期费用!#REF!</f>
        <v>#REF!</v>
      </c>
      <c r="X17" s="7" t="e">
        <f>E.1项目运营期费用!#REF!</f>
        <v>#REF!</v>
      </c>
      <c r="Y17" s="7" t="e">
        <f>E.1项目运营期费用!#REF!</f>
        <v>#REF!</v>
      </c>
      <c r="Z17" s="7" t="e">
        <f>E.1项目运营期费用!#REF!</f>
        <v>#REF!</v>
      </c>
      <c r="AA17" s="7" t="e">
        <f>E.1项目运营期费用!#REF!</f>
        <v>#REF!</v>
      </c>
      <c r="AB17" s="7" t="e">
        <f>E.1项目运营期费用!#REF!</f>
        <v>#REF!</v>
      </c>
      <c r="AC17" s="7" t="e">
        <f>E.1项目运营期费用!#REF!</f>
        <v>#REF!</v>
      </c>
      <c r="AD17" s="7" t="e">
        <f>E.1项目运营期费用!#REF!</f>
        <v>#REF!</v>
      </c>
      <c r="AE17" s="7" t="e">
        <f>E.1项目运营期费用!#REF!</f>
        <v>#REF!</v>
      </c>
      <c r="AF17" s="7">
        <f>E.1项目运营期费用!M17</f>
        <v>0</v>
      </c>
    </row>
    <row r="18" customHeight="1" spans="1:32">
      <c r="A18" s="11"/>
      <c r="B18" s="11">
        <f>E.1项目运营期费用!B18</f>
        <v>15</v>
      </c>
      <c r="C18" s="25" t="str">
        <f>E.1项目运营期费用!C18</f>
        <v>办公与行政支出</v>
      </c>
      <c r="D18" s="25" t="str">
        <f>E.1项目运营期费用!D18</f>
        <v>按人员数量 × 人均办公费（元 / 人・月）</v>
      </c>
      <c r="E18" s="7">
        <f>E.1项目运营期费用!E18</f>
        <v>0</v>
      </c>
      <c r="F18" s="7">
        <f>E.1项目运营期费用!F18</f>
        <v>0</v>
      </c>
      <c r="G18" s="7">
        <f>E.1项目运营期费用!G18</f>
        <v>0</v>
      </c>
      <c r="H18" s="7">
        <f>E.1项目运营期费用!H18</f>
        <v>0</v>
      </c>
      <c r="I18" s="7">
        <f>E.1项目运营期费用!I18</f>
        <v>0</v>
      </c>
      <c r="J18" s="7">
        <f>E.1项目运营期费用!J18</f>
        <v>0</v>
      </c>
      <c r="K18" s="7">
        <f>E.1项目运营期费用!K18</f>
        <v>0</v>
      </c>
      <c r="L18" s="7">
        <f>E.1项目运营期费用!L18</f>
        <v>0</v>
      </c>
      <c r="M18" s="7" t="e">
        <f>E.1项目运营期费用!#REF!</f>
        <v>#REF!</v>
      </c>
      <c r="N18" s="7" t="e">
        <f>E.1项目运营期费用!#REF!</f>
        <v>#REF!</v>
      </c>
      <c r="O18" s="7" t="e">
        <f>E.1项目运营期费用!#REF!</f>
        <v>#REF!</v>
      </c>
      <c r="P18" s="7" t="e">
        <f>E.1项目运营期费用!#REF!</f>
        <v>#REF!</v>
      </c>
      <c r="Q18" s="7" t="e">
        <f>E.1项目运营期费用!#REF!</f>
        <v>#REF!</v>
      </c>
      <c r="R18" s="7" t="e">
        <f>E.1项目运营期费用!#REF!</f>
        <v>#REF!</v>
      </c>
      <c r="S18" s="7" t="e">
        <f>E.1项目运营期费用!#REF!</f>
        <v>#REF!</v>
      </c>
      <c r="T18" s="7" t="e">
        <f>E.1项目运营期费用!#REF!</f>
        <v>#REF!</v>
      </c>
      <c r="U18" s="7" t="e">
        <f>E.1项目运营期费用!#REF!</f>
        <v>#REF!</v>
      </c>
      <c r="V18" s="7" t="e">
        <f>E.1项目运营期费用!#REF!</f>
        <v>#REF!</v>
      </c>
      <c r="W18" s="7" t="e">
        <f>E.1项目运营期费用!#REF!</f>
        <v>#REF!</v>
      </c>
      <c r="X18" s="7" t="e">
        <f>E.1项目运营期费用!#REF!</f>
        <v>#REF!</v>
      </c>
      <c r="Y18" s="7" t="e">
        <f>E.1项目运营期费用!#REF!</f>
        <v>#REF!</v>
      </c>
      <c r="Z18" s="7" t="e">
        <f>E.1项目运营期费用!#REF!</f>
        <v>#REF!</v>
      </c>
      <c r="AA18" s="7" t="e">
        <f>E.1项目运营期费用!#REF!</f>
        <v>#REF!</v>
      </c>
      <c r="AB18" s="7" t="e">
        <f>E.1项目运营期费用!#REF!</f>
        <v>#REF!</v>
      </c>
      <c r="AC18" s="7" t="e">
        <f>E.1项目运营期费用!#REF!</f>
        <v>#REF!</v>
      </c>
      <c r="AD18" s="7" t="e">
        <f>E.1项目运营期费用!#REF!</f>
        <v>#REF!</v>
      </c>
      <c r="AE18" s="7" t="e">
        <f>E.1项目运营期费用!#REF!</f>
        <v>#REF!</v>
      </c>
      <c r="AF18" s="7">
        <f>E.1项目运营期费用!M18</f>
        <v>0</v>
      </c>
    </row>
    <row r="19" customHeight="1" spans="1:32">
      <c r="A19" s="11" t="str">
        <f>E.1项目运营期费用!A19</f>
        <v>合规性与安全成本</v>
      </c>
      <c r="B19" s="11">
        <f>E.1项目运营期费用!B19</f>
        <v>16</v>
      </c>
      <c r="C19" s="25" t="str">
        <f>E.1项目运营期费用!C19</f>
        <v>空域使用审批费</v>
      </c>
      <c r="D19" s="25" t="str">
        <f>E.1项目运营期费用!D19</f>
        <v>按空域面积 × 年费率（元 / 平方 公里・年）</v>
      </c>
      <c r="E19" s="7">
        <f>E.1项目运营期费用!E19</f>
        <v>0</v>
      </c>
      <c r="F19" s="7">
        <f>E.1项目运营期费用!F19</f>
        <v>0</v>
      </c>
      <c r="G19" s="7">
        <f>E.1项目运营期费用!G19</f>
        <v>0</v>
      </c>
      <c r="H19" s="7">
        <f>E.1项目运营期费用!H19</f>
        <v>0</v>
      </c>
      <c r="I19" s="7">
        <f>E.1项目运营期费用!I19</f>
        <v>0</v>
      </c>
      <c r="J19" s="7">
        <f>E.1项目运营期费用!J19</f>
        <v>0</v>
      </c>
      <c r="K19" s="7">
        <f>E.1项目运营期费用!K19</f>
        <v>0</v>
      </c>
      <c r="L19" s="7">
        <f>E.1项目运营期费用!L19</f>
        <v>0</v>
      </c>
      <c r="M19" s="7" t="e">
        <f>E.1项目运营期费用!#REF!</f>
        <v>#REF!</v>
      </c>
      <c r="N19" s="7" t="e">
        <f>E.1项目运营期费用!#REF!</f>
        <v>#REF!</v>
      </c>
      <c r="O19" s="7" t="e">
        <f>E.1项目运营期费用!#REF!</f>
        <v>#REF!</v>
      </c>
      <c r="P19" s="7" t="e">
        <f>E.1项目运营期费用!#REF!</f>
        <v>#REF!</v>
      </c>
      <c r="Q19" s="7" t="e">
        <f>E.1项目运营期费用!#REF!</f>
        <v>#REF!</v>
      </c>
      <c r="R19" s="7" t="e">
        <f>E.1项目运营期费用!#REF!</f>
        <v>#REF!</v>
      </c>
      <c r="S19" s="7" t="e">
        <f>E.1项目运营期费用!#REF!</f>
        <v>#REF!</v>
      </c>
      <c r="T19" s="7" t="e">
        <f>E.1项目运营期费用!#REF!</f>
        <v>#REF!</v>
      </c>
      <c r="U19" s="7" t="e">
        <f>E.1项目运营期费用!#REF!</f>
        <v>#REF!</v>
      </c>
      <c r="V19" s="7" t="e">
        <f>E.1项目运营期费用!#REF!</f>
        <v>#REF!</v>
      </c>
      <c r="W19" s="7" t="e">
        <f>E.1项目运营期费用!#REF!</f>
        <v>#REF!</v>
      </c>
      <c r="X19" s="7" t="e">
        <f>E.1项目运营期费用!#REF!</f>
        <v>#REF!</v>
      </c>
      <c r="Y19" s="7" t="e">
        <f>E.1项目运营期费用!#REF!</f>
        <v>#REF!</v>
      </c>
      <c r="Z19" s="7" t="e">
        <f>E.1项目运营期费用!#REF!</f>
        <v>#REF!</v>
      </c>
      <c r="AA19" s="7" t="e">
        <f>E.1项目运营期费用!#REF!</f>
        <v>#REF!</v>
      </c>
      <c r="AB19" s="7" t="e">
        <f>E.1项目运营期费用!#REF!</f>
        <v>#REF!</v>
      </c>
      <c r="AC19" s="7" t="e">
        <f>E.1项目运营期费用!#REF!</f>
        <v>#REF!</v>
      </c>
      <c r="AD19" s="7" t="e">
        <f>E.1项目运营期费用!#REF!</f>
        <v>#REF!</v>
      </c>
      <c r="AE19" s="7" t="e">
        <f>E.1项目运营期费用!#REF!</f>
        <v>#REF!</v>
      </c>
      <c r="AF19" s="7">
        <f>E.1项目运营期费用!M19</f>
        <v>0</v>
      </c>
    </row>
    <row r="20" customHeight="1" spans="1:32">
      <c r="A20" s="11"/>
      <c r="B20" s="11">
        <f>E.1项目运营期费用!B20</f>
        <v>17</v>
      </c>
      <c r="C20" s="25" t="str">
        <f>E.1项目运营期费用!C20</f>
        <v>场地责任险</v>
      </c>
      <c r="D20" s="25" t="str">
        <f>E.1项目运营期费用!D20</f>
        <v>按保额 × 保险费率（年费率 0.1%-0.3%）</v>
      </c>
      <c r="E20" s="7">
        <f>E.1项目运营期费用!E20</f>
        <v>0</v>
      </c>
      <c r="F20" s="7">
        <f>E.1项目运营期费用!F20</f>
        <v>0</v>
      </c>
      <c r="G20" s="7">
        <f>E.1项目运营期费用!G20</f>
        <v>0</v>
      </c>
      <c r="H20" s="7">
        <f>E.1项目运营期费用!H20</f>
        <v>0</v>
      </c>
      <c r="I20" s="7">
        <f>E.1项目运营期费用!I20</f>
        <v>0</v>
      </c>
      <c r="J20" s="7">
        <f>E.1项目运营期费用!J20</f>
        <v>0</v>
      </c>
      <c r="K20" s="7">
        <f>E.1项目运营期费用!K20</f>
        <v>0</v>
      </c>
      <c r="L20" s="7">
        <f>E.1项目运营期费用!L20</f>
        <v>0</v>
      </c>
      <c r="M20" s="7" t="e">
        <f>E.1项目运营期费用!#REF!</f>
        <v>#REF!</v>
      </c>
      <c r="N20" s="7" t="e">
        <f>E.1项目运营期费用!#REF!</f>
        <v>#REF!</v>
      </c>
      <c r="O20" s="7" t="e">
        <f>E.1项目运营期费用!#REF!</f>
        <v>#REF!</v>
      </c>
      <c r="P20" s="7" t="e">
        <f>E.1项目运营期费用!#REF!</f>
        <v>#REF!</v>
      </c>
      <c r="Q20" s="7" t="e">
        <f>E.1项目运营期费用!#REF!</f>
        <v>#REF!</v>
      </c>
      <c r="R20" s="7" t="e">
        <f>E.1项目运营期费用!#REF!</f>
        <v>#REF!</v>
      </c>
      <c r="S20" s="7" t="e">
        <f>E.1项目运营期费用!#REF!</f>
        <v>#REF!</v>
      </c>
      <c r="T20" s="7" t="e">
        <f>E.1项目运营期费用!#REF!</f>
        <v>#REF!</v>
      </c>
      <c r="U20" s="7" t="e">
        <f>E.1项目运营期费用!#REF!</f>
        <v>#REF!</v>
      </c>
      <c r="V20" s="7" t="e">
        <f>E.1项目运营期费用!#REF!</f>
        <v>#REF!</v>
      </c>
      <c r="W20" s="7" t="e">
        <f>E.1项目运营期费用!#REF!</f>
        <v>#REF!</v>
      </c>
      <c r="X20" s="7" t="e">
        <f>E.1项目运营期费用!#REF!</f>
        <v>#REF!</v>
      </c>
      <c r="Y20" s="7" t="e">
        <f>E.1项目运营期费用!#REF!</f>
        <v>#REF!</v>
      </c>
      <c r="Z20" s="7" t="e">
        <f>E.1项目运营期费用!#REF!</f>
        <v>#REF!</v>
      </c>
      <c r="AA20" s="7" t="e">
        <f>E.1项目运营期费用!#REF!</f>
        <v>#REF!</v>
      </c>
      <c r="AB20" s="7" t="e">
        <f>E.1项目运营期费用!#REF!</f>
        <v>#REF!</v>
      </c>
      <c r="AC20" s="7" t="e">
        <f>E.1项目运营期费用!#REF!</f>
        <v>#REF!</v>
      </c>
      <c r="AD20" s="7" t="e">
        <f>E.1项目运营期费用!#REF!</f>
        <v>#REF!</v>
      </c>
      <c r="AE20" s="7" t="e">
        <f>E.1项目运营期费用!#REF!</f>
        <v>#REF!</v>
      </c>
      <c r="AF20" s="7">
        <f>E.1项目运营期费用!M20</f>
        <v>0</v>
      </c>
    </row>
    <row r="21" customHeight="1" spans="1:32">
      <c r="A21" s="11"/>
      <c r="B21" s="11">
        <f>E.1项目运营期费用!B21</f>
        <v>18</v>
      </c>
      <c r="C21" s="25" t="str">
        <f>E.1项目运营期费用!C21</f>
        <v>安全演练与应急处置</v>
      </c>
      <c r="D21" s="25" t="str">
        <f>E.1项目运营期费用!D21</f>
        <v>按次数 × 单次演练成本（元 / 次）</v>
      </c>
      <c r="E21" s="7">
        <f>E.1项目运营期费用!E21</f>
        <v>0</v>
      </c>
      <c r="F21" s="7">
        <f>E.1项目运营期费用!F21</f>
        <v>0</v>
      </c>
      <c r="G21" s="7">
        <f>E.1项目运营期费用!G21</f>
        <v>0</v>
      </c>
      <c r="H21" s="7">
        <f>E.1项目运营期费用!H21</f>
        <v>0</v>
      </c>
      <c r="I21" s="7">
        <f>E.1项目运营期费用!I21</f>
        <v>0</v>
      </c>
      <c r="J21" s="7">
        <f>E.1项目运营期费用!J21</f>
        <v>0</v>
      </c>
      <c r="K21" s="7">
        <f>E.1项目运营期费用!K21</f>
        <v>0</v>
      </c>
      <c r="L21" s="7">
        <f>E.1项目运营期费用!L21</f>
        <v>0</v>
      </c>
      <c r="M21" s="7" t="e">
        <f>E.1项目运营期费用!#REF!</f>
        <v>#REF!</v>
      </c>
      <c r="N21" s="7" t="e">
        <f>E.1项目运营期费用!#REF!</f>
        <v>#REF!</v>
      </c>
      <c r="O21" s="7" t="e">
        <f>E.1项目运营期费用!#REF!</f>
        <v>#REF!</v>
      </c>
      <c r="P21" s="7" t="e">
        <f>E.1项目运营期费用!#REF!</f>
        <v>#REF!</v>
      </c>
      <c r="Q21" s="7" t="e">
        <f>E.1项目运营期费用!#REF!</f>
        <v>#REF!</v>
      </c>
      <c r="R21" s="7" t="e">
        <f>E.1项目运营期费用!#REF!</f>
        <v>#REF!</v>
      </c>
      <c r="S21" s="7" t="e">
        <f>E.1项目运营期费用!#REF!</f>
        <v>#REF!</v>
      </c>
      <c r="T21" s="7" t="e">
        <f>E.1项目运营期费用!#REF!</f>
        <v>#REF!</v>
      </c>
      <c r="U21" s="7" t="e">
        <f>E.1项目运营期费用!#REF!</f>
        <v>#REF!</v>
      </c>
      <c r="V21" s="7" t="e">
        <f>E.1项目运营期费用!#REF!</f>
        <v>#REF!</v>
      </c>
      <c r="W21" s="7" t="e">
        <f>E.1项目运营期费用!#REF!</f>
        <v>#REF!</v>
      </c>
      <c r="X21" s="7" t="e">
        <f>E.1项目运营期费用!#REF!</f>
        <v>#REF!</v>
      </c>
      <c r="Y21" s="7" t="e">
        <f>E.1项目运营期费用!#REF!</f>
        <v>#REF!</v>
      </c>
      <c r="Z21" s="7" t="e">
        <f>E.1项目运营期费用!#REF!</f>
        <v>#REF!</v>
      </c>
      <c r="AA21" s="7" t="e">
        <f>E.1项目运营期费用!#REF!</f>
        <v>#REF!</v>
      </c>
      <c r="AB21" s="7" t="e">
        <f>E.1项目运营期费用!#REF!</f>
        <v>#REF!</v>
      </c>
      <c r="AC21" s="7" t="e">
        <f>E.1项目运营期费用!#REF!</f>
        <v>#REF!</v>
      </c>
      <c r="AD21" s="7" t="e">
        <f>E.1项目运营期费用!#REF!</f>
        <v>#REF!</v>
      </c>
      <c r="AE21" s="7" t="e">
        <f>E.1项目运营期费用!#REF!</f>
        <v>#REF!</v>
      </c>
      <c r="AF21" s="7">
        <f>E.1项目运营期费用!M21</f>
        <v>0</v>
      </c>
    </row>
    <row r="22" customHeight="1" spans="1:32">
      <c r="A22" s="11" t="str">
        <f>E.1项目运营期费用!A22</f>
        <v>其他费用</v>
      </c>
      <c r="B22" s="11">
        <f>E.1项目运营期费用!B22</f>
        <v>19</v>
      </c>
      <c r="C22" s="25" t="str">
        <f>E.1项目运营期费用!C22</f>
        <v>第三方安全评估</v>
      </c>
      <c r="D22" s="25" t="str">
        <f>E.1项目运营期费用!D22</f>
        <v>按项目投资额 × 评估费率 （0.1%-0.3%）</v>
      </c>
      <c r="E22" s="7">
        <f>E.1项目运营期费用!E22</f>
        <v>0</v>
      </c>
      <c r="F22" s="7">
        <f>E.1项目运营期费用!F22</f>
        <v>0</v>
      </c>
      <c r="G22" s="7">
        <f>E.1项目运营期费用!G22</f>
        <v>0</v>
      </c>
      <c r="H22" s="7">
        <f>E.1项目运营期费用!H22</f>
        <v>0</v>
      </c>
      <c r="I22" s="7">
        <f>E.1项目运营期费用!I22</f>
        <v>0</v>
      </c>
      <c r="J22" s="7">
        <f>E.1项目运营期费用!J22</f>
        <v>0</v>
      </c>
      <c r="K22" s="7">
        <f>E.1项目运营期费用!K22</f>
        <v>0</v>
      </c>
      <c r="L22" s="7">
        <f>E.1项目运营期费用!L22</f>
        <v>0</v>
      </c>
      <c r="M22" s="7" t="e">
        <f>E.1项目运营期费用!#REF!</f>
        <v>#REF!</v>
      </c>
      <c r="N22" s="7" t="e">
        <f>E.1项目运营期费用!#REF!</f>
        <v>#REF!</v>
      </c>
      <c r="O22" s="7" t="e">
        <f>E.1项目运营期费用!#REF!</f>
        <v>#REF!</v>
      </c>
      <c r="P22" s="7" t="e">
        <f>E.1项目运营期费用!#REF!</f>
        <v>#REF!</v>
      </c>
      <c r="Q22" s="7" t="e">
        <f>E.1项目运营期费用!#REF!</f>
        <v>#REF!</v>
      </c>
      <c r="R22" s="7" t="e">
        <f>E.1项目运营期费用!#REF!</f>
        <v>#REF!</v>
      </c>
      <c r="S22" s="7" t="e">
        <f>E.1项目运营期费用!#REF!</f>
        <v>#REF!</v>
      </c>
      <c r="T22" s="7" t="e">
        <f>E.1项目运营期费用!#REF!</f>
        <v>#REF!</v>
      </c>
      <c r="U22" s="7" t="e">
        <f>E.1项目运营期费用!#REF!</f>
        <v>#REF!</v>
      </c>
      <c r="V22" s="7" t="e">
        <f>E.1项目运营期费用!#REF!</f>
        <v>#REF!</v>
      </c>
      <c r="W22" s="7" t="e">
        <f>E.1项目运营期费用!#REF!</f>
        <v>#REF!</v>
      </c>
      <c r="X22" s="7" t="e">
        <f>E.1项目运营期费用!#REF!</f>
        <v>#REF!</v>
      </c>
      <c r="Y22" s="7" t="e">
        <f>E.1项目运营期费用!#REF!</f>
        <v>#REF!</v>
      </c>
      <c r="Z22" s="7" t="e">
        <f>E.1项目运营期费用!#REF!</f>
        <v>#REF!</v>
      </c>
      <c r="AA22" s="7" t="e">
        <f>E.1项目运营期费用!#REF!</f>
        <v>#REF!</v>
      </c>
      <c r="AB22" s="7" t="e">
        <f>E.1项目运营期费用!#REF!</f>
        <v>#REF!</v>
      </c>
      <c r="AC22" s="7" t="e">
        <f>E.1项目运营期费用!#REF!</f>
        <v>#REF!</v>
      </c>
      <c r="AD22" s="7" t="e">
        <f>E.1项目运营期费用!#REF!</f>
        <v>#REF!</v>
      </c>
      <c r="AE22" s="7" t="e">
        <f>E.1项目运营期费用!#REF!</f>
        <v>#REF!</v>
      </c>
      <c r="AF22" s="7">
        <f>E.1项目运营期费用!M22</f>
        <v>0</v>
      </c>
    </row>
    <row r="23" customHeight="1" spans="1:32">
      <c r="A23" s="11"/>
      <c r="B23" s="11">
        <f>E.1项目运营期费用!B23</f>
        <v>20</v>
      </c>
      <c r="C23" s="25" t="str">
        <f>E.1项目运营期费用!C23</f>
        <v>不可预见支出</v>
      </c>
      <c r="D23" s="25" t="str">
        <f>E.1项目运营期费用!D23</f>
        <v>按年度总成本 × 计提比例 （5%-10%）</v>
      </c>
      <c r="E23" s="7">
        <f>E.1项目运营期费用!E23</f>
        <v>0</v>
      </c>
      <c r="F23" s="7">
        <f>E.1项目运营期费用!F23</f>
        <v>0</v>
      </c>
      <c r="G23" s="7">
        <f>E.1项目运营期费用!G23</f>
        <v>0</v>
      </c>
      <c r="H23" s="7">
        <f>E.1项目运营期费用!H23</f>
        <v>0</v>
      </c>
      <c r="I23" s="7">
        <f>E.1项目运营期费用!I23</f>
        <v>0</v>
      </c>
      <c r="J23" s="7">
        <f>E.1项目运营期费用!J23</f>
        <v>0</v>
      </c>
      <c r="K23" s="7">
        <f>E.1项目运营期费用!K23</f>
        <v>0</v>
      </c>
      <c r="L23" s="7">
        <f>E.1项目运营期费用!L23</f>
        <v>0</v>
      </c>
      <c r="M23" s="7" t="e">
        <f>E.1项目运营期费用!#REF!</f>
        <v>#REF!</v>
      </c>
      <c r="N23" s="7" t="e">
        <f>E.1项目运营期费用!#REF!</f>
        <v>#REF!</v>
      </c>
      <c r="O23" s="7" t="e">
        <f>E.1项目运营期费用!#REF!</f>
        <v>#REF!</v>
      </c>
      <c r="P23" s="7" t="e">
        <f>E.1项目运营期费用!#REF!</f>
        <v>#REF!</v>
      </c>
      <c r="Q23" s="7" t="e">
        <f>E.1项目运营期费用!#REF!</f>
        <v>#REF!</v>
      </c>
      <c r="R23" s="7" t="e">
        <f>E.1项目运营期费用!#REF!</f>
        <v>#REF!</v>
      </c>
      <c r="S23" s="7" t="e">
        <f>E.1项目运营期费用!#REF!</f>
        <v>#REF!</v>
      </c>
      <c r="T23" s="7" t="e">
        <f>E.1项目运营期费用!#REF!</f>
        <v>#REF!</v>
      </c>
      <c r="U23" s="7" t="e">
        <f>E.1项目运营期费用!#REF!</f>
        <v>#REF!</v>
      </c>
      <c r="V23" s="7" t="e">
        <f>E.1项目运营期费用!#REF!</f>
        <v>#REF!</v>
      </c>
      <c r="W23" s="7" t="e">
        <f>E.1项目运营期费用!#REF!</f>
        <v>#REF!</v>
      </c>
      <c r="X23" s="7" t="e">
        <f>E.1项目运营期费用!#REF!</f>
        <v>#REF!</v>
      </c>
      <c r="Y23" s="7" t="e">
        <f>E.1项目运营期费用!#REF!</f>
        <v>#REF!</v>
      </c>
      <c r="Z23" s="7" t="e">
        <f>E.1项目运营期费用!#REF!</f>
        <v>#REF!</v>
      </c>
      <c r="AA23" s="7" t="e">
        <f>E.1项目运营期费用!#REF!</f>
        <v>#REF!</v>
      </c>
      <c r="AB23" s="7" t="e">
        <f>E.1项目运营期费用!#REF!</f>
        <v>#REF!</v>
      </c>
      <c r="AC23" s="7" t="e">
        <f>E.1项目运营期费用!#REF!</f>
        <v>#REF!</v>
      </c>
      <c r="AD23" s="7" t="e">
        <f>E.1项目运营期费用!#REF!</f>
        <v>#REF!</v>
      </c>
      <c r="AE23" s="7" t="e">
        <f>E.1项目运营期费用!#REF!</f>
        <v>#REF!</v>
      </c>
      <c r="AF23" s="7">
        <f>E.1项目运营期费用!M23</f>
        <v>0</v>
      </c>
    </row>
  </sheetData>
  <mergeCells count="14">
    <mergeCell ref="A1:AF1"/>
    <mergeCell ref="A2:A3"/>
    <mergeCell ref="A4:A7"/>
    <mergeCell ref="A8:A10"/>
    <mergeCell ref="A12:A13"/>
    <mergeCell ref="A16:A18"/>
    <mergeCell ref="A19:A21"/>
    <mergeCell ref="A22:A23"/>
    <mergeCell ref="B2:B3"/>
    <mergeCell ref="C2:C3"/>
    <mergeCell ref="D2:D3"/>
    <mergeCell ref="E2:E3"/>
    <mergeCell ref="F2:F3"/>
    <mergeCell ref="G2:G3"/>
  </mergeCells>
  <pageMargins left="0.75" right="0.75" top="1" bottom="1" header="0.5" footer="0.5"/>
  <headerFooter/>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1">
    <tabColor rgb="FFFFC000"/>
  </sheetPr>
  <dimension ref="A1:Y6"/>
  <sheetViews>
    <sheetView zoomScale="85" zoomScaleNormal="85" workbookViewId="0">
      <selection activeCell="B4" sqref="B4"/>
    </sheetView>
  </sheetViews>
  <sheetFormatPr defaultColWidth="14.7818181818182" defaultRowHeight="28.05" customHeight="1" outlineLevelRow="5"/>
  <cols>
    <col min="1" max="1" width="14.7818181818182" customWidth="1"/>
    <col min="2" max="2" width="6.44545454545455" customWidth="1"/>
    <col min="3" max="4" width="8.66363636363636" customWidth="1"/>
    <col min="5" max="12" width="9.55454545454545" customWidth="1"/>
    <col min="13" max="24" width="8.66363636363636" customWidth="1"/>
    <col min="25" max="25" width="11.5545454545455" customWidth="1"/>
    <col min="26" max="26" width="14.7818181818182" customWidth="1"/>
  </cols>
  <sheetData>
    <row r="1" customHeight="1" spans="1:25">
      <c r="A1" s="14" t="s">
        <v>647</v>
      </c>
      <c r="B1" s="15"/>
      <c r="C1" s="15"/>
      <c r="D1" s="15"/>
      <c r="E1" s="15"/>
      <c r="F1" s="15"/>
      <c r="G1" s="15"/>
      <c r="H1" s="15"/>
      <c r="I1" s="15"/>
      <c r="J1" s="15"/>
      <c r="K1" s="15"/>
      <c r="L1" s="15"/>
      <c r="M1" s="15"/>
      <c r="N1" s="15"/>
      <c r="O1" s="15"/>
      <c r="P1" s="15"/>
      <c r="Q1" s="15"/>
      <c r="R1" s="15"/>
      <c r="S1" s="15"/>
      <c r="T1" s="15"/>
      <c r="U1" s="15"/>
      <c r="V1" s="15"/>
      <c r="W1" s="15"/>
      <c r="X1" s="15"/>
      <c r="Y1" s="15"/>
    </row>
    <row r="2" customHeight="1" spans="1:25">
      <c r="A2" s="16" t="s">
        <v>283</v>
      </c>
      <c r="B2" s="2" t="s">
        <v>642</v>
      </c>
      <c r="C2" s="2"/>
      <c r="D2" s="2"/>
      <c r="E2" s="2"/>
      <c r="F2" s="2"/>
      <c r="G2" s="2"/>
      <c r="H2" s="2"/>
      <c r="I2" s="2"/>
      <c r="J2" s="2"/>
      <c r="K2" s="2"/>
      <c r="L2" s="2"/>
      <c r="M2" s="2"/>
      <c r="N2" s="2"/>
      <c r="O2" s="2"/>
      <c r="P2" s="2"/>
      <c r="Q2" s="2"/>
      <c r="R2" s="2"/>
      <c r="S2" s="2"/>
      <c r="T2" s="2"/>
      <c r="U2" s="2"/>
      <c r="V2" s="2"/>
      <c r="W2" s="2"/>
      <c r="X2" s="2"/>
      <c r="Y2" s="2"/>
    </row>
    <row r="3" customHeight="1" spans="1:25">
      <c r="A3" s="17"/>
      <c r="B3" s="11">
        <v>2025</v>
      </c>
      <c r="C3" s="11">
        <v>2026</v>
      </c>
      <c r="D3" s="11">
        <v>2027</v>
      </c>
      <c r="E3" s="11">
        <v>2028</v>
      </c>
      <c r="F3" s="11">
        <v>2029</v>
      </c>
      <c r="G3" s="11">
        <v>2030</v>
      </c>
      <c r="H3" s="11">
        <v>2031</v>
      </c>
      <c r="I3" s="11">
        <v>2032</v>
      </c>
      <c r="J3" s="11">
        <v>2033</v>
      </c>
      <c r="K3" s="11">
        <v>2034</v>
      </c>
      <c r="L3" s="11">
        <v>2035</v>
      </c>
      <c r="M3" s="11">
        <v>2036</v>
      </c>
      <c r="N3" s="11">
        <v>2037</v>
      </c>
      <c r="O3" s="11">
        <v>2038</v>
      </c>
      <c r="P3" s="11">
        <v>2039</v>
      </c>
      <c r="Q3" s="11">
        <v>2040</v>
      </c>
      <c r="R3" s="11">
        <v>2041</v>
      </c>
      <c r="S3" s="11">
        <v>2042</v>
      </c>
      <c r="T3" s="11">
        <v>2043</v>
      </c>
      <c r="U3" s="11">
        <v>2044</v>
      </c>
      <c r="V3" s="11">
        <v>2045</v>
      </c>
      <c r="W3" s="11">
        <v>2046</v>
      </c>
      <c r="X3" s="11">
        <v>2047</v>
      </c>
      <c r="Y3" s="11">
        <v>2048</v>
      </c>
    </row>
    <row r="4" customHeight="1" spans="1:25">
      <c r="A4" s="7" t="s">
        <v>648</v>
      </c>
      <c r="B4" s="12">
        <f>Ⅲ项目分年度收入合计表!B6</f>
        <v>0</v>
      </c>
      <c r="C4" s="12">
        <f>Ⅲ项目分年度收入合计表!C6</f>
        <v>0</v>
      </c>
      <c r="D4" s="12">
        <f>Ⅲ项目分年度收入合计表!D6</f>
        <v>846.684</v>
      </c>
      <c r="E4" s="12">
        <f>Ⅲ项目分年度收入合计表!E6</f>
        <v>2195.85</v>
      </c>
      <c r="F4" s="12">
        <f>Ⅲ项目分年度收入合计表!F6</f>
        <v>3244.59</v>
      </c>
      <c r="G4" s="12" t="e">
        <f>Ⅲ项目分年度收入合计表!G6</f>
        <v>#REF!</v>
      </c>
      <c r="H4" s="12" t="e">
        <f>Ⅲ项目分年度收入合计表!H6</f>
        <v>#REF!</v>
      </c>
      <c r="I4" s="12" t="e">
        <f>Ⅲ项目分年度收入合计表!I6</f>
        <v>#REF!</v>
      </c>
      <c r="J4" s="12" t="e">
        <f>Ⅲ项目分年度收入合计表!J6</f>
        <v>#REF!</v>
      </c>
      <c r="K4" s="12" t="e">
        <f>Ⅲ项目分年度收入合计表!K6</f>
        <v>#REF!</v>
      </c>
      <c r="L4" s="12" t="e">
        <f>Ⅲ项目分年度收入合计表!L6</f>
        <v>#REF!</v>
      </c>
      <c r="M4" s="12" t="e">
        <f>Ⅲ项目分年度收入合计表!M6</f>
        <v>#REF!</v>
      </c>
      <c r="N4" s="12" t="e">
        <f>Ⅲ项目分年度收入合计表!N6</f>
        <v>#REF!</v>
      </c>
      <c r="O4" s="12" t="e">
        <f>Ⅲ项目分年度收入合计表!O6</f>
        <v>#REF!</v>
      </c>
      <c r="P4" s="12" t="e">
        <f>Ⅲ项目分年度收入合计表!P6</f>
        <v>#REF!</v>
      </c>
      <c r="Q4" s="12" t="e">
        <f>Ⅲ项目分年度收入合计表!Q6</f>
        <v>#REF!</v>
      </c>
      <c r="R4" s="12" t="e">
        <f>Ⅲ项目分年度收入合计表!R6</f>
        <v>#REF!</v>
      </c>
      <c r="S4" s="12" t="e">
        <f>Ⅲ项目分年度收入合计表!S6</f>
        <v>#REF!</v>
      </c>
      <c r="T4" s="12" t="e">
        <f>Ⅲ项目分年度收入合计表!T6</f>
        <v>#REF!</v>
      </c>
      <c r="U4" s="12" t="e">
        <f>Ⅲ项目分年度收入合计表!U6</f>
        <v>#REF!</v>
      </c>
      <c r="V4" s="12" t="e">
        <f>Ⅲ项目分年度收入合计表!V6</f>
        <v>#REF!</v>
      </c>
      <c r="W4" s="12" t="e">
        <f>Ⅲ项目分年度收入合计表!W6</f>
        <v>#REF!</v>
      </c>
      <c r="X4" s="12" t="e">
        <f>Ⅲ项目分年度收入合计表!X6</f>
        <v>#REF!</v>
      </c>
      <c r="Y4" s="12" t="e">
        <f>Ⅲ项目分年度收入合计表!Y6</f>
        <v>#REF!</v>
      </c>
    </row>
    <row r="5" customHeight="1" spans="1:25">
      <c r="A5" s="7" t="s">
        <v>649</v>
      </c>
      <c r="B5" s="12">
        <f>E总成本费用估算表!C15</f>
        <v>0</v>
      </c>
      <c r="C5" s="12">
        <f>E总成本费用估算表!D15</f>
        <v>0</v>
      </c>
      <c r="D5" s="12">
        <f>E总成本费用估算表!E15</f>
        <v>1057.2894356511</v>
      </c>
      <c r="E5" s="12">
        <f>E总成本费用估算表!F15</f>
        <v>1200.66873359292</v>
      </c>
      <c r="F5" s="12">
        <f>E总成本费用估算表!G15</f>
        <v>2509.12089599726</v>
      </c>
      <c r="G5" s="12" t="e">
        <f>E总成本费用估算表!#REF!</f>
        <v>#REF!</v>
      </c>
      <c r="H5" s="12" t="e">
        <f>E总成本费用估算表!#REF!</f>
        <v>#REF!</v>
      </c>
      <c r="I5" s="12" t="e">
        <f>E总成本费用估算表!#REF!</f>
        <v>#REF!</v>
      </c>
      <c r="J5" s="12" t="e">
        <f>E总成本费用估算表!#REF!</f>
        <v>#REF!</v>
      </c>
      <c r="K5" s="12" t="e">
        <f>E总成本费用估算表!#REF!</f>
        <v>#REF!</v>
      </c>
      <c r="L5" s="12" t="e">
        <f>E总成本费用估算表!#REF!</f>
        <v>#REF!</v>
      </c>
      <c r="M5" s="12" t="e">
        <f>E总成本费用估算表!#REF!</f>
        <v>#REF!</v>
      </c>
      <c r="N5" s="12" t="e">
        <f>E总成本费用估算表!#REF!</f>
        <v>#REF!</v>
      </c>
      <c r="O5" s="12" t="e">
        <f>E总成本费用估算表!#REF!</f>
        <v>#REF!</v>
      </c>
      <c r="P5" s="12" t="e">
        <f>E总成本费用估算表!#REF!</f>
        <v>#REF!</v>
      </c>
      <c r="Q5" s="12" t="e">
        <f>E总成本费用估算表!#REF!</f>
        <v>#REF!</v>
      </c>
      <c r="R5" s="12" t="e">
        <f>E总成本费用估算表!#REF!</f>
        <v>#REF!</v>
      </c>
      <c r="S5" s="12" t="e">
        <f>E总成本费用估算表!#REF!</f>
        <v>#REF!</v>
      </c>
      <c r="T5" s="12" t="e">
        <f>E总成本费用估算表!#REF!</f>
        <v>#REF!</v>
      </c>
      <c r="U5" s="12" t="e">
        <f>E总成本费用估算表!#REF!</f>
        <v>#REF!</v>
      </c>
      <c r="V5" s="12" t="e">
        <f>E总成本费用估算表!#REF!</f>
        <v>#REF!</v>
      </c>
      <c r="W5" s="12" t="e">
        <f>E总成本费用估算表!#REF!</f>
        <v>#REF!</v>
      </c>
      <c r="X5" s="12" t="e">
        <f>E总成本费用估算表!#REF!</f>
        <v>#REF!</v>
      </c>
      <c r="Y5" s="12" t="e">
        <f>E总成本费用估算表!#REF!</f>
        <v>#REF!</v>
      </c>
    </row>
    <row r="6" customHeight="1" spans="1:25">
      <c r="A6" s="7" t="s">
        <v>650</v>
      </c>
      <c r="B6" s="12">
        <f>B4-B5</f>
        <v>0</v>
      </c>
      <c r="C6" s="12">
        <f t="shared" ref="C6:M6" si="0">C4-C5</f>
        <v>0</v>
      </c>
      <c r="D6" s="12">
        <f t="shared" si="0"/>
        <v>-210.605435651103</v>
      </c>
      <c r="E6" s="12">
        <f t="shared" si="0"/>
        <v>995.181266407077</v>
      </c>
      <c r="F6" s="12">
        <f t="shared" si="0"/>
        <v>735.469104002744</v>
      </c>
      <c r="G6" s="12" t="e">
        <f t="shared" si="0"/>
        <v>#REF!</v>
      </c>
      <c r="H6" s="12" t="e">
        <f t="shared" si="0"/>
        <v>#REF!</v>
      </c>
      <c r="I6" s="12" t="e">
        <f t="shared" si="0"/>
        <v>#REF!</v>
      </c>
      <c r="J6" s="12" t="e">
        <f t="shared" si="0"/>
        <v>#REF!</v>
      </c>
      <c r="K6" s="12" t="e">
        <f t="shared" si="0"/>
        <v>#REF!</v>
      </c>
      <c r="L6" s="12" t="e">
        <f t="shared" si="0"/>
        <v>#REF!</v>
      </c>
      <c r="M6" s="12" t="e">
        <f t="shared" si="0"/>
        <v>#REF!</v>
      </c>
      <c r="N6" s="12" t="e">
        <f t="shared" ref="N6:Y6" si="1">N4-N5</f>
        <v>#REF!</v>
      </c>
      <c r="O6" s="12" t="e">
        <f t="shared" si="1"/>
        <v>#REF!</v>
      </c>
      <c r="P6" s="12" t="e">
        <f t="shared" si="1"/>
        <v>#REF!</v>
      </c>
      <c r="Q6" s="12" t="e">
        <f t="shared" si="1"/>
        <v>#REF!</v>
      </c>
      <c r="R6" s="12" t="e">
        <f t="shared" si="1"/>
        <v>#REF!</v>
      </c>
      <c r="S6" s="12" t="e">
        <f t="shared" si="1"/>
        <v>#REF!</v>
      </c>
      <c r="T6" s="12" t="e">
        <f t="shared" si="1"/>
        <v>#REF!</v>
      </c>
      <c r="U6" s="12" t="e">
        <f t="shared" si="1"/>
        <v>#REF!</v>
      </c>
      <c r="V6" s="12" t="e">
        <f t="shared" si="1"/>
        <v>#REF!</v>
      </c>
      <c r="W6" s="12" t="e">
        <f t="shared" si="1"/>
        <v>#REF!</v>
      </c>
      <c r="X6" s="12" t="e">
        <f t="shared" si="1"/>
        <v>#REF!</v>
      </c>
      <c r="Y6" s="12" t="e">
        <f t="shared" si="1"/>
        <v>#REF!</v>
      </c>
    </row>
  </sheetData>
  <mergeCells count="3">
    <mergeCell ref="A1:Y1"/>
    <mergeCell ref="B2:Y2"/>
    <mergeCell ref="A2:A3"/>
  </mergeCells>
  <pageMargins left="0.75" right="0.75" top="1" bottom="1" header="0.5" footer="0.5"/>
  <headerFooter/>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2">
    <tabColor rgb="FFFFC000"/>
  </sheetPr>
  <dimension ref="A1:Z8"/>
  <sheetViews>
    <sheetView zoomScale="70" zoomScaleNormal="70" topLeftCell="B1" workbookViewId="0">
      <selection activeCell="Y3" sqref="Y3"/>
    </sheetView>
  </sheetViews>
  <sheetFormatPr defaultColWidth="14.7818181818182" defaultRowHeight="28.95" customHeight="1" outlineLevelRow="7"/>
  <cols>
    <col min="2" max="2" width="9.89090909090909" customWidth="1"/>
    <col min="3" max="22" width="11.2181818181818" customWidth="1"/>
    <col min="23" max="24" width="12.2181818181818" customWidth="1"/>
    <col min="25" max="25" width="11.2181818181818" customWidth="1"/>
  </cols>
  <sheetData>
    <row r="1" customHeight="1" spans="1:25">
      <c r="A1" s="10" t="s">
        <v>651</v>
      </c>
      <c r="B1" s="10"/>
      <c r="C1" s="10"/>
      <c r="D1" s="10"/>
      <c r="E1" s="10"/>
      <c r="F1" s="10"/>
      <c r="G1" s="10"/>
      <c r="H1" s="10"/>
      <c r="I1" s="10"/>
      <c r="J1" s="10"/>
      <c r="K1" s="10"/>
      <c r="L1" s="10"/>
      <c r="M1" s="10"/>
      <c r="N1" s="10"/>
      <c r="O1" s="10"/>
      <c r="P1" s="10"/>
      <c r="Q1" s="10"/>
      <c r="R1" s="10"/>
      <c r="S1" s="10"/>
      <c r="T1" s="10"/>
      <c r="U1" s="10"/>
      <c r="V1" s="10"/>
      <c r="W1" s="10"/>
      <c r="X1" s="10"/>
      <c r="Y1" s="10"/>
    </row>
    <row r="2" customHeight="1" spans="1:25">
      <c r="A2" s="2" t="s">
        <v>652</v>
      </c>
      <c r="B2" s="11">
        <v>2025</v>
      </c>
      <c r="C2" s="11">
        <v>2026</v>
      </c>
      <c r="D2" s="11">
        <v>2027</v>
      </c>
      <c r="E2" s="11">
        <v>2028</v>
      </c>
      <c r="F2" s="11">
        <v>2029</v>
      </c>
      <c r="G2" s="11">
        <v>2030</v>
      </c>
      <c r="H2" s="11">
        <v>2031</v>
      </c>
      <c r="I2" s="11">
        <v>2032</v>
      </c>
      <c r="J2" s="11">
        <v>2033</v>
      </c>
      <c r="K2" s="11">
        <v>2034</v>
      </c>
      <c r="L2" s="11">
        <v>2035</v>
      </c>
      <c r="M2" s="11">
        <v>2036</v>
      </c>
      <c r="N2" s="11">
        <v>2037</v>
      </c>
      <c r="O2" s="11">
        <v>2038</v>
      </c>
      <c r="P2" s="11">
        <v>2039</v>
      </c>
      <c r="Q2" s="11">
        <v>2040</v>
      </c>
      <c r="R2" s="11">
        <v>2041</v>
      </c>
      <c r="S2" s="11">
        <v>2042</v>
      </c>
      <c r="T2" s="11">
        <v>2043</v>
      </c>
      <c r="U2" s="11">
        <v>2044</v>
      </c>
      <c r="V2" s="11">
        <v>2045</v>
      </c>
      <c r="W2" s="11">
        <v>2046</v>
      </c>
      <c r="X2" s="11">
        <v>2047</v>
      </c>
      <c r="Y2" s="11">
        <v>2048</v>
      </c>
    </row>
    <row r="3" customHeight="1" spans="1:26">
      <c r="A3" s="2" t="s">
        <v>653</v>
      </c>
      <c r="B3" s="12">
        <f>c借款还本付息计划表!E40-c借款还本付息计划表!D40</f>
        <v>1175</v>
      </c>
      <c r="C3" s="12">
        <f>c借款还本付息计划表!F40-c借款还本付息计划表!E40</f>
        <v>11590</v>
      </c>
      <c r="D3" s="12">
        <f>c借款还本付息计划表!G40-c借款还本付息计划表!F40</f>
        <v>8705</v>
      </c>
      <c r="E3" s="12">
        <f>c借款还本付息计划表!H40-c借款还本付息计划表!G40</f>
        <v>7530</v>
      </c>
      <c r="F3" s="12">
        <f>c借款还本付息计划表!I40-c借款还本付息计划表!H40</f>
        <v>0</v>
      </c>
      <c r="G3" s="12">
        <f>c借款还本付息计划表!J40-c借款还本付息计划表!I40</f>
        <v>0</v>
      </c>
      <c r="H3" s="12">
        <f>c借款还本付息计划表!K40-c借款还本付息计划表!J40</f>
        <v>0</v>
      </c>
      <c r="I3" s="12">
        <f>c借款还本付息计划表!L40-c借款还本付息计划表!K40</f>
        <v>0</v>
      </c>
      <c r="J3" s="12">
        <f>c借款还本付息计划表!M40-c借款还本付息计划表!L40</f>
        <v>0</v>
      </c>
      <c r="K3" s="12">
        <f>c借款还本付息计划表!N40-c借款还本付息计划表!M40</f>
        <v>0</v>
      </c>
      <c r="L3" s="12">
        <f>c借款还本付息计划表!O40-c借款还本付息计划表!N40</f>
        <v>0</v>
      </c>
      <c r="M3" s="12">
        <f>c借款还本付息计划表!P40-c借款还本付息计划表!O40</f>
        <v>0</v>
      </c>
      <c r="N3" s="12">
        <f>c借款还本付息计划表!Q40-c借款还本付息计划表!P40</f>
        <v>0</v>
      </c>
      <c r="O3" s="12">
        <f>c借款还本付息计划表!R40-c借款还本付息计划表!Q40</f>
        <v>0</v>
      </c>
      <c r="P3" s="12">
        <f>c借款还本付息计划表!S40-c借款还本付息计划表!R40</f>
        <v>0</v>
      </c>
      <c r="Q3" s="12">
        <f>c借款还本付息计划表!T40-c借款还本付息计划表!S40</f>
        <v>0</v>
      </c>
      <c r="R3" s="12">
        <f>c借款还本付息计划表!U40-c借款还本付息计划表!T40</f>
        <v>0</v>
      </c>
      <c r="S3" s="12">
        <f>c借款还本付息计划表!V40-c借款还本付息计划表!U40</f>
        <v>0</v>
      </c>
      <c r="T3" s="12">
        <f>c借款还本付息计划表!W40-c借款还本付息计划表!V40</f>
        <v>0</v>
      </c>
      <c r="U3" s="12">
        <f>c借款还本付息计划表!X40-c借款还本付息计划表!W40</f>
        <v>0</v>
      </c>
      <c r="V3" s="12">
        <f>c借款还本付息计划表!Y40-c借款还本付息计划表!X40</f>
        <v>-1175</v>
      </c>
      <c r="W3" s="12">
        <f>c借款还本付息计划表!Z40-c借款还本付息计划表!Y40</f>
        <v>-11590</v>
      </c>
      <c r="X3" s="12">
        <f>c借款还本付息计划表!AA40-c借款还本付息计划表!Z40</f>
        <v>-8705</v>
      </c>
      <c r="Y3" s="12">
        <v>0</v>
      </c>
      <c r="Z3" s="13" t="s">
        <v>654</v>
      </c>
    </row>
    <row r="4" customHeight="1" spans="1:26">
      <c r="A4" s="2" t="s">
        <v>655</v>
      </c>
      <c r="B4" s="12">
        <f>c借款还本付息计划表!D42</f>
        <v>0</v>
      </c>
      <c r="C4" s="12">
        <f>c借款还本付息计划表!E42</f>
        <v>0</v>
      </c>
      <c r="D4" s="12">
        <f>c借款还本付息计划表!F42</f>
        <v>0</v>
      </c>
      <c r="E4" s="12">
        <f>c借款还本付息计划表!G42</f>
        <v>0</v>
      </c>
      <c r="F4" s="12">
        <f>c借款还本付息计划表!H42</f>
        <v>0</v>
      </c>
      <c r="G4" s="12">
        <f>c借款还本付息计划表!I42</f>
        <v>0</v>
      </c>
      <c r="H4" s="12">
        <f>c借款还本付息计划表!J42</f>
        <v>0</v>
      </c>
      <c r="I4" s="12">
        <f>c借款还本付息计划表!K42</f>
        <v>0</v>
      </c>
      <c r="J4" s="12">
        <f>c借款还本付息计划表!L42</f>
        <v>0</v>
      </c>
      <c r="K4" s="12">
        <f>c借款还本付息计划表!M42</f>
        <v>0</v>
      </c>
      <c r="L4" s="12">
        <f>c借款还本付息计划表!N42</f>
        <v>0</v>
      </c>
      <c r="M4" s="12">
        <f>c借款还本付息计划表!O42</f>
        <v>0</v>
      </c>
      <c r="N4" s="12">
        <f>c借款还本付息计划表!P42</f>
        <v>0</v>
      </c>
      <c r="O4" s="12">
        <f>c借款还本付息计划表!Q42</f>
        <v>0</v>
      </c>
      <c r="P4" s="12">
        <f>c借款还本付息计划表!R42</f>
        <v>0</v>
      </c>
      <c r="Q4" s="12">
        <f>c借款还本付息计划表!S42</f>
        <v>0</v>
      </c>
      <c r="R4" s="12">
        <f>c借款还本付息计划表!T42</f>
        <v>0</v>
      </c>
      <c r="S4" s="12">
        <f>c借款还本付息计划表!U42</f>
        <v>0</v>
      </c>
      <c r="T4" s="12">
        <f>c借款还本付息计划表!V42</f>
        <v>0</v>
      </c>
      <c r="U4" s="12">
        <f>c借款还本付息计划表!W42</f>
        <v>0</v>
      </c>
      <c r="V4" s="12">
        <f>c借款还本付息计划表!X42</f>
        <v>1175</v>
      </c>
      <c r="W4" s="12">
        <f>c借款还本付息计划表!Y42</f>
        <v>11590</v>
      </c>
      <c r="X4" s="12">
        <f>c借款还本付息计划表!Z42</f>
        <v>8705</v>
      </c>
      <c r="Y4" s="12">
        <f>c借款还本付息计划表!AA42</f>
        <v>7530</v>
      </c>
      <c r="Z4" s="13" t="s">
        <v>656</v>
      </c>
    </row>
    <row r="5" customHeight="1" spans="1:25">
      <c r="A5" s="2" t="s">
        <v>657</v>
      </c>
      <c r="B5" s="12">
        <f>c借款还本付息计划表!D44</f>
        <v>1175</v>
      </c>
      <c r="C5" s="12">
        <f>c借款还本付息计划表!E44</f>
        <v>12765</v>
      </c>
      <c r="D5" s="12">
        <f>c借款还本付息计划表!F44</f>
        <v>21470</v>
      </c>
      <c r="E5" s="12">
        <f>c借款还本付息计划表!G44</f>
        <v>29000</v>
      </c>
      <c r="F5" s="12">
        <f>c借款还本付息计划表!H44</f>
        <v>29000</v>
      </c>
      <c r="G5" s="12">
        <f>c借款还本付息计划表!I44</f>
        <v>29000</v>
      </c>
      <c r="H5" s="12">
        <f>c借款还本付息计划表!J44</f>
        <v>29000</v>
      </c>
      <c r="I5" s="12">
        <f>c借款还本付息计划表!K44</f>
        <v>29000</v>
      </c>
      <c r="J5" s="12">
        <f>c借款还本付息计划表!L44</f>
        <v>29000</v>
      </c>
      <c r="K5" s="12">
        <f>c借款还本付息计划表!M44</f>
        <v>29000</v>
      </c>
      <c r="L5" s="12">
        <f>c借款还本付息计划表!N44</f>
        <v>29000</v>
      </c>
      <c r="M5" s="12">
        <f>c借款还本付息计划表!O44</f>
        <v>29000</v>
      </c>
      <c r="N5" s="12">
        <f>c借款还本付息计划表!P44</f>
        <v>29000</v>
      </c>
      <c r="O5" s="12">
        <f>c借款还本付息计划表!Q44</f>
        <v>29000</v>
      </c>
      <c r="P5" s="12">
        <f>c借款还本付息计划表!R44</f>
        <v>29000</v>
      </c>
      <c r="Q5" s="12">
        <f>c借款还本付息计划表!S44</f>
        <v>29000</v>
      </c>
      <c r="R5" s="12">
        <f>c借款还本付息计划表!T44</f>
        <v>29000</v>
      </c>
      <c r="S5" s="12">
        <f>c借款还本付息计划表!U44</f>
        <v>29000</v>
      </c>
      <c r="T5" s="12">
        <f>c借款还本付息计划表!V44</f>
        <v>29000</v>
      </c>
      <c r="U5" s="12">
        <f>c借款还本付息计划表!W44</f>
        <v>29000</v>
      </c>
      <c r="V5" s="12">
        <f>c借款还本付息计划表!X44</f>
        <v>27825</v>
      </c>
      <c r="W5" s="12">
        <f>c借款还本付息计划表!Y44</f>
        <v>16235</v>
      </c>
      <c r="X5" s="12">
        <f>c借款还本付息计划表!Z44</f>
        <v>7530</v>
      </c>
      <c r="Y5" s="12">
        <f>c借款还本付息计划表!AA44</f>
        <v>0</v>
      </c>
    </row>
    <row r="6" customHeight="1" spans="1:25">
      <c r="A6" s="2" t="s">
        <v>658</v>
      </c>
      <c r="B6" s="9">
        <v>0.0212</v>
      </c>
      <c r="C6" s="9">
        <v>0.0212</v>
      </c>
      <c r="D6" s="9">
        <v>0.0212</v>
      </c>
      <c r="E6" s="9">
        <v>0.0212</v>
      </c>
      <c r="F6" s="9">
        <v>0.0212</v>
      </c>
      <c r="G6" s="9">
        <v>0.0212</v>
      </c>
      <c r="H6" s="9">
        <v>0.0212</v>
      </c>
      <c r="I6" s="9">
        <v>0.0212</v>
      </c>
      <c r="J6" s="9">
        <v>0.0212</v>
      </c>
      <c r="K6" s="9">
        <v>0.0212</v>
      </c>
      <c r="L6" s="9">
        <v>0.0212</v>
      </c>
      <c r="M6" s="9">
        <v>0.0212</v>
      </c>
      <c r="N6" s="9">
        <v>0.0212</v>
      </c>
      <c r="O6" s="9">
        <v>0.0212</v>
      </c>
      <c r="P6" s="9">
        <v>0.0212</v>
      </c>
      <c r="Q6" s="9">
        <v>0.0212</v>
      </c>
      <c r="R6" s="9">
        <v>0.0212</v>
      </c>
      <c r="S6" s="9">
        <v>0.0212</v>
      </c>
      <c r="T6" s="9">
        <v>0.0212</v>
      </c>
      <c r="U6" s="9">
        <v>0.0212</v>
      </c>
      <c r="V6" s="9">
        <v>0.0212</v>
      </c>
      <c r="W6" s="9">
        <v>0.0212</v>
      </c>
      <c r="X6" s="9">
        <v>0.0212</v>
      </c>
      <c r="Y6" s="9">
        <v>0.0212</v>
      </c>
    </row>
    <row r="7" customHeight="1" spans="1:25">
      <c r="A7" s="2" t="s">
        <v>659</v>
      </c>
      <c r="B7" s="12">
        <f>c借款还本付息计划表!D43</f>
        <v>0</v>
      </c>
      <c r="C7" s="12">
        <f>c借款还本付息计划表!E43</f>
        <v>24.91</v>
      </c>
      <c r="D7" s="12">
        <f>c借款还本付息计划表!F43</f>
        <v>270.618</v>
      </c>
      <c r="E7" s="12">
        <f>c借款还本付息计划表!G43</f>
        <v>455.164</v>
      </c>
      <c r="F7" s="12">
        <f>c借款还本付息计划表!H43</f>
        <v>614.8</v>
      </c>
      <c r="G7" s="12">
        <f>c借款还本付息计划表!I43</f>
        <v>614.8</v>
      </c>
      <c r="H7" s="12">
        <f>c借款还本付息计划表!J43</f>
        <v>614.8</v>
      </c>
      <c r="I7" s="12">
        <f>c借款还本付息计划表!K43</f>
        <v>614.8</v>
      </c>
      <c r="J7" s="12">
        <f>c借款还本付息计划表!L43</f>
        <v>614.8</v>
      </c>
      <c r="K7" s="12">
        <f>c借款还本付息计划表!M43</f>
        <v>614.8</v>
      </c>
      <c r="L7" s="12">
        <f>c借款还本付息计划表!N43</f>
        <v>614.8</v>
      </c>
      <c r="M7" s="12">
        <f>c借款还本付息计划表!O43</f>
        <v>614.8</v>
      </c>
      <c r="N7" s="12">
        <f>c借款还本付息计划表!P43</f>
        <v>614.8</v>
      </c>
      <c r="O7" s="12">
        <f>c借款还本付息计划表!Q43</f>
        <v>614.8</v>
      </c>
      <c r="P7" s="12">
        <f>c借款还本付息计划表!R43</f>
        <v>614.8</v>
      </c>
      <c r="Q7" s="12">
        <f>c借款还本付息计划表!S43</f>
        <v>614.8</v>
      </c>
      <c r="R7" s="12">
        <f>c借款还本付息计划表!T43</f>
        <v>614.8</v>
      </c>
      <c r="S7" s="12">
        <f>c借款还本付息计划表!U43</f>
        <v>614.8</v>
      </c>
      <c r="T7" s="12">
        <f>c借款还本付息计划表!V43</f>
        <v>614.8</v>
      </c>
      <c r="U7" s="12">
        <f>c借款还本付息计划表!W43</f>
        <v>614.8</v>
      </c>
      <c r="V7" s="12">
        <f>c借款还本付息计划表!X43</f>
        <v>614.8</v>
      </c>
      <c r="W7" s="12">
        <f>c借款还本付息计划表!Y43</f>
        <v>589.89</v>
      </c>
      <c r="X7" s="12">
        <f>c借款还本付息计划表!Z43</f>
        <v>344.182</v>
      </c>
      <c r="Y7" s="12">
        <f>c借款还本付息计划表!AA43</f>
        <v>159.636</v>
      </c>
    </row>
    <row r="8" customHeight="1" spans="1:25">
      <c r="A8" s="2" t="s">
        <v>660</v>
      </c>
      <c r="B8" s="12">
        <f>B7+B4</f>
        <v>0</v>
      </c>
      <c r="C8" s="12">
        <f t="shared" ref="C8:Y8" si="0">C7+C4</f>
        <v>24.91</v>
      </c>
      <c r="D8" s="12">
        <f t="shared" si="0"/>
        <v>270.618</v>
      </c>
      <c r="E8" s="12">
        <f t="shared" si="0"/>
        <v>455.164</v>
      </c>
      <c r="F8" s="12">
        <f t="shared" si="0"/>
        <v>614.8</v>
      </c>
      <c r="G8" s="12">
        <f t="shared" si="0"/>
        <v>614.8</v>
      </c>
      <c r="H8" s="12">
        <f t="shared" si="0"/>
        <v>614.8</v>
      </c>
      <c r="I8" s="12">
        <f t="shared" si="0"/>
        <v>614.8</v>
      </c>
      <c r="J8" s="12">
        <f t="shared" si="0"/>
        <v>614.8</v>
      </c>
      <c r="K8" s="12">
        <f t="shared" si="0"/>
        <v>614.8</v>
      </c>
      <c r="L8" s="12">
        <f t="shared" si="0"/>
        <v>614.8</v>
      </c>
      <c r="M8" s="12">
        <f t="shared" si="0"/>
        <v>614.8</v>
      </c>
      <c r="N8" s="12">
        <f t="shared" si="0"/>
        <v>614.8</v>
      </c>
      <c r="O8" s="12">
        <f t="shared" si="0"/>
        <v>614.8</v>
      </c>
      <c r="P8" s="12">
        <f t="shared" si="0"/>
        <v>614.8</v>
      </c>
      <c r="Q8" s="12">
        <f t="shared" si="0"/>
        <v>614.8</v>
      </c>
      <c r="R8" s="12">
        <f t="shared" si="0"/>
        <v>614.8</v>
      </c>
      <c r="S8" s="12">
        <f t="shared" si="0"/>
        <v>614.8</v>
      </c>
      <c r="T8" s="12">
        <f t="shared" si="0"/>
        <v>614.8</v>
      </c>
      <c r="U8" s="12">
        <f t="shared" si="0"/>
        <v>614.8</v>
      </c>
      <c r="V8" s="12">
        <f t="shared" si="0"/>
        <v>1789.8</v>
      </c>
      <c r="W8" s="12">
        <f t="shared" si="0"/>
        <v>12179.89</v>
      </c>
      <c r="X8" s="12">
        <f t="shared" si="0"/>
        <v>9049.182</v>
      </c>
      <c r="Y8" s="12">
        <f t="shared" si="0"/>
        <v>7689.636</v>
      </c>
    </row>
  </sheetData>
  <mergeCells count="1">
    <mergeCell ref="A1:Y1"/>
  </mergeCells>
  <pageMargins left="0.75" right="0.75" top="1" bottom="1" header="0.5" footer="0.5"/>
  <headerFooter/>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3">
    <tabColor rgb="FFFFC000"/>
  </sheetPr>
  <dimension ref="A3"/>
  <sheetViews>
    <sheetView workbookViewId="0">
      <selection activeCell="I12" sqref="I12"/>
    </sheetView>
  </sheetViews>
  <sheetFormatPr defaultColWidth="15.7818181818182" defaultRowHeight="28.05" customHeight="1" outlineLevelRow="2"/>
  <sheetData>
    <row r="3" ht="40.95" customHeight="1"/>
  </sheetData>
  <pageMargins left="0.75" right="0.75" top="1" bottom="1" header="0.5" footer="0.5"/>
  <headerFooter/>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4">
    <tabColor rgb="FFFFC000"/>
  </sheetPr>
  <dimension ref="A1:H13"/>
  <sheetViews>
    <sheetView zoomScale="85" zoomScaleNormal="85" workbookViewId="0">
      <selection activeCell="J6" sqref="J6"/>
    </sheetView>
  </sheetViews>
  <sheetFormatPr defaultColWidth="15.7818181818182" defaultRowHeight="28.05" customHeight="1" outlineLevelCol="7"/>
  <cols>
    <col min="1" max="1" width="29.6636363636364" customWidth="1"/>
    <col min="2" max="2" width="12.6636363636364" customWidth="1"/>
    <col min="3" max="3" width="15.7818181818182" customWidth="1"/>
  </cols>
  <sheetData>
    <row r="1" customHeight="1" spans="1:8">
      <c r="A1" s="1" t="s">
        <v>661</v>
      </c>
      <c r="B1" s="1"/>
      <c r="C1" s="1"/>
      <c r="D1" s="1"/>
      <c r="E1" s="1"/>
      <c r="F1" s="1"/>
      <c r="G1" s="1"/>
      <c r="H1" s="1"/>
    </row>
    <row r="2" customHeight="1" spans="1:8">
      <c r="A2" s="2" t="s">
        <v>662</v>
      </c>
      <c r="B2" s="3">
        <v>-0.15</v>
      </c>
      <c r="C2" s="3">
        <v>-0.1</v>
      </c>
      <c r="D2" s="3">
        <v>-0.05</v>
      </c>
      <c r="E2" s="3">
        <v>0</v>
      </c>
      <c r="F2" s="3">
        <v>0.05</v>
      </c>
      <c r="G2" s="3">
        <v>0.1</v>
      </c>
      <c r="H2" s="3">
        <v>0.15</v>
      </c>
    </row>
    <row r="3" customHeight="1" spans="1:8">
      <c r="A3" s="4" t="s">
        <v>663</v>
      </c>
      <c r="B3" s="5"/>
      <c r="C3" s="5"/>
      <c r="D3" s="5"/>
      <c r="E3" s="5"/>
      <c r="F3" s="5"/>
      <c r="G3" s="5"/>
      <c r="H3" s="6"/>
    </row>
    <row r="4" customHeight="1" spans="1:8">
      <c r="A4" s="7" t="s">
        <v>664</v>
      </c>
      <c r="B4" s="8">
        <v>1.01384088611287</v>
      </c>
      <c r="C4" s="8">
        <v>1.07755630035954</v>
      </c>
      <c r="D4" s="8">
        <v>1.1412717146062</v>
      </c>
      <c r="E4" s="8">
        <v>1.20498712885287</v>
      </c>
      <c r="F4" s="8">
        <v>1.26870254309954</v>
      </c>
      <c r="G4" s="8">
        <v>1.33241795734621</v>
      </c>
      <c r="H4" s="8">
        <v>1.39613337159288</v>
      </c>
    </row>
    <row r="5" customHeight="1" spans="1:8">
      <c r="A5" s="4" t="s">
        <v>665</v>
      </c>
      <c r="B5" s="5"/>
      <c r="C5" s="5"/>
      <c r="D5" s="5"/>
      <c r="E5" s="5"/>
      <c r="F5" s="5"/>
      <c r="G5" s="5"/>
      <c r="H5" s="6"/>
    </row>
    <row r="6" customHeight="1" spans="1:8">
      <c r="A6" s="7" t="s">
        <v>664</v>
      </c>
      <c r="B6" s="8">
        <v>1.24975542898756</v>
      </c>
      <c r="C6" s="8">
        <v>1.234832662276</v>
      </c>
      <c r="D6" s="8">
        <v>1.21990989556444</v>
      </c>
      <c r="E6" s="8">
        <v>1.20498712885287</v>
      </c>
      <c r="F6" s="8">
        <v>1.19006436214131</v>
      </c>
      <c r="G6" s="8">
        <v>1.17514159542975</v>
      </c>
      <c r="H6" s="8">
        <v>1.16021882871819</v>
      </c>
    </row>
    <row r="7" customHeight="1" spans="1:8">
      <c r="A7" s="4" t="s">
        <v>666</v>
      </c>
      <c r="B7" s="5"/>
      <c r="C7" s="5"/>
      <c r="D7" s="5"/>
      <c r="E7" s="5"/>
      <c r="F7" s="5"/>
      <c r="G7" s="5"/>
      <c r="H7" s="6"/>
    </row>
    <row r="8" customHeight="1" spans="1:8">
      <c r="A8" s="7" t="s">
        <v>664</v>
      </c>
      <c r="B8" s="8">
        <v>1.24912145043156</v>
      </c>
      <c r="C8" s="8">
        <v>1.23395690645851</v>
      </c>
      <c r="D8" s="8">
        <v>1.21925233776385</v>
      </c>
      <c r="E8" s="8">
        <v>1.20498712885287</v>
      </c>
      <c r="F8" s="8">
        <v>1.1911418780433</v>
      </c>
      <c r="G8" s="8">
        <v>1.17769830942666</v>
      </c>
      <c r="H8" s="8">
        <v>1.16463919238266</v>
      </c>
    </row>
    <row r="11" customHeight="1" spans="1:3">
      <c r="A11" s="7"/>
      <c r="B11" s="7"/>
      <c r="C11" s="9"/>
    </row>
    <row r="12" customHeight="1" spans="1:3">
      <c r="A12" s="7"/>
      <c r="B12" s="7"/>
      <c r="C12" s="9"/>
    </row>
    <row r="13" customHeight="1" spans="1:3">
      <c r="A13" s="7" t="s">
        <v>667</v>
      </c>
      <c r="B13" s="7"/>
      <c r="C13" s="9"/>
    </row>
  </sheetData>
  <mergeCells count="4">
    <mergeCell ref="A1:H1"/>
    <mergeCell ref="A3:H3"/>
    <mergeCell ref="A5:H5"/>
    <mergeCell ref="A7:H7"/>
  </mergeCells>
  <pageMargins left="0.75" right="0.75" top="1" bottom="1" header="0.5" footer="0.5"/>
  <pageSetup paperSize="9"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18435" name="Button 3" r:id="rId3">
              <controlPr print="0" defaultSize="0">
                <anchor moveWithCells="1" sizeWithCells="1">
                  <from>
                    <xdr:col>7</xdr:col>
                    <xdr:colOff>137160</xdr:colOff>
                    <xdr:row>9</xdr:row>
                    <xdr:rowOff>0</xdr:rowOff>
                  </from>
                  <to>
                    <xdr:col>7</xdr:col>
                    <xdr:colOff>1013460</xdr:colOff>
                    <xdr:row>9</xdr:row>
                    <xdr:rowOff>297180</xdr:rowOff>
                  </to>
                </anchor>
              </controlPr>
            </control>
          </mc:Choice>
        </mc:AlternateContent>
        <mc:AlternateContent xmlns:mc="http://schemas.openxmlformats.org/markup-compatibility/2006">
          <mc:Choice Requires="x14">
            <control shapeId="18436" name="Button 4" r:id="rId4">
              <controlPr print="0" defaultSize="0">
                <anchor moveWithCells="1" sizeWithCells="1">
                  <from>
                    <xdr:col>6</xdr:col>
                    <xdr:colOff>182880</xdr:colOff>
                    <xdr:row>8</xdr:row>
                    <xdr:rowOff>358140</xdr:rowOff>
                  </from>
                  <to>
                    <xdr:col>6</xdr:col>
                    <xdr:colOff>1036320</xdr:colOff>
                    <xdr:row>9</xdr:row>
                    <xdr:rowOff>297180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34</vt:i4>
      </vt:variant>
    </vt:vector>
  </HeadingPairs>
  <TitlesOfParts>
    <vt:vector size="34" baseType="lpstr">
      <vt:lpstr>A财务假设</vt:lpstr>
      <vt:lpstr>B项目信息</vt:lpstr>
      <vt:lpstr>C.1项目融资信息</vt:lpstr>
      <vt:lpstr>C.2项目每年借款信息</vt:lpstr>
      <vt:lpstr>D.1建设投资</vt:lpstr>
      <vt:lpstr>D.2项目总投资使用计划与资金筹措表</vt:lpstr>
      <vt:lpstr>D.3建设投资分年计划表</vt:lpstr>
      <vt:lpstr>D.4流动资金估算表</vt:lpstr>
      <vt:lpstr>E总成本费用估算表</vt:lpstr>
      <vt:lpstr>E.1项目运营期费用</vt:lpstr>
      <vt:lpstr>E.1.1项目运营期费用(不含税）</vt:lpstr>
      <vt:lpstr>E.2固定资产折旧费估算表</vt:lpstr>
      <vt:lpstr>E.3无形资产和其他资产摊销费估算表</vt:lpstr>
      <vt:lpstr>E.4建设投资税后金额表</vt:lpstr>
      <vt:lpstr>F项目收入</vt:lpstr>
      <vt:lpstr>F.1项目单项收入信息</vt:lpstr>
      <vt:lpstr>G.税金及附加测算表</vt:lpstr>
      <vt:lpstr>G.1进项增值税率-建设投资</vt:lpstr>
      <vt:lpstr>G.2进项增值税率-运营成本</vt:lpstr>
      <vt:lpstr>G.3销项增值税率</vt:lpstr>
      <vt:lpstr>a.1财务现金流量表</vt:lpstr>
      <vt:lpstr>a.2项目资本金现金流量表</vt:lpstr>
      <vt:lpstr>b利润与利润分配表（损益和利润分配表）</vt:lpstr>
      <vt:lpstr>c借款还本付息计划表</vt:lpstr>
      <vt:lpstr>d财务计划现金流量表</vt:lpstr>
      <vt:lpstr>e资产负债表</vt:lpstr>
      <vt:lpstr>Ⅰ项目投资估算构成表</vt:lpstr>
      <vt:lpstr>Ⅱ项目分年度资金筹措计划表</vt:lpstr>
      <vt:lpstr>Ⅲ项目分年度收入合计表</vt:lpstr>
      <vt:lpstr>Ⅳ项目分年度成本明细表</vt:lpstr>
      <vt:lpstr>Ⅴ项目分年度收益表</vt:lpstr>
      <vt:lpstr>Ⅵ专项债券应付本息情况表</vt:lpstr>
      <vt:lpstr>Ⅶ专项债券资金收益与融资平衡情况表</vt:lpstr>
      <vt:lpstr>VIII债券资金覆盖率压力测试表</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周亮;谢玉君</dc:creator>
  <cp:lastModifiedBy>lenovo</cp:lastModifiedBy>
  <dcterms:created xsi:type="dcterms:W3CDTF">2025-07-25T07:38:00Z</dcterms:created>
  <dcterms:modified xsi:type="dcterms:W3CDTF">2025-08-25T08:44:48Z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CB645BDDC702450EA853373052F853BA_13</vt:lpwstr>
  </property>
  <property fmtid="{D5CDD505-2E9C-101B-9397-08002B2CF9AE}" pid="3" name="KSOProductBuildVer">
    <vt:lpwstr>2052-12.8.2.18205</vt:lpwstr>
  </property>
</Properties>
</file>