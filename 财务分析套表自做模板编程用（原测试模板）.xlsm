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00" tabRatio="847" activeTab="3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10" r:id="rId9"/>
    <sheet name="E.1项目运营期费用" sheetId="9" r:id="rId10"/>
    <sheet name="E.1.1项目运营期费用(不含税）" sheetId="26" r:id="rId11"/>
    <sheet name="E.2固定资产折旧费估算表" sheetId="11" r:id="rId12"/>
    <sheet name="E.3无形资产和其他资产摊销费估算表" sheetId="12" r:id="rId13"/>
    <sheet name="E.4建设投资税后金额表" sheetId="13" r:id="rId14"/>
    <sheet name="F项目收入" sheetId="14" r:id="rId15"/>
    <sheet name="F.1项目单项收入信息" sheetId="15" r:id="rId16"/>
    <sheet name="G.税金及附加测算表" sheetId="19" r:id="rId17"/>
    <sheet name="G.1进项增值税率-建设投资" sheetId="16" r:id="rId18"/>
    <sheet name="G.2进项增值税率-运营成本" sheetId="17" r:id="rId19"/>
    <sheet name="G.3销项增值税率" sheetId="18" r:id="rId20"/>
    <sheet name="a.1财务现金流量表" sheetId="20" r:id="rId21"/>
    <sheet name="a.2项目资本金现金流量表" sheetId="22" r:id="rId22"/>
    <sheet name="b利润与利润分配表（损益和利润分配表）" sheetId="23" r:id="rId23"/>
    <sheet name="c借款还本付息计划表" sheetId="21" r:id="rId24"/>
    <sheet name="d财务计划现金流量表" sheetId="24" r:id="rId25"/>
    <sheet name="e资产负债表" sheetId="25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externalReferences>
    <externalReference r:id="rId3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b/>
            <sz val="9"/>
            <rFont val="宋体"/>
            <charset val="134"/>
          </rPr>
          <t>周亮:</t>
        </r>
        <r>
          <rPr>
            <sz val="9"/>
            <rFont val="宋体"/>
            <charset val="134"/>
          </rPr>
          <t xml:space="preserve">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comments2.xml><?xml version="1.0" encoding="utf-8"?>
<comments xmlns="http://schemas.openxmlformats.org/spreadsheetml/2006/main">
  <authors>
    <author>周亮</author>
  </authors>
  <commentList>
    <comment ref="F7" authorId="0">
      <text>
        <r>
          <rPr>
            <b/>
            <sz val="9"/>
            <rFont val="宋体"/>
            <charset val="134"/>
          </rPr>
          <t>周亮:</t>
        </r>
        <r>
          <rPr>
            <sz val="9"/>
            <rFont val="宋体"/>
            <charset val="134"/>
          </rPr>
          <t xml:space="preserve">
需根据选项，自行单独计算每行的值，表格只做了示例的公式，供参考</t>
        </r>
      </text>
    </comment>
  </commentList>
</comments>
</file>

<file path=xl/sharedStrings.xml><?xml version="1.0" encoding="utf-8"?>
<sst xmlns="http://schemas.openxmlformats.org/spreadsheetml/2006/main" count="958" uniqueCount="520">
  <si>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</si>
  <si>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</si>
  <si>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</si>
  <si>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</si>
  <si>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</si>
  <si>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</si>
  <si>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</si>
  <si>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</si>
  <si>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</si>
  <si>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</si>
  <si>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</si>
  <si>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</si>
  <si>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</si>
  <si>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</si>
  <si>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</si>
  <si>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</si>
  <si>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</si>
  <si>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</si>
  <si>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</si>
  <si>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</si>
  <si>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</si>
  <si>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</si>
  <si>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</si>
  <si>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</si>
  <si>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</si>
  <si>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</si>
  <si>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</si>
  <si>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</si>
  <si>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</si>
  <si>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</si>
  <si>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</si>
  <si>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</si>
  <si>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</si>
  <si>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</si>
  <si>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</si>
  <si>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</si>
  <si>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</si>
  <si>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</si>
  <si>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</si>
  <si>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</si>
  <si>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</si>
  <si>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</si>
  <si>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建设完成年月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</si>
  <si>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</si>
  <si>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</si>
  <si>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</si>
  <si>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</si>
  <si>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</si>
  <si>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r>
      <rPr>
        <sz val="11"/>
        <color theme="1"/>
        <rFont val="微软雅黑"/>
        <charset val="134"/>
      </rPr>
      <t>按照债务周期为截止时间，</t>
    </r>
    <r>
      <rPr>
        <sz val="11"/>
        <color rgb="FFFF0000"/>
        <rFont val="微软雅黑"/>
        <charset val="134"/>
      </rPr>
      <t>折旧年限等同于运营期</t>
    </r>
  </si>
  <si>
    <t>总借款年限-运营开始年限+1</t>
  </si>
  <si>
    <t>建设分期二</t>
  </si>
  <si>
    <t>建设分期三</t>
  </si>
  <si>
    <t>C.1项目融资信息</t>
  </si>
  <si>
    <t>借款名称</t>
  </si>
  <si>
    <t>借款类别</t>
  </si>
  <si>
    <t>借款金额（万元）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</si>
  <si>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</si>
  <si>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</si>
  <si>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</si>
  <si>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</si>
  <si>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</si>
  <si>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</si>
  <si>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</si>
  <si>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债券发行登记服务费（万元）</t>
  </si>
  <si>
    <t>债券还本付息兑付手续费（万元）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</si>
  <si>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</si>
  <si>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</si>
  <si>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</si>
  <si>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</si>
  <si>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</si>
  <si>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</si>
  <si>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</si>
  <si>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</si>
  <si>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</si>
  <si>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</si>
  <si>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</si>
  <si>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</si>
  <si>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</si>
  <si>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借款4</t>
  </si>
  <si>
    <t>C.2项目每年借款信息（万元）</t>
  </si>
  <si>
    <t>计算期年序</t>
  </si>
  <si>
    <t>合计</t>
  </si>
  <si>
    <t>D.1建设投资</t>
  </si>
  <si>
    <t>（此表不需要填写，复制D.3的前4列，如果D.3有修改，此表也要同步复制）</t>
  </si>
  <si>
    <t>分项费用</t>
  </si>
  <si>
    <t>说明</t>
  </si>
  <si>
    <t>金额（万元）</t>
  </si>
  <si>
    <t>一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</si>
  <si>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</si>
  <si>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</si>
  <si>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</si>
  <si>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</si>
  <si>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</si>
  <si>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</si>
  <si>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</si>
  <si>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</si>
  <si>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</si>
  <si>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软件类</t>
  </si>
  <si>
    <t>安全类</t>
  </si>
  <si>
    <t>数据类</t>
  </si>
  <si>
    <t>二</t>
  </si>
  <si>
    <t>工程建设其他费用</t>
  </si>
  <si>
    <t>建设单位管理费</t>
  </si>
  <si>
    <t>前期咨询费</t>
  </si>
  <si>
    <t>工程设计费</t>
  </si>
  <si>
    <t>工程监理费</t>
  </si>
  <si>
    <t>......</t>
  </si>
  <si>
    <t>三</t>
  </si>
  <si>
    <t>预备费</t>
  </si>
  <si>
    <t>基本预备费</t>
  </si>
  <si>
    <t>总计</t>
  </si>
  <si>
    <t>D.2项目总投资使用计划与资金筹措表（万元）</t>
  </si>
  <si>
    <t>科目</t>
  </si>
  <si>
    <t>总投资</t>
  </si>
  <si>
    <t>建设投资</t>
  </si>
  <si>
    <t>建设期利息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</si>
  <si>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</si>
  <si>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</si>
  <si>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</si>
  <si>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</si>
  <si>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</si>
  <si>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</si>
  <si>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</si>
  <si>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</si>
  <si>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</si>
  <si>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</si>
  <si>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对应好C.2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</si>
  <si>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</si>
  <si>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</si>
  <si>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</si>
  <si>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</si>
  <si>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</si>
  <si>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</si>
  <si>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</si>
  <si>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
（不能少于20%）</t>
  </si>
  <si>
    <t>D.3建设投资分年计划表（万元）</t>
  </si>
  <si>
    <t>（此表红色字体部分需要填写，覆盖建设期年份，行会影响E.2折旧和E.3摊销表的引用，建议不修改）</t>
  </si>
  <si>
    <t>金额</t>
  </si>
  <si>
    <t>包括服务器、存储、网络等设备</t>
  </si>
  <si>
    <t>D.4流动资金估算表（万元）</t>
  </si>
  <si>
    <t>(此表红色字体部分需要填写，从第一次运营开始填写数值，最低周转天数可问AI）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</si>
  <si>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</si>
  <si>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</si>
  <si>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</si>
  <si>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</si>
  <si>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</si>
  <si>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</si>
  <si>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</si>
  <si>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</si>
  <si>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</si>
  <si>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</si>
  <si>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</si>
  <si>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</si>
  <si>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</si>
  <si>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</si>
  <si>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</si>
  <si>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</si>
  <si>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</si>
  <si>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</si>
  <si>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</si>
  <si>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</si>
  <si>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</si>
  <si>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建设期不计算，需从E.1.1中取数，映射关系需要自做，再修改计算公式</t>
  </si>
  <si>
    <t>外购原材料费</t>
  </si>
  <si>
    <t>外购燃料及动力费</t>
  </si>
  <si>
    <t>注意这里1~5.3都要做跟E.1.1的映射计算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</si>
  <si>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</si>
  <si>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</si>
  <si>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</si>
  <si>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</si>
  <si>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</si>
  <si>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</si>
  <si>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</si>
  <si>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</si>
  <si>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</si>
  <si>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</si>
  <si>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</si>
  <si>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</si>
  <si>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</si>
  <si>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</si>
  <si>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</si>
  <si>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</si>
  <si>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数量</t>
  </si>
  <si>
    <t>单价</t>
  </si>
  <si>
    <t>浮动后单价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</si>
  <si>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</si>
  <si>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</si>
  <si>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</si>
  <si>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</si>
  <si>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</si>
  <si>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</si>
  <si>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</si>
  <si>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</si>
  <si>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</si>
  <si>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</si>
  <si>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</si>
  <si>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</si>
  <si>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</si>
  <si>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</si>
  <si>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</si>
  <si>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</si>
  <si>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</si>
  <si>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</si>
  <si>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</si>
  <si>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</si>
  <si>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</si>
  <si>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</si>
  <si>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</si>
  <si>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</si>
  <si>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</si>
  <si>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</si>
  <si>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</si>
  <si>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</si>
  <si>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</si>
  <si>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</si>
  <si>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</si>
  <si>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</si>
  <si>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</si>
  <si>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</si>
  <si>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</si>
  <si>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</si>
  <si>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</si>
  <si>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</si>
  <si>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</si>
  <si>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</si>
  <si>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</si>
  <si>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</si>
  <si>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</si>
  <si>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</si>
  <si>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</si>
  <si>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</si>
  <si>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</si>
  <si>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</si>
  <si>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</si>
  <si>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</si>
  <si>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</si>
  <si>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(此表不需要填写，复制的E.1表，若E.1修改了，此表要重新复制后计算）</t>
  </si>
  <si>
    <t>单元格计算的进项税率要对应好</t>
  </si>
  <si>
    <t>E.2固定资产折旧费估算表（万元）</t>
  </si>
  <si>
    <t>（红色字部分应按照B表和D.3，分不同运营期计算折旧，原值的计算重新写对应公式）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</si>
  <si>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</si>
  <si>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</si>
  <si>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</si>
  <si>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</si>
  <si>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</si>
  <si>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</si>
  <si>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</si>
  <si>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</si>
  <si>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</si>
  <si>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C列需要选取建设期年份内，E.4表中归属固定资产的值</t>
  </si>
  <si>
    <t>建设期2</t>
  </si>
  <si>
    <t>D列的折旧年限引用B表中各建设期的运营期（每段的最后一行）</t>
  </si>
  <si>
    <t>建设期3</t>
  </si>
  <si>
    <t>E.3无形资产和其他资产摊销费估算表</t>
  </si>
  <si>
    <t>（此表红色字体部分按实际填写，同时应按照B表和D.3，分不同运营期计算摊销，原值的计算重新写引用公式，年折旧额中的残值率为0）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</si>
  <si>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</si>
  <si>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</si>
  <si>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</si>
  <si>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</si>
  <si>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</si>
  <si>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</si>
  <si>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</si>
  <si>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</si>
  <si>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</si>
  <si>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</si>
  <si>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</si>
  <si>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修改此行D列的折旧年限，引用B表中各建设期的运营期（每段的最后一行）</t>
  </si>
  <si>
    <t>其他资产</t>
  </si>
  <si>
    <t>项目开办费</t>
  </si>
  <si>
    <t>合计2</t>
  </si>
  <si>
    <t>合计3</t>
  </si>
  <si>
    <t>E.4建设投资税后金额表（万元）</t>
  </si>
  <si>
    <t>（此表不需要填写，复制D.3的对应列，如果D.3有修改，此表也要同步复制）</t>
  </si>
  <si>
    <t>增值税率</t>
  </si>
  <si>
    <t>2025
（税后）</t>
  </si>
  <si>
    <t>2026
（税后）</t>
  </si>
  <si>
    <t>2027
（税后）</t>
  </si>
  <si>
    <t>H I J列税后计算的税率引用需对应</t>
  </si>
  <si>
    <t>F项目收入（万元）</t>
  </si>
  <si>
    <t>收入类别</t>
  </si>
  <si>
    <t>含税/不含税</t>
  </si>
  <si>
    <t>租赁收入</t>
  </si>
  <si>
    <t>含税</t>
  </si>
  <si>
    <t>不含税</t>
  </si>
  <si>
    <t>停车收入</t>
  </si>
  <si>
    <t>充电桩收入</t>
  </si>
  <si>
    <t>补贴收入</t>
  </si>
  <si>
    <t>……</t>
  </si>
  <si>
    <t>年度合计（含税）</t>
  </si>
  <si>
    <t>年度合计（不含税）</t>
  </si>
  <si>
    <t>F.1项目单项收入信息</t>
  </si>
  <si>
    <t>（此表红色部分需要填写，每行需要根据E F G列单独计算）</t>
  </si>
  <si>
    <t>单价（万元/年）</t>
  </si>
  <si>
    <t>浮动后单价（万元）</t>
  </si>
  <si>
    <t>单价年增长情况</t>
  </si>
  <si>
    <t>增长比例</t>
  </si>
  <si>
    <t>不增长</t>
  </si>
  <si>
    <t>不增长的公式已写好</t>
  </si>
  <si>
    <t>年度负荷</t>
  </si>
  <si>
    <t>每年增长</t>
  </si>
  <si>
    <t>每年增长的公式已写好</t>
  </si>
  <si>
    <t>...</t>
  </si>
  <si>
    <t>G.税金及附加测算表（万元）</t>
  </si>
  <si>
    <t>进项跟随E.1修改，销项跟随F修改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</si>
  <si>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</si>
  <si>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</si>
  <si>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</si>
  <si>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</si>
  <si>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</si>
  <si>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</si>
  <si>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>G.1 进项税总计-建设投资
可一直累进抵扣，直至为0</t>
  </si>
  <si>
    <t>第一列单独赋值，需要做好对应</t>
  </si>
  <si>
    <t>当期进项税额</t>
  </si>
  <si>
    <t>当期销项税额</t>
  </si>
  <si>
    <t>引用F表的含税价，纵向不是连续复制</t>
  </si>
  <si>
    <t xml:space="preserve">当期应缴增值税 </t>
  </si>
  <si>
    <t>城建税及教育费附加</t>
  </si>
  <si>
    <t>G.1进项增值税率-建设投资</t>
  </si>
  <si>
    <t>行分项跟随D.3修改</t>
  </si>
  <si>
    <t>增值税（万元）</t>
  </si>
  <si>
    <t>工程类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</si>
  <si>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</si>
  <si>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</si>
  <si>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</si>
  <si>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</si>
  <si>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</si>
  <si>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广告收入</t>
  </si>
  <si>
    <t>政务服务收入</t>
  </si>
  <si>
    <t>企业服务收入</t>
  </si>
  <si>
    <t>文旅服务收入</t>
  </si>
  <si>
    <t>飞行服务收入</t>
  </si>
  <si>
    <t>数据收入</t>
  </si>
  <si>
    <t>产学研成果转化及输入收入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</si>
  <si>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</si>
  <si>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</si>
  <si>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</si>
  <si>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</si>
  <si>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</si>
  <si>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</si>
  <si>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</si>
  <si>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</si>
  <si>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</si>
  <si>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</si>
  <si>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</si>
  <si>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</si>
  <si>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</si>
  <si>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</si>
  <si>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</si>
  <si>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</si>
  <si>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</si>
  <si>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</si>
  <si>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</si>
  <si>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</si>
  <si>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</si>
  <si>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</si>
  <si>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</si>
  <si>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</si>
  <si>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</si>
  <si>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</si>
  <si>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</si>
  <si>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</si>
  <si>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</si>
  <si>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</si>
  <si>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</si>
  <si>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</si>
  <si>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</si>
  <si>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</si>
  <si>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</si>
  <si>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</si>
  <si>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</si>
  <si>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</si>
  <si>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</si>
  <si>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</si>
  <si>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</si>
  <si>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</si>
  <si>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</si>
  <si>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</si>
  <si>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</si>
  <si>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</si>
  <si>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</si>
  <si>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</si>
  <si>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</si>
  <si>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</t>
  </si>
  <si>
    <t>弥补以前年度亏损</t>
  </si>
  <si>
    <t>期末未弥补亏损</t>
  </si>
  <si>
    <t>应纳税所得额</t>
  </si>
  <si>
    <t>净利润</t>
  </si>
  <si>
    <t>期初未分配利润</t>
  </si>
  <si>
    <t>可供分配的利润</t>
  </si>
  <si>
    <t>提取法定盈余公积金</t>
  </si>
  <si>
    <t>可供投资者分配的利润</t>
  </si>
  <si>
    <t>应付优先股股利</t>
  </si>
  <si>
    <t>提取任意盈余公积金</t>
  </si>
  <si>
    <t>应付普通股股利</t>
  </si>
  <si>
    <t>各投资方利润分配：</t>
  </si>
  <si>
    <t>其中：投资方</t>
  </si>
  <si>
    <t>未分配利润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</si>
  <si>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</si>
  <si>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</si>
  <si>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</si>
  <si>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</si>
  <si>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专项债本息覆盖倍数</t>
  </si>
  <si>
    <t>c借款还本付息计划表（万元）</t>
  </si>
  <si>
    <t>期初借款余额</t>
  </si>
  <si>
    <t>当期还本付息</t>
  </si>
  <si>
    <t>其中：还本</t>
  </si>
  <si>
    <t>付息</t>
  </si>
  <si>
    <t>期末借款余额</t>
  </si>
  <si>
    <t>还本付息兑付手续费</t>
  </si>
  <si>
    <t>债券发行及服务费</t>
  </si>
  <si>
    <t>n</t>
  </si>
  <si>
    <t>借款合计</t>
  </si>
  <si>
    <t>n.1</t>
  </si>
  <si>
    <t>n.2</t>
  </si>
  <si>
    <t>n.2.1</t>
  </si>
  <si>
    <t>n.2.2</t>
  </si>
  <si>
    <t>n.3</t>
  </si>
  <si>
    <t>n.4</t>
  </si>
  <si>
    <t>n.5</t>
  </si>
  <si>
    <t>计算指标</t>
  </si>
  <si>
    <t>利息备付率（%）</t>
  </si>
  <si>
    <t>偿债备付率（%）</t>
  </si>
  <si>
    <t>d财务计划现金流量表（万元）</t>
  </si>
  <si>
    <t>经营活动净现金流量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</si>
  <si>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</si>
  <si>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</si>
  <si>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</si>
  <si>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</si>
  <si>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</si>
  <si>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</si>
  <si>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</si>
  <si>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</t>
  </si>
  <si>
    <t>2.2.4</t>
  </si>
  <si>
    <t>筹资活动净现金流量</t>
  </si>
  <si>
    <t>3.1.1</t>
  </si>
  <si>
    <t>项目资本金投入</t>
  </si>
  <si>
    <t>3.1.2</t>
  </si>
  <si>
    <t>建设投资借款</t>
  </si>
  <si>
    <t>3.2.1</t>
  </si>
  <si>
    <t>各种利息支出</t>
  </si>
  <si>
    <t>3.2.2</t>
  </si>
  <si>
    <t>偿还债务本金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</si>
  <si>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</si>
  <si>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</si>
  <si>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</si>
  <si>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</si>
  <si>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</si>
  <si>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</si>
  <si>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</si>
  <si>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</si>
  <si>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</si>
  <si>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</si>
  <si>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</si>
  <si>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</t>
  </si>
  <si>
    <t>流动负债总额</t>
  </si>
  <si>
    <t>短期借款</t>
  </si>
  <si>
    <t>预收账款</t>
  </si>
  <si>
    <t>2.1.4</t>
  </si>
  <si>
    <t>流动资金借款</t>
  </si>
  <si>
    <t>负债小计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</si>
  <si>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</si>
  <si>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</si>
  <si>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</si>
  <si>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</si>
  <si>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</si>
  <si>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</si>
  <si>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</si>
  <si>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</si>
  <si>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</si>
  <si>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</si>
  <si>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</si>
  <si>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</si>
  <si>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</si>
  <si>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</si>
  <si>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</si>
  <si>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</si>
  <si>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</si>
  <si>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</si>
  <si>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</si>
  <si>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</si>
  <si>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</si>
  <si>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</si>
  <si>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</si>
  <si>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</si>
  <si>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</si>
  <si>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</si>
  <si>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</si>
  <si>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注：不同类别的经营性收入可以分多个表填写。经营性收入分年度表、政府补贴收入分年度表，可以单独填写。</t>
  </si>
  <si>
    <t>收入类型</t>
  </si>
  <si>
    <t>分年收入</t>
  </si>
  <si>
    <t>经营性收入</t>
  </si>
  <si>
    <t>政府补贴收入</t>
  </si>
  <si>
    <t>Ⅳ项目分年度成本明细表</t>
  </si>
  <si>
    <t>复制E.1</t>
  </si>
  <si>
    <t>单价
（万元）</t>
  </si>
  <si>
    <t>2025（万元）</t>
  </si>
  <si>
    <t>2026（万元）</t>
  </si>
  <si>
    <t>2027（万元）</t>
  </si>
  <si>
    <t>2028（万元）</t>
  </si>
  <si>
    <t>2029（万元）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</si>
  <si>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</si>
  <si>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</si>
  <si>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</si>
  <si>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</si>
  <si>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</si>
  <si>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</si>
  <si>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</si>
  <si>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</si>
  <si>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本期偿还</t>
  </si>
  <si>
    <t>期末本金</t>
  </si>
  <si>
    <t>融资利率</t>
  </si>
  <si>
    <t>应付利息</t>
  </si>
  <si>
    <t>应付本息</t>
  </si>
  <si>
    <t>VIII债券资金覆盖率压力测试表</t>
  </si>
  <si>
    <t>资金覆盖率-压力测试</t>
  </si>
  <si>
    <t>运营收入变动敏感性分析</t>
  </si>
  <si>
    <t>专项债券本金资金覆盖率</t>
  </si>
  <si>
    <t>专项债券本息资金覆盖率</t>
  </si>
  <si>
    <t>运营成本变动敏感性分析</t>
  </si>
  <si>
    <t>债券利率变动敏感新分析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</si>
</sst>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.0000_ "/>
    <numFmt numFmtId="179" formatCode="0.0000%"/>
    <numFmt numFmtId="180" formatCode="0.000%"/>
  </numFmts>
  <fonts count="41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FF0000"/>
      <name val="微软雅黑"/>
      <charset val="134"/>
    </font>
    <font>
      <sz val="11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0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b/>
      <sz val="11"/>
      <color theme="0"/>
      <name val="微软雅黑"/>
      <charset val="134"/>
    </font>
    <font>
      <b/>
      <sz val="16"/>
      <color theme="0"/>
      <name val="微软雅黑"/>
      <charset val="134"/>
    </font>
    <font>
      <b/>
      <sz val="11"/>
      <color rgb="FF0070C0"/>
      <name val="微软雅黑"/>
      <charset val="134"/>
    </font>
    <font>
      <sz val="10"/>
      <color rgb="FFFF0000"/>
      <name val="微软雅黑"/>
      <charset val="134"/>
    </font>
    <font>
      <b/>
      <sz val="14"/>
      <color theme="1"/>
      <name val="微软雅黑"/>
      <charset val="134"/>
    </font>
    <font>
      <b/>
      <sz val="12"/>
      <color rgb="FF0070C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sz val="12"/>
      <color rgb="FF40404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9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0" borderId="16" applyNumberFormat="0" applyAlignment="0" applyProtection="0">
      <alignment vertical="center"/>
    </xf>
    <xf numFmtId="0" fontId="29" fillId="11" borderId="17" applyNumberFormat="0" applyAlignment="0" applyProtection="0">
      <alignment vertical="center"/>
    </xf>
    <xf numFmtId="0" fontId="30" fillId="11" borderId="16" applyNumberFormat="0" applyAlignment="0" applyProtection="0">
      <alignment vertical="center"/>
    </xf>
    <xf numFmtId="0" fontId="31" fillId="12" borderId="18" applyNumberFormat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3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0" borderId="0" xfId="0" applyFo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5" borderId="0" xfId="0" applyFill="1">
      <alignment vertical="center"/>
    </xf>
    <xf numFmtId="0" fontId="9" fillId="6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8" borderId="1" xfId="0" applyNumberFormat="1" applyFont="1" applyFill="1" applyBorder="1" applyAlignment="1">
      <alignment horizontal="center" vertical="center"/>
    </xf>
    <xf numFmtId="177" fontId="3" fillId="8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8" fontId="3" fillId="8" borderId="1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6" fillId="5" borderId="1" xfId="0" applyNumberFormat="1" applyFont="1" applyFill="1" applyBorder="1" applyAlignment="1">
      <alignment horizontal="center" vertical="center"/>
    </xf>
    <xf numFmtId="176" fontId="3" fillId="8" borderId="1" xfId="0" applyNumberFormat="1" applyFont="1" applyFill="1" applyBorder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9" fontId="3" fillId="8" borderId="1" xfId="0" applyNumberFormat="1" applyFont="1" applyFill="1" applyBorder="1" applyAlignment="1">
      <alignment vertical="center"/>
    </xf>
    <xf numFmtId="0" fontId="11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>
      <alignment vertical="center"/>
    </xf>
    <xf numFmtId="8" fontId="3" fillId="8" borderId="1" xfId="0" applyNumberFormat="1" applyFont="1" applyFill="1" applyBorder="1" applyAlignment="1">
      <alignment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2" fontId="3" fillId="5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4" fillId="8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5" borderId="1" xfId="0" applyNumberFormat="1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76" fontId="4" fillId="8" borderId="1" xfId="0" applyNumberFormat="1" applyFont="1" applyFill="1" applyBorder="1" applyAlignment="1">
      <alignment horizontal="center" vertical="center" wrapText="1"/>
    </xf>
    <xf numFmtId="10" fontId="4" fillId="8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76" fontId="6" fillId="5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3" fillId="4" borderId="1" xfId="0" applyNumberFormat="1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4" borderId="1" xfId="0" applyNumberFormat="1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17" fillId="0" borderId="1" xfId="0" applyFont="1" applyBorder="1" applyAlignment="1">
      <alignment horizontal="center" vertical="center"/>
    </xf>
    <xf numFmtId="176" fontId="17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9" Type="http://schemas.openxmlformats.org/officeDocument/2006/relationships/styles" Target="styles.xml"/><Relationship Id="rId38" Type="http://schemas.microsoft.com/office/2006/relationships/vbaProject" Target="vbaProject.bin"/><Relationship Id="rId37" Type="http://schemas.openxmlformats.org/officeDocument/2006/relationships/sharedStrings" Target="sharedStrings.xml"/><Relationship Id="rId36" Type="http://schemas.openxmlformats.org/officeDocument/2006/relationships/theme" Target="theme/theme1.xml"/><Relationship Id="rId35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8</xdr:col>
          <xdr:colOff>53340</xdr:colOff>
          <xdr:row>4</xdr:row>
          <xdr:rowOff>662940</xdr:rowOff>
        </xdr:to>
        <xdr:sp macro="[0]!ProcessWorkbookForExternalShare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9418320" y="1676400"/>
              <a:ext cx="1687830" cy="51054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生成外发文件</a:t>
              </a:r>
              <a:endParaRPr lang="zh-CN" altLang="en-US" sz="1400" b="1" i="0" u="none" strike="noStrike" baseline="0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4</xdr:row>
          <xdr:rowOff>129540</xdr:rowOff>
        </xdr:from>
        <xdr:to>
          <xdr:col>9</xdr:col>
          <xdr:colOff>281940</xdr:colOff>
          <xdr:row>4</xdr:row>
          <xdr:rowOff>693420</xdr:rowOff>
        </xdr:to>
        <xdr:sp>
          <xdr:nvSpPr>
            <xdr:cNvPr id="20483" name="chkKeepFormulas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11273790" y="1653540"/>
              <a:ext cx="2101850" cy="5638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</xdr:colOff>
          <xdr:row>12</xdr:row>
          <xdr:rowOff>68580</xdr:rowOff>
        </xdr:from>
        <xdr:to>
          <xdr:col>7</xdr:col>
          <xdr:colOff>967740</xdr:colOff>
          <xdr:row>13</xdr:row>
          <xdr:rowOff>7620</xdr:rowOff>
        </xdr:to>
        <xdr:sp macro="[0]!Cal_Click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8559800" y="4343400"/>
              <a:ext cx="876300" cy="2952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计算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12</xdr:row>
          <xdr:rowOff>68580</xdr:rowOff>
        </xdr:from>
        <xdr:to>
          <xdr:col>6</xdr:col>
          <xdr:colOff>967740</xdr:colOff>
          <xdr:row>13</xdr:row>
          <xdr:rowOff>15240</xdr:rowOff>
        </xdr:to>
        <xdr:sp macro="[0]!ClearAll_Click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7480300" y="4343400"/>
              <a:ext cx="853440" cy="30289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清空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cuments\WeChat%20Files\wxid_paly6lsrxgfg22\FileStorage\File\2025-08\&#36130;&#21153;&#20998;&#26512;&#22871;&#34920;&#33258;&#20570;&#27169;&#26495;(1.7)-&#34920;A&#29983;&#25104;&#22806;&#21457;-&#32599;&#28246;(0820v5x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财务假设"/>
      <sheetName val="B项目信息"/>
      <sheetName val="C.1项目融资信息"/>
      <sheetName val="C.2项目每年借款信息"/>
      <sheetName val="D.1建设投资"/>
      <sheetName val="D.2项目总投资使用计划与资金筹措表"/>
      <sheetName val="D.3建设投资分年计划表"/>
      <sheetName val="D.4流动资金估算表"/>
      <sheetName val="E总成本费用估算表"/>
      <sheetName val="E.1项目运营期费用"/>
      <sheetName val="E.1.1项目运营期费用(不含税）"/>
      <sheetName val="E.2固定资产折旧费估算表"/>
      <sheetName val="E.3无形资产和其他资产摊销费估算表"/>
      <sheetName val="E.4建设投资税后金额表"/>
      <sheetName val="F项目收入"/>
      <sheetName val="F.1项目单项收入信息"/>
      <sheetName val="G.税金及附加测算表"/>
      <sheetName val="G.1进项增值税率-建设投资"/>
      <sheetName val="G.2进项增值税率-运营成本"/>
      <sheetName val="G.3销项增值税率"/>
      <sheetName val="a.1财务现金流量表"/>
      <sheetName val="a.2项目资本金现金流量表"/>
      <sheetName val="b利润与利润分配表（损益和利润分配表）"/>
      <sheetName val="c借款还本付息计划表"/>
      <sheetName val="d财务计划现金流量表"/>
      <sheetName val="e资产负债表"/>
      <sheetName val="Ⅰ项目投资估算构成表"/>
      <sheetName val="Ⅱ项目分年度资金筹措计划表"/>
      <sheetName val="Ⅲ项目分年度收入合计表"/>
      <sheetName val="Ⅳ项目分年度成本明细表"/>
      <sheetName val="Ⅴ项目分年度收益表"/>
      <sheetName val="Ⅵ专项债券应付本息情况表"/>
      <sheetName val="Ⅶ专项债券资金收益与融资平衡情况表"/>
      <sheetName val="VIII债券资金覆盖率压力测试表"/>
    </sheetNames>
    <sheetDataSet>
      <sheetData sheetId="0">
        <row r="15">
          <cell r="D15">
            <v>0.0004</v>
          </cell>
        </row>
        <row r="16">
          <cell r="D16">
            <v>0.0008</v>
          </cell>
        </row>
        <row r="17">
          <cell r="D17">
            <v>6.4e-5</v>
          </cell>
        </row>
        <row r="21">
          <cell r="D21">
            <v>0</v>
          </cell>
        </row>
      </sheetData>
      <sheetData sheetId="1"/>
      <sheetData sheetId="2">
        <row r="4">
          <cell r="D4">
            <v>1175</v>
          </cell>
        </row>
        <row r="5">
          <cell r="D5">
            <v>11590</v>
          </cell>
        </row>
        <row r="6">
          <cell r="D6">
            <v>8705</v>
          </cell>
        </row>
        <row r="7">
          <cell r="D7">
            <v>7530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9">
          <cell r="C9">
            <v>0.08366</v>
          </cell>
        </row>
        <row r="17">
          <cell r="C17">
            <v>0.825208</v>
          </cell>
        </row>
        <row r="25">
          <cell r="C25">
            <v>0.6228541</v>
          </cell>
        </row>
        <row r="33">
          <cell r="C33">
            <v>0.536136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3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D21"/>
  <sheetViews>
    <sheetView zoomScale="70" zoomScaleNormal="70" topLeftCell="A5" workbookViewId="0">
      <selection activeCell="B9" sqref="B9"/>
    </sheetView>
  </sheetViews>
  <sheetFormatPr defaultColWidth="8.89090909090909" defaultRowHeight="30" customHeight="1" outlineLevelCol="3"/>
  <cols>
    <col min="2" max="2" width="30.3363636363636" customWidth="1"/>
    <col min="3" max="3" width="70.6636363636364" customWidth="1"/>
    <col min="4" max="4" width="12.7818181818182" customWidth="1"/>
    <col min="9" max="9" width="29.2181818181818" customWidth="1"/>
  </cols>
  <sheetData>
    <row r="1" s="51" customFormat="1" customHeight="1" spans="1:4">
      <c r="A1" s="58" t="s">
        <v>0</v>
      </c>
      <c r="B1" s="58"/>
      <c r="C1" s="58"/>
      <c r="D1" s="140"/>
    </row>
    <row r="2" s="51" customFormat="1" customHeight="1" spans="1:4">
      <c r="A2" s="141" t="s">
        <v>1</v>
      </c>
      <c r="B2" s="141" t="s">
        <v>2</v>
      </c>
      <c r="C2" s="141" t="s">
        <v>3</v>
      </c>
      <c r="D2" s="141" t="s">
        <v>4</v>
      </c>
    </row>
    <row r="3" s="51" customFormat="1" customHeight="1" spans="1:4">
      <c r="A3" s="7">
        <v>1</v>
      </c>
      <c r="B3" s="7" t="s">
        <v>5</v>
      </c>
      <c r="C3" s="7" t="s">
        <v>6</v>
      </c>
      <c r="D3" s="70">
        <v>0.05</v>
      </c>
    </row>
    <row r="4" s="51" customFormat="1" customHeight="1" spans="1:4">
      <c r="A4" s="7">
        <v>2</v>
      </c>
      <c r="B4" s="7" t="s">
        <v>7</v>
      </c>
      <c r="C4" s="7" t="s">
        <v>6</v>
      </c>
      <c r="D4" s="70">
        <v>0.03</v>
      </c>
    </row>
    <row r="5" s="51" customFormat="1" ht="78" customHeight="1" spans="1:4">
      <c r="A5" s="7">
        <v>3</v>
      </c>
      <c r="B5" s="7" t="s">
        <v>8</v>
      </c>
      <c r="C5" s="79" t="s">
        <v>9</v>
      </c>
      <c r="D5" s="70">
        <v>0.08</v>
      </c>
    </row>
    <row r="6" s="51" customFormat="1" ht="55.05" customHeight="1" spans="1:4">
      <c r="A6" s="7">
        <v>4</v>
      </c>
      <c r="B6" s="7" t="s">
        <v>10</v>
      </c>
      <c r="C6" s="36" t="s">
        <v>11</v>
      </c>
      <c r="D6" s="70">
        <v>0.07</v>
      </c>
    </row>
    <row r="7" s="51" customFormat="1" customHeight="1" spans="1:4">
      <c r="A7" s="7">
        <v>5</v>
      </c>
      <c r="B7" s="7" t="s">
        <v>12</v>
      </c>
      <c r="C7" s="7" t="s">
        <v>13</v>
      </c>
      <c r="D7" s="70">
        <v>0.03</v>
      </c>
    </row>
    <row r="8" s="51" customFormat="1" customHeight="1" spans="1:4">
      <c r="A8" s="7">
        <v>6</v>
      </c>
      <c r="B8" s="7" t="s">
        <v>14</v>
      </c>
      <c r="C8" s="7" t="s">
        <v>13</v>
      </c>
      <c r="D8" s="70">
        <v>0.02</v>
      </c>
    </row>
    <row r="9" s="51" customFormat="1" customHeight="1" spans="1:4">
      <c r="A9" s="7">
        <v>7</v>
      </c>
      <c r="B9" s="7" t="s">
        <v>15</v>
      </c>
      <c r="C9" s="7" t="s">
        <v>16</v>
      </c>
      <c r="D9" s="70">
        <v>0.25</v>
      </c>
    </row>
    <row r="10" s="51" customFormat="1" customHeight="1" spans="1:4">
      <c r="A10" s="7">
        <v>8</v>
      </c>
      <c r="B10" s="7" t="s">
        <v>17</v>
      </c>
      <c r="C10" s="7" t="s">
        <v>18</v>
      </c>
      <c r="D10" s="70">
        <v>0.1</v>
      </c>
    </row>
    <row r="11" s="51" customFormat="1" customHeight="1" spans="1:4">
      <c r="A11" s="7">
        <v>9</v>
      </c>
      <c r="B11" s="7" t="s">
        <v>19</v>
      </c>
      <c r="C11" s="7" t="s">
        <v>20</v>
      </c>
      <c r="D11" s="70">
        <v>0.05</v>
      </c>
    </row>
    <row r="12" s="51" customFormat="1" customHeight="1" spans="1:4">
      <c r="A12" s="7">
        <v>10</v>
      </c>
      <c r="B12" s="7" t="s">
        <v>21</v>
      </c>
      <c r="C12" s="142" t="s">
        <v>22</v>
      </c>
      <c r="D12" s="70">
        <v>0.05</v>
      </c>
    </row>
    <row r="13" s="51" customFormat="1" customHeight="1" spans="1:4">
      <c r="A13" s="7">
        <v>11</v>
      </c>
      <c r="B13" s="7" t="s">
        <v>23</v>
      </c>
      <c r="C13" s="7" t="s">
        <v>24</v>
      </c>
      <c r="D13" s="70">
        <v>1</v>
      </c>
    </row>
    <row r="14" ht="61.95" customHeight="1" spans="1:4">
      <c r="A14" s="7">
        <v>12</v>
      </c>
      <c r="B14" s="7" t="s">
        <v>25</v>
      </c>
      <c r="C14" s="79" t="s">
        <v>26</v>
      </c>
      <c r="D14" s="70">
        <v>0.03</v>
      </c>
    </row>
    <row r="15" ht="34.95" customHeight="1" spans="1:4">
      <c r="A15" s="126">
        <v>13</v>
      </c>
      <c r="B15" s="126" t="s">
        <v>27</v>
      </c>
      <c r="C15" s="36" t="s">
        <v>28</v>
      </c>
      <c r="D15" s="12">
        <v>0.0004</v>
      </c>
    </row>
    <row r="16" ht="33" customHeight="1" spans="1:4">
      <c r="A16" s="143"/>
      <c r="B16" s="143"/>
      <c r="C16" s="36" t="s">
        <v>29</v>
      </c>
      <c r="D16" s="12">
        <v>0.0008</v>
      </c>
    </row>
    <row r="17" customHeight="1" spans="1:4">
      <c r="A17" s="7">
        <v>14</v>
      </c>
      <c r="B17" s="7" t="s">
        <v>30</v>
      </c>
      <c r="C17" s="7" t="s">
        <v>31</v>
      </c>
      <c r="D17" s="144">
        <v>6.4e-5</v>
      </c>
    </row>
    <row r="18" customHeight="1" spans="1:4">
      <c r="A18" s="7">
        <v>15</v>
      </c>
      <c r="B18" s="7" t="s">
        <v>32</v>
      </c>
      <c r="C18" s="7" t="s">
        <v>33</v>
      </c>
      <c r="D18" s="145">
        <v>5e-5</v>
      </c>
    </row>
    <row r="19" customHeight="1" spans="1:4">
      <c r="A19" s="7">
        <v>16</v>
      </c>
      <c r="B19" s="7" t="s">
        <v>34</v>
      </c>
      <c r="C19" s="7" t="s">
        <v>35</v>
      </c>
      <c r="D19" s="12">
        <v>0</v>
      </c>
    </row>
    <row r="20" customHeight="1" spans="1:4">
      <c r="A20" s="7">
        <v>17</v>
      </c>
      <c r="B20" s="7" t="s">
        <v>36</v>
      </c>
      <c r="C20" s="7" t="s">
        <v>35</v>
      </c>
      <c r="D20" s="12">
        <v>0</v>
      </c>
    </row>
    <row r="21" customHeight="1" spans="1:4">
      <c r="A21" s="7">
        <v>18</v>
      </c>
      <c r="B21" s="7" t="s">
        <v>37</v>
      </c>
      <c r="C21" s="7" t="s">
        <v>35</v>
      </c>
      <c r="D21" s="12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83" r:id="rId3" name="chkKeepFormulas">
          <controlPr defaultSize="0" r:id="rId4">
            <anchor moveWithCells="1">
              <from>
                <xdr:col>8</xdr:col>
                <xdr:colOff>220980</xdr:colOff>
                <xdr:row>4</xdr:row>
                <xdr:rowOff>129540</xdr:rowOff>
              </from>
              <to>
                <xdr:col>9</xdr:col>
                <xdr:colOff>281940</xdr:colOff>
                <xdr:row>4</xdr:row>
                <xdr:rowOff>693420</xdr:rowOff>
              </to>
            </anchor>
          </controlPr>
        </control>
      </mc:Choice>
      <mc:Fallback>
        <control shapeId="20483" r:id="rId3" name="chkKeepFormulas"/>
      </mc:Fallback>
    </mc:AlternateContent>
    <mc:AlternateContent xmlns:mc="http://schemas.openxmlformats.org/markup-compatibility/2006">
      <mc:Choice Requires="x14">
        <control shapeId="20481" name="Button 1" r:id="rId5">
          <controlPr print="0" defaultSize="0">
            <anchor moveWithCells="1" sizeWithCells="1">
              <from>
                <xdr:col>5</xdr:col>
                <xdr:colOff>228600</xdr:colOff>
                <xdr:row>4</xdr:row>
                <xdr:rowOff>152400</xdr:rowOff>
              </from>
              <to>
                <xdr:col>8</xdr:col>
                <xdr:colOff>53340</xdr:colOff>
                <xdr:row>4</xdr:row>
                <xdr:rowOff>662940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20"/>
  <sheetViews>
    <sheetView zoomScale="85" zoomScaleNormal="85" topLeftCell="A6" workbookViewId="0">
      <selection activeCell="C17" sqref="C17"/>
    </sheetView>
  </sheetViews>
  <sheetFormatPr defaultColWidth="8.89090909090909" defaultRowHeight="28.05" customHeight="1" outlineLevelCol="4"/>
  <cols>
    <col min="2" max="2" width="22.6636363636364" customWidth="1"/>
    <col min="3" max="3" width="58.4454545454545" customWidth="1"/>
    <col min="4" max="4" width="17.1090909090909" customWidth="1"/>
    <col min="5" max="5" width="29.8909090909091" customWidth="1"/>
  </cols>
  <sheetData>
    <row r="1" customHeight="1" spans="1:4">
      <c r="A1" s="60" t="s">
        <v>38</v>
      </c>
      <c r="B1" s="60"/>
      <c r="C1" s="60"/>
      <c r="D1" s="60"/>
    </row>
    <row r="2" customHeight="1" spans="1:4">
      <c r="A2" s="138" t="s">
        <v>1</v>
      </c>
      <c r="B2" s="138" t="s">
        <v>2</v>
      </c>
      <c r="C2" s="138" t="s">
        <v>3</v>
      </c>
      <c r="D2" s="138" t="s">
        <v>39</v>
      </c>
    </row>
    <row r="3" customHeight="1" spans="1:4">
      <c r="A3" s="139">
        <v>1</v>
      </c>
      <c r="B3" s="139" t="s">
        <v>40</v>
      </c>
      <c r="C3" s="53"/>
      <c r="D3" s="53"/>
    </row>
    <row r="4" customHeight="1" spans="1:4">
      <c r="A4" s="7">
        <v>1.1</v>
      </c>
      <c r="B4" s="7" t="s">
        <v>41</v>
      </c>
      <c r="C4" s="137">
        <v>45901</v>
      </c>
      <c r="D4" s="137">
        <v>45901</v>
      </c>
    </row>
    <row r="5" customHeight="1" spans="1:4">
      <c r="A5" s="7">
        <v>1.2</v>
      </c>
      <c r="B5" s="7" t="s">
        <v>42</v>
      </c>
      <c r="C5" s="137">
        <v>46966</v>
      </c>
      <c r="D5" s="137">
        <v>46235</v>
      </c>
    </row>
    <row r="6" customHeight="1" spans="1:4">
      <c r="A6" s="7">
        <v>1.3</v>
      </c>
      <c r="B6" s="7" t="s">
        <v>43</v>
      </c>
      <c r="C6" s="40" t="s">
        <v>44</v>
      </c>
      <c r="D6" s="87">
        <v>12</v>
      </c>
    </row>
    <row r="7" customHeight="1" spans="1:4">
      <c r="A7" s="7">
        <v>1.4</v>
      </c>
      <c r="B7" s="7" t="s">
        <v>45</v>
      </c>
      <c r="C7" s="7" t="s">
        <v>46</v>
      </c>
      <c r="D7" s="137">
        <f>D5+31</f>
        <v>46266</v>
      </c>
    </row>
    <row r="8" customHeight="1" spans="1:5">
      <c r="A8" s="7">
        <v>1.5</v>
      </c>
      <c r="B8" s="7" t="s">
        <v>47</v>
      </c>
      <c r="C8" s="7" t="s">
        <v>48</v>
      </c>
      <c r="D8" s="10">
        <v>22</v>
      </c>
      <c r="E8" s="32" t="s">
        <v>49</v>
      </c>
    </row>
    <row r="9" customHeight="1" spans="1:4">
      <c r="A9" s="139">
        <v>2</v>
      </c>
      <c r="B9" s="139" t="s">
        <v>50</v>
      </c>
      <c r="C9" s="53"/>
      <c r="D9" s="139"/>
    </row>
    <row r="10" customHeight="1" spans="1:4">
      <c r="A10" s="7">
        <v>2.1</v>
      </c>
      <c r="B10" s="7" t="s">
        <v>41</v>
      </c>
      <c r="C10" s="137">
        <v>46266</v>
      </c>
      <c r="D10" s="137">
        <v>46266</v>
      </c>
    </row>
    <row r="11" customHeight="1" spans="1:4">
      <c r="A11" s="7">
        <v>2.2</v>
      </c>
      <c r="B11" s="7" t="s">
        <v>42</v>
      </c>
      <c r="C11" s="137">
        <v>46966</v>
      </c>
      <c r="D11" s="137">
        <v>46600</v>
      </c>
    </row>
    <row r="12" customHeight="1" spans="1:4">
      <c r="A12" s="7">
        <v>2.3</v>
      </c>
      <c r="B12" s="7" t="s">
        <v>43</v>
      </c>
      <c r="C12" s="40" t="s">
        <v>44</v>
      </c>
      <c r="D12" s="87">
        <v>12</v>
      </c>
    </row>
    <row r="13" customHeight="1" spans="1:4">
      <c r="A13" s="7">
        <v>2.4</v>
      </c>
      <c r="B13" s="7" t="s">
        <v>45</v>
      </c>
      <c r="C13" s="7" t="s">
        <v>46</v>
      </c>
      <c r="D13" s="137">
        <f>D11+31</f>
        <v>46631</v>
      </c>
    </row>
    <row r="14" customHeight="1" spans="1:5">
      <c r="A14" s="7">
        <v>2.5</v>
      </c>
      <c r="B14" s="7" t="s">
        <v>47</v>
      </c>
      <c r="C14" s="7" t="s">
        <v>48</v>
      </c>
      <c r="D14" s="10">
        <v>21</v>
      </c>
      <c r="E14" s="32" t="s">
        <v>49</v>
      </c>
    </row>
    <row r="15" customHeight="1" spans="1:4">
      <c r="A15" s="139">
        <v>3</v>
      </c>
      <c r="B15" s="139" t="s">
        <v>51</v>
      </c>
      <c r="C15" s="53"/>
      <c r="D15" s="139"/>
    </row>
    <row r="16" customHeight="1" spans="1:4">
      <c r="A16" s="7">
        <v>3.1</v>
      </c>
      <c r="B16" s="7" t="s">
        <v>41</v>
      </c>
      <c r="C16" s="137">
        <v>46631</v>
      </c>
      <c r="D16" s="137">
        <v>46631</v>
      </c>
    </row>
    <row r="17" customHeight="1" spans="1:4">
      <c r="A17" s="7">
        <v>3.2</v>
      </c>
      <c r="B17" s="7" t="s">
        <v>42</v>
      </c>
      <c r="C17" s="137">
        <v>46966</v>
      </c>
      <c r="D17" s="137">
        <v>46966</v>
      </c>
    </row>
    <row r="18" customHeight="1" spans="1:4">
      <c r="A18" s="7">
        <v>3.3</v>
      </c>
      <c r="B18" s="7" t="s">
        <v>43</v>
      </c>
      <c r="C18" s="40" t="s">
        <v>44</v>
      </c>
      <c r="D18" s="87">
        <v>12</v>
      </c>
    </row>
    <row r="19" customHeight="1" spans="1:4">
      <c r="A19" s="7">
        <v>3.4</v>
      </c>
      <c r="B19" s="7" t="s">
        <v>45</v>
      </c>
      <c r="C19" s="7" t="s">
        <v>46</v>
      </c>
      <c r="D19" s="137">
        <f>D17+31</f>
        <v>46997</v>
      </c>
    </row>
    <row r="20" customHeight="1" spans="1:5">
      <c r="A20" s="7">
        <v>3.5</v>
      </c>
      <c r="B20" s="7" t="s">
        <v>47</v>
      </c>
      <c r="C20" s="7" t="s">
        <v>48</v>
      </c>
      <c r="D20" s="10">
        <v>20</v>
      </c>
      <c r="E20" s="32" t="s">
        <v>49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7"/>
  <sheetViews>
    <sheetView zoomScale="80" zoomScaleNormal="80" workbookViewId="0">
      <selection activeCell="A4" sqref="A4:M7"/>
    </sheetView>
  </sheetViews>
  <sheetFormatPr defaultColWidth="8.89090909090909" defaultRowHeight="28.05" customHeight="1" outlineLevelRow="6"/>
  <cols>
    <col min="1" max="1" width="7.78181818181818" customWidth="1"/>
    <col min="2" max="2" width="9.55454545454545" customWidth="1"/>
    <col min="3" max="3" width="16.5545454545455" customWidth="1"/>
    <col min="4" max="4" width="15.6636363636364" customWidth="1"/>
    <col min="5" max="5" width="11.3363636363636" customWidth="1"/>
    <col min="6" max="6" width="12.7818181818182" customWidth="1"/>
    <col min="7" max="7" width="21.7818181818182" customWidth="1"/>
    <col min="8" max="8" width="21.8909090909091" customWidth="1"/>
    <col min="9" max="9" width="28.6636363636364" customWidth="1"/>
    <col min="10" max="10" width="13.7818181818182" customWidth="1"/>
    <col min="11" max="11" width="31" customWidth="1"/>
    <col min="12" max="12" width="23.2181818181818" customWidth="1"/>
    <col min="13" max="13" width="26" customWidth="1"/>
    <col min="15" max="15" width="18.8909090909091" customWidth="1"/>
  </cols>
  <sheetData>
    <row r="1" s="52" customFormat="1" customHeight="1" spans="1:13">
      <c r="A1" s="60" t="s">
        <v>52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</row>
    <row r="2" s="52" customFormat="1" ht="40.05" customHeight="1" spans="1:13">
      <c r="A2" s="2" t="s">
        <v>1</v>
      </c>
      <c r="B2" s="2" t="s">
        <v>53</v>
      </c>
      <c r="C2" s="2" t="s">
        <v>54</v>
      </c>
      <c r="D2" s="136" t="s">
        <v>55</v>
      </c>
      <c r="E2" s="2" t="s">
        <v>56</v>
      </c>
      <c r="F2" s="2" t="s">
        <v>57</v>
      </c>
      <c r="G2" s="2" t="s">
        <v>58</v>
      </c>
      <c r="H2" s="2" t="s">
        <v>59</v>
      </c>
      <c r="I2" s="2" t="s">
        <v>60</v>
      </c>
      <c r="J2" s="2" t="s">
        <v>61</v>
      </c>
      <c r="K2" s="2" t="s">
        <v>62</v>
      </c>
      <c r="L2" s="136" t="s">
        <v>63</v>
      </c>
      <c r="M2" s="136" t="s">
        <v>64</v>
      </c>
    </row>
    <row r="3" s="52" customFormat="1" ht="82.05" customHeight="1" spans="1:13">
      <c r="A3" s="53"/>
      <c r="B3" s="53"/>
      <c r="C3" s="88" t="s">
        <v>65</v>
      </c>
      <c r="D3" s="53"/>
      <c r="E3" s="53"/>
      <c r="F3" s="53"/>
      <c r="G3" s="88" t="s">
        <v>66</v>
      </c>
      <c r="H3" s="88" t="s">
        <v>67</v>
      </c>
      <c r="I3" s="88" t="s">
        <v>68</v>
      </c>
      <c r="J3" s="53"/>
      <c r="K3" s="88" t="s">
        <v>69</v>
      </c>
      <c r="L3" s="88" t="s">
        <v>70</v>
      </c>
      <c r="M3" s="88" t="s">
        <v>71</v>
      </c>
    </row>
    <row r="4" s="52" customFormat="1" customHeight="1" spans="1:14">
      <c r="A4" s="7">
        <v>1</v>
      </c>
      <c r="B4" s="10" t="s">
        <v>72</v>
      </c>
      <c r="C4" s="10" t="s">
        <v>73</v>
      </c>
      <c r="D4" s="39">
        <v>1175</v>
      </c>
      <c r="E4" s="137">
        <v>45901</v>
      </c>
      <c r="F4" s="137">
        <f t="shared" ref="F4:F7" si="0">DATE(YEAR(E4)+G4,MONTH(E4),DAY(E4))</f>
        <v>53206</v>
      </c>
      <c r="G4" s="10">
        <v>20</v>
      </c>
      <c r="H4" s="12">
        <f>2.12%*(1+[1]A财务假设!$D$21)</f>
        <v>0.0212</v>
      </c>
      <c r="I4" s="87" t="s">
        <v>74</v>
      </c>
      <c r="J4" s="137">
        <f t="shared" ref="J4:J7" si="1">IF(G4&lt;10,DATE(YEAR(E4)+1,MONTH(E4),DAY(E4)),DATE(YEAR(E4),MONTH(E4)+6,DAY(E4)))</f>
        <v>46082</v>
      </c>
      <c r="K4" s="54">
        <f>IF(G4&gt;4,D4*[1]A财务假设!$D$16,D4*[1]A财务假设!$D$15)</f>
        <v>0.94</v>
      </c>
      <c r="L4" s="40">
        <f>D4*[1]A财务假设!$D$17</f>
        <v>0.0752</v>
      </c>
      <c r="M4" s="47">
        <f>[1]c借款还本付息计划表!C9</f>
        <v>0.08366</v>
      </c>
      <c r="N4" s="78" t="s">
        <v>75</v>
      </c>
    </row>
    <row r="5" s="52" customFormat="1" customHeight="1" spans="1:14">
      <c r="A5" s="7">
        <v>2</v>
      </c>
      <c r="B5" s="10" t="s">
        <v>76</v>
      </c>
      <c r="C5" s="10" t="s">
        <v>73</v>
      </c>
      <c r="D5" s="39">
        <v>11590</v>
      </c>
      <c r="E5" s="137">
        <v>46266</v>
      </c>
      <c r="F5" s="137">
        <f t="shared" si="0"/>
        <v>53571</v>
      </c>
      <c r="G5" s="10">
        <v>20</v>
      </c>
      <c r="H5" s="12">
        <f>2.12%*(1+[1]A财务假设!$D$21)</f>
        <v>0.0212</v>
      </c>
      <c r="I5" s="87" t="s">
        <v>74</v>
      </c>
      <c r="J5" s="137">
        <f t="shared" si="1"/>
        <v>46447</v>
      </c>
      <c r="K5" s="54">
        <f>IF(G5&gt;4,D5*[1]A财务假设!$D$16,D5*[1]A财务假设!$D$15)</f>
        <v>9.272</v>
      </c>
      <c r="L5" s="40">
        <f>D5*[1]A财务假设!$D$17</f>
        <v>0.74176</v>
      </c>
      <c r="M5" s="47">
        <f>[1]c借款还本付息计划表!C17</f>
        <v>0.825208</v>
      </c>
      <c r="N5" s="78" t="s">
        <v>75</v>
      </c>
    </row>
    <row r="6" s="52" customFormat="1" customHeight="1" spans="1:14">
      <c r="A6" s="7">
        <v>3</v>
      </c>
      <c r="B6" s="10" t="s">
        <v>77</v>
      </c>
      <c r="C6" s="10" t="s">
        <v>73</v>
      </c>
      <c r="D6" s="39">
        <v>8705</v>
      </c>
      <c r="E6" s="137">
        <v>46631</v>
      </c>
      <c r="F6" s="137">
        <f t="shared" si="0"/>
        <v>53936</v>
      </c>
      <c r="G6" s="10">
        <v>20</v>
      </c>
      <c r="H6" s="12">
        <f>2.12%*(1+[1]A财务假设!$D$21)</f>
        <v>0.0212</v>
      </c>
      <c r="I6" s="87" t="s">
        <v>74</v>
      </c>
      <c r="J6" s="137">
        <f t="shared" si="1"/>
        <v>46813</v>
      </c>
      <c r="K6" s="54">
        <f>IF(G6&gt;4,D6*[1]A财务假设!$D$16,D6*[1]A财务假设!$D$15)</f>
        <v>6.964</v>
      </c>
      <c r="L6" s="40">
        <f>D6*[1]A财务假设!$D$17</f>
        <v>0.55712</v>
      </c>
      <c r="M6" s="47">
        <f>[1]c借款还本付息计划表!C25</f>
        <v>0.6228541</v>
      </c>
      <c r="N6" s="78" t="s">
        <v>75</v>
      </c>
    </row>
    <row r="7" customHeight="1" spans="1:13">
      <c r="A7" s="7">
        <v>4</v>
      </c>
      <c r="B7" s="10" t="s">
        <v>78</v>
      </c>
      <c r="C7" s="10" t="s">
        <v>73</v>
      </c>
      <c r="D7" s="39">
        <v>7530</v>
      </c>
      <c r="E7" s="137">
        <v>46997</v>
      </c>
      <c r="F7" s="137">
        <f t="shared" si="0"/>
        <v>54302</v>
      </c>
      <c r="G7" s="10">
        <v>20</v>
      </c>
      <c r="H7" s="12">
        <f>2.12%*(1+[1]A财务假设!$D$21)</f>
        <v>0.0212</v>
      </c>
      <c r="I7" s="87" t="s">
        <v>74</v>
      </c>
      <c r="J7" s="137">
        <f t="shared" si="1"/>
        <v>47178</v>
      </c>
      <c r="K7" s="54">
        <f>IF(G7&gt;4,D7*[1]A财务假设!$D$16,D7*[1]A财务假设!$D$15)</f>
        <v>6.024</v>
      </c>
      <c r="L7" s="40">
        <f>D7*[1]A财务假设!$D$17</f>
        <v>0.48192</v>
      </c>
      <c r="M7" s="47">
        <f>[1]c借款还本付息计划表!C33</f>
        <v>0.536136</v>
      </c>
    </row>
  </sheetData>
  <mergeCells count="1">
    <mergeCell ref="A1:M1"/>
  </mergeCells>
  <dataValidations count="1">
    <dataValidation type="list" allowBlank="1" showInputMessage="1" showErrorMessage="1" sqref="I4:I7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F7"/>
  <sheetViews>
    <sheetView tabSelected="1" workbookViewId="0">
      <selection activeCell="E8" sqref="E8"/>
    </sheetView>
  </sheetViews>
  <sheetFormatPr defaultColWidth="15.3363636363636" defaultRowHeight="28.05" customHeight="1" outlineLevelRow="6" outlineLevelCol="5"/>
  <sheetData>
    <row r="1" customHeight="1" spans="1:6">
      <c r="A1" s="38" t="s">
        <v>79</v>
      </c>
      <c r="B1" s="132"/>
      <c r="C1" s="132"/>
      <c r="D1" s="132"/>
      <c r="E1" s="132"/>
      <c r="F1" s="133"/>
    </row>
    <row r="2" s="131" customFormat="1" customHeight="1" spans="1:6">
      <c r="A2" s="2" t="s">
        <v>1</v>
      </c>
      <c r="B2" s="2" t="s">
        <v>80</v>
      </c>
      <c r="C2" s="33">
        <v>2025</v>
      </c>
      <c r="D2" s="33">
        <v>2026</v>
      </c>
      <c r="E2" s="33">
        <v>2027</v>
      </c>
      <c r="F2" s="33">
        <v>2028</v>
      </c>
    </row>
    <row r="3" customHeight="1" spans="1:6">
      <c r="A3" s="7">
        <v>1</v>
      </c>
      <c r="B3" s="10" t="s">
        <v>72</v>
      </c>
      <c r="C3" s="39">
        <f>[1]C.1项目融资信息!D4</f>
        <v>1175</v>
      </c>
      <c r="D3" s="39">
        <v>0</v>
      </c>
      <c r="E3" s="39">
        <v>0</v>
      </c>
      <c r="F3" s="39">
        <v>0</v>
      </c>
    </row>
    <row r="4" customHeight="1" spans="1:6">
      <c r="A4" s="7">
        <v>2</v>
      </c>
      <c r="B4" s="10" t="s">
        <v>76</v>
      </c>
      <c r="C4" s="39"/>
      <c r="D4" s="39">
        <f>[1]C.1项目融资信息!D5</f>
        <v>11590</v>
      </c>
      <c r="E4" s="39"/>
      <c r="F4" s="39"/>
    </row>
    <row r="5" customHeight="1" spans="1:6">
      <c r="A5" s="7">
        <v>2</v>
      </c>
      <c r="B5" s="10" t="s">
        <v>77</v>
      </c>
      <c r="C5" s="39"/>
      <c r="D5" s="39"/>
      <c r="E5" s="39">
        <f>[1]C.1项目融资信息!D6</f>
        <v>8705</v>
      </c>
      <c r="F5" s="39"/>
    </row>
    <row r="6" customHeight="1" spans="1:6">
      <c r="A6" s="7">
        <v>2</v>
      </c>
      <c r="B6" s="10" t="s">
        <v>78</v>
      </c>
      <c r="C6" s="39"/>
      <c r="D6" s="39"/>
      <c r="E6" s="39"/>
      <c r="F6" s="39">
        <f>[1]C.1项目融资信息!D7</f>
        <v>7530</v>
      </c>
    </row>
    <row r="7" customHeight="1" spans="1:6">
      <c r="A7" s="134">
        <v>4</v>
      </c>
      <c r="B7" s="134" t="s">
        <v>81</v>
      </c>
      <c r="C7" s="135">
        <f t="shared" ref="C7:F7" si="0">SUM(C3:C6)</f>
        <v>1175</v>
      </c>
      <c r="D7" s="135">
        <f t="shared" si="0"/>
        <v>11590</v>
      </c>
      <c r="E7" s="135">
        <f t="shared" si="0"/>
        <v>8705</v>
      </c>
      <c r="F7" s="135">
        <f t="shared" si="0"/>
        <v>7530</v>
      </c>
    </row>
  </sheetData>
  <mergeCells count="1">
    <mergeCell ref="A1:F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E21"/>
  <sheetViews>
    <sheetView workbookViewId="0">
      <selection activeCell="D10" sqref="D10"/>
    </sheetView>
  </sheetViews>
  <sheetFormatPr defaultColWidth="8.89090909090909" defaultRowHeight="28.05" customHeight="1" outlineLevelCol="4"/>
  <cols>
    <col min="2" max="2" width="20.6636363636364" customWidth="1"/>
    <col min="3" max="3" width="55.6636363636364" customWidth="1"/>
    <col min="4" max="4" width="18.8909090909091" customWidth="1"/>
  </cols>
  <sheetData>
    <row r="1" s="51" customFormat="1" customHeight="1" spans="1:5">
      <c r="A1" s="56" t="s">
        <v>82</v>
      </c>
      <c r="B1" s="57"/>
      <c r="C1" s="57"/>
      <c r="D1" s="128"/>
      <c r="E1" s="78" t="s">
        <v>83</v>
      </c>
    </row>
    <row r="2" s="51" customFormat="1" customHeight="1" spans="1:4">
      <c r="A2" s="2" t="s">
        <v>1</v>
      </c>
      <c r="B2" s="2" t="s">
        <v>84</v>
      </c>
      <c r="C2" s="2" t="s">
        <v>85</v>
      </c>
      <c r="D2" s="2" t="s">
        <v>86</v>
      </c>
    </row>
    <row r="3" s="51" customFormat="1" customHeight="1" spans="1:4">
      <c r="A3" s="7" t="s">
        <v>87</v>
      </c>
      <c r="B3" s="7" t="s">
        <v>88</v>
      </c>
      <c r="C3" s="7"/>
      <c r="D3" s="129">
        <f>D4+D8</f>
        <v>1824</v>
      </c>
    </row>
    <row r="4" s="51" customFormat="1" customHeight="1" spans="1:4">
      <c r="A4" s="53">
        <v>1</v>
      </c>
      <c r="B4" s="53" t="s">
        <v>89</v>
      </c>
      <c r="C4" s="53"/>
      <c r="D4" s="130">
        <f>SUM(D5:D7)</f>
        <v>1800</v>
      </c>
    </row>
    <row r="5" s="51" customFormat="1" ht="87" customHeight="1" spans="1:4">
      <c r="A5" s="7">
        <v>1.1</v>
      </c>
      <c r="B5" s="10" t="s">
        <v>90</v>
      </c>
      <c r="C5" s="79" t="s">
        <v>91</v>
      </c>
      <c r="D5" s="39">
        <f>D.3建设投资分年计划表!D5</f>
        <v>600</v>
      </c>
    </row>
    <row r="6" s="51" customFormat="1" customHeight="1" spans="1:4">
      <c r="A6" s="7">
        <v>1.2</v>
      </c>
      <c r="B6" s="10" t="s">
        <v>92</v>
      </c>
      <c r="C6" s="7"/>
      <c r="D6" s="39">
        <f>D.3建设投资分年计划表!D6</f>
        <v>600</v>
      </c>
    </row>
    <row r="7" s="51" customFormat="1" ht="46.95" customHeight="1" spans="1:4">
      <c r="A7" s="7">
        <v>1.3</v>
      </c>
      <c r="B7" s="10" t="s">
        <v>93</v>
      </c>
      <c r="C7" s="79" t="s">
        <v>94</v>
      </c>
      <c r="D7" s="39">
        <f>D.3建设投资分年计划表!D7</f>
        <v>600</v>
      </c>
    </row>
    <row r="8" s="51" customFormat="1" customHeight="1" spans="1:4">
      <c r="A8" s="53">
        <v>2</v>
      </c>
      <c r="B8" s="53" t="s">
        <v>95</v>
      </c>
      <c r="C8" s="53"/>
      <c r="D8" s="130">
        <f>SUM(D9:D12)</f>
        <v>24</v>
      </c>
    </row>
    <row r="9" s="51" customFormat="1" ht="52.05" customHeight="1" spans="1:4">
      <c r="A9" s="7">
        <v>2.1</v>
      </c>
      <c r="B9" s="10" t="s">
        <v>96</v>
      </c>
      <c r="C9" s="79" t="s">
        <v>94</v>
      </c>
      <c r="D9" s="39">
        <f>D.3建设投资分年计划表!D9</f>
        <v>6</v>
      </c>
    </row>
    <row r="10" s="51" customFormat="1" customHeight="1" spans="1:4">
      <c r="A10" s="7">
        <v>2.2</v>
      </c>
      <c r="B10" s="10" t="s">
        <v>97</v>
      </c>
      <c r="C10" s="7"/>
      <c r="D10" s="39">
        <f>D.3建设投资分年计划表!D10</f>
        <v>6</v>
      </c>
    </row>
    <row r="11" s="51" customFormat="1" customHeight="1" spans="1:4">
      <c r="A11" s="7">
        <v>2.3</v>
      </c>
      <c r="B11" s="10" t="s">
        <v>98</v>
      </c>
      <c r="C11" s="7"/>
      <c r="D11" s="39">
        <f>D.3建设投资分年计划表!D11</f>
        <v>6</v>
      </c>
    </row>
    <row r="12" s="51" customFormat="1" customHeight="1" spans="1:4">
      <c r="A12" s="7">
        <v>2.4</v>
      </c>
      <c r="B12" s="10" t="s">
        <v>99</v>
      </c>
      <c r="C12" s="7"/>
      <c r="D12" s="39">
        <f>D.3建设投资分年计划表!D12</f>
        <v>6</v>
      </c>
    </row>
    <row r="13" s="51" customFormat="1" customHeight="1" spans="1:4">
      <c r="A13" s="53" t="s">
        <v>100</v>
      </c>
      <c r="B13" s="53" t="s">
        <v>101</v>
      </c>
      <c r="C13" s="53"/>
      <c r="D13" s="130">
        <f>SUM(D14:D18)</f>
        <v>24</v>
      </c>
    </row>
    <row r="14" s="51" customFormat="1" customHeight="1" spans="1:4">
      <c r="A14" s="7">
        <v>1</v>
      </c>
      <c r="B14" s="10" t="s">
        <v>102</v>
      </c>
      <c r="C14" s="7"/>
      <c r="D14" s="39">
        <f>D.3建设投资分年计划表!D14</f>
        <v>6</v>
      </c>
    </row>
    <row r="15" s="51" customFormat="1" customHeight="1" spans="1:4">
      <c r="A15" s="7">
        <v>2</v>
      </c>
      <c r="B15" s="10" t="s">
        <v>103</v>
      </c>
      <c r="C15" s="7"/>
      <c r="D15" s="39">
        <f>D.3建设投资分年计划表!D15</f>
        <v>6</v>
      </c>
    </row>
    <row r="16" s="51" customFormat="1" customHeight="1" spans="1:4">
      <c r="A16" s="7">
        <v>3</v>
      </c>
      <c r="B16" s="10" t="s">
        <v>104</v>
      </c>
      <c r="C16" s="7"/>
      <c r="D16" s="39">
        <f>D.3建设投资分年计划表!D16</f>
        <v>6</v>
      </c>
    </row>
    <row r="17" s="51" customFormat="1" customHeight="1" spans="1:4">
      <c r="A17" s="7">
        <v>4</v>
      </c>
      <c r="B17" s="10" t="s">
        <v>105</v>
      </c>
      <c r="C17" s="7"/>
      <c r="D17" s="39">
        <f>D.3建设投资分年计划表!D17</f>
        <v>6</v>
      </c>
    </row>
    <row r="18" s="51" customFormat="1" customHeight="1" spans="1:4">
      <c r="A18" s="7">
        <v>5</v>
      </c>
      <c r="B18" s="10" t="s">
        <v>106</v>
      </c>
      <c r="C18" s="7"/>
      <c r="D18" s="39">
        <f>D.3建设投资分年计划表!D18</f>
        <v>0</v>
      </c>
    </row>
    <row r="19" s="51" customFormat="1" customHeight="1" spans="1:4">
      <c r="A19" s="53" t="s">
        <v>107</v>
      </c>
      <c r="B19" s="53" t="s">
        <v>108</v>
      </c>
      <c r="C19" s="53"/>
      <c r="D19" s="130">
        <f>D20</f>
        <v>6</v>
      </c>
    </row>
    <row r="20" s="51" customFormat="1" customHeight="1" spans="1:4">
      <c r="A20" s="7">
        <v>1</v>
      </c>
      <c r="B20" s="7" t="s">
        <v>109</v>
      </c>
      <c r="C20" s="7"/>
      <c r="D20" s="129">
        <f>D.3建设投资分年计划表!D20</f>
        <v>6</v>
      </c>
    </row>
    <row r="21" s="51" customFormat="1" customHeight="1" spans="1:4">
      <c r="A21" s="67" t="s">
        <v>110</v>
      </c>
      <c r="B21" s="68"/>
      <c r="C21" s="95"/>
      <c r="D21" s="129">
        <v>26000</v>
      </c>
    </row>
  </sheetData>
  <mergeCells count="2">
    <mergeCell ref="A1:D1"/>
    <mergeCell ref="A21:C2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I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I15" sqref="I15"/>
    </sheetView>
  </sheetViews>
  <sheetFormatPr defaultColWidth="16" defaultRowHeight="28.05" customHeight="1"/>
  <cols>
    <col min="2" max="2" width="21.4454545454545" customWidth="1"/>
  </cols>
  <sheetData>
    <row r="1" s="52" customFormat="1" customHeight="1" spans="1:8">
      <c r="A1" s="124" t="s">
        <v>111</v>
      </c>
      <c r="B1" s="125"/>
      <c r="C1" s="125"/>
      <c r="D1" s="125"/>
      <c r="E1" s="125"/>
      <c r="F1" s="125"/>
      <c r="G1" s="125"/>
      <c r="H1" s="125"/>
    </row>
    <row r="2" s="52" customFormat="1" customHeight="1" spans="1:8">
      <c r="A2" s="2" t="s">
        <v>1</v>
      </c>
      <c r="B2" s="2" t="s">
        <v>112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</row>
    <row r="3" s="52" customFormat="1" customHeight="1" spans="1:8">
      <c r="A3" s="53">
        <v>1</v>
      </c>
      <c r="B3" s="53" t="s">
        <v>113</v>
      </c>
      <c r="C3" s="99">
        <f t="shared" ref="C3:C16" si="0">SUM(D3:H3)</f>
        <v>3190.3394259</v>
      </c>
      <c r="D3" s="99">
        <f t="shared" ref="D3" si="1">SUM(D4:D6)</f>
        <v>319.0152</v>
      </c>
      <c r="E3" s="99">
        <f t="shared" ref="E3:H3" si="2">SUM(E4:E6)</f>
        <v>662.113824902778</v>
      </c>
      <c r="F3" s="99">
        <f t="shared" si="2"/>
        <v>1196.68403267222</v>
      </c>
      <c r="G3" s="99">
        <f t="shared" si="2"/>
        <v>518.88030295</v>
      </c>
      <c r="H3" s="99">
        <f t="shared" ref="H3" si="3">SUM(H4:H6)</f>
        <v>493.646065375</v>
      </c>
    </row>
    <row r="4" s="52" customFormat="1" customHeight="1" spans="1:8">
      <c r="A4" s="7">
        <v>1.1</v>
      </c>
      <c r="B4" s="7" t="s">
        <v>114</v>
      </c>
      <c r="C4" s="99">
        <f t="shared" si="0"/>
        <v>1854</v>
      </c>
      <c r="D4" s="11">
        <f>D.3建设投资分年计划表!E21</f>
        <v>318</v>
      </c>
      <c r="E4" s="11">
        <f>D.3建设投资分年计划表!F21</f>
        <v>618</v>
      </c>
      <c r="F4" s="11">
        <f>D.3建设投资分年计划表!G21</f>
        <v>918</v>
      </c>
      <c r="G4" s="11">
        <f>D.3建设投资分年计划表!H21</f>
        <v>0</v>
      </c>
      <c r="H4" s="11">
        <f>D.3建设投资分年计划表!I21</f>
        <v>0</v>
      </c>
    </row>
    <row r="5" s="52" customFormat="1" customHeight="1" spans="1:8">
      <c r="A5" s="7">
        <v>1.2</v>
      </c>
      <c r="B5" s="7" t="s">
        <v>115</v>
      </c>
      <c r="C5" s="99">
        <f t="shared" si="0"/>
        <v>1321.82008</v>
      </c>
      <c r="D5" s="11">
        <f>c借款还本付息计划表!D31+c借款还本付息计划表!D34</f>
        <v>1.0152</v>
      </c>
      <c r="E5" s="11">
        <f>c借款还本付息计划表!E31+c借款还本付息计划表!E34</f>
        <v>34.92376</v>
      </c>
      <c r="F5" s="11">
        <f>c借款还本付息计划表!F31+c借款还本付息计划表!F34</f>
        <v>278.13912</v>
      </c>
      <c r="G5" s="11">
        <f>c借款还本付息计划表!G31+c借款还本付息计划表!G34</f>
        <v>516.326</v>
      </c>
      <c r="H5" s="11">
        <f>c借款还本付息计划表!H31+c借款还本付息计划表!H34</f>
        <v>491.416</v>
      </c>
    </row>
    <row r="6" s="52" customFormat="1" customHeight="1" spans="1:8">
      <c r="A6" s="7">
        <v>1.3</v>
      </c>
      <c r="B6" s="7" t="s">
        <v>116</v>
      </c>
      <c r="C6" s="99">
        <f t="shared" si="0"/>
        <v>14.5193459</v>
      </c>
      <c r="D6" s="11">
        <f>D.4流动资金估算表!E14</f>
        <v>0</v>
      </c>
      <c r="E6" s="11">
        <f>D.4流动资金估算表!F14</f>
        <v>9.19006490277778</v>
      </c>
      <c r="F6" s="11">
        <f>D.4流动资金估算表!G14</f>
        <v>0.544912672222226</v>
      </c>
      <c r="G6" s="11">
        <f>D.4流动资金估算表!H14</f>
        <v>2.55430295</v>
      </c>
      <c r="H6" s="11">
        <f>D.4流动资金估算表!I14</f>
        <v>2.230065375</v>
      </c>
    </row>
    <row r="7" s="52" customFormat="1" customHeight="1" spans="1:8">
      <c r="A7" s="53">
        <v>2</v>
      </c>
      <c r="B7" s="53" t="s">
        <v>117</v>
      </c>
      <c r="C7" s="99">
        <f t="shared" si="0"/>
        <v>3193.3394259</v>
      </c>
      <c r="D7" s="99">
        <f>D8+D12+D16</f>
        <v>319.0152</v>
      </c>
      <c r="E7" s="99">
        <f t="shared" ref="E7:H7" si="4">E8+E12+E16</f>
        <v>662.113824902778</v>
      </c>
      <c r="F7" s="99">
        <f t="shared" si="4"/>
        <v>1196.68403267222</v>
      </c>
      <c r="G7" s="99">
        <f t="shared" si="4"/>
        <v>518.88030295</v>
      </c>
      <c r="H7" s="99">
        <f t="shared" ref="H7" si="5">H8+H12+H16</f>
        <v>496.646065375</v>
      </c>
    </row>
    <row r="8" s="52" customFormat="1" customHeight="1" spans="1:8">
      <c r="A8" s="7">
        <v>2.1</v>
      </c>
      <c r="B8" s="7" t="s">
        <v>118</v>
      </c>
      <c r="C8" s="99">
        <f t="shared" si="0"/>
        <v>-4337.6605741</v>
      </c>
      <c r="D8" s="11">
        <f>SUM(D9:D11)</f>
        <v>319.0152</v>
      </c>
      <c r="E8" s="11">
        <f t="shared" ref="E8:H8" si="6">SUM(E9:E11)</f>
        <v>662.113824902778</v>
      </c>
      <c r="F8" s="11">
        <f t="shared" si="6"/>
        <v>1196.68403267222</v>
      </c>
      <c r="G8" s="11">
        <f t="shared" si="6"/>
        <v>-7011.11969705</v>
      </c>
      <c r="H8" s="11">
        <f t="shared" ref="H8" si="7">SUM(H9:H11)</f>
        <v>495.646065375</v>
      </c>
    </row>
    <row r="9" s="52" customFormat="1" customHeight="1" spans="1:8">
      <c r="A9" s="7" t="s">
        <v>119</v>
      </c>
      <c r="B9" s="7" t="s">
        <v>120</v>
      </c>
      <c r="C9" s="99">
        <f t="shared" si="0"/>
        <v>-5674</v>
      </c>
      <c r="D9" s="41">
        <f t="shared" ref="D9" si="8">D4-D13</f>
        <v>318</v>
      </c>
      <c r="E9" s="41">
        <f t="shared" ref="E9:H9" si="9">E4-E13</f>
        <v>618</v>
      </c>
      <c r="F9" s="41">
        <f t="shared" si="9"/>
        <v>918</v>
      </c>
      <c r="G9" s="41">
        <f t="shared" si="9"/>
        <v>-7530</v>
      </c>
      <c r="H9" s="41">
        <f t="shared" ref="H9" si="10">H4-H13</f>
        <v>2</v>
      </c>
    </row>
    <row r="10" s="52" customFormat="1" customHeight="1" spans="1:8">
      <c r="A10" s="7" t="s">
        <v>121</v>
      </c>
      <c r="B10" s="7" t="s">
        <v>122</v>
      </c>
      <c r="C10" s="99">
        <f t="shared" si="0"/>
        <v>1321.82008</v>
      </c>
      <c r="D10" s="39">
        <f t="shared" ref="D10" si="11">D5</f>
        <v>1.0152</v>
      </c>
      <c r="E10" s="39">
        <f t="shared" ref="E10:H10" si="12">E5</f>
        <v>34.92376</v>
      </c>
      <c r="F10" s="39">
        <f t="shared" si="12"/>
        <v>278.13912</v>
      </c>
      <c r="G10" s="39">
        <f t="shared" si="12"/>
        <v>516.326</v>
      </c>
      <c r="H10" s="39">
        <f t="shared" ref="H10" si="13">H5</f>
        <v>491.416</v>
      </c>
    </row>
    <row r="11" s="52" customFormat="1" customHeight="1" spans="1:8">
      <c r="A11" s="7" t="s">
        <v>123</v>
      </c>
      <c r="B11" s="7" t="s">
        <v>124</v>
      </c>
      <c r="C11" s="99">
        <f t="shared" si="0"/>
        <v>14.5193459</v>
      </c>
      <c r="D11" s="39">
        <f>D6*A财务假设!$D$13</f>
        <v>0</v>
      </c>
      <c r="E11" s="39">
        <f>E6*A财务假设!$D$13</f>
        <v>9.19006490277778</v>
      </c>
      <c r="F11" s="39">
        <f>F6*A财务假设!$D$13</f>
        <v>0.544912672222226</v>
      </c>
      <c r="G11" s="39">
        <f>G6*A财务假设!$D$13</f>
        <v>2.55430295</v>
      </c>
      <c r="H11" s="39">
        <f>H6*A财务假设!$D$13</f>
        <v>2.230065375</v>
      </c>
    </row>
    <row r="12" s="52" customFormat="1" customHeight="1" spans="1:9">
      <c r="A12" s="7">
        <v>2.2</v>
      </c>
      <c r="B12" s="7" t="s">
        <v>125</v>
      </c>
      <c r="C12" s="99">
        <f t="shared" si="0"/>
        <v>7530</v>
      </c>
      <c r="D12" s="11">
        <f>C.2项目每年借款信息!C6</f>
        <v>0</v>
      </c>
      <c r="E12" s="11">
        <f>C.2项目每年借款信息!D6</f>
        <v>0</v>
      </c>
      <c r="F12" s="11">
        <f>C.2项目每年借款信息!E6</f>
        <v>0</v>
      </c>
      <c r="G12" s="11">
        <f>C.2项目每年借款信息!F6</f>
        <v>7530</v>
      </c>
      <c r="H12" s="11">
        <f>C.2项目每年借款信息!G6</f>
        <v>0</v>
      </c>
      <c r="I12" s="78" t="s">
        <v>126</v>
      </c>
    </row>
    <row r="13" s="52" customFormat="1" customHeight="1" spans="1:8">
      <c r="A13" s="7" t="s">
        <v>127</v>
      </c>
      <c r="B13" s="7" t="s">
        <v>120</v>
      </c>
      <c r="C13" s="99">
        <f t="shared" si="0"/>
        <v>7528</v>
      </c>
      <c r="D13" s="41">
        <f t="shared" ref="D13" si="14">D12-D14-D15-D16</f>
        <v>0</v>
      </c>
      <c r="E13" s="41">
        <f t="shared" ref="E13:H13" si="15">E12-E14-E15-E16</f>
        <v>0</v>
      </c>
      <c r="F13" s="41">
        <f t="shared" si="15"/>
        <v>0</v>
      </c>
      <c r="G13" s="41">
        <f t="shared" si="15"/>
        <v>7530</v>
      </c>
      <c r="H13" s="41">
        <f t="shared" ref="H13" si="16">H12-H14-H15-H16</f>
        <v>-2</v>
      </c>
    </row>
    <row r="14" s="52" customFormat="1" customHeight="1" spans="1:8">
      <c r="A14" s="7" t="s">
        <v>128</v>
      </c>
      <c r="B14" s="7" t="s">
        <v>122</v>
      </c>
      <c r="C14" s="99">
        <f t="shared" si="0"/>
        <v>1</v>
      </c>
      <c r="D14" s="39">
        <v>0</v>
      </c>
      <c r="E14" s="39">
        <v>0</v>
      </c>
      <c r="F14" s="39">
        <v>0</v>
      </c>
      <c r="G14" s="39">
        <v>0</v>
      </c>
      <c r="H14" s="39">
        <v>1</v>
      </c>
    </row>
    <row r="15" s="52" customFormat="1" customHeight="1" spans="1:8">
      <c r="A15" s="7" t="s">
        <v>129</v>
      </c>
      <c r="B15" s="7" t="s">
        <v>124</v>
      </c>
      <c r="C15" s="99">
        <f t="shared" si="0"/>
        <v>0</v>
      </c>
      <c r="D15" s="39">
        <f>D6-D11</f>
        <v>0</v>
      </c>
      <c r="E15" s="39">
        <f t="shared" ref="E15:H15" si="17">E6-E11</f>
        <v>0</v>
      </c>
      <c r="F15" s="39">
        <f t="shared" si="17"/>
        <v>0</v>
      </c>
      <c r="G15" s="39">
        <f t="shared" si="17"/>
        <v>0</v>
      </c>
      <c r="H15" s="39">
        <f t="shared" ref="H15" si="18">H6-H11</f>
        <v>0</v>
      </c>
    </row>
    <row r="16" s="52" customFormat="1" customHeight="1" spans="1:8">
      <c r="A16" s="7">
        <v>2.3</v>
      </c>
      <c r="B16" s="7" t="s">
        <v>130</v>
      </c>
      <c r="C16" s="99">
        <f t="shared" si="0"/>
        <v>1</v>
      </c>
      <c r="D16" s="39">
        <v>0</v>
      </c>
      <c r="E16" s="39">
        <v>0</v>
      </c>
      <c r="F16" s="39">
        <v>0</v>
      </c>
      <c r="G16" s="39">
        <v>0</v>
      </c>
      <c r="H16" s="39">
        <v>1</v>
      </c>
    </row>
    <row r="17" s="52" customFormat="1" customHeight="1" spans="1:8">
      <c r="A17" s="53">
        <v>3</v>
      </c>
      <c r="B17" s="53" t="s">
        <v>131</v>
      </c>
      <c r="C17" s="99">
        <f>SUM(C18:C20)</f>
        <v>-4337.6605741</v>
      </c>
      <c r="D17" s="99" t="s">
        <v>132</v>
      </c>
      <c r="E17" s="99" t="s">
        <v>132</v>
      </c>
      <c r="F17" s="99" t="s">
        <v>132</v>
      </c>
      <c r="G17" s="99" t="s">
        <v>132</v>
      </c>
      <c r="H17" s="99" t="s">
        <v>132</v>
      </c>
    </row>
    <row r="18" s="52" customFormat="1" customHeight="1" spans="1:8">
      <c r="A18" s="7">
        <v>3.1</v>
      </c>
      <c r="B18" s="7" t="s">
        <v>114</v>
      </c>
      <c r="C18" s="11">
        <f>C9</f>
        <v>-5674</v>
      </c>
      <c r="D18" s="11" t="s">
        <v>132</v>
      </c>
      <c r="E18" s="11" t="s">
        <v>132</v>
      </c>
      <c r="F18" s="11" t="s">
        <v>132</v>
      </c>
      <c r="G18" s="11" t="s">
        <v>132</v>
      </c>
      <c r="H18" s="11" t="s">
        <v>132</v>
      </c>
    </row>
    <row r="19" s="52" customFormat="1" customHeight="1" spans="1:8">
      <c r="A19" s="7">
        <v>3.2</v>
      </c>
      <c r="B19" s="7" t="s">
        <v>115</v>
      </c>
      <c r="C19" s="11">
        <f>C10</f>
        <v>1321.82008</v>
      </c>
      <c r="D19" s="11" t="s">
        <v>132</v>
      </c>
      <c r="E19" s="11" t="s">
        <v>132</v>
      </c>
      <c r="F19" s="11" t="s">
        <v>132</v>
      </c>
      <c r="G19" s="11" t="s">
        <v>132</v>
      </c>
      <c r="H19" s="11" t="s">
        <v>132</v>
      </c>
    </row>
    <row r="20" s="52" customFormat="1" customHeight="1" spans="1:8">
      <c r="A20" s="7">
        <v>3.3</v>
      </c>
      <c r="B20" s="7" t="s">
        <v>133</v>
      </c>
      <c r="C20" s="11">
        <f>C11</f>
        <v>14.5193459</v>
      </c>
      <c r="D20" s="11" t="s">
        <v>132</v>
      </c>
      <c r="E20" s="11" t="s">
        <v>132</v>
      </c>
      <c r="F20" s="11" t="s">
        <v>132</v>
      </c>
      <c r="G20" s="11" t="s">
        <v>132</v>
      </c>
      <c r="H20" s="11" t="s">
        <v>132</v>
      </c>
    </row>
    <row r="21" s="52" customFormat="1" ht="33" spans="1:8">
      <c r="A21" s="53">
        <v>4</v>
      </c>
      <c r="B21" s="88" t="s">
        <v>134</v>
      </c>
      <c r="C21" s="127">
        <f>C17/C3</f>
        <v>-1.35962353688318</v>
      </c>
      <c r="D21" s="127" t="s">
        <v>132</v>
      </c>
      <c r="E21" s="127" t="s">
        <v>132</v>
      </c>
      <c r="F21" s="127" t="s">
        <v>132</v>
      </c>
      <c r="G21" s="127" t="s">
        <v>132</v>
      </c>
      <c r="H21" s="127" t="s">
        <v>132</v>
      </c>
    </row>
    <row r="22" s="123" customFormat="1" customHeight="1"/>
  </sheetData>
  <mergeCells count="1">
    <mergeCell ref="A1:H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H21"/>
  <sheetViews>
    <sheetView workbookViewId="0">
      <selection activeCell="H1" sqref="H1"/>
    </sheetView>
  </sheetViews>
  <sheetFormatPr defaultColWidth="33.6636363636364" defaultRowHeight="14" outlineLevelCol="7"/>
  <cols>
    <col min="1" max="1" width="6" customWidth="1"/>
    <col min="2" max="2" width="19.3363636363636" customWidth="1"/>
    <col min="3" max="3" width="56.8909090909091" customWidth="1"/>
    <col min="4" max="4" width="14.5545454545455" customWidth="1"/>
    <col min="5" max="5" width="26.3363636363636" customWidth="1"/>
    <col min="6" max="6" width="27" customWidth="1"/>
    <col min="7" max="7" width="26" customWidth="1"/>
  </cols>
  <sheetData>
    <row r="1" s="52" customFormat="1" ht="22.5" spans="1:8">
      <c r="A1" s="60" t="s">
        <v>135</v>
      </c>
      <c r="B1" s="60"/>
      <c r="C1" s="60"/>
      <c r="D1" s="60"/>
      <c r="E1" s="60"/>
      <c r="F1" s="60"/>
      <c r="G1" s="60"/>
      <c r="H1" s="78" t="s">
        <v>136</v>
      </c>
    </row>
    <row r="2" s="52" customFormat="1" ht="16.5" spans="1:7">
      <c r="A2" s="2" t="s">
        <v>1</v>
      </c>
      <c r="B2" s="2" t="s">
        <v>84</v>
      </c>
      <c r="C2" s="2" t="s">
        <v>85</v>
      </c>
      <c r="D2" s="2" t="s">
        <v>137</v>
      </c>
      <c r="E2" s="33">
        <v>2025</v>
      </c>
      <c r="F2" s="33">
        <v>2026</v>
      </c>
      <c r="G2" s="33">
        <v>2027</v>
      </c>
    </row>
    <row r="3" s="52" customFormat="1" ht="16.5" spans="1:7">
      <c r="A3" s="7" t="s">
        <v>87</v>
      </c>
      <c r="B3" s="7" t="s">
        <v>88</v>
      </c>
      <c r="C3" s="7"/>
      <c r="D3" s="11">
        <f>SUM(D4+D8)</f>
        <v>1824</v>
      </c>
      <c r="E3" s="11">
        <f>E4+E8</f>
        <v>308</v>
      </c>
      <c r="F3" s="11">
        <f>F4+F8</f>
        <v>608</v>
      </c>
      <c r="G3" s="11">
        <f>G4+G8</f>
        <v>908</v>
      </c>
    </row>
    <row r="4" s="52" customFormat="1" ht="16.5" spans="1:7">
      <c r="A4" s="53">
        <v>1</v>
      </c>
      <c r="B4" s="53" t="s">
        <v>89</v>
      </c>
      <c r="C4" s="53"/>
      <c r="D4" s="99">
        <f>SUM(D5:D7)</f>
        <v>1800</v>
      </c>
      <c r="E4" s="99">
        <f>E5+E6+E7</f>
        <v>300</v>
      </c>
      <c r="F4" s="99">
        <f>F5+F6+F7</f>
        <v>600</v>
      </c>
      <c r="G4" s="99">
        <f>G5+G6+G7</f>
        <v>900</v>
      </c>
    </row>
    <row r="5" s="52" customFormat="1" ht="66" spans="1:7">
      <c r="A5" s="7">
        <v>1.1</v>
      </c>
      <c r="B5" s="10" t="s">
        <v>90</v>
      </c>
      <c r="C5" s="79" t="s">
        <v>91</v>
      </c>
      <c r="D5" s="11">
        <f>SUM(E5:G5)</f>
        <v>600</v>
      </c>
      <c r="E5" s="39">
        <v>100</v>
      </c>
      <c r="F5" s="39">
        <v>200</v>
      </c>
      <c r="G5" s="39">
        <v>300</v>
      </c>
    </row>
    <row r="6" s="52" customFormat="1" ht="16.5" spans="1:7">
      <c r="A6" s="7">
        <v>1.2</v>
      </c>
      <c r="B6" s="10" t="s">
        <v>92</v>
      </c>
      <c r="C6" s="7"/>
      <c r="D6" s="11">
        <f>SUM(E6:G6)</f>
        <v>600</v>
      </c>
      <c r="E6" s="39">
        <v>100</v>
      </c>
      <c r="F6" s="39">
        <v>200</v>
      </c>
      <c r="G6" s="39">
        <v>300</v>
      </c>
    </row>
    <row r="7" s="52" customFormat="1" ht="33" spans="1:7">
      <c r="A7" s="7">
        <v>1.3</v>
      </c>
      <c r="B7" s="10" t="s">
        <v>93</v>
      </c>
      <c r="C7" s="79" t="s">
        <v>94</v>
      </c>
      <c r="D7" s="11">
        <f>SUM(E7:G7)</f>
        <v>600</v>
      </c>
      <c r="E7" s="39">
        <v>100</v>
      </c>
      <c r="F7" s="39">
        <v>200</v>
      </c>
      <c r="G7" s="39">
        <v>300</v>
      </c>
    </row>
    <row r="8" s="52" customFormat="1" ht="16.5" spans="1:7">
      <c r="A8" s="53">
        <v>2</v>
      </c>
      <c r="B8" s="53" t="s">
        <v>95</v>
      </c>
      <c r="C8" s="53"/>
      <c r="D8" s="99">
        <f>SUM(D9:D12)</f>
        <v>24</v>
      </c>
      <c r="E8" s="99">
        <f>SUM(E9:E12)</f>
        <v>8</v>
      </c>
      <c r="F8" s="99">
        <f>SUM(F9:F12)</f>
        <v>8</v>
      </c>
      <c r="G8" s="99">
        <f>SUM(G9:G12)</f>
        <v>8</v>
      </c>
    </row>
    <row r="9" s="52" customFormat="1" ht="16.5" spans="1:7">
      <c r="A9" s="7">
        <v>2.1</v>
      </c>
      <c r="B9" s="10" t="s">
        <v>96</v>
      </c>
      <c r="C9" s="7" t="s">
        <v>138</v>
      </c>
      <c r="D9" s="11">
        <f>SUM(E9:G9)</f>
        <v>6</v>
      </c>
      <c r="E9" s="39">
        <v>2</v>
      </c>
      <c r="F9" s="39">
        <v>2</v>
      </c>
      <c r="G9" s="39">
        <v>2</v>
      </c>
    </row>
    <row r="10" s="52" customFormat="1" ht="16.5" spans="1:7">
      <c r="A10" s="7">
        <v>2.2</v>
      </c>
      <c r="B10" s="10" t="s">
        <v>97</v>
      </c>
      <c r="C10" s="7"/>
      <c r="D10" s="11">
        <f>SUM(E10:G10)</f>
        <v>6</v>
      </c>
      <c r="E10" s="39">
        <v>2</v>
      </c>
      <c r="F10" s="39">
        <v>2</v>
      </c>
      <c r="G10" s="39">
        <v>2</v>
      </c>
    </row>
    <row r="11" s="52" customFormat="1" ht="16.5" spans="1:7">
      <c r="A11" s="7">
        <v>2.3</v>
      </c>
      <c r="B11" s="10" t="s">
        <v>98</v>
      </c>
      <c r="C11" s="7"/>
      <c r="D11" s="11">
        <f>SUM(E11:G11)</f>
        <v>6</v>
      </c>
      <c r="E11" s="39">
        <v>2</v>
      </c>
      <c r="F11" s="39">
        <v>2</v>
      </c>
      <c r="G11" s="39">
        <v>2</v>
      </c>
    </row>
    <row r="12" s="52" customFormat="1" ht="16.5" spans="1:7">
      <c r="A12" s="7">
        <v>2.4</v>
      </c>
      <c r="B12" s="10" t="s">
        <v>99</v>
      </c>
      <c r="C12" s="7"/>
      <c r="D12" s="11">
        <f>SUM(E12:G12)</f>
        <v>6</v>
      </c>
      <c r="E12" s="39">
        <v>2</v>
      </c>
      <c r="F12" s="39">
        <v>2</v>
      </c>
      <c r="G12" s="39">
        <v>2</v>
      </c>
    </row>
    <row r="13" s="52" customFormat="1" ht="16.5" spans="1:7">
      <c r="A13" s="53" t="s">
        <v>100</v>
      </c>
      <c r="B13" s="53" t="s">
        <v>101</v>
      </c>
      <c r="C13" s="53"/>
      <c r="D13" s="53">
        <f>SUM(D14:D18)</f>
        <v>24</v>
      </c>
      <c r="E13" s="53">
        <f>SUM(E14:E18)</f>
        <v>8</v>
      </c>
      <c r="F13" s="53">
        <f>SUM(F14:F18)</f>
        <v>8</v>
      </c>
      <c r="G13" s="53">
        <f>SUM(G14:G18)</f>
        <v>8</v>
      </c>
    </row>
    <row r="14" s="52" customFormat="1" ht="16.5" spans="1:7">
      <c r="A14" s="7">
        <v>1</v>
      </c>
      <c r="B14" s="10" t="s">
        <v>102</v>
      </c>
      <c r="C14" s="7"/>
      <c r="D14" s="11">
        <f>SUM(E14:G14)</f>
        <v>6</v>
      </c>
      <c r="E14" s="39">
        <v>2</v>
      </c>
      <c r="F14" s="39">
        <v>2</v>
      </c>
      <c r="G14" s="39">
        <v>2</v>
      </c>
    </row>
    <row r="15" s="52" customFormat="1" ht="16.5" spans="1:7">
      <c r="A15" s="7">
        <v>2</v>
      </c>
      <c r="B15" s="10" t="s">
        <v>103</v>
      </c>
      <c r="C15" s="7"/>
      <c r="D15" s="11">
        <f>SUM(E15:G15)</f>
        <v>6</v>
      </c>
      <c r="E15" s="39">
        <v>2</v>
      </c>
      <c r="F15" s="39">
        <v>2</v>
      </c>
      <c r="G15" s="39">
        <v>2</v>
      </c>
    </row>
    <row r="16" s="52" customFormat="1" ht="16.5" spans="1:7">
      <c r="A16" s="7">
        <v>3</v>
      </c>
      <c r="B16" s="10" t="s">
        <v>104</v>
      </c>
      <c r="C16" s="7"/>
      <c r="D16" s="11">
        <f>SUM(E16:G16)</f>
        <v>6</v>
      </c>
      <c r="E16" s="39">
        <v>2</v>
      </c>
      <c r="F16" s="39">
        <v>2</v>
      </c>
      <c r="G16" s="39">
        <v>2</v>
      </c>
    </row>
    <row r="17" s="52" customFormat="1" ht="16.5" spans="1:7">
      <c r="A17" s="7">
        <v>4</v>
      </c>
      <c r="B17" s="10" t="s">
        <v>105</v>
      </c>
      <c r="C17" s="7"/>
      <c r="D17" s="11">
        <f>SUM(E17:G17)</f>
        <v>6</v>
      </c>
      <c r="E17" s="39">
        <v>2</v>
      </c>
      <c r="F17" s="39">
        <v>2</v>
      </c>
      <c r="G17" s="39">
        <v>2</v>
      </c>
    </row>
    <row r="18" s="52" customFormat="1" ht="16.5" spans="1:7">
      <c r="A18" s="7">
        <v>5</v>
      </c>
      <c r="B18" s="10" t="s">
        <v>106</v>
      </c>
      <c r="C18" s="7"/>
      <c r="D18" s="11">
        <f>SUM(E18:G18)</f>
        <v>0</v>
      </c>
      <c r="E18" s="39">
        <v>0</v>
      </c>
      <c r="F18" s="39">
        <v>0</v>
      </c>
      <c r="G18" s="39">
        <v>0</v>
      </c>
    </row>
    <row r="19" s="52" customFormat="1" ht="16.5" spans="1:7">
      <c r="A19" s="53" t="s">
        <v>107</v>
      </c>
      <c r="B19" s="53" t="s">
        <v>108</v>
      </c>
      <c r="C19" s="53"/>
      <c r="D19" s="99">
        <f>D20</f>
        <v>6</v>
      </c>
      <c r="E19" s="99">
        <f>E20</f>
        <v>2</v>
      </c>
      <c r="F19" s="99">
        <f>F20</f>
        <v>2</v>
      </c>
      <c r="G19" s="99">
        <f>G20</f>
        <v>2</v>
      </c>
    </row>
    <row r="20" s="52" customFormat="1" ht="16.5" spans="1:7">
      <c r="A20" s="7">
        <v>1</v>
      </c>
      <c r="B20" s="126" t="s">
        <v>109</v>
      </c>
      <c r="C20" s="126"/>
      <c r="D20" s="11">
        <f>SUM(E20:G20)</f>
        <v>6</v>
      </c>
      <c r="E20" s="39">
        <v>2</v>
      </c>
      <c r="F20" s="39">
        <v>2</v>
      </c>
      <c r="G20" s="39">
        <v>2</v>
      </c>
    </row>
    <row r="21" s="52" customFormat="1" ht="16.5" spans="1:7">
      <c r="A21" s="7"/>
      <c r="B21" s="7" t="s">
        <v>110</v>
      </c>
      <c r="C21" s="7"/>
      <c r="D21" s="11">
        <f>SUM(E21:G21)</f>
        <v>1854</v>
      </c>
      <c r="E21" s="11">
        <f>E3+E13+E19</f>
        <v>318</v>
      </c>
      <c r="F21" s="11">
        <f t="shared" ref="F21:G21" si="0">F3+F13+F19</f>
        <v>618</v>
      </c>
      <c r="G21" s="11">
        <f t="shared" si="0"/>
        <v>918</v>
      </c>
    </row>
  </sheetData>
  <mergeCells count="2">
    <mergeCell ref="A1:G1"/>
    <mergeCell ref="B21:C2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J15"/>
  <sheetViews>
    <sheetView workbookViewId="0">
      <pane xSplit="4" ySplit="2" topLeftCell="E6" activePane="bottomRight" state="frozen"/>
      <selection/>
      <selection pane="topRight"/>
      <selection pane="bottomLeft"/>
      <selection pane="bottomRight" activeCell="I9" sqref="I9"/>
    </sheetView>
  </sheetViews>
  <sheetFormatPr defaultColWidth="8.89090909090909" defaultRowHeight="28.05" customHeight="1"/>
  <cols>
    <col min="1" max="1" width="6.10909090909091" customWidth="1"/>
    <col min="2" max="2" width="20.4454545454545" customWidth="1"/>
    <col min="3" max="3" width="17.7818181818182" customWidth="1"/>
    <col min="4" max="4" width="9.55454545454545" customWidth="1"/>
    <col min="5" max="5" width="6.44545454545455" customWidth="1"/>
    <col min="6" max="9" width="7.44545454545455" customWidth="1"/>
    <col min="14" max="14" width="80.4454545454546" customWidth="1"/>
  </cols>
  <sheetData>
    <row r="1" s="52" customFormat="1" customHeight="1" spans="1:10">
      <c r="A1" s="124" t="s">
        <v>139</v>
      </c>
      <c r="B1" s="125"/>
      <c r="C1" s="125"/>
      <c r="D1" s="125"/>
      <c r="E1" s="125"/>
      <c r="F1" s="125"/>
      <c r="G1" s="125"/>
      <c r="H1" s="125"/>
      <c r="I1" s="125"/>
      <c r="J1" s="78" t="s">
        <v>140</v>
      </c>
    </row>
    <row r="2" s="52" customFormat="1" ht="33" customHeight="1" spans="1:9">
      <c r="A2" s="2" t="s">
        <v>1</v>
      </c>
      <c r="B2" s="2" t="s">
        <v>141</v>
      </c>
      <c r="C2" s="2" t="s">
        <v>142</v>
      </c>
      <c r="D2" s="2" t="s">
        <v>143</v>
      </c>
      <c r="E2" s="33">
        <v>2025</v>
      </c>
      <c r="F2" s="33">
        <v>2026</v>
      </c>
      <c r="G2" s="33">
        <v>2027</v>
      </c>
      <c r="H2" s="33">
        <v>2028</v>
      </c>
      <c r="I2" s="33">
        <v>2029</v>
      </c>
    </row>
    <row r="3" s="52" customFormat="1" customHeight="1" spans="1:9">
      <c r="A3" s="7">
        <v>1</v>
      </c>
      <c r="B3" s="7" t="s">
        <v>144</v>
      </c>
      <c r="C3" s="10">
        <v>2</v>
      </c>
      <c r="D3" s="7">
        <f t="shared" ref="D3:D15" si="0">360/C3</f>
        <v>180</v>
      </c>
      <c r="E3" s="23"/>
      <c r="F3" s="11">
        <f>F4+F5+F10</f>
        <v>9.43004823611111</v>
      </c>
      <c r="G3" s="11">
        <f t="shared" ref="G3" si="1">G4+G5+G10</f>
        <v>9.97496090833334</v>
      </c>
      <c r="H3" s="11">
        <f t="shared" ref="H3:I3" si="2">H4+H5+H10</f>
        <v>12.5635471916667</v>
      </c>
      <c r="I3" s="11">
        <f t="shared" si="2"/>
        <v>14.8278959</v>
      </c>
    </row>
    <row r="4" s="52" customFormat="1" customHeight="1" spans="1:9">
      <c r="A4" s="7">
        <v>1.1</v>
      </c>
      <c r="B4" s="7" t="s">
        <v>145</v>
      </c>
      <c r="C4" s="10">
        <v>1</v>
      </c>
      <c r="D4" s="7">
        <f t="shared" si="0"/>
        <v>360</v>
      </c>
      <c r="E4" s="23"/>
      <c r="F4" s="11">
        <f>F项目收入!E11/$D$4</f>
        <v>0.902777777777778</v>
      </c>
      <c r="G4" s="11">
        <f>F项目收入!F11/$D$4</f>
        <v>1.44666666666667</v>
      </c>
      <c r="H4" s="11">
        <f>F项目收入!G11/$D$4</f>
        <v>1.81116666666667</v>
      </c>
      <c r="I4" s="11">
        <f>F项目收入!H11/$D$4</f>
        <v>1.81405666666667</v>
      </c>
    </row>
    <row r="5" s="52" customFormat="1" customHeight="1" spans="1:9">
      <c r="A5" s="7">
        <v>1.2</v>
      </c>
      <c r="B5" s="7" t="s">
        <v>146</v>
      </c>
      <c r="C5" s="10">
        <v>3</v>
      </c>
      <c r="D5" s="7">
        <f t="shared" si="0"/>
        <v>120</v>
      </c>
      <c r="E5" s="23"/>
      <c r="F5" s="11">
        <f>SUM(F6:F9)</f>
        <v>5.8269685625</v>
      </c>
      <c r="G5" s="11">
        <f t="shared" ref="G5" si="3">SUM(G6:G9)</f>
        <v>5.82748045416667</v>
      </c>
      <c r="H5" s="11">
        <f t="shared" ref="H5:I5" si="4">SUM(H6:H9)</f>
        <v>7.66285692916667</v>
      </c>
      <c r="I5" s="11">
        <f t="shared" si="4"/>
        <v>9.51691961666667</v>
      </c>
    </row>
    <row r="6" s="52" customFormat="1" customHeight="1" spans="1:9">
      <c r="A6" s="7" t="s">
        <v>147</v>
      </c>
      <c r="B6" s="7" t="s">
        <v>148</v>
      </c>
      <c r="C6" s="10">
        <v>30</v>
      </c>
      <c r="D6" s="7">
        <f t="shared" si="0"/>
        <v>12</v>
      </c>
      <c r="E6" s="23"/>
      <c r="F6" s="11">
        <f>E总成本费用估算表!D3/$D$6</f>
        <v>0.540166666666667</v>
      </c>
      <c r="G6" s="11">
        <f>E总成本费用估算表!E3/$D$6</f>
        <v>0.540166666666667</v>
      </c>
      <c r="H6" s="11">
        <f>E总成本费用估算表!F3/$D$6</f>
        <v>0.617333333333333</v>
      </c>
      <c r="I6" s="11">
        <f>E总成本费用估算表!G3/$D$6</f>
        <v>0.6945</v>
      </c>
    </row>
    <row r="7" s="52" customFormat="1" customHeight="1" spans="1:9">
      <c r="A7" s="7" t="s">
        <v>149</v>
      </c>
      <c r="B7" s="7" t="s">
        <v>150</v>
      </c>
      <c r="C7" s="10">
        <v>15</v>
      </c>
      <c r="D7" s="7">
        <f t="shared" si="0"/>
        <v>24</v>
      </c>
      <c r="E7" s="23"/>
      <c r="F7" s="11">
        <f>E总成本费用估算表!D4/$D$7</f>
        <v>0.929833333333333</v>
      </c>
      <c r="G7" s="11">
        <f>E总成本费用估算表!E4/$D$7</f>
        <v>0.929833333333333</v>
      </c>
      <c r="H7" s="11">
        <f>E总成本费用估算表!F4/$D$7</f>
        <v>1.06266666666667</v>
      </c>
      <c r="I7" s="11">
        <f>E总成本费用估算表!G4/$D$7</f>
        <v>1.1955</v>
      </c>
    </row>
    <row r="8" s="52" customFormat="1" customHeight="1" spans="1:9">
      <c r="A8" s="7" t="s">
        <v>151</v>
      </c>
      <c r="B8" s="7" t="s">
        <v>152</v>
      </c>
      <c r="C8" s="10">
        <v>3</v>
      </c>
      <c r="D8" s="7">
        <f t="shared" si="0"/>
        <v>120</v>
      </c>
      <c r="E8" s="23"/>
      <c r="F8" s="39">
        <v>0</v>
      </c>
      <c r="G8" s="39">
        <v>0</v>
      </c>
      <c r="H8" s="39">
        <v>1</v>
      </c>
      <c r="I8" s="39">
        <v>2</v>
      </c>
    </row>
    <row r="9" s="52" customFormat="1" customHeight="1" spans="1:9">
      <c r="A9" s="7" t="s">
        <v>153</v>
      </c>
      <c r="B9" s="7" t="s">
        <v>154</v>
      </c>
      <c r="C9" s="10">
        <v>15</v>
      </c>
      <c r="D9" s="7">
        <f t="shared" si="0"/>
        <v>24</v>
      </c>
      <c r="E9" s="23"/>
      <c r="F9" s="11">
        <f>(E总成本费用估算表!D11-E总成本费用估算表!D10)/$D$9</f>
        <v>4.3569685625</v>
      </c>
      <c r="G9" s="11">
        <f>(E总成本费用估算表!E11-E总成本费用估算表!E10)/$D$9</f>
        <v>4.35748045416667</v>
      </c>
      <c r="H9" s="11">
        <f>(E总成本费用估算表!F11-E总成本费用估算表!F10)/$D$9</f>
        <v>4.98285692916667</v>
      </c>
      <c r="I9" s="11">
        <f>(E总成本费用估算表!G11-E总成本费用估算表!G10)/$D$9</f>
        <v>5.62691961666667</v>
      </c>
    </row>
    <row r="10" s="52" customFormat="1" customHeight="1" spans="1:9">
      <c r="A10" s="7">
        <v>1.3</v>
      </c>
      <c r="B10" s="7" t="s">
        <v>155</v>
      </c>
      <c r="C10" s="10">
        <v>15</v>
      </c>
      <c r="D10" s="7">
        <f t="shared" si="0"/>
        <v>24</v>
      </c>
      <c r="E10" s="23"/>
      <c r="F10" s="11">
        <f>(E总成本费用估算表!D5+E总成本费用估算表!D7)/$D$10</f>
        <v>2.70030189583333</v>
      </c>
      <c r="G10" s="11">
        <f>(E总成本费用估算表!E5+E总成本费用估算表!E7)/$D$10</f>
        <v>2.7008137875</v>
      </c>
      <c r="H10" s="11">
        <f>(E总成本费用估算表!F5+E总成本费用估算表!F7)/$D$10</f>
        <v>3.08952359583333</v>
      </c>
      <c r="I10" s="11">
        <f>(E总成本费用估算表!G5+E总成本费用估算表!G7)/$D$10</f>
        <v>3.49691961666667</v>
      </c>
    </row>
    <row r="11" s="52" customFormat="1" customHeight="1" spans="1:9">
      <c r="A11" s="7">
        <v>2</v>
      </c>
      <c r="B11" s="7" t="s">
        <v>156</v>
      </c>
      <c r="C11" s="10">
        <v>3</v>
      </c>
      <c r="D11" s="7">
        <f t="shared" si="0"/>
        <v>120</v>
      </c>
      <c r="E11" s="23"/>
      <c r="F11" s="11">
        <f>F12</f>
        <v>0.239983333333333</v>
      </c>
      <c r="G11" s="11">
        <f t="shared" ref="G11:I11" si="5">G12</f>
        <v>0.239983333333333</v>
      </c>
      <c r="H11" s="11">
        <f t="shared" si="5"/>
        <v>0.274266666666667</v>
      </c>
      <c r="I11" s="11">
        <f t="shared" si="5"/>
        <v>0.30855</v>
      </c>
    </row>
    <row r="12" s="52" customFormat="1" customHeight="1" spans="1:9">
      <c r="A12" s="7">
        <v>2.1</v>
      </c>
      <c r="B12" s="7" t="s">
        <v>157</v>
      </c>
      <c r="C12" s="10">
        <v>3</v>
      </c>
      <c r="D12" s="7">
        <f t="shared" si="0"/>
        <v>120</v>
      </c>
      <c r="E12" s="23"/>
      <c r="F12" s="11">
        <f>(E总成本费用估算表!D3+E总成本费用估算表!D4)/$D$12</f>
        <v>0.239983333333333</v>
      </c>
      <c r="G12" s="11">
        <f>(E总成本费用估算表!E3+E总成本费用估算表!E4)/$D$12</f>
        <v>0.239983333333333</v>
      </c>
      <c r="H12" s="11">
        <f>(E总成本费用估算表!F3+E总成本费用估算表!F4)/$D$12</f>
        <v>0.274266666666667</v>
      </c>
      <c r="I12" s="11">
        <f>(E总成本费用估算表!G3+E总成本费用估算表!G4)/$D$12</f>
        <v>0.30855</v>
      </c>
    </row>
    <row r="13" s="52" customFormat="1" customHeight="1" spans="1:9">
      <c r="A13" s="7">
        <v>3</v>
      </c>
      <c r="B13" s="7" t="s">
        <v>158</v>
      </c>
      <c r="C13" s="10">
        <v>3</v>
      </c>
      <c r="D13" s="7">
        <f t="shared" si="0"/>
        <v>120</v>
      </c>
      <c r="E13" s="23"/>
      <c r="F13" s="11">
        <f>F3-F11</f>
        <v>9.19006490277778</v>
      </c>
      <c r="G13" s="11">
        <f t="shared" ref="G13" si="6">G3-G11</f>
        <v>9.734977575</v>
      </c>
      <c r="H13" s="11">
        <f t="shared" ref="H13:I13" si="7">H3-H11</f>
        <v>12.289280525</v>
      </c>
      <c r="I13" s="11">
        <f t="shared" si="7"/>
        <v>14.5193459</v>
      </c>
    </row>
    <row r="14" s="52" customFormat="1" customHeight="1" spans="1:9">
      <c r="A14" s="7">
        <v>4</v>
      </c>
      <c r="B14" s="7" t="s">
        <v>159</v>
      </c>
      <c r="C14" s="10">
        <v>3</v>
      </c>
      <c r="D14" s="7">
        <f t="shared" si="0"/>
        <v>120</v>
      </c>
      <c r="E14" s="23"/>
      <c r="F14" s="11">
        <f>F13-E13</f>
        <v>9.19006490277778</v>
      </c>
      <c r="G14" s="11">
        <f t="shared" ref="G14" si="8">G13-F13</f>
        <v>0.544912672222226</v>
      </c>
      <c r="H14" s="11">
        <f t="shared" ref="H14" si="9">H13-G13</f>
        <v>2.55430295</v>
      </c>
      <c r="I14" s="11">
        <f t="shared" ref="I14" si="10">I13-H13</f>
        <v>2.230065375</v>
      </c>
    </row>
    <row r="15" s="52" customFormat="1" customHeight="1" spans="1:9">
      <c r="A15" s="7">
        <v>5</v>
      </c>
      <c r="B15" s="7" t="s">
        <v>160</v>
      </c>
      <c r="C15" s="10">
        <v>3</v>
      </c>
      <c r="D15" s="7">
        <f t="shared" si="0"/>
        <v>120</v>
      </c>
      <c r="E15" s="8"/>
      <c r="F15" s="11">
        <f>D.2项目总投资使用计划与资金筹措表!E15</f>
        <v>0</v>
      </c>
      <c r="G15" s="11">
        <f>D.2项目总投资使用计划与资金筹措表!F15</f>
        <v>0</v>
      </c>
      <c r="H15" s="11">
        <f>D.2项目总投资使用计划与资金筹措表!G15</f>
        <v>0</v>
      </c>
      <c r="I15" s="11">
        <f>D.2项目总投资使用计划与资金筹措表!H15</f>
        <v>0</v>
      </c>
    </row>
  </sheetData>
  <mergeCells count="1">
    <mergeCell ref="A1:I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H18"/>
  <sheetViews>
    <sheetView workbookViewId="0">
      <pane xSplit="2" ySplit="2" topLeftCell="C4" activePane="bottomRight" state="frozen"/>
      <selection/>
      <selection pane="topRight"/>
      <selection pane="bottomLeft"/>
      <selection pane="bottomRight" activeCell="G13" sqref="G13"/>
    </sheetView>
  </sheetViews>
  <sheetFormatPr defaultColWidth="8.89090909090909" defaultRowHeight="28.05" customHeight="1" outlineLevelCol="7"/>
  <cols>
    <col min="2" max="2" width="29.7818181818182" customWidth="1"/>
    <col min="3" max="3" width="6.44545454545455" customWidth="1"/>
    <col min="4" max="7" width="8.66363636363636" customWidth="1"/>
    <col min="8" max="8" width="40.4454545454545" customWidth="1"/>
  </cols>
  <sheetData>
    <row r="1" s="52" customFormat="1" customHeight="1" spans="1:8">
      <c r="A1" s="60" t="s">
        <v>161</v>
      </c>
      <c r="B1" s="60"/>
      <c r="C1" s="60"/>
      <c r="D1" s="60"/>
      <c r="E1" s="60"/>
      <c r="F1" s="60"/>
      <c r="G1" s="60"/>
      <c r="H1" s="78" t="s">
        <v>162</v>
      </c>
    </row>
    <row r="2" s="52" customFormat="1" ht="28.2" customHeight="1" spans="1:7">
      <c r="A2" s="2" t="s">
        <v>1</v>
      </c>
      <c r="B2" s="2" t="s">
        <v>112</v>
      </c>
      <c r="C2" s="122">
        <v>2025</v>
      </c>
      <c r="D2" s="33">
        <v>2026</v>
      </c>
      <c r="E2" s="33">
        <v>2027</v>
      </c>
      <c r="F2" s="33">
        <v>2028</v>
      </c>
      <c r="G2" s="33">
        <v>2029</v>
      </c>
    </row>
    <row r="3" s="52" customFormat="1" customHeight="1" spans="1:7">
      <c r="A3" s="7">
        <v>1</v>
      </c>
      <c r="B3" s="7" t="s">
        <v>163</v>
      </c>
      <c r="C3" s="8"/>
      <c r="D3" s="39">
        <f>'E.1.1项目运营期费用(不含税）'!I7+'E.1.1项目运营期费用(不含税）'!I13</f>
        <v>6.482</v>
      </c>
      <c r="E3" s="39">
        <f>'E.1.1项目运营期费用(不含税）'!J7+'E.1.1项目运营期费用(不含税）'!J13</f>
        <v>6.482</v>
      </c>
      <c r="F3" s="39">
        <f>'E.1.1项目运营期费用(不含税）'!K7+'E.1.1项目运营期费用(不含税）'!K13</f>
        <v>7.408</v>
      </c>
      <c r="G3" s="39">
        <f>'E.1.1项目运营期费用(不含税）'!L7+'E.1.1项目运营期费用(不含税）'!L13</f>
        <v>8.334</v>
      </c>
    </row>
    <row r="4" s="52" customFormat="1" customHeight="1" spans="1:8">
      <c r="A4" s="7">
        <v>2</v>
      </c>
      <c r="B4" s="7" t="s">
        <v>164</v>
      </c>
      <c r="C4" s="8"/>
      <c r="D4" s="39">
        <f>'E.1.1项目运营期费用(不含税）'!I8+'E.1.1项目运营期费用(不含税）'!I9+'E.1.1项目运营期费用(不含税）'!I10</f>
        <v>22.316</v>
      </c>
      <c r="E4" s="39">
        <f>'E.1.1项目运营期费用(不含税）'!J8+'E.1.1项目运营期费用(不含税）'!J9+'E.1.1项目运营期费用(不含税）'!J10</f>
        <v>22.316</v>
      </c>
      <c r="F4" s="39">
        <f>'E.1.1项目运营期费用(不含税）'!K8+'E.1.1项目运营期费用(不含税）'!K9+'E.1.1项目运营期费用(不含税）'!K10</f>
        <v>25.504</v>
      </c>
      <c r="G4" s="39">
        <f>'E.1.1项目运营期费用(不含税）'!L8+'E.1.1项目运营期费用(不含税）'!L9+'E.1.1项目运营期费用(不含税）'!L10</f>
        <v>28.692</v>
      </c>
      <c r="H4" s="78" t="s">
        <v>165</v>
      </c>
    </row>
    <row r="5" s="52" customFormat="1" customHeight="1" spans="1:7">
      <c r="A5" s="7">
        <v>3</v>
      </c>
      <c r="B5" s="7" t="s">
        <v>166</v>
      </c>
      <c r="C5" s="8"/>
      <c r="D5" s="39">
        <f>'E.1.1项目运营期费用(不含税）'!I16</f>
        <v>4.2</v>
      </c>
      <c r="E5" s="39">
        <f>'E.1.1项目运营期费用(不含税）'!J16</f>
        <v>4.2</v>
      </c>
      <c r="F5" s="39">
        <f>'E.1.1项目运营期费用(不含税）'!K16</f>
        <v>4.8</v>
      </c>
      <c r="G5" s="39">
        <f>'E.1.1项目运营期费用(不含税）'!L16</f>
        <v>5.4</v>
      </c>
    </row>
    <row r="6" s="52" customFormat="1" customHeight="1" spans="1:7">
      <c r="A6" s="7">
        <v>4</v>
      </c>
      <c r="B6" s="7" t="s">
        <v>167</v>
      </c>
      <c r="C6" s="8"/>
      <c r="D6" s="39">
        <f>'E.1.1项目运营期费用(不含税）'!I5+'E.1.1项目运营期费用(不含税）'!I12</f>
        <v>13.594</v>
      </c>
      <c r="E6" s="39">
        <f>'E.1.1项目运营期费用(不含税）'!J5+'E.1.1项目运营期费用(不含税）'!J12</f>
        <v>13.594</v>
      </c>
      <c r="F6" s="39">
        <f>'E.1.1项目运营期费用(不含税）'!K5+'E.1.1项目运营期费用(不含税）'!K12</f>
        <v>15.536</v>
      </c>
      <c r="G6" s="39">
        <f>'E.1.1项目运营期费用(不含税）'!L5+'E.1.1项目运营期费用(不含税）'!L12</f>
        <v>17.478</v>
      </c>
    </row>
    <row r="7" s="52" customFormat="1" customHeight="1" spans="1:7">
      <c r="A7" s="7">
        <v>5</v>
      </c>
      <c r="B7" s="7" t="s">
        <v>168</v>
      </c>
      <c r="C7" s="8"/>
      <c r="D7" s="41">
        <f>D8+D9+D10</f>
        <v>60.6072455</v>
      </c>
      <c r="E7" s="41">
        <f>E8+E9+E10</f>
        <v>60.6195309</v>
      </c>
      <c r="F7" s="41">
        <f>F8+F9+F10</f>
        <v>69.3485663</v>
      </c>
      <c r="G7" s="41">
        <f>G8+G9+G10</f>
        <v>78.5260708</v>
      </c>
    </row>
    <row r="8" s="52" customFormat="1" customHeight="1" spans="1:7">
      <c r="A8" s="7">
        <v>5.1</v>
      </c>
      <c r="B8" s="7" t="s">
        <v>169</v>
      </c>
      <c r="C8" s="8"/>
      <c r="D8" s="43">
        <f>'E.1.1项目运营期费用(不含税）'!I4+'E.1.1项目运营期费用(不含税）'!I14</f>
        <v>3.906</v>
      </c>
      <c r="E8" s="43">
        <f>'E.1.1项目运营期费用(不含税）'!J4+'E.1.1项目运营期费用(不含税）'!J14</f>
        <v>3.906</v>
      </c>
      <c r="F8" s="43">
        <f>'E.1.1项目运营期费用(不含税）'!K4+'E.1.1项目运营期费用(不含税）'!K14</f>
        <v>4.464</v>
      </c>
      <c r="G8" s="43">
        <f>'E.1.1项目运营期费用(不含税）'!L4+'E.1.1项目运营期费用(不含税）'!L14</f>
        <v>5.022</v>
      </c>
    </row>
    <row r="9" s="52" customFormat="1" customHeight="1" spans="1:7">
      <c r="A9" s="7">
        <v>5.2</v>
      </c>
      <c r="B9" s="7" t="s">
        <v>170</v>
      </c>
      <c r="C9" s="8"/>
      <c r="D9" s="39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33</f>
        <v>54.0692455</v>
      </c>
      <c r="E9" s="39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33</f>
        <v>54.0815309</v>
      </c>
      <c r="F9" s="39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33</f>
        <v>61.8765663</v>
      </c>
      <c r="G9" s="39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33</f>
        <v>70.1200708</v>
      </c>
    </row>
    <row r="10" s="52" customFormat="1" customHeight="1" spans="1:7">
      <c r="A10" s="7">
        <v>5.3</v>
      </c>
      <c r="B10" s="7" t="s">
        <v>171</v>
      </c>
      <c r="C10" s="8"/>
      <c r="D10" s="39">
        <f>'E.1.1项目运营期费用(不含税）'!I15</f>
        <v>2.632</v>
      </c>
      <c r="E10" s="39">
        <f>'E.1.1项目运营期费用(不含税）'!J15</f>
        <v>2.632</v>
      </c>
      <c r="F10" s="39">
        <f>'E.1.1项目运营期费用(不含税）'!K15</f>
        <v>3.008</v>
      </c>
      <c r="G10" s="39">
        <f>'E.1.1项目运营期费用(不含税）'!L15</f>
        <v>3.384</v>
      </c>
    </row>
    <row r="11" s="52" customFormat="1" customHeight="1" spans="1:7">
      <c r="A11" s="7">
        <v>6</v>
      </c>
      <c r="B11" s="7" t="s">
        <v>172</v>
      </c>
      <c r="C11" s="8"/>
      <c r="D11" s="11">
        <f>D3+D4+D5+D6+D7</f>
        <v>107.1992455</v>
      </c>
      <c r="E11" s="11">
        <f>E3+E4+E5+E6+E7</f>
        <v>107.2115309</v>
      </c>
      <c r="F11" s="11">
        <f>F3+F4+F5+F6+F7</f>
        <v>122.5965663</v>
      </c>
      <c r="G11" s="11">
        <f>G3+G4+G5+G6+G7</f>
        <v>138.4300708</v>
      </c>
    </row>
    <row r="12" s="52" customFormat="1" customHeight="1" spans="1:7">
      <c r="A12" s="7">
        <v>7</v>
      </c>
      <c r="B12" s="7" t="s">
        <v>173</v>
      </c>
      <c r="C12" s="121"/>
      <c r="D12" s="41">
        <f>E.2固定资产折旧费估算表!E4</f>
        <v>12.2771995598018</v>
      </c>
      <c r="E12" s="41">
        <f>E.2固定资产折旧费估算表!F4</f>
        <v>0</v>
      </c>
      <c r="F12" s="41">
        <f>E.2固定资产折旧费估算表!G4</f>
        <v>272.036895509293</v>
      </c>
      <c r="G12" s="41">
        <f>E.2固定资产折旧费估算表!H4</f>
        <v>259.759695949491</v>
      </c>
    </row>
    <row r="13" s="52" customFormat="1" customHeight="1" spans="1:7">
      <c r="A13" s="7">
        <v>8</v>
      </c>
      <c r="B13" s="7" t="s">
        <v>174</v>
      </c>
      <c r="C13" s="121"/>
      <c r="D13" s="41">
        <f>E.3无形资产和其他资产摊销费估算表!E4</f>
        <v>0.251977109549325</v>
      </c>
      <c r="E13" s="41">
        <f>E.3无形资产和其他资产摊销费估算表!F4</f>
        <v>0</v>
      </c>
      <c r="F13" s="41">
        <f>E.3无形资产和其他资产摊销费估算表!G4</f>
        <v>5.29151930053583</v>
      </c>
      <c r="G13" s="41">
        <f>E.3无形资产和其他资产摊销费估算表!H4</f>
        <v>5.0395421909865</v>
      </c>
    </row>
    <row r="14" s="52" customFormat="1" customHeight="1" spans="1:7">
      <c r="A14" s="7">
        <v>9</v>
      </c>
      <c r="B14" s="7" t="s">
        <v>175</v>
      </c>
      <c r="C14" s="106"/>
      <c r="D14" s="11">
        <f>c借款还本付息计划表!E31</f>
        <v>24.91</v>
      </c>
      <c r="E14" s="11">
        <f>c借款还本付息计划表!F31</f>
        <v>270.618</v>
      </c>
      <c r="F14" s="11">
        <f>c借款还本付息计划表!G31</f>
        <v>516.326</v>
      </c>
      <c r="G14" s="11">
        <f>c借款还本付息计划表!H31</f>
        <v>491.416</v>
      </c>
    </row>
    <row r="15" s="52" customFormat="1" customHeight="1" spans="1:7">
      <c r="A15" s="7">
        <v>10</v>
      </c>
      <c r="B15" s="7" t="s">
        <v>176</v>
      </c>
      <c r="C15" s="8"/>
      <c r="D15" s="11">
        <f>D11+D12+D13+D14</f>
        <v>144.638422169351</v>
      </c>
      <c r="E15" s="11">
        <f>E11+E12+E13+E14</f>
        <v>377.8295309</v>
      </c>
      <c r="F15" s="11">
        <f>F11+F12+F13+F14</f>
        <v>916.250981109829</v>
      </c>
      <c r="G15" s="11">
        <f>G11+G12+G13+G14</f>
        <v>894.645308940477</v>
      </c>
    </row>
    <row r="16" s="52" customFormat="1" customHeight="1" spans="1:7">
      <c r="A16" s="7">
        <v>10.1</v>
      </c>
      <c r="B16" s="7" t="s">
        <v>177</v>
      </c>
      <c r="C16" s="8"/>
      <c r="D16" s="11">
        <f>D15-D17</f>
        <v>109.008422169351</v>
      </c>
      <c r="E16" s="11">
        <f>E15-E17</f>
        <v>342.1995309</v>
      </c>
      <c r="F16" s="11">
        <f>F15-F17</f>
        <v>875.530981109829</v>
      </c>
      <c r="G16" s="11">
        <f>G15-G17</f>
        <v>848.835308940477</v>
      </c>
    </row>
    <row r="17" s="52" customFormat="1" customHeight="1" spans="1:7">
      <c r="A17" s="7">
        <v>10.2</v>
      </c>
      <c r="B17" s="7" t="s">
        <v>178</v>
      </c>
      <c r="C17" s="8"/>
      <c r="D17" s="11">
        <f>D3+D4+D5+D10</f>
        <v>35.63</v>
      </c>
      <c r="E17" s="11">
        <f>E3+E4+E5+E10</f>
        <v>35.63</v>
      </c>
      <c r="F17" s="11">
        <f>F3+F4+F5+F10</f>
        <v>40.72</v>
      </c>
      <c r="G17" s="11">
        <f>G3+G4+G5+G10</f>
        <v>45.81</v>
      </c>
    </row>
    <row r="18" customHeight="1" spans="3:3">
      <c r="C18" s="123"/>
    </row>
  </sheetData>
  <mergeCells count="1">
    <mergeCell ref="A1:G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M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H3" sqref="H3:L3"/>
    </sheetView>
  </sheetViews>
  <sheetFormatPr defaultColWidth="8.89090909090909" defaultRowHeight="28.05" customHeight="1"/>
  <cols>
    <col min="1" max="1" width="19.6636363636364" customWidth="1"/>
    <col min="3" max="3" width="32.3363636363636" customWidth="1"/>
    <col min="4" max="4" width="58.1090909090909" customWidth="1"/>
    <col min="5" max="5" width="14.1090909090909" customWidth="1"/>
    <col min="6" max="6" width="12.3363636363636" customWidth="1"/>
    <col min="7" max="8" width="15.1090909090909" customWidth="1"/>
    <col min="9" max="9" width="15.4454545454545" customWidth="1"/>
    <col min="10" max="10" width="16.1090909090909" customWidth="1"/>
    <col min="11" max="11" width="17" customWidth="1"/>
    <col min="12" max="12" width="15.4454545454545" customWidth="1"/>
    <col min="13" max="13" width="16.5545454545455" customWidth="1"/>
  </cols>
  <sheetData>
    <row r="1" s="52" customFormat="1" customHeight="1" spans="1:13">
      <c r="A1" s="117" t="s">
        <v>179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="52" customFormat="1" customHeight="1" spans="1:13">
      <c r="A2" s="19" t="s">
        <v>180</v>
      </c>
      <c r="B2" s="19" t="s">
        <v>1</v>
      </c>
      <c r="C2" s="19" t="s">
        <v>112</v>
      </c>
      <c r="D2" s="19" t="s">
        <v>181</v>
      </c>
      <c r="E2" s="19" t="s">
        <v>182</v>
      </c>
      <c r="F2" s="20" t="s">
        <v>183</v>
      </c>
      <c r="G2" s="20" t="s">
        <v>184</v>
      </c>
      <c r="H2" s="21">
        <v>2025</v>
      </c>
      <c r="I2" s="26">
        <v>2026</v>
      </c>
      <c r="J2" s="21">
        <v>2027</v>
      </c>
      <c r="K2" s="26">
        <v>2028</v>
      </c>
      <c r="L2" s="21">
        <v>2029</v>
      </c>
      <c r="M2" s="16" t="s">
        <v>81</v>
      </c>
    </row>
    <row r="3" s="52" customFormat="1" customHeight="1" spans="1:13">
      <c r="A3" s="16"/>
      <c r="B3" s="16"/>
      <c r="C3" s="16"/>
      <c r="D3" s="16"/>
      <c r="E3" s="16"/>
      <c r="F3" s="16"/>
      <c r="G3" s="16"/>
      <c r="H3" s="118" t="s">
        <v>185</v>
      </c>
      <c r="I3" s="12">
        <v>0.7</v>
      </c>
      <c r="J3" s="12">
        <v>0.7</v>
      </c>
      <c r="K3" s="70">
        <v>0.8</v>
      </c>
      <c r="L3" s="12">
        <v>0.9</v>
      </c>
      <c r="M3" s="7" t="s">
        <v>132</v>
      </c>
    </row>
    <row r="4" s="52" customFormat="1" customHeight="1" spans="1:13">
      <c r="A4" s="10" t="s">
        <v>186</v>
      </c>
      <c r="B4" s="10">
        <v>1</v>
      </c>
      <c r="C4" s="10" t="s">
        <v>187</v>
      </c>
      <c r="D4" s="10" t="s">
        <v>188</v>
      </c>
      <c r="E4" s="39">
        <v>1</v>
      </c>
      <c r="F4" s="39">
        <v>2</v>
      </c>
      <c r="G4" s="120">
        <f>F4*(1+A财务假设!$D$19)</f>
        <v>2</v>
      </c>
      <c r="H4" s="121"/>
      <c r="I4" s="120">
        <f>$E4*$G4*I$3</f>
        <v>1.4</v>
      </c>
      <c r="J4" s="120">
        <f t="shared" ref="J4:L16" si="0">$E4*$G4*J$3</f>
        <v>1.4</v>
      </c>
      <c r="K4" s="120">
        <f t="shared" si="0"/>
        <v>1.6</v>
      </c>
      <c r="L4" s="120">
        <f t="shared" si="0"/>
        <v>1.8</v>
      </c>
      <c r="M4" s="11">
        <f t="shared" ref="M4:M23" si="1">SUM(H4:L4)</f>
        <v>6.2</v>
      </c>
    </row>
    <row r="5" s="52" customFormat="1" ht="48" customHeight="1" spans="1:13">
      <c r="A5" s="10"/>
      <c r="B5" s="10">
        <v>2</v>
      </c>
      <c r="C5" s="24" t="s">
        <v>189</v>
      </c>
      <c r="D5" s="10" t="s">
        <v>190</v>
      </c>
      <c r="E5" s="39">
        <v>2</v>
      </c>
      <c r="F5" s="39">
        <v>2</v>
      </c>
      <c r="G5" s="120">
        <f>F5*(1+A财务假设!$D$19)</f>
        <v>2</v>
      </c>
      <c r="H5" s="121"/>
      <c r="I5" s="120">
        <f t="shared" ref="I5:L23" si="2">$E5*$G5*I$3</f>
        <v>2.8</v>
      </c>
      <c r="J5" s="120">
        <f t="shared" si="2"/>
        <v>2.8</v>
      </c>
      <c r="K5" s="120">
        <f t="shared" si="2"/>
        <v>3.2</v>
      </c>
      <c r="L5" s="120">
        <f t="shared" si="2"/>
        <v>3.6</v>
      </c>
      <c r="M5" s="11">
        <f t="shared" si="1"/>
        <v>12.4</v>
      </c>
    </row>
    <row r="6" s="52" customFormat="1" customHeight="1" spans="1:13">
      <c r="A6" s="10"/>
      <c r="B6" s="10">
        <v>3</v>
      </c>
      <c r="C6" s="10" t="s">
        <v>191</v>
      </c>
      <c r="D6" s="10" t="s">
        <v>192</v>
      </c>
      <c r="E6" s="39">
        <v>3</v>
      </c>
      <c r="F6" s="39">
        <v>2</v>
      </c>
      <c r="G6" s="120">
        <f>F6*(1+A财务假设!$D$19)</f>
        <v>2</v>
      </c>
      <c r="H6" s="121"/>
      <c r="I6" s="120">
        <f t="shared" si="2"/>
        <v>4.2</v>
      </c>
      <c r="J6" s="120">
        <f t="shared" si="0"/>
        <v>4.2</v>
      </c>
      <c r="K6" s="120">
        <f t="shared" si="0"/>
        <v>4.8</v>
      </c>
      <c r="L6" s="120">
        <f t="shared" si="0"/>
        <v>5.4</v>
      </c>
      <c r="M6" s="11">
        <f t="shared" si="1"/>
        <v>18.6</v>
      </c>
    </row>
    <row r="7" s="52" customFormat="1" customHeight="1" spans="1:13">
      <c r="A7" s="10"/>
      <c r="B7" s="10">
        <v>4</v>
      </c>
      <c r="C7" s="10" t="s">
        <v>193</v>
      </c>
      <c r="D7" s="10" t="s">
        <v>194</v>
      </c>
      <c r="E7" s="39">
        <v>4</v>
      </c>
      <c r="F7" s="39">
        <v>2</v>
      </c>
      <c r="G7" s="120">
        <f>F7*(1+A财务假设!$D$19)</f>
        <v>2</v>
      </c>
      <c r="H7" s="121"/>
      <c r="I7" s="120">
        <f t="shared" si="2"/>
        <v>5.6</v>
      </c>
      <c r="J7" s="120">
        <f t="shared" si="0"/>
        <v>5.6</v>
      </c>
      <c r="K7" s="120">
        <f t="shared" si="0"/>
        <v>6.4</v>
      </c>
      <c r="L7" s="120">
        <f t="shared" si="0"/>
        <v>7.2</v>
      </c>
      <c r="M7" s="11">
        <f t="shared" si="1"/>
        <v>24.8</v>
      </c>
    </row>
    <row r="8" s="52" customFormat="1" customHeight="1" spans="1:13">
      <c r="A8" s="10" t="s">
        <v>195</v>
      </c>
      <c r="B8" s="10">
        <v>5</v>
      </c>
      <c r="C8" s="10" t="s">
        <v>196</v>
      </c>
      <c r="D8" s="10" t="s">
        <v>197</v>
      </c>
      <c r="E8" s="39">
        <v>5</v>
      </c>
      <c r="F8" s="39">
        <v>2</v>
      </c>
      <c r="G8" s="120">
        <f>F8*(1+A财务假设!$D$19)</f>
        <v>2</v>
      </c>
      <c r="H8" s="121"/>
      <c r="I8" s="120">
        <f t="shared" si="2"/>
        <v>7</v>
      </c>
      <c r="J8" s="120">
        <f t="shared" si="0"/>
        <v>7</v>
      </c>
      <c r="K8" s="120">
        <f t="shared" si="0"/>
        <v>8</v>
      </c>
      <c r="L8" s="120">
        <f t="shared" si="0"/>
        <v>9</v>
      </c>
      <c r="M8" s="11">
        <f t="shared" si="1"/>
        <v>31</v>
      </c>
    </row>
    <row r="9" s="52" customFormat="1" customHeight="1" spans="1:13">
      <c r="A9" s="10"/>
      <c r="B9" s="10">
        <v>6</v>
      </c>
      <c r="C9" s="10" t="s">
        <v>198</v>
      </c>
      <c r="D9" s="10" t="s">
        <v>199</v>
      </c>
      <c r="E9" s="39">
        <v>6</v>
      </c>
      <c r="F9" s="39">
        <v>2</v>
      </c>
      <c r="G9" s="120">
        <f>F9*(1+A财务假设!$D$19)</f>
        <v>2</v>
      </c>
      <c r="H9" s="121"/>
      <c r="I9" s="120">
        <f t="shared" si="2"/>
        <v>8.4</v>
      </c>
      <c r="J9" s="120">
        <f t="shared" si="0"/>
        <v>8.4</v>
      </c>
      <c r="K9" s="120">
        <f t="shared" si="0"/>
        <v>9.6</v>
      </c>
      <c r="L9" s="120">
        <f t="shared" si="0"/>
        <v>10.8</v>
      </c>
      <c r="M9" s="11">
        <f t="shared" si="1"/>
        <v>37.2</v>
      </c>
    </row>
    <row r="10" s="52" customFormat="1" customHeight="1" spans="1:13">
      <c r="A10" s="10"/>
      <c r="B10" s="10">
        <v>7</v>
      </c>
      <c r="C10" s="10" t="s">
        <v>200</v>
      </c>
      <c r="D10" s="10" t="s">
        <v>201</v>
      </c>
      <c r="E10" s="39">
        <v>7</v>
      </c>
      <c r="F10" s="39">
        <v>2</v>
      </c>
      <c r="G10" s="120">
        <f>F10*(1+A财务假设!$D$19)</f>
        <v>2</v>
      </c>
      <c r="H10" s="121"/>
      <c r="I10" s="120">
        <f t="shared" si="2"/>
        <v>9.8</v>
      </c>
      <c r="J10" s="120">
        <f t="shared" si="0"/>
        <v>9.8</v>
      </c>
      <c r="K10" s="120">
        <f t="shared" si="0"/>
        <v>11.2</v>
      </c>
      <c r="L10" s="120">
        <f t="shared" si="0"/>
        <v>12.6</v>
      </c>
      <c r="M10" s="11">
        <f t="shared" si="1"/>
        <v>43.4</v>
      </c>
    </row>
    <row r="11" s="52" customFormat="1" customHeight="1" spans="1:13">
      <c r="A11" s="10" t="s">
        <v>202</v>
      </c>
      <c r="B11" s="10">
        <v>8</v>
      </c>
      <c r="C11" s="10" t="s">
        <v>203</v>
      </c>
      <c r="D11" s="10" t="s">
        <v>204</v>
      </c>
      <c r="E11" s="39">
        <v>8</v>
      </c>
      <c r="F11" s="39">
        <v>2</v>
      </c>
      <c r="G11" s="120">
        <f>F11*(1+A财务假设!$D$19)</f>
        <v>2</v>
      </c>
      <c r="H11" s="121"/>
      <c r="I11" s="120">
        <f t="shared" si="2"/>
        <v>11.2</v>
      </c>
      <c r="J11" s="120">
        <f t="shared" si="0"/>
        <v>11.2</v>
      </c>
      <c r="K11" s="120">
        <f t="shared" si="0"/>
        <v>12.8</v>
      </c>
      <c r="L11" s="120">
        <f t="shared" si="0"/>
        <v>14.4</v>
      </c>
      <c r="M11" s="11">
        <f t="shared" si="1"/>
        <v>49.6</v>
      </c>
    </row>
    <row r="12" s="52" customFormat="1" customHeight="1" spans="1:13">
      <c r="A12" s="10" t="s">
        <v>205</v>
      </c>
      <c r="B12" s="10">
        <v>9</v>
      </c>
      <c r="C12" s="10" t="s">
        <v>206</v>
      </c>
      <c r="D12" s="10" t="s">
        <v>207</v>
      </c>
      <c r="E12" s="39">
        <v>9</v>
      </c>
      <c r="F12" s="39">
        <v>2</v>
      </c>
      <c r="G12" s="120">
        <f>F12*(1+A财务假设!$D$19)</f>
        <v>2</v>
      </c>
      <c r="H12" s="121"/>
      <c r="I12" s="120">
        <f t="shared" si="2"/>
        <v>12.6</v>
      </c>
      <c r="J12" s="120">
        <f t="shared" si="0"/>
        <v>12.6</v>
      </c>
      <c r="K12" s="120">
        <f t="shared" si="0"/>
        <v>14.4</v>
      </c>
      <c r="L12" s="120">
        <f t="shared" si="0"/>
        <v>16.2</v>
      </c>
      <c r="M12" s="11">
        <f t="shared" si="1"/>
        <v>55.8</v>
      </c>
    </row>
    <row r="13" s="52" customFormat="1" customHeight="1" spans="1:13">
      <c r="A13" s="10"/>
      <c r="B13" s="10">
        <v>10</v>
      </c>
      <c r="C13" s="10" t="s">
        <v>208</v>
      </c>
      <c r="D13" s="10" t="s">
        <v>209</v>
      </c>
      <c r="E13" s="39">
        <v>1</v>
      </c>
      <c r="F13" s="39">
        <v>2</v>
      </c>
      <c r="G13" s="120">
        <f>F13*(1+A财务假设!$D$19)</f>
        <v>2</v>
      </c>
      <c r="H13" s="121"/>
      <c r="I13" s="120">
        <f t="shared" si="2"/>
        <v>1.4</v>
      </c>
      <c r="J13" s="120">
        <f t="shared" si="0"/>
        <v>1.4</v>
      </c>
      <c r="K13" s="120">
        <f t="shared" si="0"/>
        <v>1.6</v>
      </c>
      <c r="L13" s="120">
        <f t="shared" si="0"/>
        <v>1.8</v>
      </c>
      <c r="M13" s="11">
        <f t="shared" si="1"/>
        <v>6.2</v>
      </c>
    </row>
    <row r="14" s="52" customFormat="1" customHeight="1" spans="1:13">
      <c r="A14" s="10" t="s">
        <v>210</v>
      </c>
      <c r="B14" s="10">
        <v>11</v>
      </c>
      <c r="C14" s="10" t="s">
        <v>211</v>
      </c>
      <c r="D14" s="10" t="s">
        <v>212</v>
      </c>
      <c r="E14" s="39">
        <v>2</v>
      </c>
      <c r="F14" s="39">
        <v>2</v>
      </c>
      <c r="G14" s="120">
        <f>F14*(1+A财务假设!$D$19)</f>
        <v>2</v>
      </c>
      <c r="H14" s="121"/>
      <c r="I14" s="120">
        <f t="shared" si="2"/>
        <v>2.8</v>
      </c>
      <c r="J14" s="120">
        <f t="shared" si="0"/>
        <v>2.8</v>
      </c>
      <c r="K14" s="120">
        <f t="shared" si="0"/>
        <v>3.2</v>
      </c>
      <c r="L14" s="120">
        <f t="shared" si="0"/>
        <v>3.6</v>
      </c>
      <c r="M14" s="11">
        <f t="shared" si="1"/>
        <v>12.4</v>
      </c>
    </row>
    <row r="15" s="52" customFormat="1" customHeight="1" spans="1:13">
      <c r="A15" s="10" t="s">
        <v>213</v>
      </c>
      <c r="B15" s="10">
        <v>12</v>
      </c>
      <c r="C15" s="10" t="s">
        <v>214</v>
      </c>
      <c r="D15" s="10" t="s">
        <v>215</v>
      </c>
      <c r="E15" s="39">
        <v>2</v>
      </c>
      <c r="F15" s="39">
        <v>2</v>
      </c>
      <c r="G15" s="120">
        <f>F15*(1+A财务假设!$D$19)</f>
        <v>2</v>
      </c>
      <c r="H15" s="121"/>
      <c r="I15" s="120">
        <f t="shared" si="2"/>
        <v>2.8</v>
      </c>
      <c r="J15" s="120">
        <f t="shared" si="0"/>
        <v>2.8</v>
      </c>
      <c r="K15" s="120">
        <f t="shared" si="0"/>
        <v>3.2</v>
      </c>
      <c r="L15" s="120">
        <f t="shared" si="0"/>
        <v>3.6</v>
      </c>
      <c r="M15" s="11">
        <f t="shared" si="1"/>
        <v>12.4</v>
      </c>
    </row>
    <row r="16" s="52" customFormat="1" customHeight="1" spans="1:13">
      <c r="A16" s="10" t="s">
        <v>216</v>
      </c>
      <c r="B16" s="10">
        <v>13</v>
      </c>
      <c r="C16" s="10" t="s">
        <v>217</v>
      </c>
      <c r="D16" s="10" t="s">
        <v>218</v>
      </c>
      <c r="E16" s="39">
        <v>3</v>
      </c>
      <c r="F16" s="39">
        <v>2</v>
      </c>
      <c r="G16" s="120">
        <f>F16*(1+A财务假设!$D$19)</f>
        <v>2</v>
      </c>
      <c r="H16" s="121"/>
      <c r="I16" s="120">
        <f t="shared" si="2"/>
        <v>4.2</v>
      </c>
      <c r="J16" s="120">
        <f t="shared" si="0"/>
        <v>4.2</v>
      </c>
      <c r="K16" s="120">
        <f t="shared" si="0"/>
        <v>4.8</v>
      </c>
      <c r="L16" s="120">
        <f t="shared" si="0"/>
        <v>5.4</v>
      </c>
      <c r="M16" s="11">
        <f t="shared" si="1"/>
        <v>18.6</v>
      </c>
    </row>
    <row r="17" s="52" customFormat="1" customHeight="1" spans="1:13">
      <c r="A17" s="10"/>
      <c r="B17" s="10">
        <v>14</v>
      </c>
      <c r="C17" s="10" t="s">
        <v>219</v>
      </c>
      <c r="D17" s="10" t="s">
        <v>220</v>
      </c>
      <c r="E17" s="39">
        <v>3</v>
      </c>
      <c r="F17" s="39">
        <v>2</v>
      </c>
      <c r="G17" s="120">
        <f>F17*(1+A财务假设!$D$19)</f>
        <v>2</v>
      </c>
      <c r="H17" s="121"/>
      <c r="I17" s="120">
        <f t="shared" si="2"/>
        <v>4.2</v>
      </c>
      <c r="J17" s="120">
        <f t="shared" ref="J17:L23" si="3">$E17*$G17*J$3</f>
        <v>4.2</v>
      </c>
      <c r="K17" s="120">
        <f t="shared" si="3"/>
        <v>4.8</v>
      </c>
      <c r="L17" s="120">
        <f t="shared" si="3"/>
        <v>5.4</v>
      </c>
      <c r="M17" s="11">
        <f t="shared" si="1"/>
        <v>18.6</v>
      </c>
    </row>
    <row r="18" s="52" customFormat="1" customHeight="1" spans="1:13">
      <c r="A18" s="10"/>
      <c r="B18" s="10">
        <v>15</v>
      </c>
      <c r="C18" s="10" t="s">
        <v>221</v>
      </c>
      <c r="D18" s="10" t="s">
        <v>222</v>
      </c>
      <c r="E18" s="39">
        <v>4</v>
      </c>
      <c r="F18" s="39">
        <v>2</v>
      </c>
      <c r="G18" s="120">
        <f>F18*(1+A财务假设!$D$19)</f>
        <v>2</v>
      </c>
      <c r="H18" s="121"/>
      <c r="I18" s="120">
        <f t="shared" si="2"/>
        <v>5.6</v>
      </c>
      <c r="J18" s="120">
        <f t="shared" si="3"/>
        <v>5.6</v>
      </c>
      <c r="K18" s="120">
        <f t="shared" si="3"/>
        <v>6.4</v>
      </c>
      <c r="L18" s="120">
        <f t="shared" si="3"/>
        <v>7.2</v>
      </c>
      <c r="M18" s="11">
        <f t="shared" si="1"/>
        <v>24.8</v>
      </c>
    </row>
    <row r="19" s="52" customFormat="1" customHeight="1" spans="1:13">
      <c r="A19" s="10" t="s">
        <v>223</v>
      </c>
      <c r="B19" s="10">
        <v>16</v>
      </c>
      <c r="C19" s="10" t="s">
        <v>224</v>
      </c>
      <c r="D19" s="10" t="s">
        <v>225</v>
      </c>
      <c r="E19" s="39">
        <v>1</v>
      </c>
      <c r="F19" s="39">
        <v>2</v>
      </c>
      <c r="G19" s="120">
        <f>F19*(1+A财务假设!$D$19)</f>
        <v>2</v>
      </c>
      <c r="H19" s="121"/>
      <c r="I19" s="120">
        <f t="shared" si="2"/>
        <v>1.4</v>
      </c>
      <c r="J19" s="120">
        <f t="shared" si="3"/>
        <v>1.4</v>
      </c>
      <c r="K19" s="120">
        <f t="shared" si="3"/>
        <v>1.6</v>
      </c>
      <c r="L19" s="120">
        <f t="shared" si="3"/>
        <v>1.8</v>
      </c>
      <c r="M19" s="11">
        <f t="shared" si="1"/>
        <v>6.2</v>
      </c>
    </row>
    <row r="20" s="52" customFormat="1" customHeight="1" spans="1:13">
      <c r="A20" s="10"/>
      <c r="B20" s="10">
        <v>17</v>
      </c>
      <c r="C20" s="10" t="s">
        <v>226</v>
      </c>
      <c r="D20" s="10" t="s">
        <v>227</v>
      </c>
      <c r="E20" s="39">
        <v>4</v>
      </c>
      <c r="F20" s="39">
        <v>2</v>
      </c>
      <c r="G20" s="120">
        <f>F20*(1+A财务假设!$D$19)</f>
        <v>2</v>
      </c>
      <c r="H20" s="121"/>
      <c r="I20" s="120">
        <f t="shared" si="2"/>
        <v>5.6</v>
      </c>
      <c r="J20" s="120">
        <f t="shared" si="3"/>
        <v>5.6</v>
      </c>
      <c r="K20" s="120">
        <f t="shared" si="3"/>
        <v>6.4</v>
      </c>
      <c r="L20" s="120">
        <f t="shared" si="3"/>
        <v>7.2</v>
      </c>
      <c r="M20" s="11">
        <f t="shared" si="1"/>
        <v>24.8</v>
      </c>
    </row>
    <row r="21" s="52" customFormat="1" customHeight="1" spans="1:13">
      <c r="A21" s="10"/>
      <c r="B21" s="10">
        <v>18</v>
      </c>
      <c r="C21" s="10" t="s">
        <v>228</v>
      </c>
      <c r="D21" s="10" t="s">
        <v>229</v>
      </c>
      <c r="E21" s="39">
        <v>8</v>
      </c>
      <c r="F21" s="39">
        <v>2</v>
      </c>
      <c r="G21" s="120">
        <f>F21*(1+A财务假设!$D$19)</f>
        <v>2</v>
      </c>
      <c r="H21" s="121"/>
      <c r="I21" s="120">
        <f t="shared" si="2"/>
        <v>11.2</v>
      </c>
      <c r="J21" s="120">
        <f t="shared" si="3"/>
        <v>11.2</v>
      </c>
      <c r="K21" s="120">
        <f t="shared" si="3"/>
        <v>12.8</v>
      </c>
      <c r="L21" s="120">
        <f t="shared" si="3"/>
        <v>14.4</v>
      </c>
      <c r="M21" s="11">
        <f t="shared" si="1"/>
        <v>49.6</v>
      </c>
    </row>
    <row r="22" s="52" customFormat="1" customHeight="1" spans="1:13">
      <c r="A22" s="10" t="s">
        <v>230</v>
      </c>
      <c r="B22" s="10">
        <v>19</v>
      </c>
      <c r="C22" s="10" t="s">
        <v>231</v>
      </c>
      <c r="D22" s="10" t="s">
        <v>232</v>
      </c>
      <c r="E22" s="39">
        <v>1</v>
      </c>
      <c r="F22" s="39">
        <v>2</v>
      </c>
      <c r="G22" s="120">
        <f>F22*(1+A财务假设!$D$19)</f>
        <v>2</v>
      </c>
      <c r="H22" s="121"/>
      <c r="I22" s="120">
        <f t="shared" si="2"/>
        <v>1.4</v>
      </c>
      <c r="J22" s="120">
        <f t="shared" si="3"/>
        <v>1.4</v>
      </c>
      <c r="K22" s="120">
        <f t="shared" si="3"/>
        <v>1.6</v>
      </c>
      <c r="L22" s="120">
        <f t="shared" si="3"/>
        <v>1.8</v>
      </c>
      <c r="M22" s="11">
        <f t="shared" si="1"/>
        <v>6.2</v>
      </c>
    </row>
    <row r="23" s="52" customFormat="1" customHeight="1" spans="1:13">
      <c r="A23" s="10"/>
      <c r="B23" s="10">
        <v>20</v>
      </c>
      <c r="C23" s="10" t="s">
        <v>233</v>
      </c>
      <c r="D23" s="10" t="s">
        <v>234</v>
      </c>
      <c r="E23" s="39">
        <v>9</v>
      </c>
      <c r="F23" s="39">
        <v>2</v>
      </c>
      <c r="G23" s="120">
        <f>F23*(1+A财务假设!$D$19)</f>
        <v>2</v>
      </c>
      <c r="H23" s="121"/>
      <c r="I23" s="120">
        <f t="shared" si="2"/>
        <v>12.6</v>
      </c>
      <c r="J23" s="120">
        <f t="shared" si="3"/>
        <v>12.6</v>
      </c>
      <c r="K23" s="120">
        <f t="shared" si="3"/>
        <v>14.4</v>
      </c>
      <c r="L23" s="120">
        <f t="shared" si="3"/>
        <v>16.2</v>
      </c>
      <c r="M23" s="11">
        <f t="shared" si="1"/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N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N11" sqref="N11"/>
    </sheetView>
  </sheetViews>
  <sheetFormatPr defaultColWidth="20.7818181818182" defaultRowHeight="30" customHeight="1"/>
  <cols>
    <col min="1" max="1" width="18.4454545454545" customWidth="1"/>
    <col min="2" max="2" width="13.3363636363636" customWidth="1"/>
    <col min="3" max="3" width="24.7818181818182" style="17" customWidth="1"/>
    <col min="4" max="4" width="23.8909090909091" style="17" customWidth="1"/>
    <col min="5" max="6" width="6.78181818181818" customWidth="1"/>
    <col min="7" max="7" width="12.3363636363636" customWidth="1"/>
    <col min="8" max="8" width="10.1090909090909" customWidth="1"/>
    <col min="9" max="10" width="9.33636363636364" customWidth="1"/>
    <col min="11" max="11" width="8" customWidth="1"/>
    <col min="12" max="13" width="9.33636363636364" customWidth="1"/>
  </cols>
  <sheetData>
    <row r="1" customHeight="1" spans="1:14">
      <c r="A1" s="117" t="s">
        <v>235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119" t="s">
        <v>236</v>
      </c>
    </row>
    <row r="2" customHeight="1" spans="1:13">
      <c r="A2" s="19" t="s">
        <v>180</v>
      </c>
      <c r="B2" s="19" t="s">
        <v>1</v>
      </c>
      <c r="C2" s="20" t="s">
        <v>112</v>
      </c>
      <c r="D2" s="20" t="s">
        <v>181</v>
      </c>
      <c r="E2" s="19" t="s">
        <v>182</v>
      </c>
      <c r="F2" s="20" t="s">
        <v>183</v>
      </c>
      <c r="G2" s="20" t="s">
        <v>184</v>
      </c>
      <c r="H2" s="21">
        <v>2025</v>
      </c>
      <c r="I2" s="26">
        <v>2026</v>
      </c>
      <c r="J2" s="21">
        <v>2027</v>
      </c>
      <c r="K2" s="26">
        <v>2028</v>
      </c>
      <c r="L2" s="21">
        <v>2029</v>
      </c>
      <c r="M2" s="16" t="s">
        <v>81</v>
      </c>
    </row>
    <row r="3" customHeight="1" spans="1:13">
      <c r="A3" s="16"/>
      <c r="B3" s="16"/>
      <c r="C3" s="22"/>
      <c r="D3" s="22"/>
      <c r="E3" s="16"/>
      <c r="F3" s="16"/>
      <c r="G3" s="16"/>
      <c r="H3" s="118" t="s">
        <v>185</v>
      </c>
      <c r="I3" s="35">
        <f>E.1项目运营期费用!I3</f>
        <v>0.7</v>
      </c>
      <c r="J3" s="35">
        <f>E.1项目运营期费用!J3</f>
        <v>0.7</v>
      </c>
      <c r="K3" s="101">
        <f>E.1项目运营期费用!K3</f>
        <v>0.8</v>
      </c>
      <c r="L3" s="35">
        <f>E.1项目运营期费用!L3</f>
        <v>0.9</v>
      </c>
      <c r="M3" s="7" t="s">
        <v>132</v>
      </c>
    </row>
    <row r="4" customHeight="1" spans="1:14">
      <c r="A4" s="10" t="s">
        <v>186</v>
      </c>
      <c r="B4" s="10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11">
        <f>E.1项目运营期费用!E4</f>
        <v>1</v>
      </c>
      <c r="F4" s="11">
        <f>E.1项目运营期费用!F4</f>
        <v>2</v>
      </c>
      <c r="G4" s="11">
        <f>E.1项目运营期费用!G4</f>
        <v>2</v>
      </c>
      <c r="H4" s="106"/>
      <c r="I4" s="11">
        <f>$E4*$G4*I$3*(1-'G.2进项增值税率-运营成本'!$C3)</f>
        <v>1.274</v>
      </c>
      <c r="J4" s="11">
        <f>$E4*$G4*J$3*(1-'G.2进项增值税率-运营成本'!$C3)</f>
        <v>1.274</v>
      </c>
      <c r="K4" s="11">
        <f>$E4*$G4*K$3*(1-'G.2进项增值税率-运营成本'!$C3)</f>
        <v>1.456</v>
      </c>
      <c r="L4" s="11">
        <f>$E4*$G4*L$3*(1-'G.2进项增值税率-运营成本'!$C3)</f>
        <v>1.638</v>
      </c>
      <c r="M4" s="11">
        <f t="shared" ref="M4:M23" si="0">SUM(H4:L4)</f>
        <v>5.642</v>
      </c>
      <c r="N4" s="119" t="s">
        <v>237</v>
      </c>
    </row>
    <row r="5" ht="37.95" customHeight="1" spans="1:13">
      <c r="A5" s="10"/>
      <c r="B5" s="10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11">
        <f>E.1项目运营期费用!E5</f>
        <v>2</v>
      </c>
      <c r="F5" s="11">
        <f>E.1项目运营期费用!F5</f>
        <v>2</v>
      </c>
      <c r="G5" s="11">
        <f>E.1项目运营期费用!G5</f>
        <v>2</v>
      </c>
      <c r="H5" s="106"/>
      <c r="I5" s="11">
        <f>$E5*$G5*I$3*(1-'G.2进项增值税率-运营成本'!$C4)</f>
        <v>2.632</v>
      </c>
      <c r="J5" s="11">
        <f>$E5*$G5*J$3*(1-'G.2进项增值税率-运营成本'!$C4)</f>
        <v>2.632</v>
      </c>
      <c r="K5" s="11">
        <f>$E5*$G5*K$3*(1-'G.2进项增值税率-运营成本'!$C4)</f>
        <v>3.008</v>
      </c>
      <c r="L5" s="11">
        <f>$E5*$G5*L$3*(1-'G.2进项增值税率-运营成本'!$C4)</f>
        <v>3.384</v>
      </c>
      <c r="M5" s="11">
        <f t="shared" si="0"/>
        <v>11.656</v>
      </c>
    </row>
    <row r="6" customHeight="1" spans="1:13">
      <c r="A6" s="10"/>
      <c r="B6" s="10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11">
        <f>E.1项目运营期费用!E6</f>
        <v>3</v>
      </c>
      <c r="F6" s="11">
        <f>E.1项目运营期费用!F6</f>
        <v>2</v>
      </c>
      <c r="G6" s="11">
        <f>E.1项目运营期费用!G6</f>
        <v>2</v>
      </c>
      <c r="H6" s="106"/>
      <c r="I6" s="11">
        <f>$E6*$G6*I$3*(1-'G.2进项增值税率-运营成本'!$C5)</f>
        <v>3.948</v>
      </c>
      <c r="J6" s="11">
        <f>$E6*$G6*J$3*(1-'G.2进项增值税率-运营成本'!$C5)</f>
        <v>3.948</v>
      </c>
      <c r="K6" s="11">
        <f>$E6*$G6*K$3*(1-'G.2进项增值税率-运营成本'!$C5)</f>
        <v>4.512</v>
      </c>
      <c r="L6" s="11">
        <f>$E6*$G6*L$3*(1-'G.2进项增值税率-运营成本'!$C5)</f>
        <v>5.076</v>
      </c>
      <c r="M6" s="11">
        <f t="shared" si="0"/>
        <v>17.484</v>
      </c>
    </row>
    <row r="7" customHeight="1" spans="1:13">
      <c r="A7" s="10"/>
      <c r="B7" s="10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11">
        <f>E.1项目运营期费用!E7</f>
        <v>4</v>
      </c>
      <c r="F7" s="11">
        <f>E.1项目运营期费用!F7</f>
        <v>2</v>
      </c>
      <c r="G7" s="11">
        <f>E.1项目运营期费用!G7</f>
        <v>2</v>
      </c>
      <c r="H7" s="106"/>
      <c r="I7" s="11">
        <f>$E7*$G7*I$3*(1-'G.2进项增值税率-运营成本'!$C6)</f>
        <v>5.264</v>
      </c>
      <c r="J7" s="11">
        <f>$E7*$G7*J$3*(1-'G.2进项增值税率-运营成本'!$C6)</f>
        <v>5.264</v>
      </c>
      <c r="K7" s="11">
        <f>$E7*$G7*K$3*(1-'G.2进项增值税率-运营成本'!$C6)</f>
        <v>6.016</v>
      </c>
      <c r="L7" s="11">
        <f>$E7*$G7*L$3*(1-'G.2进项增值税率-运营成本'!$C6)</f>
        <v>6.768</v>
      </c>
      <c r="M7" s="11">
        <f t="shared" si="0"/>
        <v>23.312</v>
      </c>
    </row>
    <row r="8" customHeight="1" spans="1:13">
      <c r="A8" s="10" t="s">
        <v>195</v>
      </c>
      <c r="B8" s="10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11">
        <f>E.1项目运营期费用!E8</f>
        <v>5</v>
      </c>
      <c r="F8" s="11">
        <f>E.1项目运营期费用!F8</f>
        <v>2</v>
      </c>
      <c r="G8" s="11">
        <f>E.1项目运营期费用!G8</f>
        <v>2</v>
      </c>
      <c r="H8" s="106"/>
      <c r="I8" s="11">
        <f>$E8*$G8*I$3*(1-'G.2进项增值税率-运营成本'!$C7)</f>
        <v>6.09</v>
      </c>
      <c r="J8" s="11">
        <f>$E8*$G8*J$3*(1-'G.2进项增值税率-运营成本'!$C7)</f>
        <v>6.09</v>
      </c>
      <c r="K8" s="11">
        <f>$E8*$G8*K$3*(1-'G.2进项增值税率-运营成本'!$C7)</f>
        <v>6.96</v>
      </c>
      <c r="L8" s="11">
        <f>$E8*$G8*L$3*(1-'G.2进项增值税率-运营成本'!$C7)</f>
        <v>7.83</v>
      </c>
      <c r="M8" s="11">
        <f t="shared" si="0"/>
        <v>26.97</v>
      </c>
    </row>
    <row r="9" customHeight="1" spans="1:13">
      <c r="A9" s="10"/>
      <c r="B9" s="10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11">
        <f>E.1项目运营期费用!E9</f>
        <v>6</v>
      </c>
      <c r="F9" s="11">
        <f>E.1项目运营期费用!F9</f>
        <v>2</v>
      </c>
      <c r="G9" s="11">
        <f>E.1项目运营期费用!G9</f>
        <v>2</v>
      </c>
      <c r="H9" s="106"/>
      <c r="I9" s="11">
        <f>$E9*$G9*I$3*(1-'G.2进项增值税率-运营成本'!$C8)</f>
        <v>7.308</v>
      </c>
      <c r="J9" s="11">
        <f>$E9*$G9*J$3*(1-'G.2进项增值税率-运营成本'!$C8)</f>
        <v>7.308</v>
      </c>
      <c r="K9" s="11">
        <f>$E9*$G9*K$3*(1-'G.2进项增值税率-运营成本'!$C8)</f>
        <v>8.352</v>
      </c>
      <c r="L9" s="11">
        <f>$E9*$G9*L$3*(1-'G.2进项增值税率-运营成本'!$C8)</f>
        <v>9.396</v>
      </c>
      <c r="M9" s="11">
        <f t="shared" si="0"/>
        <v>32.364</v>
      </c>
    </row>
    <row r="10" customHeight="1" spans="1:13">
      <c r="A10" s="10"/>
      <c r="B10" s="10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11">
        <f>E.1项目运营期费用!E10</f>
        <v>7</v>
      </c>
      <c r="F10" s="11">
        <f>E.1项目运营期费用!F10</f>
        <v>2</v>
      </c>
      <c r="G10" s="11">
        <f>E.1项目运营期费用!G10</f>
        <v>2</v>
      </c>
      <c r="H10" s="106"/>
      <c r="I10" s="11">
        <f>$E10*$G10*I$3*(1-'G.2进项增值税率-运营成本'!$C9)</f>
        <v>8.918</v>
      </c>
      <c r="J10" s="11">
        <f>$E10*$G10*J$3*(1-'G.2进项增值税率-运营成本'!$C9)</f>
        <v>8.918</v>
      </c>
      <c r="K10" s="11">
        <f>$E10*$G10*K$3*(1-'G.2进项增值税率-运营成本'!$C9)</f>
        <v>10.192</v>
      </c>
      <c r="L10" s="11">
        <f>$E10*$G10*L$3*(1-'G.2进项增值税率-运营成本'!$C9)</f>
        <v>11.466</v>
      </c>
      <c r="M10" s="11">
        <f t="shared" si="0"/>
        <v>39.494</v>
      </c>
    </row>
    <row r="11" customHeight="1" spans="1:13">
      <c r="A11" s="10" t="s">
        <v>202</v>
      </c>
      <c r="B11" s="10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11">
        <f>E.1项目运营期费用!E11</f>
        <v>8</v>
      </c>
      <c r="F11" s="11">
        <f>E.1项目运营期费用!F11</f>
        <v>2</v>
      </c>
      <c r="G11" s="11">
        <f>E.1项目运营期费用!G11</f>
        <v>2</v>
      </c>
      <c r="H11" s="106"/>
      <c r="I11" s="11">
        <f>$E11*$G11*I$3*(1-'G.2进项增值税率-运营成本'!$C10)</f>
        <v>10.192</v>
      </c>
      <c r="J11" s="11">
        <f>$E11*$G11*J$3*(1-'G.2进项增值税率-运营成本'!$C10)</f>
        <v>10.192</v>
      </c>
      <c r="K11" s="11">
        <f>$E11*$G11*K$3*(1-'G.2进项增值税率-运营成本'!$C10)</f>
        <v>11.648</v>
      </c>
      <c r="L11" s="11">
        <f>$E11*$G11*L$3*(1-'G.2进项增值税率-运营成本'!$C10)</f>
        <v>13.104</v>
      </c>
      <c r="M11" s="11">
        <f t="shared" si="0"/>
        <v>45.136</v>
      </c>
    </row>
    <row r="12" customHeight="1" spans="1:13">
      <c r="A12" s="10" t="s">
        <v>205</v>
      </c>
      <c r="B12" s="10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11">
        <f>E.1项目运营期费用!E12</f>
        <v>9</v>
      </c>
      <c r="F12" s="11">
        <f>E.1项目运营期费用!F12</f>
        <v>2</v>
      </c>
      <c r="G12" s="11">
        <f>E.1项目运营期费用!G12</f>
        <v>2</v>
      </c>
      <c r="H12" s="106"/>
      <c r="I12" s="11">
        <f>$E12*$G12*I$3*(1-'G.2进项增值税率-运营成本'!$C11)</f>
        <v>10.962</v>
      </c>
      <c r="J12" s="11">
        <f>$E12*$G12*J$3*(1-'G.2进项增值税率-运营成本'!$C11)</f>
        <v>10.962</v>
      </c>
      <c r="K12" s="11">
        <f>$E12*$G12*K$3*(1-'G.2进项增值税率-运营成本'!$C11)</f>
        <v>12.528</v>
      </c>
      <c r="L12" s="11">
        <f>$E12*$G12*L$3*(1-'G.2进项增值税率-运营成本'!$C11)</f>
        <v>14.094</v>
      </c>
      <c r="M12" s="11">
        <f t="shared" si="0"/>
        <v>48.546</v>
      </c>
    </row>
    <row r="13" customHeight="1" spans="1:13">
      <c r="A13" s="10"/>
      <c r="B13" s="10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11">
        <f>E.1项目运营期费用!E13</f>
        <v>1</v>
      </c>
      <c r="F13" s="11">
        <f>E.1项目运营期费用!F13</f>
        <v>2</v>
      </c>
      <c r="G13" s="11">
        <f>E.1项目运营期费用!G13</f>
        <v>2</v>
      </c>
      <c r="H13" s="106"/>
      <c r="I13" s="11">
        <f>$E13*$G13*I$3*(1-'G.2进项增值税率-运营成本'!$C12)</f>
        <v>1.218</v>
      </c>
      <c r="J13" s="11">
        <f>$E13*$G13*J$3*(1-'G.2进项增值税率-运营成本'!$C12)</f>
        <v>1.218</v>
      </c>
      <c r="K13" s="11">
        <f>$E13*$G13*K$3*(1-'G.2进项增值税率-运营成本'!$C12)</f>
        <v>1.392</v>
      </c>
      <c r="L13" s="11">
        <f>$E13*$G13*L$3*(1-'G.2进项增值税率-运营成本'!$C12)</f>
        <v>1.566</v>
      </c>
      <c r="M13" s="11">
        <f t="shared" si="0"/>
        <v>5.394</v>
      </c>
    </row>
    <row r="14" customHeight="1" spans="1:13">
      <c r="A14" s="10" t="s">
        <v>210</v>
      </c>
      <c r="B14" s="10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11">
        <f>E.1项目运营期费用!E14</f>
        <v>2</v>
      </c>
      <c r="F14" s="11">
        <f>E.1项目运营期费用!F14</f>
        <v>2</v>
      </c>
      <c r="G14" s="11">
        <f>E.1项目运营期费用!G14</f>
        <v>2</v>
      </c>
      <c r="H14" s="106"/>
      <c r="I14" s="11">
        <f>$E14*$G14*I$3*(1-'G.2进项增值税率-运营成本'!$C13)</f>
        <v>2.632</v>
      </c>
      <c r="J14" s="11">
        <f>$E14*$G14*J$3*(1-'G.2进项增值税率-运营成本'!$C13)</f>
        <v>2.632</v>
      </c>
      <c r="K14" s="11">
        <f>$E14*$G14*K$3*(1-'G.2进项增值税率-运营成本'!$C13)</f>
        <v>3.008</v>
      </c>
      <c r="L14" s="11">
        <f>$E14*$G14*L$3*(1-'G.2进项增值税率-运营成本'!$C13)</f>
        <v>3.384</v>
      </c>
      <c r="M14" s="11">
        <f t="shared" si="0"/>
        <v>11.656</v>
      </c>
    </row>
    <row r="15" customHeight="1" spans="1:13">
      <c r="A15" s="10" t="s">
        <v>213</v>
      </c>
      <c r="B15" s="10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11">
        <f>E.1项目运营期费用!E15</f>
        <v>2</v>
      </c>
      <c r="F15" s="11">
        <f>E.1项目运营期费用!F15</f>
        <v>2</v>
      </c>
      <c r="G15" s="11">
        <f>E.1项目运营期费用!G15</f>
        <v>2</v>
      </c>
      <c r="H15" s="106"/>
      <c r="I15" s="11">
        <f>$E15*$G15*I$3*(1-'G.2进项增值税率-运营成本'!$C14)</f>
        <v>2.632</v>
      </c>
      <c r="J15" s="11">
        <f>$E15*$G15*J$3*(1-'G.2进项增值税率-运营成本'!$C14)</f>
        <v>2.632</v>
      </c>
      <c r="K15" s="11">
        <f>$E15*$G15*K$3*(1-'G.2进项增值税率-运营成本'!$C14)</f>
        <v>3.008</v>
      </c>
      <c r="L15" s="11">
        <f>$E15*$G15*L$3*(1-'G.2进项增值税率-运营成本'!$C14)</f>
        <v>3.384</v>
      </c>
      <c r="M15" s="11">
        <f t="shared" si="0"/>
        <v>11.656</v>
      </c>
    </row>
    <row r="16" customHeight="1" spans="1:13">
      <c r="A16" s="10" t="s">
        <v>216</v>
      </c>
      <c r="B16" s="10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11">
        <f>E.1项目运营期费用!E16</f>
        <v>3</v>
      </c>
      <c r="F16" s="11">
        <f>E.1项目运营期费用!F16</f>
        <v>2</v>
      </c>
      <c r="G16" s="11">
        <f>E.1项目运营期费用!G16</f>
        <v>2</v>
      </c>
      <c r="H16" s="106"/>
      <c r="I16" s="11">
        <f>$E16*$G16*I$3*(1-'G.2进项增值税率-运营成本'!$C15)</f>
        <v>4.2</v>
      </c>
      <c r="J16" s="11">
        <f>$E16*$G16*J$3*(1-'G.2进项增值税率-运营成本'!$C15)</f>
        <v>4.2</v>
      </c>
      <c r="K16" s="11">
        <f>$E16*$G16*K$3*(1-'G.2进项增值税率-运营成本'!$C15)</f>
        <v>4.8</v>
      </c>
      <c r="L16" s="11">
        <f>$E16*$G16*L$3*(1-'G.2进项增值税率-运营成本'!$C15)</f>
        <v>5.4</v>
      </c>
      <c r="M16" s="11">
        <f t="shared" si="0"/>
        <v>18.6</v>
      </c>
    </row>
    <row r="17" customHeight="1" spans="1:13">
      <c r="A17" s="10"/>
      <c r="B17" s="10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11">
        <f>E.1项目运营期费用!E17</f>
        <v>3</v>
      </c>
      <c r="F17" s="11">
        <f>E.1项目运营期费用!F17</f>
        <v>2</v>
      </c>
      <c r="G17" s="11">
        <f>E.1项目运营期费用!G17</f>
        <v>2</v>
      </c>
      <c r="H17" s="106"/>
      <c r="I17" s="11">
        <f>$E17*$G17*I$3*(1-'G.2进项增值税率-运营成本'!$C16)</f>
        <v>3.948</v>
      </c>
      <c r="J17" s="11">
        <f>$E17*$G17*J$3*(1-'G.2进项增值税率-运营成本'!$C16)</f>
        <v>3.948</v>
      </c>
      <c r="K17" s="11">
        <f>$E17*$G17*K$3*(1-'G.2进项增值税率-运营成本'!$C16)</f>
        <v>4.512</v>
      </c>
      <c r="L17" s="11">
        <f>$E17*$G17*L$3*(1-'G.2进项增值税率-运营成本'!$C16)</f>
        <v>5.076</v>
      </c>
      <c r="M17" s="11">
        <f t="shared" si="0"/>
        <v>17.484</v>
      </c>
    </row>
    <row r="18" customHeight="1" spans="1:13">
      <c r="A18" s="10"/>
      <c r="B18" s="10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11">
        <f>E.1项目运营期费用!E18</f>
        <v>4</v>
      </c>
      <c r="F18" s="11">
        <f>E.1项目运营期费用!F18</f>
        <v>2</v>
      </c>
      <c r="G18" s="11">
        <f>E.1项目运营期费用!G18</f>
        <v>2</v>
      </c>
      <c r="H18" s="106"/>
      <c r="I18" s="11">
        <f>$E18*$G18*I$3*(1-'G.2进项增值税率-运营成本'!$C17)</f>
        <v>4.872</v>
      </c>
      <c r="J18" s="11">
        <f>$E18*$G18*J$3*(1-'G.2进项增值税率-运营成本'!$C17)</f>
        <v>4.872</v>
      </c>
      <c r="K18" s="11">
        <f>$E18*$G18*K$3*(1-'G.2进项增值税率-运营成本'!$C17)</f>
        <v>5.568</v>
      </c>
      <c r="L18" s="11">
        <f>$E18*$G18*L$3*(1-'G.2进项增值税率-运营成本'!$C17)</f>
        <v>6.264</v>
      </c>
      <c r="M18" s="11">
        <f t="shared" si="0"/>
        <v>21.576</v>
      </c>
    </row>
    <row r="19" customHeight="1" spans="1:13">
      <c r="A19" s="10" t="s">
        <v>223</v>
      </c>
      <c r="B19" s="10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11">
        <f>E.1项目运营期费用!E19</f>
        <v>1</v>
      </c>
      <c r="F19" s="11">
        <f>E.1项目运营期费用!F19</f>
        <v>2</v>
      </c>
      <c r="G19" s="11">
        <f>E.1项目运营期费用!G19</f>
        <v>2</v>
      </c>
      <c r="H19" s="106"/>
      <c r="I19" s="11">
        <f>$E19*$G19*I$3*(1-'G.2进项增值税率-运营成本'!$C18)</f>
        <v>1.4</v>
      </c>
      <c r="J19" s="11">
        <f>$E19*$G19*J$3*(1-'G.2进项增值税率-运营成本'!$C18)</f>
        <v>1.4</v>
      </c>
      <c r="K19" s="11">
        <f>$E19*$G19*K$3*(1-'G.2进项增值税率-运营成本'!$C18)</f>
        <v>1.6</v>
      </c>
      <c r="L19" s="11">
        <f>$E19*$G19*L$3*(1-'G.2进项增值税率-运营成本'!$C18)</f>
        <v>1.8</v>
      </c>
      <c r="M19" s="11">
        <f t="shared" si="0"/>
        <v>6.2</v>
      </c>
    </row>
    <row r="20" customHeight="1" spans="1:13">
      <c r="A20" s="10"/>
      <c r="B20" s="10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11">
        <f>E.1项目运营期费用!E20</f>
        <v>4</v>
      </c>
      <c r="F20" s="11">
        <f>E.1项目运营期费用!F20</f>
        <v>2</v>
      </c>
      <c r="G20" s="11">
        <f>E.1项目运营期费用!G20</f>
        <v>2</v>
      </c>
      <c r="H20" s="106"/>
      <c r="I20" s="11">
        <f>$E20*$G20*I$3*(1-'G.2进项增值税率-运营成本'!$C19)</f>
        <v>5.264</v>
      </c>
      <c r="J20" s="11">
        <f>$E20*$G20*J$3*(1-'G.2进项增值税率-运营成本'!$C19)</f>
        <v>5.264</v>
      </c>
      <c r="K20" s="11">
        <f>$E20*$G20*K$3*(1-'G.2进项增值税率-运营成本'!$C19)</f>
        <v>6.016</v>
      </c>
      <c r="L20" s="11">
        <f>$E20*$G20*L$3*(1-'G.2进项增值税率-运营成本'!$C19)</f>
        <v>6.768</v>
      </c>
      <c r="M20" s="11">
        <f t="shared" si="0"/>
        <v>23.312</v>
      </c>
    </row>
    <row r="21" customHeight="1" spans="1:13">
      <c r="A21" s="10"/>
      <c r="B21" s="10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11">
        <f>E.1项目运营期费用!E21</f>
        <v>8</v>
      </c>
      <c r="F21" s="11">
        <f>E.1项目运营期费用!F21</f>
        <v>2</v>
      </c>
      <c r="G21" s="11">
        <f>E.1项目运营期费用!G21</f>
        <v>2</v>
      </c>
      <c r="H21" s="106"/>
      <c r="I21" s="11">
        <f>$E21*$G21*I$3*(1-'G.2进项增值税率-运营成本'!$C20)</f>
        <v>10.528</v>
      </c>
      <c r="J21" s="11">
        <f>$E21*$G21*J$3*(1-'G.2进项增值税率-运营成本'!$C20)</f>
        <v>10.528</v>
      </c>
      <c r="K21" s="11">
        <f>$E21*$G21*K$3*(1-'G.2进项增值税率-运营成本'!$C20)</f>
        <v>12.032</v>
      </c>
      <c r="L21" s="11">
        <f>$E21*$G21*L$3*(1-'G.2进项增值税率-运营成本'!$C20)</f>
        <v>13.536</v>
      </c>
      <c r="M21" s="11">
        <f t="shared" si="0"/>
        <v>46.624</v>
      </c>
    </row>
    <row r="22" customHeight="1" spans="1:13">
      <c r="A22" s="10" t="s">
        <v>230</v>
      </c>
      <c r="B22" s="10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11">
        <f>E.1项目运营期费用!E22</f>
        <v>1</v>
      </c>
      <c r="F22" s="11">
        <f>E.1项目运营期费用!F22</f>
        <v>2</v>
      </c>
      <c r="G22" s="11">
        <f>E.1项目运营期费用!G22</f>
        <v>2</v>
      </c>
      <c r="H22" s="106"/>
      <c r="I22" s="11">
        <f>$E22*$G22*I$3*(1-'G.2进项增值税率-运营成本'!$C21)</f>
        <v>1.316</v>
      </c>
      <c r="J22" s="11">
        <f>$E22*$G22*J$3*(1-'G.2进项增值税率-运营成本'!$C21)</f>
        <v>1.316</v>
      </c>
      <c r="K22" s="11">
        <f>$E22*$G22*K$3*(1-'G.2进项增值税率-运营成本'!$C21)</f>
        <v>1.504</v>
      </c>
      <c r="L22" s="11">
        <f>$E22*$G22*L$3*(1-'G.2进项增值税率-运营成本'!$C21)</f>
        <v>1.692</v>
      </c>
      <c r="M22" s="11">
        <f t="shared" si="0"/>
        <v>5.828</v>
      </c>
    </row>
    <row r="23" customHeight="1" spans="1:13">
      <c r="A23" s="10"/>
      <c r="B23" s="10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11">
        <f>E.1项目运营期费用!E23</f>
        <v>9</v>
      </c>
      <c r="F23" s="11">
        <f>E.1项目运营期费用!F23</f>
        <v>2</v>
      </c>
      <c r="G23" s="11">
        <f>E.1项目运营期费用!G23</f>
        <v>2</v>
      </c>
      <c r="H23" s="106"/>
      <c r="I23" s="11">
        <f>$E23*$G23*I$3*(1-'G.2进项增值税率-运营成本'!$C22)</f>
        <v>12.6</v>
      </c>
      <c r="J23" s="11">
        <f>$E23*$G23*J$3*(1-'G.2进项增值税率-运营成本'!$C22)</f>
        <v>12.6</v>
      </c>
      <c r="K23" s="11">
        <f>$E23*$G23*K$3*(1-'G.2进项增值税率-运营成本'!$C22)</f>
        <v>14.4</v>
      </c>
      <c r="L23" s="11">
        <f>$E23*$G23*L$3*(1-'G.2进项增值税率-运营成本'!$C22)</f>
        <v>16.2</v>
      </c>
      <c r="M23" s="11">
        <f t="shared" si="0"/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 tint="-0.249977111117893"/>
  </sheetPr>
  <dimension ref="A1:K7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I14" sqref="I14"/>
    </sheetView>
  </sheetViews>
  <sheetFormatPr defaultColWidth="8.89090909090909" defaultRowHeight="14" outlineLevelRow="6"/>
  <cols>
    <col min="2" max="2" width="13.4454545454545" customWidth="1"/>
    <col min="3" max="3" width="23.8909090909091" customWidth="1"/>
    <col min="4" max="4" width="14.2181818181818" customWidth="1"/>
    <col min="5" max="5" width="17.5545454545455" customWidth="1"/>
    <col min="6" max="6" width="6.44545454545455" customWidth="1"/>
    <col min="7" max="8" width="8.66363636363636" customWidth="1"/>
    <col min="9" max="10" width="9.89090909090909" customWidth="1"/>
  </cols>
  <sheetData>
    <row r="1" s="52" customFormat="1" ht="20" spans="1:11">
      <c r="A1" s="110" t="s">
        <v>238</v>
      </c>
      <c r="B1" s="110"/>
      <c r="C1" s="75"/>
      <c r="D1" s="76"/>
      <c r="E1" s="76"/>
      <c r="F1" s="76"/>
      <c r="G1" s="76"/>
      <c r="H1" s="76"/>
      <c r="I1" s="76"/>
      <c r="J1" s="77"/>
      <c r="K1" s="78" t="s">
        <v>239</v>
      </c>
    </row>
    <row r="2" s="52" customFormat="1" ht="16.5" spans="1:10">
      <c r="A2" s="111" t="s">
        <v>1</v>
      </c>
      <c r="B2" s="111" t="s">
        <v>141</v>
      </c>
      <c r="C2" s="111" t="s">
        <v>240</v>
      </c>
      <c r="D2" s="111" t="s">
        <v>241</v>
      </c>
      <c r="E2" s="111" t="s">
        <v>242</v>
      </c>
      <c r="F2" s="112" t="s">
        <v>243</v>
      </c>
      <c r="G2" s="113"/>
      <c r="H2" s="113"/>
      <c r="I2" s="113"/>
      <c r="J2" s="113"/>
    </row>
    <row r="3" s="52" customFormat="1" ht="66" spans="1:10">
      <c r="A3" s="7"/>
      <c r="B3" s="7"/>
      <c r="C3" s="79" t="s">
        <v>244</v>
      </c>
      <c r="D3" s="79" t="s">
        <v>245</v>
      </c>
      <c r="E3" s="79" t="s">
        <v>246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</row>
    <row r="4" s="52" customFormat="1" ht="16.5" spans="1:11">
      <c r="A4" s="10" t="s">
        <v>247</v>
      </c>
      <c r="B4" s="7" t="s">
        <v>248</v>
      </c>
      <c r="C4" s="114">
        <f>E.4建设投资税后金额表!H4+E.4建设投资税后金额表!H9+E.4建设投资税后金额表!H13+E.4建设投资税后金额表!H19+c借款还本付息计划表!D31+c借款还本付息计划表!D34</f>
        <v>284.314095069095</v>
      </c>
      <c r="D4" s="115">
        <f>1/B项目信息!$D$8*100%</f>
        <v>0.0454545454545455</v>
      </c>
      <c r="E4" s="106">
        <f>C4*(1-A财务假设!$D$12)*D4</f>
        <v>12.2771995598018</v>
      </c>
      <c r="F4" s="106"/>
      <c r="G4" s="116">
        <f>$C4-$E4*(G3-$F$3)</f>
        <v>272.036895509293</v>
      </c>
      <c r="H4" s="116">
        <f t="shared" ref="H4:I4" si="0">$C4-$E4*(H3-$F$3)</f>
        <v>259.759695949491</v>
      </c>
      <c r="I4" s="116">
        <f t="shared" si="0"/>
        <v>247.482496389689</v>
      </c>
      <c r="J4" s="116">
        <f t="shared" ref="J4" si="1">$C4-$E4*(J3-$F$3)</f>
        <v>235.205296829887</v>
      </c>
      <c r="K4" s="78" t="s">
        <v>249</v>
      </c>
    </row>
    <row r="5" s="52" customFormat="1" ht="16.5" spans="1:11">
      <c r="A5" s="10" t="s">
        <v>250</v>
      </c>
      <c r="B5" s="7" t="s">
        <v>248</v>
      </c>
      <c r="C5" s="114">
        <f>E.4建设投资税后金额表!I4+E.4建设投资税后金额表!I9+E.4建设投资税后金额表!I13+E.4建设投资税后金额表!I19+c借款还本付息计划表!E31+c借款还本付息计划表!E34</f>
        <v>590.204468822443</v>
      </c>
      <c r="D5" s="115">
        <f>1/B项目信息!$D$14*100%</f>
        <v>0.0476190476190476</v>
      </c>
      <c r="E5" s="106">
        <f>C5*(1-A财务假设!$D$12)*D5</f>
        <v>26.6997259705391</v>
      </c>
      <c r="F5" s="106"/>
      <c r="G5" s="116"/>
      <c r="H5" s="116">
        <f>$C5-$E5*(H3-$G$3)</f>
        <v>563.504742851904</v>
      </c>
      <c r="I5" s="116">
        <f t="shared" ref="I5:J5" si="2">$C5-$E5*(I3-$G$3)</f>
        <v>536.805016881365</v>
      </c>
      <c r="J5" s="116">
        <f t="shared" si="2"/>
        <v>510.105290910826</v>
      </c>
      <c r="K5" s="78" t="s">
        <v>251</v>
      </c>
    </row>
    <row r="6" s="52" customFormat="1" ht="16.5" spans="1:10">
      <c r="A6" s="10" t="s">
        <v>252</v>
      </c>
      <c r="B6" s="7" t="s">
        <v>248</v>
      </c>
      <c r="C6" s="114">
        <f>E.4建设投资税后金额表!J4+E.4建设投资税后金额表!J9+E.4建设投资税后金额表!J13+E.4建设投资税后金额表!J19+c借款还本付息计划表!F31+c借款还本付息计划表!F34</f>
        <v>1105.40164257579</v>
      </c>
      <c r="D6" s="115">
        <f>1/B项目信息!$D$20*100%</f>
        <v>0.05</v>
      </c>
      <c r="E6" s="106">
        <f>C6*(1-A财务假设!$D$12)*D6</f>
        <v>52.5065780223501</v>
      </c>
      <c r="F6" s="106"/>
      <c r="G6" s="116"/>
      <c r="H6" s="116"/>
      <c r="I6" s="116">
        <f>$C6-$E6*(I3-$H$3)</f>
        <v>1052.89506455344</v>
      </c>
      <c r="J6" s="116">
        <f t="shared" ref="J6" si="3">$C6-$E6*(J3-$H$3)</f>
        <v>1000.38848653109</v>
      </c>
    </row>
    <row r="7" s="52" customFormat="1" ht="16.5" spans="1:10">
      <c r="A7" s="7" t="s">
        <v>81</v>
      </c>
      <c r="B7" s="7" t="s">
        <v>248</v>
      </c>
      <c r="C7" s="80">
        <f>SUM(C4:C6)</f>
        <v>1979.92020646733</v>
      </c>
      <c r="D7" s="35" t="s">
        <v>132</v>
      </c>
      <c r="E7" s="80">
        <f>SUM(E4:E6)</f>
        <v>91.4835035526911</v>
      </c>
      <c r="F7" s="80">
        <f t="shared" ref="F7:J7" si="4">SUM(F4:F6)</f>
        <v>0</v>
      </c>
      <c r="G7" s="80">
        <f t="shared" si="4"/>
        <v>272.036895509293</v>
      </c>
      <c r="H7" s="80">
        <f t="shared" si="4"/>
        <v>823.264438801395</v>
      </c>
      <c r="I7" s="80">
        <f t="shared" si="4"/>
        <v>1837.1825778245</v>
      </c>
      <c r="J7" s="80">
        <f t="shared" si="4"/>
        <v>1745.69907427181</v>
      </c>
    </row>
  </sheetData>
  <mergeCells count="2">
    <mergeCell ref="C1:J1"/>
    <mergeCell ref="F2:J2"/>
  </mergeCells>
  <pageMargins left="0.75" right="0.75" top="1" bottom="1" header="0.5" footer="0.5"/>
  <headerFooter/>
  <ignoredErrors>
    <ignoredError sqref="F7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theme="4" tint="-0.249977111117893"/>
  </sheetPr>
  <dimension ref="A1:K25"/>
  <sheetViews>
    <sheetView topLeftCell="B1" workbookViewId="0">
      <pane xSplit="4" ySplit="3" topLeftCell="F11" activePane="bottomRight" state="frozen"/>
      <selection/>
      <selection pane="topRight"/>
      <selection pane="bottomLeft"/>
      <selection pane="bottomRight" activeCell="C25" sqref="C25"/>
    </sheetView>
  </sheetViews>
  <sheetFormatPr defaultColWidth="8.89090909090909" defaultRowHeight="16.5"/>
  <cols>
    <col min="1" max="1" width="8.89090909090909" style="52"/>
    <col min="2" max="2" width="32.5545454545455" style="52" customWidth="1"/>
    <col min="3" max="3" width="33.5545454545455" style="52" customWidth="1"/>
    <col min="4" max="4" width="15.2181818181818" style="52" customWidth="1"/>
    <col min="5" max="5" width="15.7818181818182" style="52" customWidth="1"/>
    <col min="6" max="6" width="6.44545454545455" style="52" customWidth="1"/>
    <col min="7" max="7" width="6.44545454545455" style="102" customWidth="1"/>
    <col min="8" max="8" width="7.44545454545455" style="102" customWidth="1"/>
    <col min="9" max="10" width="6.44545454545455" style="102" customWidth="1"/>
    <col min="11" max="16384" width="8.89090909090909" style="52"/>
  </cols>
  <sheetData>
    <row r="1" ht="22.5" spans="1:11">
      <c r="A1" s="60" t="s">
        <v>253</v>
      </c>
      <c r="B1" s="60"/>
      <c r="C1" s="60"/>
      <c r="D1" s="60"/>
      <c r="E1" s="60"/>
      <c r="F1" s="60"/>
      <c r="G1" s="103"/>
      <c r="H1" s="103"/>
      <c r="I1" s="103"/>
      <c r="J1" s="103"/>
      <c r="K1" s="78" t="s">
        <v>254</v>
      </c>
    </row>
    <row r="2" spans="1:10">
      <c r="A2" s="2" t="s">
        <v>1</v>
      </c>
      <c r="B2" s="2" t="s">
        <v>141</v>
      </c>
      <c r="C2" s="2" t="s">
        <v>240</v>
      </c>
      <c r="D2" s="2" t="s">
        <v>241</v>
      </c>
      <c r="E2" s="2" t="s">
        <v>242</v>
      </c>
      <c r="F2" s="28" t="s">
        <v>255</v>
      </c>
      <c r="G2" s="29"/>
      <c r="H2" s="29"/>
      <c r="I2" s="29"/>
      <c r="J2" s="29"/>
    </row>
    <row r="3" ht="66" spans="1:10">
      <c r="A3" s="7"/>
      <c r="B3" s="7"/>
      <c r="C3" s="36" t="s">
        <v>256</v>
      </c>
      <c r="D3" s="104" t="s">
        <v>245</v>
      </c>
      <c r="E3" s="36" t="s">
        <v>257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</row>
    <row r="4" spans="1:10">
      <c r="A4" s="10" t="s">
        <v>247</v>
      </c>
      <c r="B4" s="105" t="s">
        <v>258</v>
      </c>
      <c r="C4" s="106">
        <f>C5+C9</f>
        <v>5.54349641008516</v>
      </c>
      <c r="D4" s="104" t="s">
        <v>132</v>
      </c>
      <c r="E4" s="80">
        <f>E5+E9</f>
        <v>0.251977109549325</v>
      </c>
      <c r="F4" s="80"/>
      <c r="G4" s="80">
        <f t="shared" ref="G4:I4" si="0">G5+G9</f>
        <v>5.29151930053583</v>
      </c>
      <c r="H4" s="80">
        <f t="shared" si="0"/>
        <v>5.0395421909865</v>
      </c>
      <c r="I4" s="80">
        <f t="shared" si="0"/>
        <v>4.78756508143718</v>
      </c>
      <c r="J4" s="80">
        <f t="shared" ref="J4" si="1">J5+J9</f>
        <v>4.53558797188785</v>
      </c>
    </row>
    <row r="5" spans="1:10">
      <c r="A5" s="7">
        <v>1.1</v>
      </c>
      <c r="B5" s="7" t="s">
        <v>259</v>
      </c>
      <c r="C5" s="11">
        <f>SUM(C6:C8)</f>
        <v>5.54349641008516</v>
      </c>
      <c r="D5" s="107" t="s">
        <v>132</v>
      </c>
      <c r="E5" s="11">
        <f>SUM(E6:E8)</f>
        <v>0.251977109549325</v>
      </c>
      <c r="F5" s="11"/>
      <c r="G5" s="11">
        <f t="shared" ref="G5:I5" si="2">SUM(G6:G8)</f>
        <v>5.29151930053583</v>
      </c>
      <c r="H5" s="11">
        <f t="shared" si="2"/>
        <v>5.0395421909865</v>
      </c>
      <c r="I5" s="11">
        <f t="shared" si="2"/>
        <v>4.78756508143718</v>
      </c>
      <c r="J5" s="11">
        <f t="shared" ref="J5" si="3">SUM(J6:J8)</f>
        <v>4.53558797188785</v>
      </c>
    </row>
    <row r="6" spans="1:10">
      <c r="A6" s="7" t="s">
        <v>260</v>
      </c>
      <c r="B6" s="7" t="s">
        <v>261</v>
      </c>
      <c r="C6" s="39">
        <v>0</v>
      </c>
      <c r="D6" s="91">
        <f>$D$8</f>
        <v>0.0454545454545455</v>
      </c>
      <c r="E6" s="11">
        <f>C6*D6</f>
        <v>0</v>
      </c>
      <c r="F6" s="11"/>
      <c r="G6" s="39">
        <f t="shared" ref="G6:J7" si="4">$C6-$E6*(G$3-$F$3)</f>
        <v>0</v>
      </c>
      <c r="H6" s="39">
        <f t="shared" si="4"/>
        <v>0</v>
      </c>
      <c r="I6" s="39">
        <f t="shared" si="4"/>
        <v>0</v>
      </c>
      <c r="J6" s="39">
        <f t="shared" si="4"/>
        <v>0</v>
      </c>
    </row>
    <row r="7" spans="1:10">
      <c r="A7" s="7" t="s">
        <v>262</v>
      </c>
      <c r="B7" s="7" t="s">
        <v>263</v>
      </c>
      <c r="C7" s="39">
        <v>0</v>
      </c>
      <c r="D7" s="91">
        <f>$D$8</f>
        <v>0.0454545454545455</v>
      </c>
      <c r="E7" s="11">
        <f t="shared" ref="E7:E8" si="5">C7*D7</f>
        <v>0</v>
      </c>
      <c r="F7" s="11"/>
      <c r="G7" s="39">
        <f t="shared" si="4"/>
        <v>0</v>
      </c>
      <c r="H7" s="39">
        <f t="shared" si="4"/>
        <v>0</v>
      </c>
      <c r="I7" s="39">
        <f t="shared" si="4"/>
        <v>0</v>
      </c>
      <c r="J7" s="39">
        <f t="shared" ref="J7:J8" si="6">$C7-$E7*(J$3-$F$3)</f>
        <v>0</v>
      </c>
    </row>
    <row r="8" spans="1:11">
      <c r="A8" s="7" t="s">
        <v>264</v>
      </c>
      <c r="B8" s="36" t="s">
        <v>265</v>
      </c>
      <c r="C8" s="84">
        <f>E.4建设投资税后金额表!H10+E.4建设投资税后金额表!H11+E.4建设投资税后金额表!H12</f>
        <v>5.54349641008516</v>
      </c>
      <c r="D8" s="91">
        <f>1/B项目信息!$D$8*100%</f>
        <v>0.0454545454545455</v>
      </c>
      <c r="E8" s="11">
        <f t="shared" si="5"/>
        <v>0.251977109549325</v>
      </c>
      <c r="F8" s="11"/>
      <c r="G8" s="39">
        <f t="shared" ref="G8:I8" si="7">$C8-$E8*(G$3-$F$3)</f>
        <v>5.29151930053583</v>
      </c>
      <c r="H8" s="39">
        <f t="shared" si="7"/>
        <v>5.0395421909865</v>
      </c>
      <c r="I8" s="39">
        <f t="shared" si="7"/>
        <v>4.78756508143718</v>
      </c>
      <c r="J8" s="39">
        <f t="shared" si="6"/>
        <v>4.53558797188785</v>
      </c>
      <c r="K8" s="78" t="s">
        <v>266</v>
      </c>
    </row>
    <row r="9" spans="1:10">
      <c r="A9" s="7">
        <v>1.2</v>
      </c>
      <c r="B9" s="7" t="s">
        <v>267</v>
      </c>
      <c r="C9" s="11">
        <f>C10</f>
        <v>0</v>
      </c>
      <c r="D9" s="108" t="s">
        <v>132</v>
      </c>
      <c r="E9" s="11">
        <f>E10</f>
        <v>0</v>
      </c>
      <c r="F9" s="11"/>
      <c r="G9" s="11">
        <f t="shared" ref="G9:J9" si="8">G10</f>
        <v>0</v>
      </c>
      <c r="H9" s="11">
        <f t="shared" si="8"/>
        <v>0</v>
      </c>
      <c r="I9" s="11">
        <f t="shared" si="8"/>
        <v>0</v>
      </c>
      <c r="J9" s="11">
        <f t="shared" si="8"/>
        <v>0</v>
      </c>
    </row>
    <row r="10" spans="1:10">
      <c r="A10" s="7" t="s">
        <v>147</v>
      </c>
      <c r="B10" s="7" t="s">
        <v>268</v>
      </c>
      <c r="C10" s="39">
        <v>0</v>
      </c>
      <c r="D10" s="91">
        <f>$D$8</f>
        <v>0.0454545454545455</v>
      </c>
      <c r="E10" s="11">
        <f>C10*D10</f>
        <v>0</v>
      </c>
      <c r="F10" s="11"/>
      <c r="G10" s="39">
        <f t="shared" ref="G10:I10" si="9">$C10-$E10*(G$3-$F$3)</f>
        <v>0</v>
      </c>
      <c r="H10" s="39">
        <f t="shared" si="9"/>
        <v>0</v>
      </c>
      <c r="I10" s="39">
        <f t="shared" si="9"/>
        <v>0</v>
      </c>
      <c r="J10" s="39">
        <f t="shared" ref="J10" si="10">$C10-$E10*(J$3-$F$3)</f>
        <v>0</v>
      </c>
    </row>
    <row r="11" spans="1:10">
      <c r="A11" s="10" t="s">
        <v>250</v>
      </c>
      <c r="B11" s="105" t="s">
        <v>269</v>
      </c>
      <c r="C11" s="11">
        <f>C12+C16</f>
        <v>5.54349641008516</v>
      </c>
      <c r="D11" s="40"/>
      <c r="E11" s="11">
        <f>E12+E16</f>
        <v>0.263976019527865</v>
      </c>
      <c r="F11" s="11"/>
      <c r="G11" s="11">
        <f t="shared" ref="G11:I11" si="11">G12+G16</f>
        <v>0</v>
      </c>
      <c r="H11" s="11">
        <f t="shared" si="11"/>
        <v>5.27952039055729</v>
      </c>
      <c r="I11" s="11">
        <f t="shared" si="11"/>
        <v>5.01554437102943</v>
      </c>
      <c r="J11" s="11">
        <f t="shared" ref="J11" si="12">J12+J16</f>
        <v>4.75156835150156</v>
      </c>
    </row>
    <row r="12" spans="1:10">
      <c r="A12" s="7">
        <v>2.1</v>
      </c>
      <c r="B12" s="7" t="s">
        <v>259</v>
      </c>
      <c r="C12" s="11">
        <f>SUM(C13:C15)</f>
        <v>5.54349641008516</v>
      </c>
      <c r="D12" s="40" t="s">
        <v>132</v>
      </c>
      <c r="E12" s="11">
        <f>SUM(E13:E15)</f>
        <v>0.263976019527865</v>
      </c>
      <c r="F12" s="11"/>
      <c r="G12" s="11"/>
      <c r="H12" s="39">
        <f t="shared" ref="H12:I12" si="13">SUM(H13:H15)</f>
        <v>5.27952039055729</v>
      </c>
      <c r="I12" s="39">
        <f t="shared" si="13"/>
        <v>5.01554437102943</v>
      </c>
      <c r="J12" s="39">
        <f t="shared" ref="J12" si="14">SUM(J13:J15)</f>
        <v>4.75156835150156</v>
      </c>
    </row>
    <row r="13" spans="1:10">
      <c r="A13" s="7" t="s">
        <v>119</v>
      </c>
      <c r="B13" s="7" t="s">
        <v>261</v>
      </c>
      <c r="C13" s="39">
        <v>0</v>
      </c>
      <c r="D13" s="91">
        <f>$D$15</f>
        <v>0.0476190476190476</v>
      </c>
      <c r="E13" s="11">
        <f>C13*D13</f>
        <v>0</v>
      </c>
      <c r="F13" s="11"/>
      <c r="G13" s="11"/>
      <c r="H13" s="39">
        <f>$C13-$E13*(H$3-$H$3)</f>
        <v>0</v>
      </c>
      <c r="I13" s="39">
        <f>$C13-$E13*(I$3-$H$3)</f>
        <v>0</v>
      </c>
      <c r="J13" s="39">
        <f t="shared" ref="J13:J14" si="15">$C13-$E13*(J$3-$H$3)</f>
        <v>0</v>
      </c>
    </row>
    <row r="14" spans="1:10">
      <c r="A14" s="7" t="s">
        <v>121</v>
      </c>
      <c r="B14" s="7" t="s">
        <v>263</v>
      </c>
      <c r="C14" s="39">
        <v>0</v>
      </c>
      <c r="D14" s="91">
        <f>$D$15</f>
        <v>0.0476190476190476</v>
      </c>
      <c r="E14" s="11">
        <f>C14*D14</f>
        <v>0</v>
      </c>
      <c r="F14" s="11"/>
      <c r="G14" s="11"/>
      <c r="H14" s="39">
        <f>$C14-$E14*(H$3-$H$3)</f>
        <v>0</v>
      </c>
      <c r="I14" s="39">
        <f>$C14-$E14*(I$3-$H$3)</f>
        <v>0</v>
      </c>
      <c r="J14" s="39">
        <f t="shared" si="15"/>
        <v>0</v>
      </c>
    </row>
    <row r="15" spans="1:11">
      <c r="A15" s="7" t="s">
        <v>123</v>
      </c>
      <c r="B15" s="36" t="s">
        <v>265</v>
      </c>
      <c r="C15" s="39">
        <f>E.4建设投资税后金额表!I10+E.4建设投资税后金额表!I11+E.4建设投资税后金额表!I12</f>
        <v>5.54349641008516</v>
      </c>
      <c r="D15" s="91">
        <f>1/B项目信息!$D$14*100%</f>
        <v>0.0476190476190476</v>
      </c>
      <c r="E15" s="11">
        <f>C15*D15</f>
        <v>0.263976019527865</v>
      </c>
      <c r="F15" s="11"/>
      <c r="G15" s="11"/>
      <c r="H15" s="39">
        <f>$C15-$E15*(H$3-$G$3)</f>
        <v>5.27952039055729</v>
      </c>
      <c r="I15" s="39">
        <f t="shared" ref="I15:J15" si="16">$C15-$E15*(I$3-$G$3)</f>
        <v>5.01554437102943</v>
      </c>
      <c r="J15" s="39">
        <f t="shared" si="16"/>
        <v>4.75156835150156</v>
      </c>
      <c r="K15" s="78" t="s">
        <v>266</v>
      </c>
    </row>
    <row r="16" spans="1:10">
      <c r="A16" s="7">
        <v>2.2</v>
      </c>
      <c r="B16" s="7" t="s">
        <v>267</v>
      </c>
      <c r="C16" s="11">
        <f>C17</f>
        <v>0</v>
      </c>
      <c r="D16" s="91"/>
      <c r="E16" s="11">
        <f>E17</f>
        <v>0</v>
      </c>
      <c r="F16" s="11"/>
      <c r="G16" s="11"/>
      <c r="H16" s="11">
        <f>H17</f>
        <v>0</v>
      </c>
      <c r="I16" s="11">
        <f>I17</f>
        <v>0</v>
      </c>
      <c r="J16" s="11">
        <f t="shared" ref="J16" si="17">J17</f>
        <v>0</v>
      </c>
    </row>
    <row r="17" spans="1:10">
      <c r="A17" s="7" t="s">
        <v>127</v>
      </c>
      <c r="B17" s="7" t="s">
        <v>268</v>
      </c>
      <c r="C17" s="39">
        <v>0</v>
      </c>
      <c r="D17" s="91">
        <f>$D$15</f>
        <v>0.0476190476190476</v>
      </c>
      <c r="E17" s="11">
        <f>C17*D17</f>
        <v>0</v>
      </c>
      <c r="F17" s="11"/>
      <c r="G17" s="11"/>
      <c r="H17" s="39">
        <f>$C$17-$E$17*(H3-$G$3)</f>
        <v>0</v>
      </c>
      <c r="I17" s="39">
        <f>$C$17-$E$17*(I3-$G$3)</f>
        <v>0</v>
      </c>
      <c r="J17" s="39">
        <f t="shared" ref="J17" si="18">$C$17-$E$17*(J3-$G$3)</f>
        <v>0</v>
      </c>
    </row>
    <row r="18" spans="1:10">
      <c r="A18" s="10" t="s">
        <v>252</v>
      </c>
      <c r="B18" s="105" t="s">
        <v>270</v>
      </c>
      <c r="C18" s="11">
        <f>C19+C23</f>
        <v>5.54349641008516</v>
      </c>
      <c r="D18" s="87"/>
      <c r="E18" s="11">
        <f>E19+E23</f>
        <v>0.277174820504258</v>
      </c>
      <c r="F18" s="11"/>
      <c r="G18" s="11">
        <f t="shared" ref="G18:J18" si="19">G19+G23</f>
        <v>0</v>
      </c>
      <c r="H18" s="11">
        <f t="shared" si="19"/>
        <v>0</v>
      </c>
      <c r="I18" s="11">
        <f t="shared" si="19"/>
        <v>5.2663215895809</v>
      </c>
      <c r="J18" s="11">
        <f t="shared" si="19"/>
        <v>4.98914676907664</v>
      </c>
    </row>
    <row r="19" spans="1:10">
      <c r="A19" s="7">
        <v>2.1</v>
      </c>
      <c r="B19" s="7" t="s">
        <v>259</v>
      </c>
      <c r="C19" s="11">
        <f>SUM(C20:C22)</f>
        <v>5.54349641008516</v>
      </c>
      <c r="D19" s="109" t="s">
        <v>132</v>
      </c>
      <c r="E19" s="11">
        <f>SUM(E20:E22)</f>
        <v>0.277174820504258</v>
      </c>
      <c r="F19" s="11"/>
      <c r="G19" s="11"/>
      <c r="H19" s="11"/>
      <c r="I19" s="39">
        <f t="shared" ref="I19:J19" si="20">SUM(I20:I22)</f>
        <v>5.2663215895809</v>
      </c>
      <c r="J19" s="39">
        <f t="shared" si="20"/>
        <v>4.98914676907664</v>
      </c>
    </row>
    <row r="20" spans="1:10">
      <c r="A20" s="7" t="s">
        <v>119</v>
      </c>
      <c r="B20" s="7" t="s">
        <v>261</v>
      </c>
      <c r="C20" s="39">
        <v>0</v>
      </c>
      <c r="D20" s="91">
        <f>$D$22</f>
        <v>0.05</v>
      </c>
      <c r="E20" s="11">
        <f>C20*D20</f>
        <v>0</v>
      </c>
      <c r="F20" s="11"/>
      <c r="G20" s="11"/>
      <c r="H20" s="11"/>
      <c r="I20" s="39">
        <f>$C20-$E20*(I$3-$H$3)</f>
        <v>0</v>
      </c>
      <c r="J20" s="39">
        <f t="shared" ref="J20:J22" si="21">$C20-$E20*(J$3-$H$3)</f>
        <v>0</v>
      </c>
    </row>
    <row r="21" spans="1:10">
      <c r="A21" s="7" t="s">
        <v>121</v>
      </c>
      <c r="B21" s="7" t="s">
        <v>263</v>
      </c>
      <c r="C21" s="39">
        <v>0</v>
      </c>
      <c r="D21" s="91">
        <f>$D$22</f>
        <v>0.05</v>
      </c>
      <c r="E21" s="11">
        <f>C21*D21</f>
        <v>0</v>
      </c>
      <c r="F21" s="11"/>
      <c r="G21" s="11"/>
      <c r="H21" s="11"/>
      <c r="I21" s="39">
        <f>$C21-$E21*(I$3-$H$3)</f>
        <v>0</v>
      </c>
      <c r="J21" s="39">
        <f t="shared" si="21"/>
        <v>0</v>
      </c>
    </row>
    <row r="22" spans="1:11">
      <c r="A22" s="7" t="s">
        <v>123</v>
      </c>
      <c r="B22" s="36" t="s">
        <v>265</v>
      </c>
      <c r="C22" s="39">
        <f>E.4建设投资税后金额表!J10+E.4建设投资税后金额表!J11+E.4建设投资税后金额表!J12</f>
        <v>5.54349641008516</v>
      </c>
      <c r="D22" s="91">
        <f>1/B项目信息!$D$20*100%</f>
        <v>0.05</v>
      </c>
      <c r="E22" s="11">
        <f>C22*D22</f>
        <v>0.277174820504258</v>
      </c>
      <c r="F22" s="11"/>
      <c r="G22" s="11"/>
      <c r="H22" s="11"/>
      <c r="I22" s="39">
        <f>$C22-$E22*(I$3-$H$3)</f>
        <v>5.2663215895809</v>
      </c>
      <c r="J22" s="39">
        <f t="shared" si="21"/>
        <v>4.98914676907664</v>
      </c>
      <c r="K22" s="78" t="s">
        <v>266</v>
      </c>
    </row>
    <row r="23" spans="1:10">
      <c r="A23" s="7">
        <v>2.2</v>
      </c>
      <c r="B23" s="7" t="s">
        <v>267</v>
      </c>
      <c r="C23" s="11">
        <f>C24</f>
        <v>0</v>
      </c>
      <c r="D23" s="91" t="s">
        <v>132</v>
      </c>
      <c r="E23" s="11">
        <f>E24</f>
        <v>0</v>
      </c>
      <c r="F23" s="11"/>
      <c r="G23" s="11"/>
      <c r="H23" s="11"/>
      <c r="I23" s="11">
        <f>I24</f>
        <v>0</v>
      </c>
      <c r="J23" s="11">
        <f t="shared" ref="J23" si="22">J24</f>
        <v>0</v>
      </c>
    </row>
    <row r="24" spans="1:10">
      <c r="A24" s="7" t="s">
        <v>127</v>
      </c>
      <c r="B24" s="7" t="s">
        <v>268</v>
      </c>
      <c r="C24" s="39">
        <v>0</v>
      </c>
      <c r="D24" s="91">
        <f>$D$22</f>
        <v>0.05</v>
      </c>
      <c r="E24" s="11">
        <f>C24*D24</f>
        <v>0</v>
      </c>
      <c r="F24" s="11"/>
      <c r="G24" s="11"/>
      <c r="H24" s="11"/>
      <c r="I24" s="39">
        <f>$C$17-$E$17*(I10-$G$3)</f>
        <v>0</v>
      </c>
      <c r="J24" s="39">
        <f t="shared" ref="J24" si="23">$C$17-$E$17*(J10-$G$3)</f>
        <v>0</v>
      </c>
    </row>
    <row r="25" spans="1:10">
      <c r="A25" s="7" t="s">
        <v>81</v>
      </c>
      <c r="B25" s="7"/>
      <c r="C25" s="11">
        <f>C4+C11+C19</f>
        <v>16.6304892302555</v>
      </c>
      <c r="D25" s="11" t="s">
        <v>132</v>
      </c>
      <c r="E25" s="11">
        <f t="shared" ref="D25:J25" si="24">E4+E11+E19</f>
        <v>0.793127949581447</v>
      </c>
      <c r="F25" s="11">
        <f t="shared" si="24"/>
        <v>0</v>
      </c>
      <c r="G25" s="11">
        <f t="shared" si="24"/>
        <v>5.29151930053583</v>
      </c>
      <c r="H25" s="11">
        <f t="shared" si="24"/>
        <v>10.3190625815438</v>
      </c>
      <c r="I25" s="11">
        <f t="shared" si="24"/>
        <v>15.0694310420475</v>
      </c>
      <c r="J25" s="11">
        <f t="shared" si="24"/>
        <v>14.2763030924661</v>
      </c>
    </row>
  </sheetData>
  <mergeCells count="3">
    <mergeCell ref="A1:J1"/>
    <mergeCell ref="F2:J2"/>
    <mergeCell ref="A25:B25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K21"/>
  <sheetViews>
    <sheetView workbookViewId="0">
      <selection activeCell="L9" sqref="L9"/>
    </sheetView>
  </sheetViews>
  <sheetFormatPr defaultColWidth="8.89090909090909" defaultRowHeight="28.05" customHeight="1"/>
  <cols>
    <col min="2" max="2" width="18.3363636363636" customWidth="1"/>
    <col min="3" max="3" width="14.1090909090909" customWidth="1"/>
    <col min="4" max="4" width="9.55454545454545"/>
    <col min="7" max="7" width="9.89090909090909"/>
    <col min="8" max="8" width="10.3363636363636" customWidth="1"/>
    <col min="9" max="9" width="9.78181818181818" customWidth="1"/>
    <col min="10" max="10" width="10.4454545454545" customWidth="1"/>
  </cols>
  <sheetData>
    <row r="1" s="52" customFormat="1" customHeight="1" spans="1:11">
      <c r="A1" s="96" t="s">
        <v>271</v>
      </c>
      <c r="B1" s="44"/>
      <c r="C1" s="44"/>
      <c r="D1" s="44"/>
      <c r="E1" s="44"/>
      <c r="F1" s="44"/>
      <c r="G1" s="97"/>
      <c r="H1" s="44"/>
      <c r="I1" s="44"/>
      <c r="J1" s="44"/>
      <c r="K1" s="78" t="s">
        <v>272</v>
      </c>
    </row>
    <row r="2" s="52" customFormat="1" ht="52.05" customHeight="1" spans="1:10">
      <c r="A2" s="16" t="s">
        <v>1</v>
      </c>
      <c r="B2" s="16" t="s">
        <v>84</v>
      </c>
      <c r="C2" s="16" t="s">
        <v>137</v>
      </c>
      <c r="D2" s="26">
        <v>2025</v>
      </c>
      <c r="E2" s="26">
        <v>2026</v>
      </c>
      <c r="F2" s="26">
        <v>2027</v>
      </c>
      <c r="G2" s="16" t="s">
        <v>273</v>
      </c>
      <c r="H2" s="98" t="s">
        <v>274</v>
      </c>
      <c r="I2" s="98" t="s">
        <v>275</v>
      </c>
      <c r="J2" s="98" t="s">
        <v>276</v>
      </c>
    </row>
    <row r="3" s="52" customFormat="1" customHeight="1" spans="1:10">
      <c r="A3" s="7" t="s">
        <v>87</v>
      </c>
      <c r="B3" s="7" t="s">
        <v>88</v>
      </c>
      <c r="C3" s="11">
        <f>C4+C8</f>
        <v>1824</v>
      </c>
      <c r="D3" s="11">
        <f>D4+D8</f>
        <v>308</v>
      </c>
      <c r="E3" s="11">
        <f>E4+E8</f>
        <v>608</v>
      </c>
      <c r="F3" s="11">
        <f>F4+F8</f>
        <v>908</v>
      </c>
      <c r="G3" s="7" t="str">
        <f>'G.1进项增值税率-建设投资'!E3</f>
        <v>/</v>
      </c>
      <c r="H3" s="8">
        <f>H4+H8</f>
        <v>279.295221667859</v>
      </c>
      <c r="I3" s="8">
        <f>I4+I8</f>
        <v>551.277035421208</v>
      </c>
      <c r="J3" s="8">
        <f>J4+J8</f>
        <v>823.258849174557</v>
      </c>
    </row>
    <row r="4" s="52" customFormat="1" customHeight="1" spans="1:10">
      <c r="A4" s="53">
        <v>1</v>
      </c>
      <c r="B4" s="53" t="s">
        <v>89</v>
      </c>
      <c r="C4" s="99">
        <f>SUM(C5:C7)</f>
        <v>1800</v>
      </c>
      <c r="D4" s="99">
        <f>SUM(D5:D7)</f>
        <v>300</v>
      </c>
      <c r="E4" s="99">
        <f>SUM(E5:E7)</f>
        <v>600</v>
      </c>
      <c r="F4" s="99">
        <f>SUM(F5:F7)</f>
        <v>900</v>
      </c>
      <c r="G4" s="53" t="str">
        <f>'G.1进项增值税率-建设投资'!E4</f>
        <v>/</v>
      </c>
      <c r="H4" s="100">
        <f>SUM(H5:H7)</f>
        <v>271.981813753349</v>
      </c>
      <c r="I4" s="100">
        <f>SUM(I5:I7)</f>
        <v>543.963627506698</v>
      </c>
      <c r="J4" s="100">
        <f>SUM(J5:J7)</f>
        <v>815.945441260047</v>
      </c>
    </row>
    <row r="5" s="52" customFormat="1" customHeight="1" spans="1:11">
      <c r="A5" s="7">
        <v>1.1</v>
      </c>
      <c r="B5" s="10" t="s">
        <v>90</v>
      </c>
      <c r="C5" s="11">
        <f>'G.1进项增值税率-建设投资'!D5</f>
        <v>600</v>
      </c>
      <c r="D5" s="34">
        <f>D.3建设投资分年计划表!E5</f>
        <v>100</v>
      </c>
      <c r="E5" s="34">
        <f>D.3建设投资分年计划表!F5</f>
        <v>200</v>
      </c>
      <c r="F5" s="34">
        <f>D.3建设投资分年计划表!G5</f>
        <v>300</v>
      </c>
      <c r="G5" s="101">
        <f>'G.1进项增值税率-建设投资'!$E$5</f>
        <v>0.09</v>
      </c>
      <c r="H5" s="34">
        <f>D5/(1+'G.1进项增值税率-建设投资'!$E5)</f>
        <v>91.743119266055</v>
      </c>
      <c r="I5" s="34">
        <f>E5/(1+'G.1进项增值税率-建设投资'!$E5)</f>
        <v>183.48623853211</v>
      </c>
      <c r="J5" s="34">
        <f>F5/(1+'G.1进项增值税率-建设投资'!$E5)</f>
        <v>275.229357798165</v>
      </c>
      <c r="K5" s="78" t="s">
        <v>277</v>
      </c>
    </row>
    <row r="6" s="52" customFormat="1" customHeight="1" spans="1:10">
      <c r="A6" s="7">
        <v>1.2</v>
      </c>
      <c r="B6" s="10" t="s">
        <v>92</v>
      </c>
      <c r="C6" s="11">
        <f>'G.1进项增值税率-建设投资'!D6</f>
        <v>600</v>
      </c>
      <c r="D6" s="34">
        <f>D.3建设投资分年计划表!E6</f>
        <v>100</v>
      </c>
      <c r="E6" s="34">
        <f>D.3建设投资分年计划表!F6</f>
        <v>200</v>
      </c>
      <c r="F6" s="34">
        <f>D.3建设投资分年计划表!G6</f>
        <v>300</v>
      </c>
      <c r="G6" s="101">
        <f>'G.1进项增值税率-建设投资'!$E$6</f>
        <v>0.13</v>
      </c>
      <c r="H6" s="34">
        <f>D6/(1+'G.1进项增值税率-建设投资'!$E6)</f>
        <v>88.495575221239</v>
      </c>
      <c r="I6" s="34">
        <f>E6/(1+'G.1进项增值税率-建设投资'!$E6)</f>
        <v>176.991150442478</v>
      </c>
      <c r="J6" s="34">
        <f>F6/(1+'G.1进项增值税率-建设投资'!$E6)</f>
        <v>265.486725663717</v>
      </c>
    </row>
    <row r="7" s="52" customFormat="1" customHeight="1" spans="1:10">
      <c r="A7" s="7">
        <v>1.3</v>
      </c>
      <c r="B7" s="10" t="s">
        <v>93</v>
      </c>
      <c r="C7" s="11">
        <f>'G.1进项增值税率-建设投资'!D7</f>
        <v>600</v>
      </c>
      <c r="D7" s="34">
        <f>D.3建设投资分年计划表!E7</f>
        <v>100</v>
      </c>
      <c r="E7" s="34">
        <f>D.3建设投资分年计划表!F7</f>
        <v>200</v>
      </c>
      <c r="F7" s="34">
        <f>D.3建设投资分年计划表!G7</f>
        <v>300</v>
      </c>
      <c r="G7" s="101">
        <f>'G.1进项增值税率-建设投资'!$E$7</f>
        <v>0.09</v>
      </c>
      <c r="H7" s="34">
        <f>D7/(1+'G.1进项增值税率-建设投资'!$E7)</f>
        <v>91.743119266055</v>
      </c>
      <c r="I7" s="34">
        <f>E7/(1+'G.1进项增值税率-建设投资'!$E7)</f>
        <v>183.48623853211</v>
      </c>
      <c r="J7" s="34">
        <f>F7/(1+'G.1进项增值税率-建设投资'!$E7)</f>
        <v>275.229357798165</v>
      </c>
    </row>
    <row r="8" s="52" customFormat="1" customHeight="1" spans="1:10">
      <c r="A8" s="53">
        <v>2</v>
      </c>
      <c r="B8" s="53" t="s">
        <v>95</v>
      </c>
      <c r="C8" s="99">
        <f>SUM(C9:C12)</f>
        <v>24</v>
      </c>
      <c r="D8" s="99">
        <f>SUM(D9:D12)</f>
        <v>8</v>
      </c>
      <c r="E8" s="99">
        <f>SUM(E9:E12)</f>
        <v>8</v>
      </c>
      <c r="F8" s="99">
        <f>SUM(F9:F12)</f>
        <v>8</v>
      </c>
      <c r="G8" s="53" t="str">
        <f>'G.1进项增值税率-建设投资'!E8</f>
        <v>/</v>
      </c>
      <c r="H8" s="100">
        <f>SUM(H9:H12)</f>
        <v>7.31340791450993</v>
      </c>
      <c r="I8" s="100">
        <f>SUM(I9:I12)</f>
        <v>7.31340791450993</v>
      </c>
      <c r="J8" s="100">
        <f>SUM(J9:J12)</f>
        <v>7.31340791450993</v>
      </c>
    </row>
    <row r="9" s="52" customFormat="1" customHeight="1" spans="1:10">
      <c r="A9" s="7">
        <v>2.1</v>
      </c>
      <c r="B9" s="10" t="s">
        <v>96</v>
      </c>
      <c r="C9" s="11">
        <f>'G.1进项增值税率-建设投资'!D9</f>
        <v>6</v>
      </c>
      <c r="D9" s="34">
        <f>D.3建设投资分年计划表!E9</f>
        <v>2</v>
      </c>
      <c r="E9" s="34">
        <f>D.3建设投资分年计划表!F9</f>
        <v>2</v>
      </c>
      <c r="F9" s="34">
        <f>D.3建设投资分年计划表!G9</f>
        <v>2</v>
      </c>
      <c r="G9" s="101">
        <f>'G.1进项增值税率-建设投资'!$E$9</f>
        <v>0.13</v>
      </c>
      <c r="H9" s="34">
        <f>D9/(1+'G.1进项增值税率-建设投资'!$E9)</f>
        <v>1.76991150442478</v>
      </c>
      <c r="I9" s="34">
        <f>E9/(1+'G.1进项增值税率-建设投资'!$E9)</f>
        <v>1.76991150442478</v>
      </c>
      <c r="J9" s="34">
        <f>F9/(1+'G.1进项增值税率-建设投资'!$E9)</f>
        <v>1.76991150442478</v>
      </c>
    </row>
    <row r="10" s="52" customFormat="1" customHeight="1" spans="1:10">
      <c r="A10" s="7">
        <v>2.2</v>
      </c>
      <c r="B10" s="10" t="s">
        <v>97</v>
      </c>
      <c r="C10" s="11">
        <f>'G.1进项增值税率-建设投资'!D10</f>
        <v>6</v>
      </c>
      <c r="D10" s="34">
        <f>D.3建设投资分年计划表!E10</f>
        <v>2</v>
      </c>
      <c r="E10" s="34">
        <f>D.3建设投资分年计划表!F10</f>
        <v>2</v>
      </c>
      <c r="F10" s="34">
        <f>D.3建设投资分年计划表!G10</f>
        <v>2</v>
      </c>
      <c r="G10" s="101">
        <f>'G.1进项增值税率-建设投资'!$E$10</f>
        <v>0.06</v>
      </c>
      <c r="H10" s="34">
        <f>D10/(1+'G.1进项增值税率-建设投资'!$E10)</f>
        <v>1.88679245283019</v>
      </c>
      <c r="I10" s="34">
        <f>E10/(1+'G.1进项增值税率-建设投资'!$E10)</f>
        <v>1.88679245283019</v>
      </c>
      <c r="J10" s="34">
        <f>F10/(1+'G.1进项增值税率-建设投资'!$E10)</f>
        <v>1.88679245283019</v>
      </c>
    </row>
    <row r="11" s="52" customFormat="1" customHeight="1" spans="1:10">
      <c r="A11" s="7">
        <v>2.3</v>
      </c>
      <c r="B11" s="10" t="s">
        <v>98</v>
      </c>
      <c r="C11" s="11">
        <f>'G.1进项增值税率-建设投资'!D11</f>
        <v>6</v>
      </c>
      <c r="D11" s="34">
        <f>D.3建设投资分年计划表!E11</f>
        <v>2</v>
      </c>
      <c r="E11" s="34">
        <f>D.3建设投资分年计划表!F11</f>
        <v>2</v>
      </c>
      <c r="F11" s="34">
        <f>D.3建设投资分年计划表!G11</f>
        <v>2</v>
      </c>
      <c r="G11" s="101">
        <f>'G.1进项增值税率-建设投资'!$E$11</f>
        <v>0.13</v>
      </c>
      <c r="H11" s="34">
        <f>D11/(1+'G.1进项增值税率-建设投资'!$E11)</f>
        <v>1.76991150442478</v>
      </c>
      <c r="I11" s="34">
        <f>E11/(1+'G.1进项增值税率-建设投资'!$E11)</f>
        <v>1.76991150442478</v>
      </c>
      <c r="J11" s="34">
        <f>F11/(1+'G.1进项增值税率-建设投资'!$E11)</f>
        <v>1.76991150442478</v>
      </c>
    </row>
    <row r="12" s="52" customFormat="1" customHeight="1" spans="1:10">
      <c r="A12" s="7">
        <v>2.4</v>
      </c>
      <c r="B12" s="10" t="s">
        <v>99</v>
      </c>
      <c r="C12" s="11">
        <f>'G.1进项增值税率-建设投资'!D12</f>
        <v>6</v>
      </c>
      <c r="D12" s="34">
        <f>D.3建设投资分年计划表!E12</f>
        <v>2</v>
      </c>
      <c r="E12" s="34">
        <f>D.3建设投资分年计划表!F12</f>
        <v>2</v>
      </c>
      <c r="F12" s="34">
        <f>D.3建设投资分年计划表!G12</f>
        <v>2</v>
      </c>
      <c r="G12" s="101">
        <f>'G.1进项增值税率-建设投资'!$E$12</f>
        <v>0.06</v>
      </c>
      <c r="H12" s="34">
        <f>D12/(1+'G.1进项增值税率-建设投资'!$E12)</f>
        <v>1.88679245283019</v>
      </c>
      <c r="I12" s="34">
        <f>E12/(1+'G.1进项增值税率-建设投资'!$E12)</f>
        <v>1.88679245283019</v>
      </c>
      <c r="J12" s="34">
        <f>F12/(1+'G.1进项增值税率-建设投资'!$E12)</f>
        <v>1.88679245283019</v>
      </c>
    </row>
    <row r="13" s="52" customFormat="1" customHeight="1" spans="1:10">
      <c r="A13" s="53" t="s">
        <v>100</v>
      </c>
      <c r="B13" s="53" t="s">
        <v>101</v>
      </c>
      <c r="C13" s="99">
        <f>SUM(C14:C18)</f>
        <v>24</v>
      </c>
      <c r="D13" s="99">
        <f>SUM(D14:D18)</f>
        <v>8</v>
      </c>
      <c r="E13" s="99">
        <f>SUM(E14:E18)</f>
        <v>8</v>
      </c>
      <c r="F13" s="99">
        <f>SUM(F14:F18)</f>
        <v>8</v>
      </c>
      <c r="G13" s="53" t="str">
        <f>'G.1进项增值税率-建设投资'!E13</f>
        <v>/</v>
      </c>
      <c r="H13" s="100">
        <f>SUM(H14:H18)</f>
        <v>7.54716981132075</v>
      </c>
      <c r="I13" s="100">
        <f>SUM(I14:I18)</f>
        <v>7.54716981132075</v>
      </c>
      <c r="J13" s="100">
        <f>SUM(J14:J18)</f>
        <v>7.54716981132075</v>
      </c>
    </row>
    <row r="14" s="52" customFormat="1" customHeight="1" spans="1:10">
      <c r="A14" s="7">
        <v>1</v>
      </c>
      <c r="B14" s="7" t="s">
        <v>102</v>
      </c>
      <c r="C14" s="11">
        <f>'G.1进项增值税率-建设投资'!D14</f>
        <v>6</v>
      </c>
      <c r="D14" s="34">
        <f>D.3建设投资分年计划表!E14</f>
        <v>2</v>
      </c>
      <c r="E14" s="34">
        <f>D.3建设投资分年计划表!F14</f>
        <v>2</v>
      </c>
      <c r="F14" s="34">
        <f>D.3建设投资分年计划表!G14</f>
        <v>2</v>
      </c>
      <c r="G14" s="101">
        <f>'G.1进项增值税率-建设投资'!$E$14</f>
        <v>0.06</v>
      </c>
      <c r="H14" s="34">
        <f>D14/(1+'G.1进项增值税率-建设投资'!$E14)</f>
        <v>1.88679245283019</v>
      </c>
      <c r="I14" s="34">
        <f>E14/(1+'G.1进项增值税率-建设投资'!$E14)</f>
        <v>1.88679245283019</v>
      </c>
      <c r="J14" s="34">
        <f>F14/(1+'G.1进项增值税率-建设投资'!$E14)</f>
        <v>1.88679245283019</v>
      </c>
    </row>
    <row r="15" s="52" customFormat="1" customHeight="1" spans="1:10">
      <c r="A15" s="7">
        <v>2</v>
      </c>
      <c r="B15" s="10" t="s">
        <v>103</v>
      </c>
      <c r="C15" s="11">
        <f>'G.1进项增值税率-建设投资'!D15</f>
        <v>6</v>
      </c>
      <c r="D15" s="34">
        <f>D.3建设投资分年计划表!E15</f>
        <v>2</v>
      </c>
      <c r="E15" s="34">
        <f>D.3建设投资分年计划表!F15</f>
        <v>2</v>
      </c>
      <c r="F15" s="34">
        <f>D.3建设投资分年计划表!G15</f>
        <v>2</v>
      </c>
      <c r="G15" s="101">
        <f>'G.1进项增值税率-建设投资'!$E$15</f>
        <v>0.06</v>
      </c>
      <c r="H15" s="34">
        <f>D15/(1+'G.1进项增值税率-建设投资'!$E15)</f>
        <v>1.88679245283019</v>
      </c>
      <c r="I15" s="34">
        <f>E15/(1+'G.1进项增值税率-建设投资'!$E15)</f>
        <v>1.88679245283019</v>
      </c>
      <c r="J15" s="34">
        <f>F15/(1+'G.1进项增值税率-建设投资'!$E15)</f>
        <v>1.88679245283019</v>
      </c>
    </row>
    <row r="16" s="52" customFormat="1" customHeight="1" spans="1:10">
      <c r="A16" s="7">
        <v>3</v>
      </c>
      <c r="B16" s="10" t="s">
        <v>104</v>
      </c>
      <c r="C16" s="11">
        <f>'G.1进项增值税率-建设投资'!D16</f>
        <v>6</v>
      </c>
      <c r="D16" s="34">
        <f>D.3建设投资分年计划表!E16</f>
        <v>2</v>
      </c>
      <c r="E16" s="34">
        <f>D.3建设投资分年计划表!F16</f>
        <v>2</v>
      </c>
      <c r="F16" s="34">
        <f>D.3建设投资分年计划表!G16</f>
        <v>2</v>
      </c>
      <c r="G16" s="101">
        <f>'G.1进项增值税率-建设投资'!$E$16</f>
        <v>0.06</v>
      </c>
      <c r="H16" s="34">
        <f>D16/(1+'G.1进项增值税率-建设投资'!$E16)</f>
        <v>1.88679245283019</v>
      </c>
      <c r="I16" s="34">
        <f>E16/(1+'G.1进项增值税率-建设投资'!$E16)</f>
        <v>1.88679245283019</v>
      </c>
      <c r="J16" s="34">
        <f>F16/(1+'G.1进项增值税率-建设投资'!$E16)</f>
        <v>1.88679245283019</v>
      </c>
    </row>
    <row r="17" s="52" customFormat="1" customHeight="1" spans="1:10">
      <c r="A17" s="7">
        <v>4</v>
      </c>
      <c r="B17" s="10" t="s">
        <v>105</v>
      </c>
      <c r="C17" s="11">
        <f>'G.1进项增值税率-建设投资'!D17</f>
        <v>6</v>
      </c>
      <c r="D17" s="34">
        <f>D.3建设投资分年计划表!E17</f>
        <v>2</v>
      </c>
      <c r="E17" s="34">
        <f>D.3建设投资分年计划表!F17</f>
        <v>2</v>
      </c>
      <c r="F17" s="34">
        <f>D.3建设投资分年计划表!G17</f>
        <v>2</v>
      </c>
      <c r="G17" s="101">
        <f>'G.1进项增值税率-建设投资'!$E$17</f>
        <v>0.06</v>
      </c>
      <c r="H17" s="34">
        <f>D17/(1+'G.1进项增值税率-建设投资'!$E17)</f>
        <v>1.88679245283019</v>
      </c>
      <c r="I17" s="34">
        <f>E17/(1+'G.1进项增值税率-建设投资'!$E17)</f>
        <v>1.88679245283019</v>
      </c>
      <c r="J17" s="34">
        <f>F17/(1+'G.1进项增值税率-建设投资'!$E17)</f>
        <v>1.88679245283019</v>
      </c>
    </row>
    <row r="18" s="52" customFormat="1" customHeight="1" spans="1:10">
      <c r="A18" s="7">
        <v>5</v>
      </c>
      <c r="B18" s="10" t="s">
        <v>106</v>
      </c>
      <c r="C18" s="11">
        <f>'G.1进项增值税率-建设投资'!D18</f>
        <v>0</v>
      </c>
      <c r="D18" s="34">
        <f>D.3建设投资分年计划表!E18</f>
        <v>0</v>
      </c>
      <c r="E18" s="34">
        <f>D.3建设投资分年计划表!F18</f>
        <v>0</v>
      </c>
      <c r="F18" s="34">
        <f>D.3建设投资分年计划表!G18</f>
        <v>0</v>
      </c>
      <c r="G18" s="101">
        <f>'G.1进项增值税率-建设投资'!$E$18</f>
        <v>0.06</v>
      </c>
      <c r="H18" s="34">
        <f>D18/(1+'G.1进项增值税率-建设投资'!$E18)</f>
        <v>0</v>
      </c>
      <c r="I18" s="34">
        <f>E18/(1+'G.1进项增值税率-建设投资'!$E18)</f>
        <v>0</v>
      </c>
      <c r="J18" s="34">
        <f>F18/(1+'G.1进项增值税率-建设投资'!$E18)</f>
        <v>0</v>
      </c>
    </row>
    <row r="19" s="52" customFormat="1" customHeight="1" spans="1:10">
      <c r="A19" s="53" t="s">
        <v>107</v>
      </c>
      <c r="B19" s="53" t="s">
        <v>108</v>
      </c>
      <c r="C19" s="99">
        <f>C20</f>
        <v>6</v>
      </c>
      <c r="D19" s="99">
        <f>D20</f>
        <v>2</v>
      </c>
      <c r="E19" s="99">
        <f>E20</f>
        <v>2</v>
      </c>
      <c r="F19" s="99">
        <f>F20</f>
        <v>2</v>
      </c>
      <c r="G19" s="53" t="str">
        <f>'G.1进项增值税率-建设投资'!E19</f>
        <v>/</v>
      </c>
      <c r="H19" s="100">
        <f>H20</f>
        <v>2</v>
      </c>
      <c r="I19" s="100">
        <f>I20</f>
        <v>2</v>
      </c>
      <c r="J19" s="100">
        <f>J20</f>
        <v>2</v>
      </c>
    </row>
    <row r="20" s="52" customFormat="1" customHeight="1" spans="1:10">
      <c r="A20" s="7">
        <v>1</v>
      </c>
      <c r="B20" s="10" t="s">
        <v>109</v>
      </c>
      <c r="C20" s="11">
        <f>'G.1进项增值税率-建设投资'!D20</f>
        <v>6</v>
      </c>
      <c r="D20" s="34">
        <f>D.3建设投资分年计划表!E20</f>
        <v>2</v>
      </c>
      <c r="E20" s="34">
        <f>D.3建设投资分年计划表!F20</f>
        <v>2</v>
      </c>
      <c r="F20" s="34">
        <f>D.3建设投资分年计划表!G20</f>
        <v>2</v>
      </c>
      <c r="G20" s="101">
        <f>'G.1进项增值税率-建设投资'!$E$20</f>
        <v>0</v>
      </c>
      <c r="H20" s="34">
        <f>D20/(1+'G.1进项增值税率-建设投资'!$E20)</f>
        <v>2</v>
      </c>
      <c r="I20" s="34">
        <f>E20/(1+'G.1进项增值税率-建设投资'!$E20)</f>
        <v>2</v>
      </c>
      <c r="J20" s="34">
        <f>F20/(1+'G.1进项增值税率-建设投资'!$E20)</f>
        <v>2</v>
      </c>
    </row>
    <row r="21" s="52" customFormat="1" customHeight="1" spans="1:10">
      <c r="A21" s="7"/>
      <c r="B21" s="7" t="s">
        <v>81</v>
      </c>
      <c r="C21" s="11">
        <f>C3+C13+C19</f>
        <v>1854</v>
      </c>
      <c r="D21" s="11">
        <f t="shared" ref="D21:J21" si="0">D3+D13+D19</f>
        <v>318</v>
      </c>
      <c r="E21" s="11">
        <f t="shared" si="0"/>
        <v>618</v>
      </c>
      <c r="F21" s="11">
        <f t="shared" si="0"/>
        <v>918</v>
      </c>
      <c r="G21" s="11" t="s">
        <v>132</v>
      </c>
      <c r="H21" s="11">
        <f>H3+H13+H19</f>
        <v>288.84239147918</v>
      </c>
      <c r="I21" s="11">
        <f t="shared" si="0"/>
        <v>560.824205232529</v>
      </c>
      <c r="J21" s="11">
        <f t="shared" si="0"/>
        <v>832.806018985878</v>
      </c>
    </row>
  </sheetData>
  <mergeCells count="1">
    <mergeCell ref="A1:J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H12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K13" sqref="K13"/>
    </sheetView>
  </sheetViews>
  <sheetFormatPr defaultColWidth="8.89090909090909" defaultRowHeight="28.05" customHeight="1" outlineLevelCol="7"/>
  <cols>
    <col min="1" max="1" width="6" style="52" customWidth="1"/>
    <col min="2" max="2" width="12.4454545454545" style="52" customWidth="1"/>
    <col min="3" max="3" width="13.5545454545455" style="52" customWidth="1"/>
    <col min="4" max="4" width="7" style="52" customWidth="1"/>
    <col min="5" max="8" width="8.89090909090909" style="52" customWidth="1"/>
    <col min="9" max="16384" width="8.89090909090909" style="52"/>
  </cols>
  <sheetData>
    <row r="1" customHeight="1" spans="1:8">
      <c r="A1" s="38" t="s">
        <v>278</v>
      </c>
      <c r="B1" s="38"/>
      <c r="C1" s="38"/>
      <c r="D1" s="38"/>
      <c r="E1" s="38"/>
      <c r="F1" s="38"/>
      <c r="G1" s="38"/>
      <c r="H1" s="38"/>
    </row>
    <row r="2" customHeight="1" spans="1:8">
      <c r="A2" s="2" t="s">
        <v>1</v>
      </c>
      <c r="B2" s="2" t="s">
        <v>279</v>
      </c>
      <c r="C2" s="2" t="s">
        <v>280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</row>
    <row r="3" customHeight="1" spans="1:8">
      <c r="A3" s="86">
        <v>1</v>
      </c>
      <c r="B3" s="86" t="s">
        <v>281</v>
      </c>
      <c r="C3" s="7" t="s">
        <v>282</v>
      </c>
      <c r="D3" s="11">
        <f>F.1项目单项收入信息!H3</f>
        <v>0</v>
      </c>
      <c r="E3" s="11">
        <f>F.1项目单项收入信息!I3</f>
        <v>100</v>
      </c>
      <c r="F3" s="11">
        <f>F.1项目单项收入信息!J3</f>
        <v>160</v>
      </c>
      <c r="G3" s="11">
        <f>F.1项目单项收入信息!K3</f>
        <v>200</v>
      </c>
      <c r="H3" s="11">
        <f>F.1项目单项收入信息!L3</f>
        <v>200</v>
      </c>
    </row>
    <row r="4" customHeight="1" spans="1:8">
      <c r="A4" s="89"/>
      <c r="B4" s="89"/>
      <c r="C4" s="7" t="s">
        <v>283</v>
      </c>
      <c r="D4" s="41">
        <f>D3/(1+G.3销项增值税率!$C$3)</f>
        <v>0</v>
      </c>
      <c r="E4" s="41">
        <f>E3/(1+G.3销项增值税率!$C$3)</f>
        <v>91.743119266055</v>
      </c>
      <c r="F4" s="41">
        <f>F3/(1+G.3销项增值税率!$C$3)</f>
        <v>146.788990825688</v>
      </c>
      <c r="G4" s="41">
        <f>G3/(1+G.3销项增值税率!$C$3)</f>
        <v>183.48623853211</v>
      </c>
      <c r="H4" s="41">
        <f>H3/(1+G.3销项增值税率!$C$3)</f>
        <v>183.48623853211</v>
      </c>
    </row>
    <row r="5" customHeight="1" spans="1:8">
      <c r="A5" s="86">
        <v>2</v>
      </c>
      <c r="B5" s="86" t="s">
        <v>284</v>
      </c>
      <c r="C5" s="7" t="s">
        <v>282</v>
      </c>
      <c r="D5" s="11">
        <f>F.1项目单项收入信息!H5</f>
        <v>0</v>
      </c>
      <c r="E5" s="11">
        <f>F.1项目单项收入信息!I5</f>
        <v>200</v>
      </c>
      <c r="F5" s="11">
        <f>F.1项目单项收入信息!J5</f>
        <v>320</v>
      </c>
      <c r="G5" s="11">
        <f>F.1项目单项收入信息!K5</f>
        <v>400</v>
      </c>
      <c r="H5" s="11">
        <f>F.1项目单项收入信息!L5</f>
        <v>400</v>
      </c>
    </row>
    <row r="6" customHeight="1" spans="1:8">
      <c r="A6" s="89"/>
      <c r="B6" s="89"/>
      <c r="C6" s="7" t="s">
        <v>283</v>
      </c>
      <c r="D6" s="11">
        <f>D5/(1+G.3销项增值税率!$C$4)</f>
        <v>0</v>
      </c>
      <c r="E6" s="11">
        <f>E5/(1+G.3销项增值税率!$C$4)</f>
        <v>183.48623853211</v>
      </c>
      <c r="F6" s="11">
        <f>F5/(1+G.3销项增值税率!$C$4)</f>
        <v>293.577981651376</v>
      </c>
      <c r="G6" s="11">
        <f>G5/(1+G.3销项增值税率!$C$4)</f>
        <v>366.97247706422</v>
      </c>
      <c r="H6" s="11">
        <f>H5/(1+G.3销项增值税率!$C$4)</f>
        <v>366.97247706422</v>
      </c>
    </row>
    <row r="7" customHeight="1" spans="1:8">
      <c r="A7" s="86">
        <v>3</v>
      </c>
      <c r="B7" s="86" t="s">
        <v>285</v>
      </c>
      <c r="C7" s="7" t="s">
        <v>282</v>
      </c>
      <c r="D7" s="11">
        <f>F.1项目单项收入信息!H7</f>
        <v>0</v>
      </c>
      <c r="E7" s="11">
        <f>F.1项目单项收入信息!I7</f>
        <v>25</v>
      </c>
      <c r="F7" s="11">
        <f>F.1项目单项收入信息!J7</f>
        <v>40.8</v>
      </c>
      <c r="G7" s="11">
        <f>F.1项目单项收入信息!K7</f>
        <v>52.02</v>
      </c>
      <c r="H7" s="11">
        <f>F.1项目单项收入信息!L7</f>
        <v>53.0604</v>
      </c>
    </row>
    <row r="8" customHeight="1" spans="1:8">
      <c r="A8" s="89"/>
      <c r="B8" s="89"/>
      <c r="C8" s="7" t="s">
        <v>283</v>
      </c>
      <c r="D8" s="11">
        <f>D7/(1+G.3销项增值税率!$C$5)</f>
        <v>0</v>
      </c>
      <c r="E8" s="11">
        <f>E7/(1+G.3销项增值税率!$C$5)</f>
        <v>23.5849056603774</v>
      </c>
      <c r="F8" s="11">
        <f>F7/(1+G.3销项增值税率!$C$5)</f>
        <v>38.4905660377358</v>
      </c>
      <c r="G8" s="11">
        <f>G7/(1+G.3销项增值税率!$C$5)</f>
        <v>49.0754716981132</v>
      </c>
      <c r="H8" s="11">
        <f>H7/(1+G.3销项增值税率!$C$5)</f>
        <v>50.0569811320755</v>
      </c>
    </row>
    <row r="9" customHeight="1" spans="1:8">
      <c r="A9" s="10">
        <v>4</v>
      </c>
      <c r="B9" s="10" t="s">
        <v>286</v>
      </c>
      <c r="C9" s="7"/>
      <c r="D9" s="7">
        <v>0</v>
      </c>
      <c r="E9" s="39">
        <v>0</v>
      </c>
      <c r="F9" s="39">
        <v>0</v>
      </c>
      <c r="G9" s="39">
        <v>0</v>
      </c>
      <c r="H9" s="39">
        <v>0</v>
      </c>
    </row>
    <row r="10" customHeight="1" spans="1:8">
      <c r="A10" s="10"/>
      <c r="B10" s="93" t="s">
        <v>287</v>
      </c>
      <c r="C10" s="7"/>
      <c r="D10" s="7"/>
      <c r="E10" s="39"/>
      <c r="F10" s="39"/>
      <c r="G10" s="39"/>
      <c r="H10" s="39"/>
    </row>
    <row r="11" customHeight="1" spans="1:8">
      <c r="A11" s="10">
        <v>5</v>
      </c>
      <c r="B11" s="65" t="s">
        <v>288</v>
      </c>
      <c r="C11" s="94"/>
      <c r="D11" s="39">
        <f>D3+D5+D7+D9</f>
        <v>0</v>
      </c>
      <c r="E11" s="39">
        <f>E3+E5+E7+E9</f>
        <v>325</v>
      </c>
      <c r="F11" s="39">
        <f t="shared" ref="F11:H11" si="0">F3+F5+F7+F9</f>
        <v>520.8</v>
      </c>
      <c r="G11" s="39">
        <f t="shared" si="0"/>
        <v>652.02</v>
      </c>
      <c r="H11" s="39">
        <f t="shared" si="0"/>
        <v>653.0604</v>
      </c>
    </row>
    <row r="12" customHeight="1" spans="1:8">
      <c r="A12" s="10">
        <v>6</v>
      </c>
      <c r="B12" s="67" t="s">
        <v>289</v>
      </c>
      <c r="C12" s="95"/>
      <c r="D12" s="39">
        <f>D4+D6+D8+D9</f>
        <v>0</v>
      </c>
      <c r="E12" s="39">
        <f>E4+E6+E8+E9</f>
        <v>298.814263458542</v>
      </c>
      <c r="F12" s="39">
        <f t="shared" ref="F12:H12" si="1">F4+F6+F8+F9</f>
        <v>478.8575385148</v>
      </c>
      <c r="G12" s="39">
        <f t="shared" si="1"/>
        <v>599.534187294443</v>
      </c>
      <c r="H12" s="39">
        <f t="shared" si="1"/>
        <v>600.515696728406</v>
      </c>
    </row>
  </sheetData>
  <mergeCells count="9">
    <mergeCell ref="A1:H1"/>
    <mergeCell ref="B11:C11"/>
    <mergeCell ref="B12:C12"/>
    <mergeCell ref="A3:A4"/>
    <mergeCell ref="A5:A6"/>
    <mergeCell ref="A7:A8"/>
    <mergeCell ref="B3:B4"/>
    <mergeCell ref="B5:B6"/>
    <mergeCell ref="B7:B8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M9"/>
  <sheetViews>
    <sheetView zoomScale="85" zoomScaleNormal="85" workbookViewId="0">
      <pane xSplit="7" ySplit="2" topLeftCell="H3" activePane="bottomRight" state="frozen"/>
      <selection/>
      <selection pane="topRight"/>
      <selection pane="bottomLeft"/>
      <selection pane="bottomRight" activeCell="H12" sqref="H12"/>
    </sheetView>
  </sheetViews>
  <sheetFormatPr defaultColWidth="8.89090909090909" defaultRowHeight="28.05" customHeight="1"/>
  <cols>
    <col min="1" max="1" width="6" customWidth="1"/>
    <col min="2" max="2" width="12.4454545454545" customWidth="1"/>
    <col min="3" max="3" width="6" customWidth="1"/>
    <col min="4" max="4" width="18.3363636363636" customWidth="1"/>
    <col min="5" max="5" width="21.6636363636364" customWidth="1"/>
    <col min="6" max="6" width="17.1090909090909" customWidth="1"/>
    <col min="7" max="7" width="10.2181818181818" customWidth="1"/>
    <col min="8" max="8" width="6.44545454545455" customWidth="1"/>
    <col min="9" max="9" width="8.66363636363636" customWidth="1"/>
    <col min="10" max="12" width="9.89090909090909" customWidth="1"/>
    <col min="13" max="13" width="9.55454545454545" customWidth="1"/>
  </cols>
  <sheetData>
    <row r="1" customHeight="1" spans="1:13">
      <c r="A1" s="75" t="s">
        <v>290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32" t="s">
        <v>291</v>
      </c>
    </row>
    <row r="2" customHeight="1" spans="1:12">
      <c r="A2" s="2" t="s">
        <v>1</v>
      </c>
      <c r="B2" s="2" t="s">
        <v>279</v>
      </c>
      <c r="C2" s="2" t="s">
        <v>182</v>
      </c>
      <c r="D2" s="2" t="s">
        <v>292</v>
      </c>
      <c r="E2" s="2" t="s">
        <v>293</v>
      </c>
      <c r="F2" s="2" t="s">
        <v>294</v>
      </c>
      <c r="G2" s="2" t="s">
        <v>295</v>
      </c>
      <c r="H2" s="33">
        <v>2025</v>
      </c>
      <c r="I2" s="33">
        <v>2026</v>
      </c>
      <c r="J2" s="33">
        <v>2027</v>
      </c>
      <c r="K2" s="33">
        <v>2028</v>
      </c>
      <c r="L2" s="33">
        <v>2029</v>
      </c>
    </row>
    <row r="3" customHeight="1" spans="1:13">
      <c r="A3" s="10">
        <v>1</v>
      </c>
      <c r="B3" s="86" t="s">
        <v>281</v>
      </c>
      <c r="C3" s="10">
        <v>2</v>
      </c>
      <c r="D3" s="39">
        <v>100</v>
      </c>
      <c r="E3" s="11">
        <f>D3*(1+A财务假设!$D$20)</f>
        <v>100</v>
      </c>
      <c r="F3" s="87" t="s">
        <v>296</v>
      </c>
      <c r="G3" s="12">
        <v>0</v>
      </c>
      <c r="H3" s="88"/>
      <c r="I3" s="90">
        <f>$C3*$E3*I4</f>
        <v>100</v>
      </c>
      <c r="J3" s="90">
        <f>$C3*$E3*J4</f>
        <v>160</v>
      </c>
      <c r="K3" s="90">
        <f t="shared" ref="K3:L3" si="0">$C3*$E3*K4</f>
        <v>200</v>
      </c>
      <c r="L3" s="90">
        <f t="shared" si="0"/>
        <v>200</v>
      </c>
      <c r="M3" s="32" t="s">
        <v>297</v>
      </c>
    </row>
    <row r="4" customHeight="1" spans="1:12">
      <c r="A4" s="10"/>
      <c r="B4" s="89"/>
      <c r="C4" s="7" t="s">
        <v>298</v>
      </c>
      <c r="D4" s="7"/>
      <c r="E4" s="7"/>
      <c r="F4" s="7"/>
      <c r="G4" s="7"/>
      <c r="H4" s="88"/>
      <c r="I4" s="91">
        <v>0.5</v>
      </c>
      <c r="J4" s="91">
        <v>0.8</v>
      </c>
      <c r="K4" s="91">
        <v>1</v>
      </c>
      <c r="L4" s="91">
        <v>1</v>
      </c>
    </row>
    <row r="5" customHeight="1" spans="1:12">
      <c r="A5" s="10">
        <v>2</v>
      </c>
      <c r="B5" s="86" t="s">
        <v>284</v>
      </c>
      <c r="C5" s="10">
        <v>2</v>
      </c>
      <c r="D5" s="39">
        <v>200</v>
      </c>
      <c r="E5" s="11">
        <f>D5*(1+A财务假设!$D$20)</f>
        <v>200</v>
      </c>
      <c r="F5" s="87" t="s">
        <v>296</v>
      </c>
      <c r="G5" s="12">
        <v>0</v>
      </c>
      <c r="H5" s="88"/>
      <c r="I5" s="90">
        <f>$C5*$E5*I6</f>
        <v>200</v>
      </c>
      <c r="J5" s="90">
        <f t="shared" ref="J5:L5" si="1">$C5*$E5*J6</f>
        <v>320</v>
      </c>
      <c r="K5" s="90">
        <f t="shared" si="1"/>
        <v>400</v>
      </c>
      <c r="L5" s="90">
        <f t="shared" si="1"/>
        <v>400</v>
      </c>
    </row>
    <row r="6" customHeight="1" spans="1:12">
      <c r="A6" s="10"/>
      <c r="B6" s="89"/>
      <c r="C6" s="7" t="s">
        <v>298</v>
      </c>
      <c r="D6" s="7"/>
      <c r="E6" s="7"/>
      <c r="F6" s="7"/>
      <c r="G6" s="7"/>
      <c r="H6" s="88"/>
      <c r="I6" s="91">
        <v>0.5</v>
      </c>
      <c r="J6" s="91">
        <v>0.8</v>
      </c>
      <c r="K6" s="91">
        <v>1</v>
      </c>
      <c r="L6" s="91">
        <v>1</v>
      </c>
    </row>
    <row r="7" customHeight="1" spans="1:13">
      <c r="A7" s="10">
        <v>3</v>
      </c>
      <c r="B7" s="86" t="s">
        <v>285</v>
      </c>
      <c r="C7" s="10">
        <v>1</v>
      </c>
      <c r="D7" s="39">
        <v>50</v>
      </c>
      <c r="E7" s="11">
        <f>D7*(1+A财务假设!$D$20)</f>
        <v>50</v>
      </c>
      <c r="F7" s="87" t="s">
        <v>299</v>
      </c>
      <c r="G7" s="70">
        <v>0.02</v>
      </c>
      <c r="H7" s="88"/>
      <c r="I7" s="92">
        <f>I8*$C7*$E7*POWER(1+$G7,I$2-$I$2)</f>
        <v>25</v>
      </c>
      <c r="J7" s="92">
        <f>J8*$C7*$E7*POWER(1+$G7,J$2-$I$2)</f>
        <v>40.8</v>
      </c>
      <c r="K7" s="92">
        <f t="shared" ref="K7:L7" si="2">K8*$C7*$E7*POWER(1+$G7,K$2-$I$2)</f>
        <v>52.02</v>
      </c>
      <c r="L7" s="92">
        <f t="shared" si="2"/>
        <v>53.0604</v>
      </c>
      <c r="M7" s="32" t="s">
        <v>300</v>
      </c>
    </row>
    <row r="8" customHeight="1" spans="1:12">
      <c r="A8" s="10"/>
      <c r="B8" s="89"/>
      <c r="C8" s="7" t="s">
        <v>298</v>
      </c>
      <c r="D8" s="7"/>
      <c r="E8" s="7"/>
      <c r="F8" s="7"/>
      <c r="G8" s="7"/>
      <c r="H8" s="88"/>
      <c r="I8" s="91">
        <v>0.5</v>
      </c>
      <c r="J8" s="91">
        <v>0.8</v>
      </c>
      <c r="K8" s="91">
        <v>1</v>
      </c>
      <c r="L8" s="91">
        <v>1</v>
      </c>
    </row>
    <row r="9" customHeight="1" spans="1:12">
      <c r="A9" s="7" t="s">
        <v>301</v>
      </c>
      <c r="B9" s="7"/>
      <c r="C9" s="7"/>
      <c r="D9" s="7"/>
      <c r="E9" s="7"/>
      <c r="F9" s="7"/>
      <c r="G9" s="7"/>
      <c r="H9" s="7"/>
      <c r="I9" s="40"/>
      <c r="J9" s="40"/>
      <c r="K9" s="7"/>
      <c r="L9" s="40"/>
    </row>
  </sheetData>
  <mergeCells count="10">
    <mergeCell ref="A1:L1"/>
    <mergeCell ref="C4:G4"/>
    <mergeCell ref="C6:G6"/>
    <mergeCell ref="C8:G8"/>
    <mergeCell ref="A3:A4"/>
    <mergeCell ref="A5:A6"/>
    <mergeCell ref="A7:A8"/>
    <mergeCell ref="B3:B4"/>
    <mergeCell ref="B5:B6"/>
    <mergeCell ref="B7:B8"/>
  </mergeCells>
  <dataValidations count="2">
    <dataValidation type="list" allowBlank="1" showInputMessage="1" showErrorMessage="1" sqref="F3">
      <formula1>"不增长,每2年增长,每3年增长,每5年增长,自定义增长"</formula1>
    </dataValidation>
    <dataValidation type="list" allowBlank="1" showInputMessage="1" showErrorMessage="1" sqref="F5 F7">
      <formula1>"不增长,每年增长,每2年增长,每3年增长,每5年增长,自定义增长"</formula1>
    </dataValidation>
  </dataValidations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I31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K13" sqref="K13"/>
    </sheetView>
  </sheetViews>
  <sheetFormatPr defaultColWidth="8.89090909090909" defaultRowHeight="14"/>
  <cols>
    <col min="1" max="1" width="13.1090909090909" customWidth="1"/>
    <col min="2" max="2" width="33.2181818181818" customWidth="1"/>
    <col min="3" max="3" width="25.7818181818182" customWidth="1"/>
    <col min="4" max="4" width="14.7818181818182" customWidth="1"/>
    <col min="5" max="5" width="13.8909090909091" customWidth="1"/>
    <col min="6" max="6" width="14.7818181818182" customWidth="1"/>
    <col min="7" max="7" width="17.1090909090909"/>
    <col min="8" max="8" width="14.7818181818182" customWidth="1"/>
  </cols>
  <sheetData>
    <row r="1" ht="20" spans="1:9">
      <c r="A1" s="75" t="s">
        <v>302</v>
      </c>
      <c r="B1" s="76"/>
      <c r="C1" s="76"/>
      <c r="D1" s="76"/>
      <c r="E1" s="76"/>
      <c r="F1" s="76"/>
      <c r="G1" s="76"/>
      <c r="H1" s="76"/>
      <c r="I1" s="32" t="s">
        <v>303</v>
      </c>
    </row>
    <row r="2" ht="16.5" spans="1:8">
      <c r="A2" s="2" t="s">
        <v>1</v>
      </c>
      <c r="B2" s="2" t="s">
        <v>112</v>
      </c>
      <c r="C2" s="2" t="s">
        <v>304</v>
      </c>
      <c r="D2" s="33" t="s">
        <v>305</v>
      </c>
      <c r="E2" s="33" t="s">
        <v>306</v>
      </c>
      <c r="F2" s="33" t="s">
        <v>307</v>
      </c>
      <c r="G2" s="33" t="s">
        <v>308</v>
      </c>
      <c r="H2" s="33" t="s">
        <v>309</v>
      </c>
    </row>
    <row r="3" ht="33" spans="1:9">
      <c r="A3" s="7"/>
      <c r="B3" s="7"/>
      <c r="C3" s="36" t="s">
        <v>310</v>
      </c>
      <c r="D3" s="64">
        <f>'G.1进项增值税率-建设投资'!F21</f>
        <v>189.72</v>
      </c>
      <c r="E3" s="81">
        <f>IF(D29=0,ABS(D25-D4-D3),0)</f>
        <v>189.72</v>
      </c>
      <c r="F3" s="81">
        <f t="shared" ref="F3:H3" si="0">IF(E29=0,ABS(E25-E4-E3),0)</f>
        <v>171.70846662306</v>
      </c>
      <c r="G3" s="81">
        <f t="shared" si="0"/>
        <v>137.940208302377</v>
      </c>
      <c r="H3" s="40">
        <f t="shared" si="0"/>
        <v>94.7963420705544</v>
      </c>
      <c r="I3" s="32" t="s">
        <v>311</v>
      </c>
    </row>
    <row r="4" ht="16.5" spans="1:8">
      <c r="A4" s="7">
        <v>1</v>
      </c>
      <c r="B4" s="7" t="s">
        <v>312</v>
      </c>
      <c r="C4" s="7"/>
      <c r="D4" s="11">
        <f t="shared" ref="D4:E4" si="1">SUM(D5:D24)</f>
        <v>0</v>
      </c>
      <c r="E4" s="11">
        <f t="shared" si="1"/>
        <v>8.17420316451721</v>
      </c>
      <c r="F4" s="11">
        <f t="shared" ref="F4:H4" si="2">SUM(F5:F24)</f>
        <v>8.17420316451721</v>
      </c>
      <c r="G4" s="11">
        <f t="shared" si="2"/>
        <v>9.34194647373396</v>
      </c>
      <c r="H4" s="11">
        <f t="shared" si="2"/>
        <v>10.5096897829507</v>
      </c>
    </row>
    <row r="5" ht="16.5" spans="1:8">
      <c r="A5" s="7"/>
      <c r="B5" s="82" t="s">
        <v>187</v>
      </c>
      <c r="C5" s="7"/>
      <c r="D5" s="83">
        <f>E.1项目运营期费用!H4*'G.2进项增值税率-运营成本'!$C3/(1+'G.2进项增值税率-运营成本'!$C3)</f>
        <v>0</v>
      </c>
      <c r="E5" s="84">
        <f>E.1项目运营期费用!I4*'G.2进项增值税率-运营成本'!$C3/(1+'G.2进项增值税率-运营成本'!$C3)</f>
        <v>0.115596330275229</v>
      </c>
      <c r="F5" s="84">
        <f>E.1项目运营期费用!J4*'G.2进项增值税率-运营成本'!$C3/(1+'G.2进项增值税率-运营成本'!$C3)</f>
        <v>0.115596330275229</v>
      </c>
      <c r="G5" s="84">
        <f>E.1项目运营期费用!K4*'G.2进项增值税率-运营成本'!$C3/(1+'G.2进项增值税率-运营成本'!$C3)</f>
        <v>0.132110091743119</v>
      </c>
      <c r="H5" s="84">
        <f>E.1项目运营期费用!L4*'G.2进项增值税率-运营成本'!$C3/(1+'G.2进项增值税率-运营成本'!$C3)</f>
        <v>0.148623853211009</v>
      </c>
    </row>
    <row r="6" ht="29" spans="1:8">
      <c r="A6" s="7"/>
      <c r="B6" s="85" t="s">
        <v>189</v>
      </c>
      <c r="C6" s="7"/>
      <c r="D6" s="83">
        <f>E.1项目运营期费用!H5*'G.2进项增值税率-运营成本'!$C4/(1+'G.2进项增值税率-运营成本'!$C4)</f>
        <v>0</v>
      </c>
      <c r="E6" s="84">
        <f>E.1项目运营期费用!I5*'G.2进项增值税率-运营成本'!$C4/(1+'G.2进项增值税率-运营成本'!$C4)</f>
        <v>0.158490566037736</v>
      </c>
      <c r="F6" s="84">
        <f>E.1项目运营期费用!J5*'G.2进项增值税率-运营成本'!$C4/(1+'G.2进项增值税率-运营成本'!$C4)</f>
        <v>0.158490566037736</v>
      </c>
      <c r="G6" s="84">
        <f>E.1项目运营期费用!K5*'G.2进项增值税率-运营成本'!$C4/(1+'G.2进项增值税率-运营成本'!$C4)</f>
        <v>0.181132075471698</v>
      </c>
      <c r="H6" s="84">
        <f>E.1项目运营期费用!L5*'G.2进项增值税率-运营成本'!$C4/(1+'G.2进项增值税率-运营成本'!$C4)</f>
        <v>0.20377358490566</v>
      </c>
    </row>
    <row r="7" ht="16.5" spans="1:8">
      <c r="A7" s="7"/>
      <c r="B7" s="82" t="s">
        <v>191</v>
      </c>
      <c r="C7" s="7"/>
      <c r="D7" s="83">
        <f>E.1项目运营期费用!H6*'G.2进项增值税率-运营成本'!$C5/(1+'G.2进项增值税率-运营成本'!$C5)</f>
        <v>0</v>
      </c>
      <c r="E7" s="84">
        <f>E.1项目运营期费用!I6*'G.2进项增值税率-运营成本'!$C5/(1+'G.2进项增值税率-运营成本'!$C5)</f>
        <v>0.237735849056604</v>
      </c>
      <c r="F7" s="84">
        <f>E.1项目运营期费用!J6*'G.2进项增值税率-运营成本'!$C5/(1+'G.2进项增值税率-运营成本'!$C5)</f>
        <v>0.237735849056604</v>
      </c>
      <c r="G7" s="84">
        <f>E.1项目运营期费用!K6*'G.2进项增值税率-运营成本'!$C5/(1+'G.2进项增值税率-运营成本'!$C5)</f>
        <v>0.271698113207547</v>
      </c>
      <c r="H7" s="84">
        <f>E.1项目运营期费用!L6*'G.2进项增值税率-运营成本'!$C5/(1+'G.2进项增值税率-运营成本'!$C5)</f>
        <v>0.305660377358491</v>
      </c>
    </row>
    <row r="8" ht="16.5" spans="1:8">
      <c r="A8" s="7"/>
      <c r="B8" s="82" t="s">
        <v>193</v>
      </c>
      <c r="C8" s="7"/>
      <c r="D8" s="83">
        <f>E.1项目运营期费用!H7*'G.2进项增值税率-运营成本'!$C6/(1+'G.2进项增值税率-运营成本'!$C6)</f>
        <v>0</v>
      </c>
      <c r="E8" s="84">
        <f>E.1项目运营期费用!I7*'G.2进项增值税率-运营成本'!$C6/(1+'G.2进项增值税率-运营成本'!$C6)</f>
        <v>0.316981132075472</v>
      </c>
      <c r="F8" s="84">
        <f>E.1项目运营期费用!J7*'G.2进项增值税率-运营成本'!$C6/(1+'G.2进项增值税率-运营成本'!$C6)</f>
        <v>0.316981132075472</v>
      </c>
      <c r="G8" s="84">
        <f>E.1项目运营期费用!K7*'G.2进项增值税率-运营成本'!$C6/(1+'G.2进项增值税率-运营成本'!$C6)</f>
        <v>0.362264150943396</v>
      </c>
      <c r="H8" s="84">
        <f>E.1项目运营期费用!L7*'G.2进项增值税率-运营成本'!$C6/(1+'G.2进项增值税率-运营成本'!$C6)</f>
        <v>0.407547169811321</v>
      </c>
    </row>
    <row r="9" ht="16.5" spans="1:8">
      <c r="A9" s="7"/>
      <c r="B9" s="82" t="s">
        <v>196</v>
      </c>
      <c r="C9" s="7"/>
      <c r="D9" s="83">
        <f>E.1项目运营期费用!H8*'G.2进项增值税率-运营成本'!$C7/(1+'G.2进项增值税率-运营成本'!$C7)</f>
        <v>0</v>
      </c>
      <c r="E9" s="84">
        <f>E.1项目运营期费用!I8*'G.2进项增值税率-运营成本'!$C7/(1+'G.2进项增值税率-运营成本'!$C7)</f>
        <v>0.805309734513274</v>
      </c>
      <c r="F9" s="84">
        <f>E.1项目运营期费用!J8*'G.2进项增值税率-运营成本'!$C7/(1+'G.2进项增值税率-运营成本'!$C7)</f>
        <v>0.805309734513274</v>
      </c>
      <c r="G9" s="84">
        <f>E.1项目运营期费用!K8*'G.2进项增值税率-运营成本'!$C7/(1+'G.2进项增值税率-运营成本'!$C7)</f>
        <v>0.920353982300885</v>
      </c>
      <c r="H9" s="84">
        <f>E.1项目运营期费用!L8*'G.2进项增值税率-运营成本'!$C7/(1+'G.2进项增值税率-运营成本'!$C7)</f>
        <v>1.0353982300885</v>
      </c>
    </row>
    <row r="10" ht="16.5" spans="1:8">
      <c r="A10" s="7"/>
      <c r="B10" s="82" t="s">
        <v>198</v>
      </c>
      <c r="C10" s="7"/>
      <c r="D10" s="83">
        <f>E.1项目运营期费用!H9*'G.2进项增值税率-运营成本'!$C8/(1+'G.2进项增值税率-运营成本'!$C8)</f>
        <v>0</v>
      </c>
      <c r="E10" s="84">
        <f>E.1项目运营期费用!I9*'G.2进项增值税率-运营成本'!$C8/(1+'G.2进项增值税率-运营成本'!$C8)</f>
        <v>0.966371681415929</v>
      </c>
      <c r="F10" s="84">
        <f>E.1项目运营期费用!J9*'G.2进项增值税率-运营成本'!$C8/(1+'G.2进项增值税率-运营成本'!$C8)</f>
        <v>0.966371681415929</v>
      </c>
      <c r="G10" s="84">
        <f>E.1项目运营期费用!K9*'G.2进项增值税率-运营成本'!$C8/(1+'G.2进项增值税率-运营成本'!$C8)</f>
        <v>1.10442477876106</v>
      </c>
      <c r="H10" s="84">
        <f>E.1项目运营期费用!L9*'G.2进项增值税率-运营成本'!$C8/(1+'G.2进项增值税率-运营成本'!$C8)</f>
        <v>1.24247787610619</v>
      </c>
    </row>
    <row r="11" ht="16.5" spans="1:8">
      <c r="A11" s="7"/>
      <c r="B11" s="82" t="s">
        <v>200</v>
      </c>
      <c r="C11" s="7"/>
      <c r="D11" s="83">
        <f>E.1项目运营期费用!H10*'G.2进项增值税率-运营成本'!$C9/(1+'G.2进项增值税率-运营成本'!$C9)</f>
        <v>0</v>
      </c>
      <c r="E11" s="84">
        <f>E.1项目运营期费用!I10*'G.2进项增值税率-运营成本'!$C9/(1+'G.2进项增值税率-运营成本'!$C9)</f>
        <v>0.809174311926605</v>
      </c>
      <c r="F11" s="84">
        <f>E.1项目运营期费用!J10*'G.2进项增值税率-运营成本'!$C9/(1+'G.2进项增值税率-运营成本'!$C9)</f>
        <v>0.809174311926605</v>
      </c>
      <c r="G11" s="84">
        <f>E.1项目运营期费用!K10*'G.2进项增值税率-运营成本'!$C9/(1+'G.2进项增值税率-运营成本'!$C9)</f>
        <v>0.924770642201835</v>
      </c>
      <c r="H11" s="84">
        <f>E.1项目运营期费用!L10*'G.2进项增值税率-运营成本'!$C9/(1+'G.2进项增值税率-运营成本'!$C9)</f>
        <v>1.04036697247706</v>
      </c>
    </row>
    <row r="12" ht="16.5" spans="1:8">
      <c r="A12" s="7"/>
      <c r="B12" s="82" t="s">
        <v>203</v>
      </c>
      <c r="C12" s="7"/>
      <c r="D12" s="83">
        <f>E.1项目运营期费用!H11*'G.2进项增值税率-运营成本'!$C10/(1+'G.2进项增值税率-运营成本'!$C10)</f>
        <v>0</v>
      </c>
      <c r="E12" s="84">
        <f>E.1项目运营期费用!I11*'G.2进项增值税率-运营成本'!$C10/(1+'G.2进项增值税率-运营成本'!$C10)</f>
        <v>0.924770642201835</v>
      </c>
      <c r="F12" s="84">
        <f>E.1项目运营期费用!J11*'G.2进项增值税率-运营成本'!$C10/(1+'G.2进项增值税率-运营成本'!$C10)</f>
        <v>0.924770642201835</v>
      </c>
      <c r="G12" s="84">
        <f>E.1项目运营期费用!K11*'G.2进项增值税率-运营成本'!$C10/(1+'G.2进项增值税率-运营成本'!$C10)</f>
        <v>1.05688073394495</v>
      </c>
      <c r="H12" s="84">
        <f>E.1项目运营期费用!L11*'G.2进项增值税率-运营成本'!$C10/(1+'G.2进项增值税率-运营成本'!$C10)</f>
        <v>1.18899082568807</v>
      </c>
    </row>
    <row r="13" ht="16.5" spans="1:8">
      <c r="A13" s="7"/>
      <c r="B13" s="82" t="s">
        <v>206</v>
      </c>
      <c r="C13" s="7"/>
      <c r="D13" s="83">
        <f>E.1项目运营期费用!H12*'G.2进项增值税率-运营成本'!$C11/(1+'G.2进项增值税率-运营成本'!$C11)</f>
        <v>0</v>
      </c>
      <c r="E13" s="84">
        <f>E.1项目运营期费用!I12*'G.2进项增值税率-运营成本'!$C11/(1+'G.2进项增值税率-运营成本'!$C11)</f>
        <v>1.44955752212389</v>
      </c>
      <c r="F13" s="84">
        <f>E.1项目运营期费用!J12*'G.2进项增值税率-运营成本'!$C11/(1+'G.2进项增值税率-运营成本'!$C11)</f>
        <v>1.44955752212389</v>
      </c>
      <c r="G13" s="84">
        <f>E.1项目运营期费用!K12*'G.2进项增值税率-运营成本'!$C11/(1+'G.2进项增值税率-运营成本'!$C11)</f>
        <v>1.65663716814159</v>
      </c>
      <c r="H13" s="84">
        <f>E.1项目运营期费用!L12*'G.2进项增值税率-运营成本'!$C11/(1+'G.2进项增值税率-运营成本'!$C11)</f>
        <v>1.86371681415929</v>
      </c>
    </row>
    <row r="14" ht="16.5" spans="1:8">
      <c r="A14" s="7"/>
      <c r="B14" s="82" t="s">
        <v>208</v>
      </c>
      <c r="C14" s="7"/>
      <c r="D14" s="83">
        <f>E.1项目运营期费用!H13*'G.2进项增值税率-运营成本'!$C12/(1+'G.2进项增值税率-运营成本'!$C12)</f>
        <v>0</v>
      </c>
      <c r="E14" s="84">
        <f>E.1项目运营期费用!I13*'G.2进项增值税率-运营成本'!$C12/(1+'G.2进项增值税率-运营成本'!$C12)</f>
        <v>0.161061946902655</v>
      </c>
      <c r="F14" s="84">
        <f>E.1项目运营期费用!J13*'G.2进项增值税率-运营成本'!$C12/(1+'G.2进项增值税率-运营成本'!$C12)</f>
        <v>0.161061946902655</v>
      </c>
      <c r="G14" s="84">
        <f>E.1项目运营期费用!K13*'G.2进项增值税率-运营成本'!$C12/(1+'G.2进项增值税率-运营成本'!$C12)</f>
        <v>0.184070796460177</v>
      </c>
      <c r="H14" s="84">
        <f>E.1项目运营期费用!L13*'G.2进项增值税率-运营成本'!$C12/(1+'G.2进项增值税率-运营成本'!$C12)</f>
        <v>0.207079646017699</v>
      </c>
    </row>
    <row r="15" ht="16.5" spans="1:8">
      <c r="A15" s="7"/>
      <c r="B15" s="82" t="s">
        <v>211</v>
      </c>
      <c r="C15" s="7"/>
      <c r="D15" s="83">
        <f>E.1项目运营期费用!H14*'G.2进项增值税率-运营成本'!$C13/(1+'G.2进项增值税率-运营成本'!$C13)</f>
        <v>0</v>
      </c>
      <c r="E15" s="84">
        <f>E.1项目运营期费用!I14*'G.2进项增值税率-运营成本'!$C13/(1+'G.2进项增值税率-运营成本'!$C13)</f>
        <v>0.158490566037736</v>
      </c>
      <c r="F15" s="84">
        <f>E.1项目运营期费用!J14*'G.2进项增值税率-运营成本'!$C13/(1+'G.2进项增值税率-运营成本'!$C13)</f>
        <v>0.158490566037736</v>
      </c>
      <c r="G15" s="84">
        <f>E.1项目运营期费用!K14*'G.2进项增值税率-运营成本'!$C13/(1+'G.2进项增值税率-运营成本'!$C13)</f>
        <v>0.181132075471698</v>
      </c>
      <c r="H15" s="84">
        <f>E.1项目运营期费用!L14*'G.2进项增值税率-运营成本'!$C13/(1+'G.2进项增值税率-运营成本'!$C13)</f>
        <v>0.20377358490566</v>
      </c>
    </row>
    <row r="16" ht="16.5" spans="1:8">
      <c r="A16" s="7"/>
      <c r="B16" s="82" t="s">
        <v>214</v>
      </c>
      <c r="C16" s="7"/>
      <c r="D16" s="83">
        <f>E.1项目运营期费用!H15*'G.2进项增值税率-运营成本'!$C14/(1+'G.2进项增值税率-运营成本'!$C14)</f>
        <v>0</v>
      </c>
      <c r="E16" s="84">
        <f>E.1项目运营期费用!I15*'G.2进项增值税率-运营成本'!$C14/(1+'G.2进项增值税率-运营成本'!$C14)</f>
        <v>0.158490566037736</v>
      </c>
      <c r="F16" s="84">
        <f>E.1项目运营期费用!J15*'G.2进项增值税率-运营成本'!$C14/(1+'G.2进项增值税率-运营成本'!$C14)</f>
        <v>0.158490566037736</v>
      </c>
      <c r="G16" s="84">
        <f>E.1项目运营期费用!K15*'G.2进项增值税率-运营成本'!$C14/(1+'G.2进项增值税率-运营成本'!$C14)</f>
        <v>0.181132075471698</v>
      </c>
      <c r="H16" s="84">
        <f>E.1项目运营期费用!L15*'G.2进项增值税率-运营成本'!$C14/(1+'G.2进项增值税率-运营成本'!$C14)</f>
        <v>0.20377358490566</v>
      </c>
    </row>
    <row r="17" ht="16.5" spans="1:8">
      <c r="A17" s="7"/>
      <c r="B17" s="82" t="s">
        <v>217</v>
      </c>
      <c r="C17" s="7"/>
      <c r="D17" s="83">
        <f>E.1项目运营期费用!H16*'G.2进项增值税率-运营成本'!$C15/(1+'G.2进项增值税率-运营成本'!$C15)</f>
        <v>0</v>
      </c>
      <c r="E17" s="84">
        <f>E.1项目运营期费用!I16*'G.2进项增值税率-运营成本'!$C15/(1+'G.2进项增值税率-运营成本'!$C15)</f>
        <v>0</v>
      </c>
      <c r="F17" s="84">
        <f>E.1项目运营期费用!J16*'G.2进项增值税率-运营成本'!$C15/(1+'G.2进项增值税率-运营成本'!$C15)</f>
        <v>0</v>
      </c>
      <c r="G17" s="84">
        <f>E.1项目运营期费用!K16*'G.2进项增值税率-运营成本'!$C15/(1+'G.2进项增值税率-运营成本'!$C15)</f>
        <v>0</v>
      </c>
      <c r="H17" s="84">
        <f>E.1项目运营期费用!L16*'G.2进项增值税率-运营成本'!$C15/(1+'G.2进项增值税率-运营成本'!$C15)</f>
        <v>0</v>
      </c>
    </row>
    <row r="18" ht="16.5" spans="1:8">
      <c r="A18" s="7"/>
      <c r="B18" s="82" t="s">
        <v>219</v>
      </c>
      <c r="C18" s="7"/>
      <c r="D18" s="83">
        <f>E.1项目运营期费用!H17*'G.2进项增值税率-运营成本'!$C16/(1+'G.2进项增值税率-运营成本'!$C16)</f>
        <v>0</v>
      </c>
      <c r="E18" s="84">
        <f>E.1项目运营期费用!I17*'G.2进项增值税率-运营成本'!$C16/(1+'G.2进项增值税率-运营成本'!$C16)</f>
        <v>0.237735849056604</v>
      </c>
      <c r="F18" s="84">
        <f>E.1项目运营期费用!J17*'G.2进项增值税率-运营成本'!$C16/(1+'G.2进项增值税率-运营成本'!$C16)</f>
        <v>0.237735849056604</v>
      </c>
      <c r="G18" s="84">
        <f>E.1项目运营期费用!K17*'G.2进项增值税率-运营成本'!$C16/(1+'G.2进项增值税率-运营成本'!$C16)</f>
        <v>0.271698113207547</v>
      </c>
      <c r="H18" s="84">
        <f>E.1项目运营期费用!L17*'G.2进项增值税率-运营成本'!$C16/(1+'G.2进项增值税率-运营成本'!$C16)</f>
        <v>0.305660377358491</v>
      </c>
    </row>
    <row r="19" ht="16.5" spans="1:8">
      <c r="A19" s="7"/>
      <c r="B19" s="82" t="s">
        <v>221</v>
      </c>
      <c r="C19" s="7"/>
      <c r="D19" s="83">
        <f>E.1项目运营期费用!H18*'G.2进项增值税率-运营成本'!$C17/(1+'G.2进项增值税率-运营成本'!$C17)</f>
        <v>0</v>
      </c>
      <c r="E19" s="84">
        <f>E.1项目运营期费用!I18*'G.2进项增值税率-运营成本'!$C17/(1+'G.2进项增值税率-运营成本'!$C17)</f>
        <v>0.64424778761062</v>
      </c>
      <c r="F19" s="84">
        <f>E.1项目运营期费用!J18*'G.2进项增值税率-运营成本'!$C17/(1+'G.2进项增值税率-运营成本'!$C17)</f>
        <v>0.64424778761062</v>
      </c>
      <c r="G19" s="84">
        <f>E.1项目运营期费用!K18*'G.2进项增值税率-运营成本'!$C17/(1+'G.2进项增值税率-运营成本'!$C17)</f>
        <v>0.736283185840708</v>
      </c>
      <c r="H19" s="84">
        <f>E.1项目运营期费用!L18*'G.2进项增值税率-运营成本'!$C17/(1+'G.2进项增值税率-运营成本'!$C17)</f>
        <v>0.828318584070797</v>
      </c>
    </row>
    <row r="20" ht="16.5" spans="1:8">
      <c r="A20" s="7"/>
      <c r="B20" s="82" t="s">
        <v>224</v>
      </c>
      <c r="C20" s="7"/>
      <c r="D20" s="83">
        <f>E.1项目运营期费用!H19*'G.2进项增值税率-运营成本'!$C18/(1+'G.2进项增值税率-运营成本'!$C18)</f>
        <v>0</v>
      </c>
      <c r="E20" s="84">
        <f>E.1项目运营期费用!I19*'G.2进项增值税率-运营成本'!$C18/(1+'G.2进项增值税率-运营成本'!$C18)</f>
        <v>0</v>
      </c>
      <c r="F20" s="84">
        <f>E.1项目运营期费用!J19*'G.2进项增值税率-运营成本'!$C18/(1+'G.2进项增值税率-运营成本'!$C18)</f>
        <v>0</v>
      </c>
      <c r="G20" s="84">
        <f>E.1项目运营期费用!K19*'G.2进项增值税率-运营成本'!$C18/(1+'G.2进项增值税率-运营成本'!$C18)</f>
        <v>0</v>
      </c>
      <c r="H20" s="84">
        <f>E.1项目运营期费用!L19*'G.2进项增值税率-运营成本'!$C18/(1+'G.2进项增值税率-运营成本'!$C18)</f>
        <v>0</v>
      </c>
    </row>
    <row r="21" ht="16.5" spans="1:8">
      <c r="A21" s="7"/>
      <c r="B21" s="82" t="s">
        <v>226</v>
      </c>
      <c r="C21" s="7"/>
      <c r="D21" s="83">
        <f>E.1项目运营期费用!H20*'G.2进项增值税率-运营成本'!$C19/(1+'G.2进项增值税率-运营成本'!$C19)</f>
        <v>0</v>
      </c>
      <c r="E21" s="84">
        <f>E.1项目运营期费用!I20*'G.2进项增值税率-运营成本'!$C19/(1+'G.2进项增值税率-运营成本'!$C19)</f>
        <v>0.316981132075472</v>
      </c>
      <c r="F21" s="84">
        <f>E.1项目运营期费用!J20*'G.2进项增值税率-运营成本'!$C19/(1+'G.2进项增值税率-运营成本'!$C19)</f>
        <v>0.316981132075472</v>
      </c>
      <c r="G21" s="84">
        <f>E.1项目运营期费用!K20*'G.2进项增值税率-运营成本'!$C19/(1+'G.2进项增值税率-运营成本'!$C19)</f>
        <v>0.362264150943396</v>
      </c>
      <c r="H21" s="84">
        <f>E.1项目运营期费用!L20*'G.2进项增值税率-运营成本'!$C19/(1+'G.2进项增值税率-运营成本'!$C19)</f>
        <v>0.407547169811321</v>
      </c>
    </row>
    <row r="22" ht="16.5" spans="1:8">
      <c r="A22" s="7"/>
      <c r="B22" s="82" t="s">
        <v>228</v>
      </c>
      <c r="C22" s="7"/>
      <c r="D22" s="83">
        <f>E.1项目运营期费用!H21*'G.2进项增值税率-运营成本'!$C20/(1+'G.2进项增值税率-运营成本'!$C20)</f>
        <v>0</v>
      </c>
      <c r="E22" s="84">
        <f>E.1项目运营期费用!I21*'G.2进项增值税率-运营成本'!$C20/(1+'G.2进项增值税率-运营成本'!$C20)</f>
        <v>0.633962264150943</v>
      </c>
      <c r="F22" s="84">
        <f>E.1项目运营期费用!J21*'G.2进项增值税率-运营成本'!$C20/(1+'G.2进项增值税率-运营成本'!$C20)</f>
        <v>0.633962264150943</v>
      </c>
      <c r="G22" s="84">
        <f>E.1项目运营期费用!K21*'G.2进项增值税率-运营成本'!$C20/(1+'G.2进项增值税率-运营成本'!$C20)</f>
        <v>0.724528301886792</v>
      </c>
      <c r="H22" s="84">
        <f>E.1项目运营期费用!L21*'G.2进项增值税率-运营成本'!$C20/(1+'G.2进项增值税率-运营成本'!$C20)</f>
        <v>0.815094339622641</v>
      </c>
    </row>
    <row r="23" ht="16.5" spans="1:8">
      <c r="A23" s="7"/>
      <c r="B23" s="82" t="s">
        <v>231</v>
      </c>
      <c r="C23" s="7"/>
      <c r="D23" s="83">
        <f>E.1项目运营期费用!H22*'G.2进项增值税率-运营成本'!$C21/(1+'G.2进项增值税率-运营成本'!$C21)</f>
        <v>0</v>
      </c>
      <c r="E23" s="84">
        <f>E.1项目运营期费用!I22*'G.2进项增值税率-运营成本'!$C21/(1+'G.2进项增值税率-运营成本'!$C21)</f>
        <v>0.0792452830188679</v>
      </c>
      <c r="F23" s="84">
        <f>E.1项目运营期费用!J22*'G.2进项增值税率-运营成本'!$C21/(1+'G.2进项增值税率-运营成本'!$C21)</f>
        <v>0.0792452830188679</v>
      </c>
      <c r="G23" s="84">
        <f>E.1项目运营期费用!K22*'G.2进项增值税率-运营成本'!$C21/(1+'G.2进项增值税率-运营成本'!$C21)</f>
        <v>0.0905660377358491</v>
      </c>
      <c r="H23" s="84">
        <f>E.1项目运营期费用!L22*'G.2进项增值税率-运营成本'!$C21/(1+'G.2进项增值税率-运营成本'!$C21)</f>
        <v>0.10188679245283</v>
      </c>
    </row>
    <row r="24" ht="16.5" spans="1:8">
      <c r="A24" s="7"/>
      <c r="B24" s="82" t="s">
        <v>233</v>
      </c>
      <c r="C24" s="7"/>
      <c r="D24" s="83">
        <f>E.1项目运营期费用!H23*'G.2进项增值税率-运营成本'!$C22/(1+'G.2进项增值税率-运营成本'!$C22)</f>
        <v>0</v>
      </c>
      <c r="E24" s="84">
        <f>E.1项目运营期费用!I23*'G.2进项增值税率-运营成本'!$C22/(1+'G.2进项增值税率-运营成本'!$C22)</f>
        <v>0</v>
      </c>
      <c r="F24" s="84">
        <f>E.1项目运营期费用!J23*'G.2进项增值税率-运营成本'!$C22/(1+'G.2进项增值税率-运营成本'!$C22)</f>
        <v>0</v>
      </c>
      <c r="G24" s="84">
        <f>E.1项目运营期费用!K23*'G.2进项增值税率-运营成本'!$C22/(1+'G.2进项增值税率-运营成本'!$C22)</f>
        <v>0</v>
      </c>
      <c r="H24" s="84">
        <f>E.1项目运营期费用!L23*'G.2进项增值税率-运营成本'!$C22/(1+'G.2进项增值税率-运营成本'!$C22)</f>
        <v>0</v>
      </c>
    </row>
    <row r="25" ht="16.5" spans="1:8">
      <c r="A25" s="7">
        <v>2</v>
      </c>
      <c r="B25" s="7" t="s">
        <v>313</v>
      </c>
      <c r="C25" s="7"/>
      <c r="D25" s="41">
        <f t="shared" ref="D25:E25" si="3">SUM(D26:D28)</f>
        <v>0</v>
      </c>
      <c r="E25" s="41">
        <f t="shared" si="3"/>
        <v>26.1857365414575</v>
      </c>
      <c r="F25" s="41">
        <f t="shared" ref="F25:H25" si="4">SUM(F26:F28)</f>
        <v>41.9424614851999</v>
      </c>
      <c r="G25" s="41">
        <f t="shared" si="4"/>
        <v>52.4858127055565</v>
      </c>
      <c r="H25" s="41">
        <f t="shared" si="4"/>
        <v>52.5447032715943</v>
      </c>
    </row>
    <row r="26" ht="16.5" spans="1:9">
      <c r="A26" s="7"/>
      <c r="B26" s="82" t="s">
        <v>281</v>
      </c>
      <c r="C26" s="7"/>
      <c r="D26" s="46">
        <f>F项目收入!D3*G.3销项增值税率!$C3/(1+G.3销项增值税率!$C3)</f>
        <v>0</v>
      </c>
      <c r="E26" s="39">
        <f>F项目收入!E3*G.3销项增值税率!$C3/(1+G.3销项增值税率!$C3)</f>
        <v>8.25688073394495</v>
      </c>
      <c r="F26" s="39">
        <f>F项目收入!F3*G.3销项增值税率!$C3/(1+G.3销项增值税率!$C3)</f>
        <v>13.2110091743119</v>
      </c>
      <c r="G26" s="39">
        <f>F项目收入!G3*G.3销项增值税率!$C3/(1+G.3销项增值税率!$C3)</f>
        <v>16.5137614678899</v>
      </c>
      <c r="H26" s="39">
        <f>F项目收入!H3*G.3销项增值税率!$C3/(1+G.3销项增值税率!$C3)</f>
        <v>16.5137614678899</v>
      </c>
      <c r="I26" s="25" t="s">
        <v>314</v>
      </c>
    </row>
    <row r="27" ht="16.5" spans="1:8">
      <c r="A27" s="7"/>
      <c r="B27" s="82" t="s">
        <v>284</v>
      </c>
      <c r="C27" s="7"/>
      <c r="D27" s="46">
        <f>F项目收入!D5*G.3销项增值税率!$C4/(1+G.3销项增值税率!$C4)</f>
        <v>0</v>
      </c>
      <c r="E27" s="39">
        <f>F项目收入!E5*G.3销项增值税率!$C4/(1+G.3销项增值税率!$C4)</f>
        <v>16.5137614678899</v>
      </c>
      <c r="F27" s="39">
        <f>F项目收入!F5*G.3销项增值税率!$C4/(1+G.3销项增值税率!$C4)</f>
        <v>26.4220183486238</v>
      </c>
      <c r="G27" s="39">
        <f>F项目收入!G5*G.3销项增值税率!$C4/(1+G.3销项增值税率!$C4)</f>
        <v>33.0275229357798</v>
      </c>
      <c r="H27" s="39">
        <f>F项目收入!H5*G.3销项增值税率!$C4/(1+G.3销项增值税率!$C4)</f>
        <v>33.0275229357798</v>
      </c>
    </row>
    <row r="28" ht="16.5" spans="1:8">
      <c r="A28" s="7"/>
      <c r="B28" s="82" t="s">
        <v>285</v>
      </c>
      <c r="C28" s="7"/>
      <c r="D28" s="46">
        <f>F项目收入!D7*G.3销项增值税率!$C5/(1+G.3销项增值税率!$C5)</f>
        <v>0</v>
      </c>
      <c r="E28" s="39">
        <f>F项目收入!E7*G.3销项增值税率!$C5/(1+G.3销项增值税率!$C5)</f>
        <v>1.41509433962264</v>
      </c>
      <c r="F28" s="39">
        <f>F项目收入!F7*G.3销项增值税率!$C5/(1+G.3销项增值税率!$C5)</f>
        <v>2.30943396226415</v>
      </c>
      <c r="G28" s="39">
        <f>F项目收入!G7*G.3销项增值税率!$C5/(1+G.3销项增值税率!$C5)</f>
        <v>2.94452830188679</v>
      </c>
      <c r="H28" s="39">
        <f>F项目收入!H7*G.3销项增值税率!$C5/(1+G.3销项增值税率!$C5)</f>
        <v>3.00341886792453</v>
      </c>
    </row>
    <row r="29" ht="16.5" spans="1:8">
      <c r="A29" s="7">
        <v>3</v>
      </c>
      <c r="B29" s="36" t="s">
        <v>315</v>
      </c>
      <c r="C29" s="7"/>
      <c r="D29" s="36">
        <v>0</v>
      </c>
      <c r="E29" s="41">
        <f>MAX(E25-E4-E3,0)</f>
        <v>0</v>
      </c>
      <c r="F29" s="41">
        <f t="shared" ref="F29:H29" si="5">MAX(F25-F4-F3,0)</f>
        <v>0</v>
      </c>
      <c r="G29" s="41">
        <f t="shared" si="5"/>
        <v>0</v>
      </c>
      <c r="H29" s="41">
        <f t="shared" si="5"/>
        <v>0</v>
      </c>
    </row>
    <row r="30" ht="16.5" spans="1:8">
      <c r="A30" s="7">
        <v>4</v>
      </c>
      <c r="B30" s="36" t="s">
        <v>316</v>
      </c>
      <c r="C30" s="7"/>
      <c r="D30" s="36">
        <v>0</v>
      </c>
      <c r="E30" s="41">
        <f>E29*(A财务假设!$D$6+A财务假设!$D$7+A财务假设!$D$8)</f>
        <v>0</v>
      </c>
      <c r="F30" s="41">
        <f>F29*(A财务假设!$D$6+A财务假设!$D$7+A财务假设!$D$8)</f>
        <v>0</v>
      </c>
      <c r="G30" s="41">
        <f>G29*(A财务假设!$D$6+A财务假设!$D$7+A财务假设!$D$8)</f>
        <v>0</v>
      </c>
      <c r="H30" s="41">
        <f>H29*(A财务假设!$D$6+A财务假设!$D$7+A财务假设!$D$8)</f>
        <v>0</v>
      </c>
    </row>
    <row r="31" ht="16.5" spans="1:8">
      <c r="A31" s="7"/>
      <c r="B31" s="7" t="s">
        <v>81</v>
      </c>
      <c r="C31" s="7"/>
      <c r="D31" s="36">
        <v>0</v>
      </c>
      <c r="E31" s="41">
        <f>E30+E29</f>
        <v>0</v>
      </c>
      <c r="F31" s="41">
        <f t="shared" ref="F31:H31" si="6">F30+F29</f>
        <v>0</v>
      </c>
      <c r="G31" s="41">
        <f t="shared" si="6"/>
        <v>0</v>
      </c>
      <c r="H31" s="41">
        <f t="shared" si="6"/>
        <v>0</v>
      </c>
    </row>
  </sheetData>
  <mergeCells count="1">
    <mergeCell ref="A1:H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21"/>
  <sheetViews>
    <sheetView zoomScale="70" zoomScaleNormal="70" workbookViewId="0">
      <selection activeCell="G11" sqref="G11"/>
    </sheetView>
  </sheetViews>
  <sheetFormatPr defaultColWidth="8.89090909090909" defaultRowHeight="28.05" customHeight="1" outlineLevelCol="6"/>
  <cols>
    <col min="1" max="1" width="8.89090909090909" style="52"/>
    <col min="2" max="2" width="17.6636363636364" style="52" customWidth="1"/>
    <col min="3" max="3" width="37.5545454545455" style="52" customWidth="1"/>
    <col min="4" max="4" width="15.1090909090909" style="52" customWidth="1"/>
    <col min="5" max="5" width="10.4454545454545" style="52" customWidth="1"/>
    <col min="6" max="6" width="14.8909090909091" style="52" customWidth="1"/>
    <col min="7" max="16384" width="8.89090909090909" style="52"/>
  </cols>
  <sheetData>
    <row r="1" customHeight="1" spans="1:7">
      <c r="A1" s="75" t="s">
        <v>317</v>
      </c>
      <c r="B1" s="76"/>
      <c r="C1" s="76"/>
      <c r="D1" s="76"/>
      <c r="E1" s="76"/>
      <c r="F1" s="77"/>
      <c r="G1" s="78" t="s">
        <v>318</v>
      </c>
    </row>
    <row r="2" customHeight="1" spans="1:6">
      <c r="A2" s="2" t="s">
        <v>1</v>
      </c>
      <c r="B2" s="2" t="s">
        <v>84</v>
      </c>
      <c r="C2" s="2" t="s">
        <v>85</v>
      </c>
      <c r="D2" s="2" t="s">
        <v>86</v>
      </c>
      <c r="E2" s="2" t="s">
        <v>273</v>
      </c>
      <c r="F2" s="2" t="s">
        <v>319</v>
      </c>
    </row>
    <row r="3" customHeight="1" spans="1:6">
      <c r="A3" s="7" t="s">
        <v>87</v>
      </c>
      <c r="B3" s="7" t="s">
        <v>88</v>
      </c>
      <c r="C3" s="7"/>
      <c r="D3" s="39">
        <f>D.1建设投资!D3</f>
        <v>1824</v>
      </c>
      <c r="E3" s="7" t="s">
        <v>132</v>
      </c>
      <c r="F3" s="11">
        <f>F4+F8</f>
        <v>188.28</v>
      </c>
    </row>
    <row r="4" customHeight="1" spans="1:6">
      <c r="A4" s="7">
        <v>1</v>
      </c>
      <c r="B4" s="7" t="s">
        <v>320</v>
      </c>
      <c r="C4" s="7"/>
      <c r="D4" s="39">
        <f>D.1建设投资!D4</f>
        <v>1800</v>
      </c>
      <c r="E4" s="7" t="s">
        <v>132</v>
      </c>
      <c r="F4" s="11">
        <f>SUM(F5:F7)</f>
        <v>186</v>
      </c>
    </row>
    <row r="5" ht="112.95" customHeight="1" spans="1:6">
      <c r="A5" s="7">
        <v>1.1</v>
      </c>
      <c r="B5" s="10" t="s">
        <v>90</v>
      </c>
      <c r="C5" s="79" t="s">
        <v>91</v>
      </c>
      <c r="D5" s="39">
        <f>D.1建设投资!D5</f>
        <v>600</v>
      </c>
      <c r="E5" s="70">
        <v>0.09</v>
      </c>
      <c r="F5" s="80">
        <f>D5*E5</f>
        <v>54</v>
      </c>
    </row>
    <row r="6" customHeight="1" spans="1:6">
      <c r="A6" s="7">
        <v>1.2</v>
      </c>
      <c r="B6" s="10" t="s">
        <v>92</v>
      </c>
      <c r="C6" s="7"/>
      <c r="D6" s="39">
        <f>D.1建设投资!D6</f>
        <v>600</v>
      </c>
      <c r="E6" s="70">
        <v>0.13</v>
      </c>
      <c r="F6" s="11">
        <f>D6*E6</f>
        <v>78</v>
      </c>
    </row>
    <row r="7" ht="64.05" customHeight="1" spans="1:6">
      <c r="A7" s="7">
        <v>1.3</v>
      </c>
      <c r="B7" s="10" t="s">
        <v>93</v>
      </c>
      <c r="C7" s="79" t="s">
        <v>94</v>
      </c>
      <c r="D7" s="39">
        <f>D.1建设投资!D7</f>
        <v>600</v>
      </c>
      <c r="E7" s="70">
        <v>0.09</v>
      </c>
      <c r="F7" s="11">
        <f>D7*E7</f>
        <v>54</v>
      </c>
    </row>
    <row r="8" customHeight="1" spans="1:6">
      <c r="A8" s="7">
        <v>2</v>
      </c>
      <c r="B8" s="7" t="s">
        <v>95</v>
      </c>
      <c r="C8" s="7"/>
      <c r="D8" s="39">
        <f>D.1建设投资!D8</f>
        <v>24</v>
      </c>
      <c r="E8" s="7" t="s">
        <v>132</v>
      </c>
      <c r="F8" s="11">
        <f>SUM(F9:F12)</f>
        <v>2.28</v>
      </c>
    </row>
    <row r="9" customHeight="1" spans="1:6">
      <c r="A9" s="7">
        <v>2.1</v>
      </c>
      <c r="B9" s="10" t="s">
        <v>96</v>
      </c>
      <c r="C9" s="7" t="s">
        <v>138</v>
      </c>
      <c r="D9" s="39">
        <f>D.1建设投资!D9</f>
        <v>6</v>
      </c>
      <c r="E9" s="70">
        <v>0.13</v>
      </c>
      <c r="F9" s="11">
        <f>D9*E9</f>
        <v>0.78</v>
      </c>
    </row>
    <row r="10" customHeight="1" spans="1:6">
      <c r="A10" s="7">
        <v>2.2</v>
      </c>
      <c r="B10" s="10" t="s">
        <v>97</v>
      </c>
      <c r="C10" s="7"/>
      <c r="D10" s="39">
        <f>D.1建设投资!D10</f>
        <v>6</v>
      </c>
      <c r="E10" s="70">
        <v>0.06</v>
      </c>
      <c r="F10" s="11">
        <f>D10*E10</f>
        <v>0.36</v>
      </c>
    </row>
    <row r="11" customHeight="1" spans="1:6">
      <c r="A11" s="7">
        <v>2.3</v>
      </c>
      <c r="B11" s="10" t="s">
        <v>98</v>
      </c>
      <c r="C11" s="7"/>
      <c r="D11" s="39">
        <f>D.1建设投资!D11</f>
        <v>6</v>
      </c>
      <c r="E11" s="70">
        <v>0.13</v>
      </c>
      <c r="F11" s="11">
        <f>D11*E11</f>
        <v>0.78</v>
      </c>
    </row>
    <row r="12" customHeight="1" spans="1:6">
      <c r="A12" s="7">
        <v>2.4</v>
      </c>
      <c r="B12" s="10" t="s">
        <v>99</v>
      </c>
      <c r="C12" s="7"/>
      <c r="D12" s="39">
        <f>D.1建设投资!D12</f>
        <v>6</v>
      </c>
      <c r="E12" s="70">
        <v>0.06</v>
      </c>
      <c r="F12" s="11">
        <f>D12*E12</f>
        <v>0.36</v>
      </c>
    </row>
    <row r="13" customHeight="1" spans="1:6">
      <c r="A13" s="7" t="s">
        <v>100</v>
      </c>
      <c r="B13" s="7" t="s">
        <v>101</v>
      </c>
      <c r="C13" s="7"/>
      <c r="D13" s="39">
        <f>SUM(D14:D18)</f>
        <v>24</v>
      </c>
      <c r="E13" s="7" t="s">
        <v>132</v>
      </c>
      <c r="F13" s="11">
        <f>SUM(F14:F18)</f>
        <v>1.44</v>
      </c>
    </row>
    <row r="14" customHeight="1" spans="1:6">
      <c r="A14" s="7">
        <v>1</v>
      </c>
      <c r="B14" s="10" t="s">
        <v>102</v>
      </c>
      <c r="C14" s="7"/>
      <c r="D14" s="39">
        <f>D.1建设投资!D14</f>
        <v>6</v>
      </c>
      <c r="E14" s="70">
        <v>0.06</v>
      </c>
      <c r="F14" s="11">
        <f>D14*E14</f>
        <v>0.36</v>
      </c>
    </row>
    <row r="15" customHeight="1" spans="1:6">
      <c r="A15" s="7">
        <v>2</v>
      </c>
      <c r="B15" s="10" t="s">
        <v>103</v>
      </c>
      <c r="C15" s="7"/>
      <c r="D15" s="39">
        <f>D.1建设投资!D15</f>
        <v>6</v>
      </c>
      <c r="E15" s="70">
        <v>0.06</v>
      </c>
      <c r="F15" s="11">
        <f>D15*E15</f>
        <v>0.36</v>
      </c>
    </row>
    <row r="16" customHeight="1" spans="1:6">
      <c r="A16" s="7">
        <v>3</v>
      </c>
      <c r="B16" s="10" t="s">
        <v>104</v>
      </c>
      <c r="C16" s="7"/>
      <c r="D16" s="39">
        <f>D.1建设投资!D16</f>
        <v>6</v>
      </c>
      <c r="E16" s="70">
        <v>0.06</v>
      </c>
      <c r="F16" s="11">
        <f>D16*E16</f>
        <v>0.36</v>
      </c>
    </row>
    <row r="17" customHeight="1" spans="1:6">
      <c r="A17" s="7">
        <v>4</v>
      </c>
      <c r="B17" s="10" t="s">
        <v>105</v>
      </c>
      <c r="C17" s="7"/>
      <c r="D17" s="39">
        <f>D.1建设投资!D17</f>
        <v>6</v>
      </c>
      <c r="E17" s="70">
        <v>0.06</v>
      </c>
      <c r="F17" s="11">
        <f>D17*E17</f>
        <v>0.36</v>
      </c>
    </row>
    <row r="18" customHeight="1" spans="1:6">
      <c r="A18" s="7">
        <v>5</v>
      </c>
      <c r="B18" s="10" t="s">
        <v>106</v>
      </c>
      <c r="C18" s="7"/>
      <c r="D18" s="39">
        <f>D.1建设投资!D18</f>
        <v>0</v>
      </c>
      <c r="E18" s="70">
        <v>0.06</v>
      </c>
      <c r="F18" s="11">
        <f>D18*E18</f>
        <v>0</v>
      </c>
    </row>
    <row r="19" customHeight="1" spans="1:6">
      <c r="A19" s="7" t="s">
        <v>107</v>
      </c>
      <c r="B19" s="7" t="s">
        <v>108</v>
      </c>
      <c r="C19" s="7"/>
      <c r="D19" s="39">
        <f>D20</f>
        <v>6</v>
      </c>
      <c r="E19" s="7" t="s">
        <v>132</v>
      </c>
      <c r="F19" s="11">
        <f>F20</f>
        <v>0</v>
      </c>
    </row>
    <row r="20" customHeight="1" spans="1:6">
      <c r="A20" s="7">
        <v>1</v>
      </c>
      <c r="B20" s="7" t="s">
        <v>109</v>
      </c>
      <c r="C20" s="7"/>
      <c r="D20" s="39">
        <f>D.1建设投资!D20</f>
        <v>6</v>
      </c>
      <c r="E20" s="70">
        <v>0</v>
      </c>
      <c r="F20" s="11">
        <f>D20*E20</f>
        <v>0</v>
      </c>
    </row>
    <row r="21" customHeight="1" spans="1:6">
      <c r="A21" s="7"/>
      <c r="B21" s="7" t="s">
        <v>321</v>
      </c>
      <c r="C21" s="7"/>
      <c r="D21" s="7"/>
      <c r="E21" s="7"/>
      <c r="F21" s="11">
        <f>F3+F13+F19</f>
        <v>189.72</v>
      </c>
    </row>
  </sheetData>
  <mergeCells count="2">
    <mergeCell ref="A1:F1"/>
    <mergeCell ref="B21:C21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C3" sqref="C3"/>
    </sheetView>
  </sheetViews>
  <sheetFormatPr defaultColWidth="8.89090909090909" defaultRowHeight="28.05" customHeight="1" outlineLevelCol="3"/>
  <cols>
    <col min="2" max="2" width="67.5545454545454" customWidth="1"/>
    <col min="3" max="3" width="20.3363636363636" customWidth="1"/>
    <col min="4" max="4" width="14.3363636363636" customWidth="1"/>
  </cols>
  <sheetData>
    <row r="1" ht="31.8" customHeight="1" spans="1:4">
      <c r="A1" s="71" t="s">
        <v>322</v>
      </c>
      <c r="B1" s="72"/>
      <c r="C1" s="73"/>
      <c r="D1" s="25" t="s">
        <v>323</v>
      </c>
    </row>
    <row r="2" customHeight="1" spans="1:3">
      <c r="A2" s="2" t="s">
        <v>1</v>
      </c>
      <c r="B2" s="2" t="s">
        <v>112</v>
      </c>
      <c r="C2" s="2" t="s">
        <v>273</v>
      </c>
    </row>
    <row r="3" customHeight="1" spans="1:3">
      <c r="A3" s="10">
        <f>E.1项目运营期费用!B4</f>
        <v>1</v>
      </c>
      <c r="B3" s="10" t="str">
        <f>E.1项目运营期费用!C4</f>
        <v>场地租金</v>
      </c>
      <c r="C3" s="70">
        <v>0.09</v>
      </c>
    </row>
    <row r="4" ht="27.6" customHeight="1" spans="1:3">
      <c r="A4" s="10">
        <f>E.1项目运营期费用!B5</f>
        <v>2</v>
      </c>
      <c r="B4" s="10" t="str">
        <f>E.1项目运营期费用!C5</f>
        <v>场地日常维护（停机坪/起降场/交通枢纽/飞行营地/指挥中心等）</v>
      </c>
      <c r="C4" s="70">
        <v>0.06</v>
      </c>
    </row>
    <row r="5" customHeight="1" spans="1:3">
      <c r="A5" s="10">
        <f>E.1项目运营期费用!B6</f>
        <v>3</v>
      </c>
      <c r="B5" s="10" t="str">
        <f>E.1项目运营期费用!C6</f>
        <v>消防设施年检</v>
      </c>
      <c r="C5" s="70">
        <v>0.06</v>
      </c>
    </row>
    <row r="6" customHeight="1" spans="1:3">
      <c r="A6" s="10">
        <f>E.1项目运营期费用!B7</f>
        <v>4</v>
      </c>
      <c r="B6" s="10" t="str">
        <f>E.1项目运营期费用!C7</f>
        <v>防鸟措施（驱鸟器维护）</v>
      </c>
      <c r="C6" s="70">
        <v>0.06</v>
      </c>
    </row>
    <row r="7" customHeight="1" spans="1:3">
      <c r="A7" s="10">
        <f>E.1项目运营期费用!B8</f>
        <v>5</v>
      </c>
      <c r="B7" s="10" t="str">
        <f>E.1项目运营期费用!C8</f>
        <v>飞行器能耗</v>
      </c>
      <c r="C7" s="70">
        <v>0.13</v>
      </c>
    </row>
    <row r="8" customHeight="1" spans="1:3">
      <c r="A8" s="10">
        <f>E.1项目运营期费用!B9</f>
        <v>6</v>
      </c>
      <c r="B8" s="10" t="str">
        <f>E.1项目运营期费用!C9</f>
        <v>核心设备电力能耗</v>
      </c>
      <c r="C8" s="70">
        <v>0.13</v>
      </c>
    </row>
    <row r="9" customHeight="1" spans="1:4">
      <c r="A9" s="10">
        <f>E.1项目运营期费用!B10</f>
        <v>7</v>
      </c>
      <c r="B9" s="10" t="str">
        <f>E.1项目运营期费用!C10</f>
        <v>水电能耗</v>
      </c>
      <c r="C9" s="70">
        <v>0.09</v>
      </c>
      <c r="D9" s="74"/>
    </row>
    <row r="10" customHeight="1" spans="1:3">
      <c r="A10" s="10">
        <f>E.1项目运营期费用!B11</f>
        <v>8</v>
      </c>
      <c r="B10" s="10" t="str">
        <f>E.1项目运营期费用!C11</f>
        <v>网络通信费用</v>
      </c>
      <c r="C10" s="70">
        <v>0.09</v>
      </c>
    </row>
    <row r="11" customHeight="1" spans="1:3">
      <c r="A11" s="10">
        <f>E.1项目运营期费用!B12</f>
        <v>9</v>
      </c>
      <c r="B11" s="10" t="str">
        <f>E.1项目运营期费用!C12</f>
        <v>硬件设备维护</v>
      </c>
      <c r="C11" s="70">
        <v>0.13</v>
      </c>
    </row>
    <row r="12" customHeight="1" spans="1:3">
      <c r="A12" s="10">
        <f>E.1项目运营期费用!B13</f>
        <v>10</v>
      </c>
      <c r="B12" s="10" t="str">
        <f>E.1项目运营期费用!C13</f>
        <v>备品备件储备</v>
      </c>
      <c r="C12" s="70">
        <v>0.13</v>
      </c>
    </row>
    <row r="13" customHeight="1" spans="1:3">
      <c r="A13" s="10">
        <f>E.1项目运营期费用!B14</f>
        <v>11</v>
      </c>
      <c r="B13" s="10" t="str">
        <f>E.1项目运营期费用!C14</f>
        <v>软件维护</v>
      </c>
      <c r="C13" s="70">
        <v>0.06</v>
      </c>
    </row>
    <row r="14" customHeight="1" spans="1:3">
      <c r="A14" s="10">
        <f>E.1项目运营期费用!B15</f>
        <v>12</v>
      </c>
      <c r="B14" s="10" t="str">
        <f>E.1项目运营期费用!C15</f>
        <v>营销及活动</v>
      </c>
      <c r="C14" s="70">
        <v>0.06</v>
      </c>
    </row>
    <row r="15" customHeight="1" spans="1:3">
      <c r="A15" s="10">
        <f>E.1项目运营期费用!B16</f>
        <v>13</v>
      </c>
      <c r="B15" s="10" t="str">
        <f>E.1项目运营期费用!C16</f>
        <v>人员薪酬</v>
      </c>
      <c r="C15" s="70">
        <v>0</v>
      </c>
    </row>
    <row r="16" customHeight="1" spans="1:3">
      <c r="A16" s="10">
        <f>E.1项目运营期费用!B17</f>
        <v>14</v>
      </c>
      <c r="B16" s="10" t="str">
        <f>E.1项目运营期费用!C17</f>
        <v>培训与资质认证</v>
      </c>
      <c r="C16" s="70">
        <v>0.06</v>
      </c>
    </row>
    <row r="17" customHeight="1" spans="1:3">
      <c r="A17" s="10">
        <f>E.1项目运营期费用!B18</f>
        <v>15</v>
      </c>
      <c r="B17" s="10" t="str">
        <f>E.1项目运营期费用!C18</f>
        <v>办公与行政支出</v>
      </c>
      <c r="C17" s="70">
        <v>0.13</v>
      </c>
    </row>
    <row r="18" customHeight="1" spans="1:3">
      <c r="A18" s="10">
        <f>E.1项目运营期费用!B19</f>
        <v>16</v>
      </c>
      <c r="B18" s="10" t="str">
        <f>E.1项目运营期费用!C19</f>
        <v>空域使用审批费</v>
      </c>
      <c r="C18" s="70">
        <v>0</v>
      </c>
    </row>
    <row r="19" customHeight="1" spans="1:3">
      <c r="A19" s="10">
        <f>E.1项目运营期费用!B20</f>
        <v>17</v>
      </c>
      <c r="B19" s="10" t="str">
        <f>E.1项目运营期费用!C20</f>
        <v>场地责任险</v>
      </c>
      <c r="C19" s="70">
        <v>0.06</v>
      </c>
    </row>
    <row r="20" customHeight="1" spans="1:3">
      <c r="A20" s="10">
        <f>E.1项目运营期费用!B21</f>
        <v>18</v>
      </c>
      <c r="B20" s="10" t="str">
        <f>E.1项目运营期费用!C21</f>
        <v>安全演练与应急处置</v>
      </c>
      <c r="C20" s="70">
        <v>0.06</v>
      </c>
    </row>
    <row r="21" customHeight="1" spans="1:3">
      <c r="A21" s="10">
        <f>E.1项目运营期费用!B22</f>
        <v>19</v>
      </c>
      <c r="B21" s="10" t="str">
        <f>E.1项目运营期费用!C22</f>
        <v>第三方安全评估</v>
      </c>
      <c r="C21" s="70">
        <v>0.06</v>
      </c>
    </row>
    <row r="22" customHeight="1" spans="1:3">
      <c r="A22" s="10">
        <f>E.1项目运营期费用!B23</f>
        <v>20</v>
      </c>
      <c r="B22" s="10" t="str">
        <f>E.1项目运营期费用!C23</f>
        <v>不可预见支出</v>
      </c>
      <c r="C22" s="70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G5" sqref="G5:G6"/>
    </sheetView>
  </sheetViews>
  <sheetFormatPr defaultColWidth="8.89090909090909" defaultRowHeight="28.05" customHeight="1" outlineLevelCol="3"/>
  <cols>
    <col min="2" max="2" width="27.4454545454545" customWidth="1"/>
    <col min="3" max="3" width="14.7818181818182" customWidth="1"/>
  </cols>
  <sheetData>
    <row r="1" ht="20" spans="1:4">
      <c r="A1" s="69" t="s">
        <v>324</v>
      </c>
      <c r="B1" s="38"/>
      <c r="C1" s="38"/>
      <c r="D1" s="25" t="s">
        <v>325</v>
      </c>
    </row>
    <row r="2" customHeight="1" spans="1:3">
      <c r="A2" s="2" t="s">
        <v>1</v>
      </c>
      <c r="B2" s="2" t="s">
        <v>279</v>
      </c>
      <c r="C2" s="2" t="s">
        <v>273</v>
      </c>
    </row>
    <row r="3" customHeight="1" spans="1:3">
      <c r="A3" s="10">
        <v>1</v>
      </c>
      <c r="B3" s="10" t="s">
        <v>281</v>
      </c>
      <c r="C3" s="70">
        <v>0.09</v>
      </c>
    </row>
    <row r="4" customHeight="1" spans="1:3">
      <c r="A4" s="10">
        <v>2</v>
      </c>
      <c r="B4" s="10" t="s">
        <v>284</v>
      </c>
      <c r="C4" s="70">
        <v>0.09</v>
      </c>
    </row>
    <row r="5" customHeight="1" spans="1:3">
      <c r="A5" s="10">
        <v>3</v>
      </c>
      <c r="B5" s="10" t="s">
        <v>285</v>
      </c>
      <c r="C5" s="70">
        <v>0.06</v>
      </c>
    </row>
    <row r="6" customHeight="1" spans="1:3">
      <c r="A6" s="10">
        <v>4</v>
      </c>
      <c r="B6" s="10" t="s">
        <v>326</v>
      </c>
      <c r="C6" s="70">
        <v>0.06</v>
      </c>
    </row>
    <row r="7" customHeight="1" spans="1:3">
      <c r="A7" s="10">
        <v>5</v>
      </c>
      <c r="B7" s="10" t="s">
        <v>327</v>
      </c>
      <c r="C7" s="70">
        <v>0.06</v>
      </c>
    </row>
    <row r="8" customHeight="1" spans="1:3">
      <c r="A8" s="10">
        <v>6</v>
      </c>
      <c r="B8" s="10" t="s">
        <v>328</v>
      </c>
      <c r="C8" s="70">
        <v>0.06</v>
      </c>
    </row>
    <row r="9" customHeight="1" spans="1:3">
      <c r="A9" s="10">
        <v>7</v>
      </c>
      <c r="B9" s="10" t="s">
        <v>329</v>
      </c>
      <c r="C9" s="70">
        <v>0.06</v>
      </c>
    </row>
    <row r="10" customHeight="1" spans="1:3">
      <c r="A10" s="10">
        <v>8</v>
      </c>
      <c r="B10" s="10" t="s">
        <v>330</v>
      </c>
      <c r="C10" s="70">
        <v>0.06</v>
      </c>
    </row>
    <row r="11" customHeight="1" spans="1:3">
      <c r="A11" s="10">
        <v>9</v>
      </c>
      <c r="B11" s="10" t="s">
        <v>331</v>
      </c>
      <c r="C11" s="70">
        <v>0.06</v>
      </c>
    </row>
    <row r="12" customHeight="1" spans="1:3">
      <c r="A12" s="10">
        <v>10</v>
      </c>
      <c r="B12" s="10" t="s">
        <v>332</v>
      </c>
      <c r="C12" s="70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R31"/>
  <sheetViews>
    <sheetView zoomScale="85" zoomScaleNormal="85" workbookViewId="0">
      <pane xSplit="3" ySplit="2" topLeftCell="D16" activePane="bottomRight" state="frozen"/>
      <selection/>
      <selection pane="topRight"/>
      <selection pane="bottomLeft"/>
      <selection pane="bottomRight" activeCell="K26" sqref="K26"/>
    </sheetView>
  </sheetViews>
  <sheetFormatPr defaultColWidth="8.89090909090909" defaultRowHeight="28.05" customHeight="1"/>
  <cols>
    <col min="2" max="2" width="36.7818181818182" customWidth="1"/>
    <col min="3" max="3" width="14.2181818181818" customWidth="1"/>
    <col min="4" max="5" width="9.78181818181818" customWidth="1"/>
    <col min="6" max="6" width="11" customWidth="1"/>
    <col min="7" max="8" width="9.78181818181818" customWidth="1"/>
    <col min="9" max="9" width="10" customWidth="1"/>
  </cols>
  <sheetData>
    <row r="1" customHeight="1" spans="1:9">
      <c r="A1" s="60" t="s">
        <v>333</v>
      </c>
      <c r="B1" s="60"/>
      <c r="C1" s="60"/>
      <c r="D1" s="60"/>
      <c r="E1" s="60"/>
      <c r="F1" s="60"/>
      <c r="G1" s="60"/>
      <c r="H1" s="60"/>
      <c r="I1" s="60"/>
    </row>
    <row r="2" customHeight="1" spans="1:9">
      <c r="A2" s="2" t="s">
        <v>1</v>
      </c>
      <c r="B2" s="2" t="s">
        <v>141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  <c r="I2" s="33">
        <v>2030</v>
      </c>
    </row>
    <row r="3" customHeight="1" spans="1:9">
      <c r="A3" s="7">
        <v>1</v>
      </c>
      <c r="B3" s="7" t="s">
        <v>334</v>
      </c>
      <c r="C3" s="11">
        <f t="shared" ref="C3:C23" si="0">SUM(D3:I3)</f>
        <v>2091.23704221956</v>
      </c>
      <c r="D3" s="11">
        <f t="shared" ref="D3" si="1">SUM(D4:D7)</f>
        <v>0</v>
      </c>
      <c r="E3" s="11">
        <f t="shared" ref="E3:I3" si="2">SUM(E4:E7)</f>
        <v>298.814263458542</v>
      </c>
      <c r="F3" s="11">
        <f t="shared" si="2"/>
        <v>478.8575385148</v>
      </c>
      <c r="G3" s="11">
        <f t="shared" si="2"/>
        <v>599.534187294443</v>
      </c>
      <c r="H3" s="11">
        <f t="shared" si="2"/>
        <v>600.515696728406</v>
      </c>
      <c r="I3" s="11">
        <f t="shared" si="2"/>
        <v>113.515356223367</v>
      </c>
    </row>
    <row r="4" customHeight="1" spans="1:9">
      <c r="A4" s="7">
        <v>1.1</v>
      </c>
      <c r="B4" s="7" t="s">
        <v>335</v>
      </c>
      <c r="C4" s="11">
        <f t="shared" si="0"/>
        <v>1977.72168599619</v>
      </c>
      <c r="D4" s="41">
        <f>F项目收入!D12-F项目收入!D9</f>
        <v>0</v>
      </c>
      <c r="E4" s="41">
        <f>F项目收入!E12-F项目收入!E9</f>
        <v>298.814263458542</v>
      </c>
      <c r="F4" s="41">
        <f>F项目收入!F12-F项目收入!F9</f>
        <v>478.8575385148</v>
      </c>
      <c r="G4" s="41">
        <f>F项目收入!G12-F项目收入!G9</f>
        <v>599.534187294443</v>
      </c>
      <c r="H4" s="41">
        <f>F项目收入!H12-F项目收入!H9</f>
        <v>600.515696728406</v>
      </c>
      <c r="I4" s="41">
        <f>F项目收入!I12-F项目收入!I9</f>
        <v>0</v>
      </c>
    </row>
    <row r="5" customHeight="1" spans="1:9">
      <c r="A5" s="7">
        <v>1.2</v>
      </c>
      <c r="B5" s="7" t="s">
        <v>286</v>
      </c>
      <c r="C5" s="11">
        <f t="shared" si="0"/>
        <v>0</v>
      </c>
      <c r="D5" s="41">
        <f>F项目收入!D9</f>
        <v>0</v>
      </c>
      <c r="E5" s="41">
        <f>F项目收入!E9</f>
        <v>0</v>
      </c>
      <c r="F5" s="41">
        <f>F项目收入!F9</f>
        <v>0</v>
      </c>
      <c r="G5" s="41">
        <f>F项目收入!G9</f>
        <v>0</v>
      </c>
      <c r="H5" s="41">
        <f>F项目收入!H9</f>
        <v>0</v>
      </c>
      <c r="I5" s="41">
        <f>F项目收入!I9</f>
        <v>0</v>
      </c>
    </row>
    <row r="6" customHeight="1" spans="1:9">
      <c r="A6" s="7">
        <v>1.3</v>
      </c>
      <c r="B6" s="7" t="s">
        <v>336</v>
      </c>
      <c r="C6" s="11">
        <f t="shared" si="0"/>
        <v>98.9960103233665</v>
      </c>
      <c r="D6" s="11" t="s">
        <v>132</v>
      </c>
      <c r="E6" s="11" t="s">
        <v>132</v>
      </c>
      <c r="F6" s="11" t="s">
        <v>132</v>
      </c>
      <c r="G6" s="11" t="s">
        <v>132</v>
      </c>
      <c r="H6" s="11" t="s">
        <v>132</v>
      </c>
      <c r="I6" s="47">
        <f>E.2固定资产折旧费估算表!C7*A财务假设!$D$12</f>
        <v>98.9960103233665</v>
      </c>
    </row>
    <row r="7" customHeight="1" spans="1:9">
      <c r="A7" s="7">
        <v>1.4</v>
      </c>
      <c r="B7" s="7" t="s">
        <v>337</v>
      </c>
      <c r="C7" s="11">
        <f t="shared" si="0"/>
        <v>14.5193459</v>
      </c>
      <c r="D7" s="11" t="s">
        <v>132</v>
      </c>
      <c r="E7" s="11" t="s">
        <v>132</v>
      </c>
      <c r="F7" s="11" t="s">
        <v>132</v>
      </c>
      <c r="G7" s="11" t="s">
        <v>132</v>
      </c>
      <c r="H7" s="11" t="s">
        <v>132</v>
      </c>
      <c r="I7" s="47">
        <f>D.4流动资金估算表!I13</f>
        <v>14.5193459</v>
      </c>
    </row>
    <row r="8" customHeight="1" spans="1:9">
      <c r="A8" s="7">
        <v>2</v>
      </c>
      <c r="B8" s="7" t="s">
        <v>338</v>
      </c>
      <c r="C8" s="11">
        <f t="shared" si="0"/>
        <v>2172.42937509759</v>
      </c>
      <c r="D8" s="11">
        <f t="shared" ref="D8" si="3">SUM(D9:D14)</f>
        <v>288.84239147918</v>
      </c>
      <c r="E8" s="11">
        <f t="shared" ref="E8:I8" si="4">SUM(E9:E14)</f>
        <v>677.213515635307</v>
      </c>
      <c r="F8" s="11">
        <f t="shared" si="4"/>
        <v>940.5624625581</v>
      </c>
      <c r="G8" s="11">
        <f t="shared" si="4"/>
        <v>125.15086925</v>
      </c>
      <c r="H8" s="11">
        <f t="shared" si="4"/>
        <v>140.660136175</v>
      </c>
      <c r="I8" s="11">
        <f t="shared" si="4"/>
        <v>0</v>
      </c>
    </row>
    <row r="9" customHeight="1" spans="1:9">
      <c r="A9" s="7">
        <v>2.1</v>
      </c>
      <c r="B9" s="7" t="s">
        <v>114</v>
      </c>
      <c r="C9" s="11">
        <f t="shared" si="0"/>
        <v>1682.47261569759</v>
      </c>
      <c r="D9" s="11">
        <f>E.4建设投资税后金额表!H21</f>
        <v>288.84239147918</v>
      </c>
      <c r="E9" s="11">
        <f>E.4建设投资税后金额表!I21</f>
        <v>560.824205232529</v>
      </c>
      <c r="F9" s="11">
        <f>E.4建设投资税后金额表!J21</f>
        <v>832.806018985878</v>
      </c>
      <c r="G9" s="11">
        <f>E.4建设投资税后金额表!K21</f>
        <v>0</v>
      </c>
      <c r="H9" s="11">
        <f>E.4建设投资税后金额表!L21</f>
        <v>0</v>
      </c>
      <c r="I9" s="11">
        <f>E.4建设投资税后金额表!AD21</f>
        <v>0</v>
      </c>
    </row>
    <row r="10" customHeight="1" spans="1:9">
      <c r="A10" s="7">
        <v>2.2</v>
      </c>
      <c r="B10" s="7" t="s">
        <v>116</v>
      </c>
      <c r="C10" s="11">
        <f t="shared" si="0"/>
        <v>14.5193459</v>
      </c>
      <c r="D10" s="11">
        <f>D.2项目总投资使用计划与资金筹措表!D6</f>
        <v>0</v>
      </c>
      <c r="E10" s="11">
        <f>D.2项目总投资使用计划与资金筹措表!E6</f>
        <v>9.19006490277778</v>
      </c>
      <c r="F10" s="11">
        <f>D.2项目总投资使用计划与资金筹措表!F6</f>
        <v>0.544912672222226</v>
      </c>
      <c r="G10" s="11">
        <f>D.2项目总投资使用计划与资金筹措表!G6</f>
        <v>2.55430295</v>
      </c>
      <c r="H10" s="11">
        <f>D.2项目总投资使用计划与资金筹措表!H6</f>
        <v>2.230065375</v>
      </c>
      <c r="I10" s="11">
        <f>D.2项目总投资使用计划与资金筹措表!I6</f>
        <v>0</v>
      </c>
    </row>
    <row r="11" customHeight="1" spans="1:9">
      <c r="A11" s="7">
        <v>2.3</v>
      </c>
      <c r="B11" s="7" t="s">
        <v>339</v>
      </c>
      <c r="C11" s="11">
        <f t="shared" si="0"/>
        <v>475.4374135</v>
      </c>
      <c r="D11" s="11">
        <f>E总成本费用估算表!C11</f>
        <v>0</v>
      </c>
      <c r="E11" s="11">
        <f>E总成本费用估算表!D11</f>
        <v>107.1992455</v>
      </c>
      <c r="F11" s="11">
        <f>E总成本费用估算表!E11</f>
        <v>107.2115309</v>
      </c>
      <c r="G11" s="11">
        <f>E总成本费用估算表!F11</f>
        <v>122.5965663</v>
      </c>
      <c r="H11" s="11">
        <f>E总成本费用估算表!G11</f>
        <v>138.4300708</v>
      </c>
      <c r="I11" s="11">
        <f>E总成本费用估算表!H11</f>
        <v>0</v>
      </c>
    </row>
    <row r="12" customHeight="1" spans="1:9">
      <c r="A12" s="7">
        <v>2.4</v>
      </c>
      <c r="B12" s="7" t="s">
        <v>340</v>
      </c>
      <c r="C12" s="11">
        <f t="shared" si="0"/>
        <v>0</v>
      </c>
      <c r="D12" s="41">
        <f>G.税金及附加测算表!D30</f>
        <v>0</v>
      </c>
      <c r="E12" s="41">
        <f>G.税金及附加测算表!E30</f>
        <v>0</v>
      </c>
      <c r="F12" s="41">
        <f>G.税金及附加测算表!F30</f>
        <v>0</v>
      </c>
      <c r="G12" s="41">
        <f>G.税金及附加测算表!G30</f>
        <v>0</v>
      </c>
      <c r="H12" s="41">
        <f>G.税金及附加测算表!H30</f>
        <v>0</v>
      </c>
      <c r="I12" s="41">
        <f>G.税金及附加测算表!I30</f>
        <v>0</v>
      </c>
    </row>
    <row r="13" customHeight="1" spans="1:9">
      <c r="A13" s="7">
        <v>2.5</v>
      </c>
      <c r="B13" s="7" t="s">
        <v>341</v>
      </c>
      <c r="C13" s="11">
        <f t="shared" si="0"/>
        <v>0</v>
      </c>
      <c r="D13" s="41">
        <f>G.税金及附加测算表!D29</f>
        <v>0</v>
      </c>
      <c r="E13" s="41">
        <f>G.税金及附加测算表!E29</f>
        <v>0</v>
      </c>
      <c r="F13" s="41">
        <f>G.税金及附加测算表!F29</f>
        <v>0</v>
      </c>
      <c r="G13" s="41">
        <f>G.税金及附加测算表!G29</f>
        <v>0</v>
      </c>
      <c r="H13" s="41">
        <f>G.税金及附加测算表!H31</f>
        <v>0</v>
      </c>
      <c r="I13" s="41">
        <f>G.税金及附加测算表!I31</f>
        <v>0</v>
      </c>
    </row>
    <row r="14" customHeight="1" spans="1:9">
      <c r="A14" s="7">
        <v>2.6</v>
      </c>
      <c r="B14" s="7" t="s">
        <v>342</v>
      </c>
      <c r="C14" s="11">
        <f t="shared" si="0"/>
        <v>0</v>
      </c>
      <c r="D14" s="39">
        <v>0</v>
      </c>
      <c r="E14" s="39">
        <v>0</v>
      </c>
      <c r="F14" s="39">
        <v>0</v>
      </c>
      <c r="G14" s="39">
        <v>0</v>
      </c>
      <c r="H14" s="41">
        <f>G.税金及附加测算表!H32</f>
        <v>0</v>
      </c>
      <c r="I14" s="41">
        <f>G.税金及附加测算表!I32</f>
        <v>0</v>
      </c>
    </row>
    <row r="15" customHeight="1" spans="1:9">
      <c r="A15" s="7">
        <v>3</v>
      </c>
      <c r="B15" s="7" t="s">
        <v>343</v>
      </c>
      <c r="C15" s="11">
        <f t="shared" si="0"/>
        <v>-81.1923328780295</v>
      </c>
      <c r="D15" s="11">
        <f t="shared" ref="D15" si="5">D3-D8</f>
        <v>-288.84239147918</v>
      </c>
      <c r="E15" s="11">
        <f t="shared" ref="E15:I15" si="6">E3-E8</f>
        <v>-378.399252176765</v>
      </c>
      <c r="F15" s="11">
        <f t="shared" si="6"/>
        <v>-461.7049240433</v>
      </c>
      <c r="G15" s="11">
        <f t="shared" si="6"/>
        <v>474.383318044443</v>
      </c>
      <c r="H15" s="11">
        <f t="shared" si="6"/>
        <v>459.855560553406</v>
      </c>
      <c r="I15" s="11">
        <f t="shared" ref="I15" si="7">I3-I8</f>
        <v>113.515356223367</v>
      </c>
    </row>
    <row r="16" customHeight="1" spans="1:9">
      <c r="A16" s="7">
        <v>4</v>
      </c>
      <c r="B16" s="7" t="s">
        <v>344</v>
      </c>
      <c r="C16" s="11">
        <f t="shared" si="0"/>
        <v>-3015.4938744686</v>
      </c>
      <c r="D16" s="11">
        <f>D15</f>
        <v>-288.84239147918</v>
      </c>
      <c r="E16" s="11">
        <f>E15+D16</f>
        <v>-667.241643655945</v>
      </c>
      <c r="F16" s="11">
        <f t="shared" ref="F16:I16" si="8">F15+E16</f>
        <v>-1128.94656769924</v>
      </c>
      <c r="G16" s="11">
        <f t="shared" si="8"/>
        <v>-654.563249654802</v>
      </c>
      <c r="H16" s="11">
        <f t="shared" si="8"/>
        <v>-194.707689101396</v>
      </c>
      <c r="I16" s="11">
        <f t="shared" si="8"/>
        <v>-81.1923328780295</v>
      </c>
    </row>
    <row r="17" s="37" customFormat="1" customHeight="1" spans="1:18">
      <c r="A17" s="40">
        <v>5</v>
      </c>
      <c r="B17" s="40" t="s">
        <v>345</v>
      </c>
      <c r="C17" s="41">
        <f t="shared" si="0"/>
        <v>245.956871365563</v>
      </c>
      <c r="D17" s="41">
        <f>'b利润与利润分配表（损益和利润分配表）'!D25*A财务假设!$D$9</f>
        <v>0</v>
      </c>
      <c r="E17" s="41">
        <f>'b利润与利润分配表（损益和利润分配表）'!E25*A财务假设!$D$9</f>
        <v>46.815011113427</v>
      </c>
      <c r="F17" s="41">
        <f>'b利润与利润分配表（损益和利润分配表）'!F25*A财务假设!$D$9</f>
        <v>94.9550526948293</v>
      </c>
      <c r="G17" s="41">
        <f>'b利润与利润分配表（损益和利润分配表）'!G25*A财务假设!$D$9</f>
        <v>52.2377881645871</v>
      </c>
      <c r="H17" s="41">
        <f>'b利润与利润分配表（损益和利润分配表）'!H25*A财务假设!$D$9</f>
        <v>51.9490193927198</v>
      </c>
      <c r="I17" s="41">
        <f>'b利润与利润分配表（损益和利润分配表）'!I25*A财务假设!$D$9</f>
        <v>0</v>
      </c>
      <c r="J17"/>
      <c r="K17"/>
      <c r="L17"/>
      <c r="M17"/>
      <c r="N17"/>
      <c r="O17"/>
      <c r="P17"/>
      <c r="Q17"/>
      <c r="R17"/>
    </row>
    <row r="18" customHeight="1" spans="1:9">
      <c r="A18" s="7">
        <v>6</v>
      </c>
      <c r="B18" s="7" t="s">
        <v>346</v>
      </c>
      <c r="C18" s="11">
        <f t="shared" si="0"/>
        <v>-327.149204243593</v>
      </c>
      <c r="D18" s="11">
        <f t="shared" ref="D18" si="9">D15-D17</f>
        <v>-288.84239147918</v>
      </c>
      <c r="E18" s="11">
        <f t="shared" ref="E18:I18" si="10">E15-E17</f>
        <v>-425.214263290192</v>
      </c>
      <c r="F18" s="11">
        <f t="shared" si="10"/>
        <v>-556.65997673813</v>
      </c>
      <c r="G18" s="11">
        <f t="shared" si="10"/>
        <v>422.145529879856</v>
      </c>
      <c r="H18" s="11">
        <f t="shared" si="10"/>
        <v>407.906541160686</v>
      </c>
      <c r="I18" s="11">
        <f t="shared" ref="I18" si="11">I15-I17</f>
        <v>113.515356223367</v>
      </c>
    </row>
    <row r="19" customHeight="1" spans="1:9">
      <c r="A19" s="7">
        <v>7</v>
      </c>
      <c r="B19" s="7" t="s">
        <v>347</v>
      </c>
      <c r="C19" s="11">
        <f t="shared" si="0"/>
        <v>-3890.00054409425</v>
      </c>
      <c r="D19" s="11">
        <f>D18</f>
        <v>-288.84239147918</v>
      </c>
      <c r="E19" s="11">
        <f>E18+D19</f>
        <v>-714.056654769372</v>
      </c>
      <c r="F19" s="11">
        <f t="shared" ref="F19:I19" si="12">F18+E19</f>
        <v>-1270.7166315075</v>
      </c>
      <c r="G19" s="11">
        <f t="shared" si="12"/>
        <v>-848.571101627646</v>
      </c>
      <c r="H19" s="11">
        <f t="shared" si="12"/>
        <v>-440.664560466959</v>
      </c>
      <c r="I19" s="11">
        <f t="shared" si="12"/>
        <v>-327.149204243593</v>
      </c>
    </row>
    <row r="20" customHeight="1" spans="1:9">
      <c r="A20" s="7">
        <v>8</v>
      </c>
      <c r="B20" s="7" t="s">
        <v>348</v>
      </c>
      <c r="C20" s="11">
        <f t="shared" si="0"/>
        <v>-150.798489094896</v>
      </c>
      <c r="D20" s="11">
        <f>D15/(1+A财务假设!$D$14)^(D2-$D$2)</f>
        <v>-288.84239147918</v>
      </c>
      <c r="E20" s="11">
        <f>E15/(1+A财务假设!$D$14)^(E2-$D$2)</f>
        <v>-367.377914734723</v>
      </c>
      <c r="F20" s="11">
        <f>F15/(1+A财务假设!$D$14)^(F2-$D$2)</f>
        <v>-435.201172630126</v>
      </c>
      <c r="G20" s="11">
        <f>G15/(1+A财务假设!$D$14)^(G2-$D$2)</f>
        <v>434.127936844649</v>
      </c>
      <c r="H20" s="11">
        <f>H15/(1+A财务假设!$D$14)^(H2-$D$2)</f>
        <v>408.57570946371</v>
      </c>
      <c r="I20" s="11">
        <f>I15/(1+A财务假设!$D$14)^(I2-$D$2)</f>
        <v>97.9193434407735</v>
      </c>
    </row>
    <row r="21" customHeight="1" spans="1:9">
      <c r="A21" s="7">
        <v>9</v>
      </c>
      <c r="B21" s="7" t="s">
        <v>349</v>
      </c>
      <c r="C21" s="11">
        <f t="shared" si="0"/>
        <v>-3093.29404016706</v>
      </c>
      <c r="D21" s="11">
        <f>D20</f>
        <v>-288.84239147918</v>
      </c>
      <c r="E21" s="11">
        <f>E20+D21</f>
        <v>-656.220306213903</v>
      </c>
      <c r="F21" s="11">
        <f t="shared" ref="F21:I21" si="13">F20+E21</f>
        <v>-1091.42147884403</v>
      </c>
      <c r="G21" s="11">
        <f t="shared" si="13"/>
        <v>-657.293541999379</v>
      </c>
      <c r="H21" s="11">
        <f t="shared" si="13"/>
        <v>-248.717832535669</v>
      </c>
      <c r="I21" s="11">
        <f t="shared" si="13"/>
        <v>-150.798489094896</v>
      </c>
    </row>
    <row r="22" customHeight="1" spans="1:9">
      <c r="A22" s="7">
        <v>10</v>
      </c>
      <c r="B22" s="7" t="s">
        <v>350</v>
      </c>
      <c r="C22" s="11">
        <f t="shared" si="0"/>
        <v>-379.715207441268</v>
      </c>
      <c r="D22" s="11">
        <f>D18/(1+A财务假设!$D$14)^(D2-$D$2)</f>
        <v>-288.84239147918</v>
      </c>
      <c r="E22" s="11">
        <f>E18/(1+A财务假设!$D$14)^(E2-$D$2)</f>
        <v>-412.829381835138</v>
      </c>
      <c r="F22" s="11">
        <f>F18/(1+A财务假设!$D$14)^(F2-$D$2)</f>
        <v>-524.705416851852</v>
      </c>
      <c r="G22" s="11">
        <f>G18/(1+A财务假设!$D$14)^(G2-$D$2)</f>
        <v>386.32296070277</v>
      </c>
      <c r="H22" s="11">
        <f>H18/(1+A财务假设!$D$14)^(H2-$D$2)</f>
        <v>362.419678581357</v>
      </c>
      <c r="I22" s="11">
        <f>I18/(1+A财务假设!$D$14)^(I2-$D$2)</f>
        <v>97.9193434407735</v>
      </c>
    </row>
    <row r="23" customHeight="1" spans="1:9">
      <c r="A23" s="7">
        <v>11</v>
      </c>
      <c r="B23" s="7" t="s">
        <v>351</v>
      </c>
      <c r="C23" s="11">
        <f t="shared" si="0"/>
        <v>-3914.29534274638</v>
      </c>
      <c r="D23" s="11">
        <f>D22</f>
        <v>-288.84239147918</v>
      </c>
      <c r="E23" s="11">
        <f>E22+D23</f>
        <v>-701.671773314318</v>
      </c>
      <c r="F23" s="11">
        <f t="shared" ref="F23:I23" si="14">F22+E23</f>
        <v>-1226.37719016617</v>
      </c>
      <c r="G23" s="11">
        <f t="shared" si="14"/>
        <v>-840.054229463399</v>
      </c>
      <c r="H23" s="11">
        <f t="shared" si="14"/>
        <v>-477.634550882042</v>
      </c>
      <c r="I23" s="11">
        <f t="shared" si="14"/>
        <v>-379.715207441268</v>
      </c>
    </row>
    <row r="24" ht="37.95" customHeight="1" spans="1:9">
      <c r="A24" s="7" t="s">
        <v>352</v>
      </c>
      <c r="B24" s="61" t="s">
        <v>353</v>
      </c>
      <c r="C24" s="7"/>
      <c r="D24" s="59">
        <f>IRR(D15:I15)</f>
        <v>-0.0294184968792597</v>
      </c>
      <c r="E24" s="59"/>
      <c r="F24" s="59"/>
      <c r="G24" s="59"/>
      <c r="H24" s="59"/>
      <c r="I24" s="59"/>
    </row>
    <row r="25" ht="34.95" customHeight="1" spans="1:9">
      <c r="A25" s="7" t="s">
        <v>354</v>
      </c>
      <c r="B25" s="61" t="s">
        <v>355</v>
      </c>
      <c r="C25" s="7"/>
      <c r="D25" s="59">
        <f>IRR(D18:I18)</f>
        <v>-0.114261259781286</v>
      </c>
      <c r="E25" s="59"/>
      <c r="F25" s="59"/>
      <c r="G25" s="59"/>
      <c r="H25" s="59"/>
      <c r="I25" s="59"/>
    </row>
    <row r="26" ht="34.05" customHeight="1" spans="1:9">
      <c r="A26" s="7" t="s">
        <v>356</v>
      </c>
      <c r="B26" s="61" t="s">
        <v>357</v>
      </c>
      <c r="C26" s="62" t="s">
        <v>358</v>
      </c>
      <c r="D26" s="63">
        <f>NPV(A财务假设!$D$3,D15:I15)</f>
        <v>-181.853240238133</v>
      </c>
      <c r="E26" s="63"/>
      <c r="F26" s="63"/>
      <c r="G26" s="63"/>
      <c r="H26" s="63"/>
      <c r="I26" s="63"/>
    </row>
    <row r="27" ht="34.05" customHeight="1" spans="1:9">
      <c r="A27" s="7" t="s">
        <v>359</v>
      </c>
      <c r="B27" s="61" t="s">
        <v>360</v>
      </c>
      <c r="C27" s="62" t="s">
        <v>358</v>
      </c>
      <c r="D27" s="63">
        <f>NPV(A财务假设!$D$4,D18:I18)</f>
        <v>-368.655541205115</v>
      </c>
      <c r="E27" s="63"/>
      <c r="F27" s="63"/>
      <c r="G27" s="63"/>
      <c r="H27" s="63"/>
      <c r="I27" s="63"/>
    </row>
    <row r="28" ht="37.05" customHeight="1" spans="1:9">
      <c r="A28" s="7" t="s">
        <v>361</v>
      </c>
      <c r="B28" s="61" t="s">
        <v>362</v>
      </c>
      <c r="C28" s="64"/>
      <c r="D28" s="65" t="s">
        <v>363</v>
      </c>
      <c r="E28" s="66"/>
      <c r="F28" s="66"/>
      <c r="G28" s="66"/>
      <c r="H28" s="66"/>
      <c r="I28" s="40"/>
    </row>
    <row r="29" ht="37.05" customHeight="1" spans="1:9">
      <c r="A29" s="7" t="s">
        <v>364</v>
      </c>
      <c r="B29" s="61" t="s">
        <v>365</v>
      </c>
      <c r="C29" s="64"/>
      <c r="D29" s="67" t="s">
        <v>366</v>
      </c>
      <c r="E29" s="68"/>
      <c r="F29" s="68"/>
      <c r="G29" s="68"/>
      <c r="H29" s="68"/>
      <c r="I29" s="7"/>
    </row>
    <row r="30" ht="34.05" customHeight="1" spans="1:9">
      <c r="A30" s="7" t="s">
        <v>367</v>
      </c>
      <c r="B30" s="61" t="s">
        <v>368</v>
      </c>
      <c r="C30" s="64"/>
      <c r="D30" s="67" t="s">
        <v>369</v>
      </c>
      <c r="E30" s="68"/>
      <c r="F30" s="68"/>
      <c r="G30" s="68"/>
      <c r="H30" s="68"/>
      <c r="I30" s="7"/>
    </row>
    <row r="31" ht="34.95" customHeight="1" spans="1:9">
      <c r="A31" s="7" t="s">
        <v>370</v>
      </c>
      <c r="B31" s="61" t="s">
        <v>371</v>
      </c>
      <c r="C31" s="64"/>
      <c r="D31" s="67" t="s">
        <v>372</v>
      </c>
      <c r="E31" s="68"/>
      <c r="F31" s="68"/>
      <c r="G31" s="68"/>
      <c r="H31" s="68"/>
      <c r="I31" s="7"/>
    </row>
  </sheetData>
  <mergeCells count="5">
    <mergeCell ref="A1:I1"/>
    <mergeCell ref="D28:H28"/>
    <mergeCell ref="D29:H29"/>
    <mergeCell ref="D30:H30"/>
    <mergeCell ref="D31:H31"/>
  </mergeCells>
  <pageMargins left="0.75" right="0.75" top="1" bottom="1" header="0.5" footer="0.5"/>
  <headerFooter/>
  <ignoredErrors>
    <ignoredError sqref="D20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H18"/>
  <sheetViews>
    <sheetView zoomScale="70" zoomScaleNormal="70" workbookViewId="0">
      <pane xSplit="3" ySplit="2" topLeftCell="D11" activePane="bottomRight" state="frozen"/>
      <selection/>
      <selection pane="topRight"/>
      <selection pane="bottomLeft"/>
      <selection pane="bottomRight" activeCell="D19" sqref="D19"/>
    </sheetView>
  </sheetViews>
  <sheetFormatPr defaultColWidth="8.89090909090909" defaultRowHeight="28.05" customHeight="1" outlineLevelCol="7"/>
  <cols>
    <col min="2" max="2" width="29.6636363636364" customWidth="1"/>
    <col min="3" max="3" width="17.1090909090909"/>
    <col min="4" max="6" width="11.5545454545455" customWidth="1"/>
    <col min="7" max="7" width="10.5545454545455" customWidth="1"/>
    <col min="8" max="8" width="11.8909090909091" customWidth="1"/>
  </cols>
  <sheetData>
    <row r="1" customHeight="1" spans="1:8">
      <c r="A1" s="56" t="s">
        <v>373</v>
      </c>
      <c r="B1" s="57"/>
      <c r="C1" s="57"/>
      <c r="D1" s="57"/>
      <c r="E1" s="57"/>
      <c r="F1" s="57"/>
      <c r="G1" s="57"/>
      <c r="H1" s="58"/>
    </row>
    <row r="2" customHeight="1" spans="1:8">
      <c r="A2" s="2" t="s">
        <v>1</v>
      </c>
      <c r="B2" s="2" t="s">
        <v>141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</row>
    <row r="3" customHeight="1" spans="1:8">
      <c r="A3" s="7">
        <v>1</v>
      </c>
      <c r="B3" s="7" t="s">
        <v>334</v>
      </c>
      <c r="C3" s="11">
        <f t="shared" ref="C3:C17" si="0">SUM(D3:G3)</f>
        <v>1377.20598926779</v>
      </c>
      <c r="D3" s="11">
        <f t="shared" ref="D3:H3" si="1">SUM(D4:D7)</f>
        <v>0</v>
      </c>
      <c r="E3" s="11">
        <f t="shared" si="1"/>
        <v>298.814263458542</v>
      </c>
      <c r="F3" s="11">
        <f t="shared" si="1"/>
        <v>478.8575385148</v>
      </c>
      <c r="G3" s="11">
        <f t="shared" si="1"/>
        <v>599.534187294443</v>
      </c>
      <c r="H3" s="11">
        <f t="shared" ref="H3" si="2">SUM(H4:H7)</f>
        <v>714.031052951773</v>
      </c>
    </row>
    <row r="4" customHeight="1" spans="1:8">
      <c r="A4" s="7">
        <v>1.1</v>
      </c>
      <c r="B4" s="7" t="s">
        <v>335</v>
      </c>
      <c r="C4" s="11">
        <f t="shared" si="0"/>
        <v>1377.20598926779</v>
      </c>
      <c r="D4" s="11">
        <f>F项目收入!D12-F项目收入!D9</f>
        <v>0</v>
      </c>
      <c r="E4" s="11">
        <f>F项目收入!E12-F项目收入!E9</f>
        <v>298.814263458542</v>
      </c>
      <c r="F4" s="11">
        <f>F项目收入!F12-F项目收入!F9</f>
        <v>478.8575385148</v>
      </c>
      <c r="G4" s="11">
        <f>F项目收入!G12-F项目收入!G9</f>
        <v>599.534187294443</v>
      </c>
      <c r="H4" s="11">
        <f>F项目收入!H12-F项目收入!H9</f>
        <v>600.515696728406</v>
      </c>
    </row>
    <row r="5" customHeight="1" spans="1:8">
      <c r="A5" s="7">
        <v>1.2</v>
      </c>
      <c r="B5" s="7" t="s">
        <v>286</v>
      </c>
      <c r="C5" s="11">
        <f t="shared" si="0"/>
        <v>0</v>
      </c>
      <c r="D5" s="11">
        <f>F项目收入!D9</f>
        <v>0</v>
      </c>
      <c r="E5" s="11">
        <f>F项目收入!E9</f>
        <v>0</v>
      </c>
      <c r="F5" s="11">
        <f>F项目收入!F9</f>
        <v>0</v>
      </c>
      <c r="G5" s="11">
        <f>F项目收入!G9</f>
        <v>0</v>
      </c>
      <c r="H5" s="11">
        <f>F项目收入!H9</f>
        <v>0</v>
      </c>
    </row>
    <row r="6" customHeight="1" spans="1:8">
      <c r="A6" s="7">
        <v>1.3</v>
      </c>
      <c r="B6" s="7" t="s">
        <v>336</v>
      </c>
      <c r="C6" s="11">
        <f t="shared" si="0"/>
        <v>0</v>
      </c>
      <c r="D6" s="11" t="s">
        <v>132</v>
      </c>
      <c r="E6" s="11" t="s">
        <v>132</v>
      </c>
      <c r="F6" s="11" t="s">
        <v>132</v>
      </c>
      <c r="G6" s="11" t="s">
        <v>132</v>
      </c>
      <c r="H6" s="47">
        <f>E.2固定资产折旧费估算表!C7*A财务假设!$D$12</f>
        <v>98.9960103233665</v>
      </c>
    </row>
    <row r="7" customHeight="1" spans="1:8">
      <c r="A7" s="7">
        <v>1.4</v>
      </c>
      <c r="B7" s="7" t="s">
        <v>337</v>
      </c>
      <c r="C7" s="11">
        <f t="shared" si="0"/>
        <v>0</v>
      </c>
      <c r="D7" s="11" t="s">
        <v>132</v>
      </c>
      <c r="E7" s="11" t="s">
        <v>132</v>
      </c>
      <c r="F7" s="11" t="s">
        <v>132</v>
      </c>
      <c r="G7" s="11" t="s">
        <v>132</v>
      </c>
      <c r="H7" s="47">
        <f>D.4流动资金估算表!I13</f>
        <v>14.5193459</v>
      </c>
    </row>
    <row r="8" customHeight="1" spans="1:8">
      <c r="A8" s="7">
        <v>2</v>
      </c>
      <c r="B8" s="7" t="s">
        <v>338</v>
      </c>
      <c r="C8" s="11">
        <f t="shared" si="0"/>
        <v>-2435.55723296674</v>
      </c>
      <c r="D8" s="11">
        <f t="shared" ref="D8" si="3">SUM(D9:D16)</f>
        <v>319.0152</v>
      </c>
      <c r="E8" s="11">
        <f t="shared" ref="E8:H8" si="4">SUM(E9:E16)</f>
        <v>835.810581516205</v>
      </c>
      <c r="F8" s="11">
        <f t="shared" si="4"/>
        <v>1603.81411626705</v>
      </c>
      <c r="G8" s="11">
        <f t="shared" ref="G8:H8" si="5">SUM(G9:G16)</f>
        <v>-5194.19713075</v>
      </c>
      <c r="H8" s="11">
        <f t="shared" si="5"/>
        <v>12719.492136175</v>
      </c>
    </row>
    <row r="9" customHeight="1" spans="1:8">
      <c r="A9" s="7">
        <v>2.1</v>
      </c>
      <c r="B9" s="7" t="s">
        <v>118</v>
      </c>
      <c r="C9" s="11">
        <f t="shared" si="0"/>
        <v>-4833.306639475</v>
      </c>
      <c r="D9" s="11">
        <f>D.2项目总投资使用计划与资金筹措表!D8</f>
        <v>319.0152</v>
      </c>
      <c r="E9" s="11">
        <f>D.2项目总投资使用计划与资金筹措表!E8</f>
        <v>662.113824902778</v>
      </c>
      <c r="F9" s="11">
        <f>D.2项目总投资使用计划与资金筹措表!F8</f>
        <v>1196.68403267222</v>
      </c>
      <c r="G9" s="11">
        <f>D.2项目总投资使用计划与资金筹措表!G8</f>
        <v>-7011.11969705</v>
      </c>
      <c r="H9" s="11">
        <f>D.2项目总投资使用计划与资金筹措表!H8</f>
        <v>495.646065375</v>
      </c>
    </row>
    <row r="10" customHeight="1" spans="1:8">
      <c r="A10" s="7">
        <v>2.2</v>
      </c>
      <c r="B10" s="7" t="s">
        <v>374</v>
      </c>
      <c r="C10" s="11">
        <f t="shared" si="0"/>
        <v>1175</v>
      </c>
      <c r="D10" s="11">
        <f>c借款还本付息计划表!D30</f>
        <v>0</v>
      </c>
      <c r="E10" s="11">
        <f>c借款还本付息计划表!E30</f>
        <v>0</v>
      </c>
      <c r="F10" s="11">
        <f>c借款还本付息计划表!F30</f>
        <v>0</v>
      </c>
      <c r="G10" s="11">
        <f>c借款还本付息计划表!G30</f>
        <v>1175</v>
      </c>
      <c r="H10" s="11">
        <f>c借款还本付息计划表!H30</f>
        <v>11590</v>
      </c>
    </row>
    <row r="11" customHeight="1" spans="1:8">
      <c r="A11" s="7">
        <v>2.3</v>
      </c>
      <c r="B11" s="7" t="s">
        <v>375</v>
      </c>
      <c r="C11" s="11">
        <f t="shared" si="0"/>
        <v>811.854</v>
      </c>
      <c r="D11" s="11">
        <f>c借款还本付息计划表!D31</f>
        <v>0</v>
      </c>
      <c r="E11" s="11">
        <f>c借款还本付息计划表!E31</f>
        <v>24.91</v>
      </c>
      <c r="F11" s="11">
        <f>c借款还本付息计划表!F31</f>
        <v>270.618</v>
      </c>
      <c r="G11" s="11">
        <f>c借款还本付息计划表!G31</f>
        <v>516.326</v>
      </c>
      <c r="H11" s="11">
        <f>c借款还本付息计划表!H31</f>
        <v>491.416</v>
      </c>
    </row>
    <row r="12" customHeight="1" spans="1:8">
      <c r="A12" s="7">
        <v>2.4</v>
      </c>
      <c r="B12" s="7" t="s">
        <v>339</v>
      </c>
      <c r="C12" s="11">
        <f t="shared" si="0"/>
        <v>337.0073427</v>
      </c>
      <c r="D12" s="11">
        <f>E总成本费用估算表!C11</f>
        <v>0</v>
      </c>
      <c r="E12" s="11">
        <f>E总成本费用估算表!D11</f>
        <v>107.1992455</v>
      </c>
      <c r="F12" s="11">
        <f>E总成本费用估算表!E11</f>
        <v>107.2115309</v>
      </c>
      <c r="G12" s="11">
        <f>E总成本费用估算表!F11</f>
        <v>122.5965663</v>
      </c>
      <c r="H12" s="11">
        <f>E总成本费用估算表!G11</f>
        <v>138.4300708</v>
      </c>
    </row>
    <row r="13" customHeight="1" spans="1:8">
      <c r="A13" s="7">
        <v>2.5</v>
      </c>
      <c r="B13" s="7" t="s">
        <v>340</v>
      </c>
      <c r="C13" s="11">
        <f t="shared" si="0"/>
        <v>0</v>
      </c>
      <c r="D13" s="41">
        <f>G.税金及附加测算表!D30</f>
        <v>0</v>
      </c>
      <c r="E13" s="41">
        <f>G.税金及附加测算表!E30</f>
        <v>0</v>
      </c>
      <c r="F13" s="41">
        <f>G.税金及附加测算表!F30</f>
        <v>0</v>
      </c>
      <c r="G13" s="41">
        <f>G.税金及附加测算表!G30</f>
        <v>0</v>
      </c>
      <c r="H13" s="41">
        <f>G.税金及附加测算表!H30</f>
        <v>0</v>
      </c>
    </row>
    <row r="14" customHeight="1" spans="1:8">
      <c r="A14" s="7">
        <v>2.6</v>
      </c>
      <c r="B14" s="7" t="s">
        <v>341</v>
      </c>
      <c r="C14" s="11">
        <f t="shared" si="0"/>
        <v>0</v>
      </c>
      <c r="D14" s="41">
        <f>G.税金及附加测算表!D29</f>
        <v>0</v>
      </c>
      <c r="E14" s="41">
        <f>G.税金及附加测算表!E29</f>
        <v>0</v>
      </c>
      <c r="F14" s="41">
        <f>G.税金及附加测算表!F29</f>
        <v>0</v>
      </c>
      <c r="G14" s="41">
        <f>G.税金及附加测算表!G29</f>
        <v>0</v>
      </c>
      <c r="H14" s="41">
        <f>G.税金及附加测算表!H29</f>
        <v>0</v>
      </c>
    </row>
    <row r="15" customHeight="1" spans="1:8">
      <c r="A15" s="7">
        <v>2.7</v>
      </c>
      <c r="B15" s="7" t="s">
        <v>376</v>
      </c>
      <c r="C15" s="11">
        <f t="shared" si="0"/>
        <v>67.8880638082563</v>
      </c>
      <c r="D15" s="11">
        <f>'b利润与利润分配表（损益和利润分配表）'!D11</f>
        <v>0</v>
      </c>
      <c r="E15" s="11">
        <f>'b利润与利润分配表（损益和利润分配表）'!E11</f>
        <v>40.587511113427</v>
      </c>
      <c r="F15" s="11">
        <f>'b利润与利润分配表（损益和利润分配表）'!F11</f>
        <v>27.3005526948293</v>
      </c>
      <c r="G15" s="11">
        <f>'b利润与利润分配表（损益和利润分配表）'!G11</f>
        <v>0</v>
      </c>
      <c r="H15" s="11">
        <f>'b利润与利润分配表（损益和利润分配表）'!H11</f>
        <v>0</v>
      </c>
    </row>
    <row r="16" customHeight="1" spans="1:8">
      <c r="A16" s="7">
        <v>2.8</v>
      </c>
      <c r="B16" s="7" t="s">
        <v>342</v>
      </c>
      <c r="C16" s="11">
        <f t="shared" si="0"/>
        <v>6</v>
      </c>
      <c r="D16" s="39">
        <v>0</v>
      </c>
      <c r="E16" s="39">
        <v>1</v>
      </c>
      <c r="F16" s="39">
        <v>2</v>
      </c>
      <c r="G16" s="39">
        <v>3</v>
      </c>
      <c r="H16" s="39">
        <v>4</v>
      </c>
    </row>
    <row r="17" customHeight="1" spans="1:8">
      <c r="A17" s="7">
        <v>3</v>
      </c>
      <c r="B17" s="7" t="s">
        <v>377</v>
      </c>
      <c r="C17" s="11">
        <f t="shared" si="0"/>
        <v>3812.76322223453</v>
      </c>
      <c r="D17" s="11">
        <f t="shared" ref="D17" si="6">D3-D8</f>
        <v>-319.0152</v>
      </c>
      <c r="E17" s="11">
        <f t="shared" ref="E17:H17" si="7">E3-E8</f>
        <v>-536.996318057663</v>
      </c>
      <c r="F17" s="11">
        <f t="shared" si="7"/>
        <v>-1124.95657775225</v>
      </c>
      <c r="G17" s="11">
        <f t="shared" ref="G17:H17" si="8">G3-G8</f>
        <v>5793.73131804444</v>
      </c>
      <c r="H17" s="11">
        <f t="shared" si="8"/>
        <v>-12005.4610832232</v>
      </c>
    </row>
    <row r="18" customHeight="1" spans="1:8">
      <c r="A18" s="7" t="s">
        <v>352</v>
      </c>
      <c r="B18" s="42" t="s">
        <v>378</v>
      </c>
      <c r="C18" s="7"/>
      <c r="D18" s="59" t="e">
        <f>IRR(D17:H17)</f>
        <v>#NUM!</v>
      </c>
      <c r="E18" s="59"/>
      <c r="F18" s="59"/>
      <c r="G18" s="59"/>
      <c r="H18" s="59"/>
    </row>
  </sheetData>
  <mergeCells count="1">
    <mergeCell ref="A1:G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P31"/>
  <sheetViews>
    <sheetView zoomScale="70" zoomScaleNormal="70" workbookViewId="0">
      <pane xSplit="3" ySplit="2" topLeftCell="D9" activePane="bottomRight" state="frozen"/>
      <selection/>
      <selection pane="topRight"/>
      <selection pane="bottomLeft"/>
      <selection pane="bottomRight" activeCell="C27" sqref="C27"/>
    </sheetView>
  </sheetViews>
  <sheetFormatPr defaultColWidth="8.89090909090909" defaultRowHeight="28.05" customHeight="1"/>
  <cols>
    <col min="1" max="1" width="8.89090909090909" style="52"/>
    <col min="2" max="2" width="30.2181818181818" style="52" customWidth="1"/>
    <col min="3" max="3" width="12.5545454545455" style="52" customWidth="1"/>
    <col min="4" max="4" width="6.89090909090909" style="52" customWidth="1"/>
    <col min="5" max="6" width="9.33636363636364" style="52" customWidth="1"/>
    <col min="7" max="8" width="10.2181818181818" style="52" customWidth="1"/>
    <col min="9" max="16384" width="8.89090909090909" style="52"/>
  </cols>
  <sheetData>
    <row r="1" customHeight="1" spans="1:8">
      <c r="A1" s="38" t="s">
        <v>379</v>
      </c>
      <c r="B1" s="38"/>
      <c r="C1" s="38"/>
      <c r="D1" s="38"/>
      <c r="E1" s="38"/>
      <c r="F1" s="38"/>
      <c r="G1" s="38"/>
      <c r="H1" s="38"/>
    </row>
    <row r="2" customHeight="1" spans="1:16">
      <c r="A2" s="2" t="s">
        <v>1</v>
      </c>
      <c r="B2" s="2" t="s">
        <v>141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  <c r="I2"/>
      <c r="J2"/>
      <c r="K2"/>
      <c r="L2"/>
      <c r="M2"/>
      <c r="N2"/>
      <c r="O2"/>
      <c r="P2"/>
    </row>
    <row r="3" ht="21.6" customHeight="1" spans="1:16">
      <c r="A3" s="7">
        <v>1</v>
      </c>
      <c r="B3" s="7" t="s">
        <v>380</v>
      </c>
      <c r="C3" s="41">
        <f t="shared" ref="C3:C8" si="0">SUM(D3:H3)</f>
        <v>1977.72168599619</v>
      </c>
      <c r="D3" s="41">
        <f>F项目收入!D12</f>
        <v>0</v>
      </c>
      <c r="E3" s="41">
        <f>F项目收入!E12</f>
        <v>298.814263458542</v>
      </c>
      <c r="F3" s="41">
        <f>F项目收入!F12</f>
        <v>478.8575385148</v>
      </c>
      <c r="G3" s="41">
        <f>F项目收入!G12</f>
        <v>599.534187294443</v>
      </c>
      <c r="H3" s="41">
        <f>F项目收入!H12</f>
        <v>600.515696728406</v>
      </c>
      <c r="I3"/>
      <c r="J3"/>
      <c r="K3"/>
      <c r="L3"/>
      <c r="M3"/>
      <c r="N3"/>
      <c r="O3"/>
      <c r="P3"/>
    </row>
    <row r="4" ht="21.6" customHeight="1" spans="1:16">
      <c r="A4" s="7">
        <v>2</v>
      </c>
      <c r="B4" s="7" t="s">
        <v>340</v>
      </c>
      <c r="C4" s="11">
        <f t="shared" si="0"/>
        <v>0</v>
      </c>
      <c r="D4" s="41">
        <f>G.税金及附加测算表!D30</f>
        <v>0</v>
      </c>
      <c r="E4" s="41">
        <f>G.税金及附加测算表!E30</f>
        <v>0</v>
      </c>
      <c r="F4" s="41">
        <f>G.税金及附加测算表!F30</f>
        <v>0</v>
      </c>
      <c r="G4" s="41">
        <f>G.税金及附加测算表!G30</f>
        <v>0</v>
      </c>
      <c r="H4" s="41">
        <f>G.税金及附加测算表!H30</f>
        <v>0</v>
      </c>
      <c r="I4"/>
      <c r="J4"/>
      <c r="K4"/>
      <c r="L4"/>
      <c r="M4"/>
      <c r="N4"/>
      <c r="O4"/>
      <c r="P4"/>
    </row>
    <row r="5" ht="21.6" customHeight="1" spans="1:16">
      <c r="A5" s="7">
        <v>3</v>
      </c>
      <c r="B5" s="7" t="s">
        <v>381</v>
      </c>
      <c r="C5" s="11">
        <f t="shared" si="0"/>
        <v>2297.16420053394</v>
      </c>
      <c r="D5" s="11">
        <f>E总成本费用估算表!C15-G.税金及附加测算表!D4</f>
        <v>0</v>
      </c>
      <c r="E5" s="11">
        <f>E总成本费用估算表!D15-G.税金及附加测算表!E4</f>
        <v>136.464219004834</v>
      </c>
      <c r="F5" s="11">
        <f>E总成本费用估算表!E15-G.税金及附加测算表!F4</f>
        <v>369.655327735483</v>
      </c>
      <c r="G5" s="11">
        <f>E总成本费用估算表!F15-G.税金及附加测算表!G4</f>
        <v>906.909034636095</v>
      </c>
      <c r="H5" s="11">
        <f>E总成本费用估算表!G15-G.税金及附加测算表!H4</f>
        <v>884.135619157527</v>
      </c>
      <c r="I5"/>
      <c r="J5"/>
      <c r="K5"/>
      <c r="L5"/>
      <c r="M5"/>
      <c r="N5"/>
      <c r="O5"/>
      <c r="P5"/>
    </row>
    <row r="6" ht="21.6" customHeight="1" spans="1:16">
      <c r="A6" s="7">
        <v>4</v>
      </c>
      <c r="B6" s="7" t="s">
        <v>286</v>
      </c>
      <c r="C6" s="11">
        <f t="shared" si="0"/>
        <v>0</v>
      </c>
      <c r="D6" s="11">
        <f>F项目收入!D9</f>
        <v>0</v>
      </c>
      <c r="E6" s="11">
        <f>F项目收入!E9</f>
        <v>0</v>
      </c>
      <c r="F6" s="11">
        <f>F项目收入!F9</f>
        <v>0</v>
      </c>
      <c r="G6" s="11">
        <f>F项目收入!G9</f>
        <v>0</v>
      </c>
      <c r="H6" s="11">
        <f>F项目收入!H9</f>
        <v>0</v>
      </c>
      <c r="I6"/>
      <c r="J6"/>
      <c r="K6"/>
      <c r="L6"/>
      <c r="M6"/>
      <c r="N6"/>
      <c r="O6"/>
      <c r="P6"/>
    </row>
    <row r="7" ht="21.6" customHeight="1" spans="1:16">
      <c r="A7" s="7">
        <v>5</v>
      </c>
      <c r="B7" s="7" t="s">
        <v>382</v>
      </c>
      <c r="C7" s="11">
        <f t="shared" si="0"/>
        <v>-319.442514537747</v>
      </c>
      <c r="D7" s="11">
        <f>D3-D4-D5+D6</f>
        <v>0</v>
      </c>
      <c r="E7" s="11">
        <f t="shared" ref="E7:H7" si="1">E3-E4-E5+E6</f>
        <v>162.350044453708</v>
      </c>
      <c r="F7" s="11">
        <f t="shared" si="1"/>
        <v>109.202210779317</v>
      </c>
      <c r="G7" s="11">
        <f t="shared" si="1"/>
        <v>-307.374847341652</v>
      </c>
      <c r="H7" s="11">
        <f t="shared" si="1"/>
        <v>-283.619922429121</v>
      </c>
      <c r="I7"/>
      <c r="J7"/>
      <c r="K7"/>
      <c r="L7"/>
      <c r="M7"/>
      <c r="N7"/>
      <c r="O7"/>
      <c r="P7"/>
    </row>
    <row r="8" ht="21.6" customHeight="1" spans="1:16">
      <c r="A8" s="7">
        <v>6</v>
      </c>
      <c r="B8" s="7" t="s">
        <v>383</v>
      </c>
      <c r="C8" s="11">
        <f t="shared" si="0"/>
        <v>0</v>
      </c>
      <c r="D8" s="41">
        <v>0</v>
      </c>
      <c r="E8" s="11">
        <f>IF(E7&lt;0,0,IF(D9&lt;0,IF((E7+D9)&lt;0,E7,-D9),0))</f>
        <v>0</v>
      </c>
      <c r="F8" s="11">
        <f t="shared" ref="F8:H8" si="2">IF(F7&lt;0,0,IF(E9&lt;0,IF((F7+E9)&lt;0,F7,-E9),0))</f>
        <v>0</v>
      </c>
      <c r="G8" s="11">
        <f t="shared" si="2"/>
        <v>0</v>
      </c>
      <c r="H8" s="11">
        <f t="shared" si="2"/>
        <v>0</v>
      </c>
      <c r="I8"/>
      <c r="J8"/>
      <c r="K8"/>
      <c r="L8"/>
      <c r="M8"/>
      <c r="N8"/>
      <c r="O8"/>
      <c r="P8"/>
    </row>
    <row r="9" ht="21.6" customHeight="1" spans="1:16">
      <c r="A9" s="7"/>
      <c r="B9" s="7" t="s">
        <v>384</v>
      </c>
      <c r="C9" s="11" t="s">
        <v>132</v>
      </c>
      <c r="D9" s="11">
        <f>IF(D7&lt;0,D7,0)</f>
        <v>0</v>
      </c>
      <c r="E9" s="11">
        <f>IF(E7&lt;0,E7+D9,D9+E8)</f>
        <v>0</v>
      </c>
      <c r="F9" s="11">
        <f t="shared" ref="F9:H9" si="3">IF(F7&lt;0,F7+E9,E9+F8)</f>
        <v>0</v>
      </c>
      <c r="G9" s="11">
        <f t="shared" si="3"/>
        <v>-307.374847341652</v>
      </c>
      <c r="H9" s="11">
        <f t="shared" si="3"/>
        <v>-590.994769770772</v>
      </c>
      <c r="I9"/>
      <c r="J9"/>
      <c r="K9"/>
      <c r="L9"/>
      <c r="M9"/>
      <c r="N9"/>
      <c r="O9"/>
      <c r="P9"/>
    </row>
    <row r="10" ht="21.6" customHeight="1" spans="1:16">
      <c r="A10" s="7">
        <v>7</v>
      </c>
      <c r="B10" s="7" t="s">
        <v>385</v>
      </c>
      <c r="C10" s="11">
        <f t="shared" ref="C10:C26" si="4">SUM(D10:H10)</f>
        <v>271.552255233025</v>
      </c>
      <c r="D10" s="11">
        <f t="shared" ref="D10" si="5">IF(D9&lt;0,0,(D7-D8))</f>
        <v>0</v>
      </c>
      <c r="E10" s="11">
        <f t="shared" ref="E10:H10" si="6">IF(E9&lt;0,0,(E7-E8))</f>
        <v>162.350044453708</v>
      </c>
      <c r="F10" s="11">
        <f t="shared" si="6"/>
        <v>109.202210779317</v>
      </c>
      <c r="G10" s="11">
        <f t="shared" si="6"/>
        <v>0</v>
      </c>
      <c r="H10" s="11">
        <f t="shared" si="6"/>
        <v>0</v>
      </c>
      <c r="I10"/>
      <c r="J10"/>
      <c r="K10"/>
      <c r="L10"/>
      <c r="M10"/>
      <c r="N10"/>
      <c r="O10"/>
      <c r="P10"/>
    </row>
    <row r="11" ht="21.6" customHeight="1" spans="1:16">
      <c r="A11" s="7">
        <v>8</v>
      </c>
      <c r="B11" s="36" t="s">
        <v>376</v>
      </c>
      <c r="C11" s="11">
        <f t="shared" si="4"/>
        <v>67.8880638082563</v>
      </c>
      <c r="D11" s="11">
        <f>D10*A财务假设!$D$9</f>
        <v>0</v>
      </c>
      <c r="E11" s="11">
        <f>E10*A财务假设!$D$9</f>
        <v>40.587511113427</v>
      </c>
      <c r="F11" s="11">
        <f>F10*A财务假设!$D$9</f>
        <v>27.3005526948293</v>
      </c>
      <c r="G11" s="11">
        <f>G10*A财务假设!$D$9</f>
        <v>0</v>
      </c>
      <c r="H11" s="11">
        <f>H10*A财务假设!$D$9</f>
        <v>0</v>
      </c>
      <c r="I11"/>
      <c r="J11"/>
      <c r="K11"/>
      <c r="L11"/>
      <c r="M11"/>
      <c r="N11"/>
      <c r="O11"/>
      <c r="P11"/>
    </row>
    <row r="12" ht="21.6" customHeight="1" spans="1:16">
      <c r="A12" s="7">
        <v>9</v>
      </c>
      <c r="B12" s="7" t="s">
        <v>386</v>
      </c>
      <c r="C12" s="11">
        <f t="shared" si="4"/>
        <v>-387.330578346003</v>
      </c>
      <c r="D12" s="11">
        <f>D7-D11</f>
        <v>0</v>
      </c>
      <c r="E12" s="11">
        <f t="shared" ref="E12:H12" si="7">E7-E11</f>
        <v>121.762533340281</v>
      </c>
      <c r="F12" s="11">
        <f t="shared" si="7"/>
        <v>81.9016580844879</v>
      </c>
      <c r="G12" s="11">
        <f t="shared" si="7"/>
        <v>-307.374847341652</v>
      </c>
      <c r="H12" s="11">
        <f t="shared" si="7"/>
        <v>-283.619922429121</v>
      </c>
      <c r="I12"/>
      <c r="J12"/>
      <c r="K12"/>
      <c r="L12"/>
      <c r="M12"/>
      <c r="N12"/>
      <c r="O12"/>
      <c r="P12"/>
    </row>
    <row r="13" ht="21.6" customHeight="1" spans="1:16">
      <c r="A13" s="7">
        <v>10</v>
      </c>
      <c r="B13" s="7" t="s">
        <v>387</v>
      </c>
      <c r="C13" s="11">
        <f t="shared" si="4"/>
        <v>0</v>
      </c>
      <c r="D13" s="39">
        <v>0</v>
      </c>
      <c r="E13" s="39">
        <v>0</v>
      </c>
      <c r="F13" s="39">
        <v>0</v>
      </c>
      <c r="G13" s="39">
        <v>0</v>
      </c>
      <c r="H13" s="39">
        <v>0</v>
      </c>
      <c r="I13"/>
      <c r="J13"/>
      <c r="K13"/>
      <c r="L13"/>
      <c r="M13"/>
      <c r="N13"/>
      <c r="O13"/>
      <c r="P13"/>
    </row>
    <row r="14" ht="21.6" customHeight="1" spans="1:16">
      <c r="A14" s="7">
        <v>11</v>
      </c>
      <c r="B14" s="7" t="s">
        <v>388</v>
      </c>
      <c r="C14" s="11">
        <f t="shared" si="4"/>
        <v>-387.330578346003</v>
      </c>
      <c r="D14" s="11">
        <f t="shared" ref="D14" si="8">SUM(D12:D13)</f>
        <v>0</v>
      </c>
      <c r="E14" s="11">
        <f t="shared" ref="E14:H14" si="9">SUM(E12:E13)</f>
        <v>121.762533340281</v>
      </c>
      <c r="F14" s="11">
        <f t="shared" si="9"/>
        <v>81.9016580844879</v>
      </c>
      <c r="G14" s="11">
        <f t="shared" si="9"/>
        <v>-307.374847341652</v>
      </c>
      <c r="H14" s="11">
        <f t="shared" si="9"/>
        <v>-283.619922429121</v>
      </c>
      <c r="I14"/>
      <c r="J14"/>
      <c r="K14"/>
      <c r="L14"/>
      <c r="M14"/>
      <c r="N14"/>
      <c r="O14"/>
      <c r="P14"/>
    </row>
    <row r="15" ht="21.6" customHeight="1" spans="1:16">
      <c r="A15" s="7">
        <v>12</v>
      </c>
      <c r="B15" s="7" t="s">
        <v>389</v>
      </c>
      <c r="C15" s="11">
        <f t="shared" si="4"/>
        <v>-38.7330578346003</v>
      </c>
      <c r="D15" s="11">
        <f>D12*A财务假设!$D$10</f>
        <v>0</v>
      </c>
      <c r="E15" s="11">
        <f>E12*A财务假设!$D$10</f>
        <v>12.1762533340281</v>
      </c>
      <c r="F15" s="11">
        <f>F12*A财务假设!$D$10</f>
        <v>8.19016580844879</v>
      </c>
      <c r="G15" s="11">
        <f>G12*A财务假设!$D$10</f>
        <v>-30.7374847341652</v>
      </c>
      <c r="H15" s="11">
        <f>H12*A财务假设!$D$10</f>
        <v>-28.3619922429121</v>
      </c>
      <c r="I15"/>
      <c r="J15"/>
      <c r="K15"/>
      <c r="L15"/>
      <c r="M15"/>
      <c r="N15"/>
      <c r="O15"/>
      <c r="P15"/>
    </row>
    <row r="16" ht="21.6" customHeight="1" spans="1:16">
      <c r="A16" s="7">
        <v>13</v>
      </c>
      <c r="B16" s="7" t="s">
        <v>390</v>
      </c>
      <c r="C16" s="11">
        <f t="shared" si="4"/>
        <v>-348.597520511403</v>
      </c>
      <c r="D16" s="11">
        <f t="shared" ref="D16" si="10">D14-D15</f>
        <v>0</v>
      </c>
      <c r="E16" s="11">
        <f t="shared" ref="E16:H16" si="11">E14-E15</f>
        <v>109.586280006253</v>
      </c>
      <c r="F16" s="11">
        <f t="shared" si="11"/>
        <v>73.7114922760391</v>
      </c>
      <c r="G16" s="11">
        <f t="shared" si="11"/>
        <v>-276.637362607486</v>
      </c>
      <c r="H16" s="11">
        <f t="shared" si="11"/>
        <v>-255.257930186209</v>
      </c>
      <c r="I16"/>
      <c r="J16"/>
      <c r="K16"/>
      <c r="L16"/>
      <c r="M16"/>
      <c r="N16"/>
      <c r="O16"/>
      <c r="P16"/>
    </row>
    <row r="17" ht="21.6" customHeight="1" spans="1:16">
      <c r="A17" s="7">
        <v>14</v>
      </c>
      <c r="B17" s="53" t="s">
        <v>391</v>
      </c>
      <c r="C17" s="11">
        <f t="shared" si="4"/>
        <v>0</v>
      </c>
      <c r="D17" s="39">
        <v>0</v>
      </c>
      <c r="E17" s="39">
        <v>0</v>
      </c>
      <c r="F17" s="39">
        <v>0</v>
      </c>
      <c r="G17" s="39">
        <v>0</v>
      </c>
      <c r="H17" s="39">
        <v>0</v>
      </c>
      <c r="I17"/>
      <c r="J17"/>
      <c r="K17"/>
      <c r="L17"/>
      <c r="M17"/>
      <c r="N17"/>
      <c r="O17"/>
      <c r="P17"/>
    </row>
    <row r="18" ht="21.6" customHeight="1" spans="1:16">
      <c r="A18" s="7">
        <v>15</v>
      </c>
      <c r="B18" s="53" t="s">
        <v>392</v>
      </c>
      <c r="C18" s="11">
        <f t="shared" si="4"/>
        <v>-17.4298760255702</v>
      </c>
      <c r="D18" s="11">
        <f>D16*A财务假设!$D$11</f>
        <v>0</v>
      </c>
      <c r="E18" s="11">
        <f>E16*A财务假设!$D$11</f>
        <v>5.47931400031265</v>
      </c>
      <c r="F18" s="11">
        <f>F16*A财务假设!$D$11</f>
        <v>3.68557461380196</v>
      </c>
      <c r="G18" s="11">
        <f>G16*A财务假设!$D$11</f>
        <v>-13.8318681303743</v>
      </c>
      <c r="H18" s="11">
        <f>H16*A财务假设!$D$11</f>
        <v>-12.7628965093104</v>
      </c>
      <c r="I18"/>
      <c r="J18"/>
      <c r="K18"/>
      <c r="L18"/>
      <c r="M18"/>
      <c r="N18"/>
      <c r="O18"/>
      <c r="P18"/>
    </row>
    <row r="19" ht="21.6" customHeight="1" spans="1:16">
      <c r="A19" s="7">
        <v>16</v>
      </c>
      <c r="B19" s="53" t="s">
        <v>393</v>
      </c>
      <c r="C19" s="11">
        <f t="shared" si="4"/>
        <v>-331.167644485833</v>
      </c>
      <c r="D19" s="54">
        <f t="shared" ref="D19" si="12">D16-D17-D18</f>
        <v>0</v>
      </c>
      <c r="E19" s="54">
        <f t="shared" ref="E19:H19" si="13">E16-E17-E18</f>
        <v>104.10696600594</v>
      </c>
      <c r="F19" s="54">
        <f t="shared" si="13"/>
        <v>70.0259176622372</v>
      </c>
      <c r="G19" s="54">
        <f t="shared" si="13"/>
        <v>-262.805494477112</v>
      </c>
      <c r="H19" s="54">
        <f t="shared" si="13"/>
        <v>-242.495033676898</v>
      </c>
      <c r="I19"/>
      <c r="J19"/>
      <c r="K19"/>
      <c r="L19"/>
      <c r="M19"/>
      <c r="N19"/>
      <c r="O19"/>
      <c r="P19"/>
    </row>
    <row r="20" ht="21.6" customHeight="1" spans="1:16">
      <c r="A20" s="7">
        <v>17</v>
      </c>
      <c r="B20" s="53" t="s">
        <v>394</v>
      </c>
      <c r="C20" s="11">
        <f t="shared" si="4"/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/>
      <c r="J20"/>
      <c r="K20"/>
      <c r="L20"/>
      <c r="M20"/>
      <c r="N20"/>
      <c r="O20"/>
      <c r="P20"/>
    </row>
    <row r="21" ht="21.6" customHeight="1" spans="1:16">
      <c r="A21" s="7">
        <v>17.1</v>
      </c>
      <c r="B21" s="53" t="s">
        <v>395</v>
      </c>
      <c r="C21" s="11">
        <f t="shared" si="4"/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/>
      <c r="J21"/>
      <c r="K21"/>
      <c r="L21"/>
      <c r="M21"/>
      <c r="N21"/>
      <c r="O21"/>
      <c r="P21"/>
    </row>
    <row r="22" ht="21.6" customHeight="1" spans="1:16">
      <c r="A22" s="7">
        <v>18</v>
      </c>
      <c r="B22" s="7" t="s">
        <v>396</v>
      </c>
      <c r="C22" s="11">
        <f t="shared" si="4"/>
        <v>0</v>
      </c>
      <c r="D22" s="11">
        <f t="shared" ref="D22" si="14">D16-D17-D18-D19</f>
        <v>0</v>
      </c>
      <c r="E22" s="11">
        <f t="shared" ref="E22:H22" si="15">E16-E17-E18-E19</f>
        <v>0</v>
      </c>
      <c r="F22" s="11">
        <f t="shared" si="15"/>
        <v>0</v>
      </c>
      <c r="G22" s="11">
        <f t="shared" si="15"/>
        <v>0</v>
      </c>
      <c r="H22" s="11">
        <f t="shared" si="15"/>
        <v>0</v>
      </c>
      <c r="I22"/>
      <c r="J22"/>
      <c r="K22"/>
      <c r="L22"/>
      <c r="M22"/>
      <c r="N22"/>
      <c r="O22"/>
      <c r="P22"/>
    </row>
    <row r="23" ht="21.6" customHeight="1" spans="1:16">
      <c r="A23" s="7">
        <v>18.1</v>
      </c>
      <c r="B23" s="7" t="s">
        <v>397</v>
      </c>
      <c r="C23" s="11">
        <f t="shared" si="4"/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/>
      <c r="J23"/>
      <c r="K23"/>
      <c r="L23"/>
      <c r="M23"/>
      <c r="N23"/>
      <c r="O23"/>
      <c r="P23"/>
    </row>
    <row r="24" ht="21.6" customHeight="1" spans="1:16">
      <c r="A24" s="7">
        <v>18.2</v>
      </c>
      <c r="B24" s="7" t="s">
        <v>398</v>
      </c>
      <c r="C24" s="11">
        <f t="shared" si="4"/>
        <v>0</v>
      </c>
      <c r="D24" s="11">
        <f>D22</f>
        <v>0</v>
      </c>
      <c r="E24" s="11">
        <f t="shared" ref="E24:H24" si="16">E22</f>
        <v>0</v>
      </c>
      <c r="F24" s="11">
        <f t="shared" si="16"/>
        <v>0</v>
      </c>
      <c r="G24" s="11">
        <f t="shared" si="16"/>
        <v>0</v>
      </c>
      <c r="H24" s="11">
        <f t="shared" si="16"/>
        <v>0</v>
      </c>
      <c r="I24"/>
      <c r="J24"/>
      <c r="K24"/>
      <c r="L24"/>
      <c r="M24"/>
      <c r="N24"/>
      <c r="O24"/>
      <c r="P24"/>
    </row>
    <row r="25" ht="33" spans="1:16">
      <c r="A25" s="7">
        <v>19</v>
      </c>
      <c r="B25" s="36" t="s">
        <v>399</v>
      </c>
      <c r="C25" s="11">
        <f t="shared" si="4"/>
        <v>983.827485462253</v>
      </c>
      <c r="D25" s="11">
        <f>D7+E总成本费用估算表!C14</f>
        <v>0</v>
      </c>
      <c r="E25" s="11">
        <f>E7+E总成本费用估算表!D14</f>
        <v>187.260044453708</v>
      </c>
      <c r="F25" s="11">
        <f>F7+E总成本费用估算表!E14</f>
        <v>379.820210779317</v>
      </c>
      <c r="G25" s="11">
        <f>G7+E总成本费用估算表!F14</f>
        <v>208.951152658348</v>
      </c>
      <c r="H25" s="11">
        <f>H7+E总成本费用估算表!G14</f>
        <v>207.796077570879</v>
      </c>
      <c r="I25"/>
      <c r="J25"/>
      <c r="K25"/>
      <c r="L25"/>
      <c r="M25"/>
      <c r="N25"/>
      <c r="O25"/>
      <c r="P25"/>
    </row>
    <row r="26" ht="33" spans="1:16">
      <c r="A26" s="7">
        <v>20</v>
      </c>
      <c r="B26" s="36" t="s">
        <v>400</v>
      </c>
      <c r="C26" s="11">
        <f t="shared" si="4"/>
        <v>1538.48431508191</v>
      </c>
      <c r="D26" s="11">
        <f>D25+E总成本费用估算表!C12+E总成本费用估算表!C13</f>
        <v>0</v>
      </c>
      <c r="E26" s="11">
        <f>E25+E总成本费用估算表!D12+E总成本费用估算表!D13</f>
        <v>199.789221123059</v>
      </c>
      <c r="F26" s="11">
        <f>F25+E总成本费用估算表!E12+E总成本费用估算表!E13</f>
        <v>379.820210779317</v>
      </c>
      <c r="G26" s="11">
        <f>G25+E总成本费用估算表!F12+E总成本费用估算表!F13</f>
        <v>486.279567468177</v>
      </c>
      <c r="H26" s="11">
        <f>H25+E总成本费用估算表!G12+E总成本费用估算表!G13</f>
        <v>472.595315711357</v>
      </c>
      <c r="I26"/>
      <c r="J26"/>
      <c r="K26"/>
      <c r="L26"/>
      <c r="M26"/>
      <c r="N26"/>
      <c r="O26"/>
      <c r="P26"/>
    </row>
    <row r="27" ht="21.6" customHeight="1" spans="1:16">
      <c r="A27" s="7">
        <v>21</v>
      </c>
      <c r="B27" s="36" t="s">
        <v>401</v>
      </c>
      <c r="C27" s="55">
        <f>(C26-C11)/c借款还本付息计划表!C29</f>
        <v>0.0640564525507851</v>
      </c>
      <c r="D27" s="55"/>
      <c r="E27" s="55"/>
      <c r="F27" s="55"/>
      <c r="G27" s="55"/>
      <c r="H27" s="55"/>
      <c r="I27"/>
      <c r="J27"/>
      <c r="K27"/>
      <c r="L27"/>
      <c r="M27"/>
      <c r="N27"/>
      <c r="O27"/>
      <c r="P27"/>
    </row>
    <row r="28" ht="21.6" customHeight="1" spans="1:16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customHeight="1" spans="9:16">
      <c r="I29"/>
      <c r="J29"/>
      <c r="K29"/>
      <c r="L29"/>
      <c r="M29"/>
      <c r="N29"/>
      <c r="O29"/>
      <c r="P29"/>
    </row>
    <row r="30" customHeight="1" spans="9:16">
      <c r="I30"/>
      <c r="J30"/>
      <c r="K30"/>
      <c r="L30"/>
      <c r="M30"/>
      <c r="N30"/>
      <c r="O30"/>
      <c r="P30"/>
    </row>
    <row r="31" customHeight="1" spans="9:16">
      <c r="I31"/>
      <c r="J31"/>
      <c r="K31"/>
      <c r="L31"/>
      <c r="M31"/>
      <c r="N31"/>
      <c r="O31"/>
      <c r="P31"/>
    </row>
  </sheetData>
  <mergeCells count="1">
    <mergeCell ref="A1:H1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K42"/>
  <sheetViews>
    <sheetView zoomScale="70" zoomScaleNormal="70" workbookViewId="0">
      <pane xSplit="2" ySplit="2" topLeftCell="C23" activePane="bottomRight" state="frozen"/>
      <selection/>
      <selection pane="topRight"/>
      <selection pane="bottomLeft"/>
      <selection pane="bottomRight" activeCell="B29" sqref="B29"/>
    </sheetView>
  </sheetViews>
  <sheetFormatPr defaultColWidth="8.89090909090909" defaultRowHeight="28.05" customHeight="1"/>
  <cols>
    <col min="1" max="1" width="10.3363636363636" customWidth="1"/>
    <col min="2" max="2" width="22.2181818181818" customWidth="1"/>
    <col min="3" max="3" width="18.1090909090909" customWidth="1"/>
    <col min="4" max="4" width="12.1090909090909" customWidth="1"/>
    <col min="5" max="9" width="11.2181818181818" customWidth="1"/>
    <col min="10" max="10" width="17.7818181818182" customWidth="1"/>
  </cols>
  <sheetData>
    <row r="1" customHeight="1" spans="1:9">
      <c r="A1" s="44" t="s">
        <v>402</v>
      </c>
      <c r="B1" s="45"/>
      <c r="C1" s="45"/>
      <c r="D1" s="45"/>
      <c r="E1" s="45"/>
      <c r="F1" s="45"/>
      <c r="G1" s="45"/>
      <c r="H1" s="45"/>
      <c r="I1" s="45"/>
    </row>
    <row r="2" customHeight="1" spans="1:9">
      <c r="A2" s="2" t="s">
        <v>1</v>
      </c>
      <c r="B2" s="2" t="s">
        <v>141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  <c r="I2" s="33">
        <v>2030</v>
      </c>
    </row>
    <row r="3" customHeight="1" spans="1:9">
      <c r="A3" s="10">
        <v>1</v>
      </c>
      <c r="B3" s="10" t="s">
        <v>72</v>
      </c>
      <c r="C3" s="10"/>
      <c r="D3" s="10"/>
      <c r="E3" s="10"/>
      <c r="F3" s="10"/>
      <c r="G3" s="10"/>
      <c r="H3" s="10"/>
      <c r="I3" s="10"/>
    </row>
    <row r="4" customHeight="1" spans="1:9">
      <c r="A4" s="10">
        <v>1.1</v>
      </c>
      <c r="B4" s="7" t="s">
        <v>403</v>
      </c>
      <c r="C4" s="11" t="s">
        <v>132</v>
      </c>
      <c r="D4" s="39">
        <v>0</v>
      </c>
      <c r="E4" s="39">
        <f>D8</f>
        <v>1175</v>
      </c>
      <c r="F4" s="39">
        <f t="shared" ref="F4:G4" si="0">E8</f>
        <v>1175</v>
      </c>
      <c r="G4" s="39">
        <f t="shared" si="0"/>
        <v>1175</v>
      </c>
      <c r="H4" s="39"/>
      <c r="I4" s="39"/>
    </row>
    <row r="5" customHeight="1" spans="1:9">
      <c r="A5" s="10">
        <v>1.2</v>
      </c>
      <c r="B5" s="7" t="s">
        <v>404</v>
      </c>
      <c r="C5" s="11">
        <f>SUM(D5:I5)</f>
        <v>1249.73</v>
      </c>
      <c r="D5" s="11">
        <f t="shared" ref="D5" si="1">D6+D7</f>
        <v>0</v>
      </c>
      <c r="E5" s="11">
        <f t="shared" ref="E5:F5" si="2">E6+E7</f>
        <v>24.91</v>
      </c>
      <c r="F5" s="11">
        <f t="shared" si="2"/>
        <v>24.91</v>
      </c>
      <c r="G5" s="11">
        <f t="shared" ref="G5" si="3">G6+G7</f>
        <v>1199.91</v>
      </c>
      <c r="H5" s="11"/>
      <c r="I5" s="11"/>
    </row>
    <row r="6" customHeight="1" spans="1:9">
      <c r="A6" s="10" t="s">
        <v>147</v>
      </c>
      <c r="B6" s="7" t="s">
        <v>405</v>
      </c>
      <c r="C6" s="11">
        <f>SUM(D6:I6)</f>
        <v>1175</v>
      </c>
      <c r="D6" s="39">
        <v>0</v>
      </c>
      <c r="E6" s="39">
        <v>0</v>
      </c>
      <c r="F6" s="39">
        <v>0</v>
      </c>
      <c r="G6" s="39">
        <f>E4</f>
        <v>1175</v>
      </c>
      <c r="H6" s="39"/>
      <c r="I6" s="39"/>
    </row>
    <row r="7" customHeight="1" spans="1:9">
      <c r="A7" s="10" t="s">
        <v>149</v>
      </c>
      <c r="B7" s="7" t="s">
        <v>406</v>
      </c>
      <c r="C7" s="11">
        <f>SUM(D7:I7)</f>
        <v>74.73</v>
      </c>
      <c r="D7" s="46">
        <f>IF(C.1项目融资信息!G4&lt;10,0,IF(MONTH(C.1项目融资信息!E4)&gt;6,0,C.1项目融资信息!D4*C.1项目融资信息!H4/2))</f>
        <v>0</v>
      </c>
      <c r="E7" s="46">
        <f>C.1项目融资信息!$D$4*C.1项目融资信息!$H$4</f>
        <v>24.91</v>
      </c>
      <c r="F7" s="46">
        <f>C.1项目融资信息!$D$4*C.1项目融资信息!$H$4</f>
        <v>24.91</v>
      </c>
      <c r="G7" s="46">
        <f>IF(C.1项目融资信息!G4&lt;10,C.1项目融资信息!$D$4*C.1项目融资信息!$H$4,IF(MONTH(C.1项目融资信息!E4)&gt;6,C.1项目融资信息!$D$4*C.1项目融资信息!$H$4,C.1项目融资信息!D4*C.1项目融资信息!H4/2))</f>
        <v>24.91</v>
      </c>
      <c r="H7" s="39"/>
      <c r="I7" s="39"/>
    </row>
    <row r="8" customHeight="1" spans="1:9">
      <c r="A8" s="10">
        <v>1.3</v>
      </c>
      <c r="B8" s="7" t="s">
        <v>407</v>
      </c>
      <c r="C8" s="11" t="s">
        <v>132</v>
      </c>
      <c r="D8" s="47">
        <f>D4+C.2项目每年借款信息!C3-D6</f>
        <v>1175</v>
      </c>
      <c r="E8" s="47">
        <f>E4+C.2项目每年借款信息!D3-E6</f>
        <v>1175</v>
      </c>
      <c r="F8" s="47">
        <f>F4+C.2项目每年借款信息!E3-F6</f>
        <v>1175</v>
      </c>
      <c r="G8" s="47">
        <f>G4+C.2项目每年借款信息!W3-G6</f>
        <v>0</v>
      </c>
      <c r="H8" s="47"/>
      <c r="I8" s="47"/>
    </row>
    <row r="9" customHeight="1" spans="1:9">
      <c r="A9" s="10">
        <v>1.4</v>
      </c>
      <c r="B9" s="7" t="s">
        <v>408</v>
      </c>
      <c r="C9" s="48">
        <f>SUM(D9:I9)</f>
        <v>0.0624865</v>
      </c>
      <c r="D9" s="48">
        <f>D5*A财务假设!$D$18</f>
        <v>0</v>
      </c>
      <c r="E9" s="48">
        <f>E5*A财务假设!$D$18</f>
        <v>0.0012455</v>
      </c>
      <c r="F9" s="48">
        <f>F5*A财务假设!$D$18</f>
        <v>0.0012455</v>
      </c>
      <c r="G9" s="48">
        <f>G5*A财务假设!$D$18</f>
        <v>0.0599955</v>
      </c>
      <c r="H9" s="11"/>
      <c r="I9" s="11"/>
    </row>
    <row r="10" customHeight="1" spans="1:9">
      <c r="A10" s="10">
        <v>1.5</v>
      </c>
      <c r="B10" s="7" t="s">
        <v>409</v>
      </c>
      <c r="C10" s="11">
        <f>SUM(D10:I10)</f>
        <v>1.0152</v>
      </c>
      <c r="D10" s="47">
        <f>C.2项目每年借款信息!C3*(A财务假设!$D$17+IF(C.1项目融资信息!G4&gt;4,A财务假设!$D$16,A财务假设!$D$15))</f>
        <v>1.0152</v>
      </c>
      <c r="E10" s="47">
        <f>C.2项目每年借款信息!D3*(A财务假设!$D$17+IF(C.1项目融资信息!H4&gt;4,A财务假设!$D$16,A财务假设!$D$15))</f>
        <v>0</v>
      </c>
      <c r="F10" s="47">
        <f>C.2项目每年借款信息!E3*(A财务假设!$D$17+IF(C.1项目融资信息!I4&gt;4,A财务假设!$D$16,A财务假设!$D$15))</f>
        <v>0</v>
      </c>
      <c r="G10" s="47">
        <f>C.2项目每年借款信息!W3*(A财务假设!$D$17+IF(C.1项目融资信息!AA4&gt;4,A财务假设!$D$16,A财务假设!$D$15))</f>
        <v>0</v>
      </c>
      <c r="H10" s="47"/>
      <c r="I10" s="11"/>
    </row>
    <row r="11" customHeight="1" spans="1:9">
      <c r="A11" s="10">
        <v>2</v>
      </c>
      <c r="B11" s="10" t="s">
        <v>76</v>
      </c>
      <c r="C11" s="10"/>
      <c r="D11" s="10"/>
      <c r="E11" s="10"/>
      <c r="F11" s="10"/>
      <c r="G11" s="10"/>
      <c r="H11" s="10"/>
      <c r="I11" s="10"/>
    </row>
    <row r="12" customHeight="1" spans="1:9">
      <c r="A12" s="10">
        <v>2.1</v>
      </c>
      <c r="B12" s="7" t="s">
        <v>403</v>
      </c>
      <c r="C12" s="11" t="s">
        <v>132</v>
      </c>
      <c r="D12" s="39"/>
      <c r="E12" s="39">
        <v>0</v>
      </c>
      <c r="F12" s="39">
        <f>$E$16</f>
        <v>11590</v>
      </c>
      <c r="G12" s="39">
        <f t="shared" ref="G12:H12" si="4">$E$16</f>
        <v>11590</v>
      </c>
      <c r="H12" s="39">
        <f t="shared" si="4"/>
        <v>11590</v>
      </c>
      <c r="I12" s="39"/>
    </row>
    <row r="13" customHeight="1" spans="1:9">
      <c r="A13" s="10">
        <v>2.2</v>
      </c>
      <c r="B13" s="7" t="s">
        <v>404</v>
      </c>
      <c r="C13" s="11">
        <f>SUM(D13:I13)</f>
        <v>12327.124</v>
      </c>
      <c r="D13" s="11"/>
      <c r="E13" s="11">
        <f t="shared" ref="E13:H13" si="5">E14+E15</f>
        <v>0</v>
      </c>
      <c r="F13" s="11">
        <f t="shared" si="5"/>
        <v>245.708</v>
      </c>
      <c r="G13" s="11">
        <f t="shared" ref="G13" si="6">G14+G15</f>
        <v>245.708</v>
      </c>
      <c r="H13" s="11">
        <f t="shared" si="5"/>
        <v>11835.708</v>
      </c>
      <c r="I13" s="11"/>
    </row>
    <row r="14" customHeight="1" spans="1:9">
      <c r="A14" s="10" t="s">
        <v>127</v>
      </c>
      <c r="B14" s="7" t="s">
        <v>405</v>
      </c>
      <c r="C14" s="11">
        <f>SUM(D14:I14)</f>
        <v>11590</v>
      </c>
      <c r="D14" s="39"/>
      <c r="E14" s="39">
        <v>0</v>
      </c>
      <c r="F14" s="39">
        <v>0</v>
      </c>
      <c r="G14" s="39">
        <v>0</v>
      </c>
      <c r="H14" s="39">
        <f>E16</f>
        <v>11590</v>
      </c>
      <c r="I14" s="39"/>
    </row>
    <row r="15" customHeight="1" spans="1:9">
      <c r="A15" s="10" t="s">
        <v>128</v>
      </c>
      <c r="B15" s="7" t="s">
        <v>406</v>
      </c>
      <c r="C15" s="11">
        <f>SUM(D15:I15)</f>
        <v>737.124</v>
      </c>
      <c r="D15" s="39"/>
      <c r="E15" s="46">
        <f>IF(C.1项目融资信息!G4&lt;10,0,IF(MONTH(C.1项目融资信息!E4)&gt;6,0,C.1项目融资信息!D4*C.1项目融资信息!H4/2))</f>
        <v>0</v>
      </c>
      <c r="F15" s="46">
        <f>C.1项目融资信息!$D$5*C.1项目融资信息!$H$5</f>
        <v>245.708</v>
      </c>
      <c r="G15" s="46">
        <f>C.1项目融资信息!$D$5*C.1项目融资信息!$H$5</f>
        <v>245.708</v>
      </c>
      <c r="H15" s="46">
        <f>IF(C.1项目融资信息!G5&lt;10,C.1项目融资信息!$D$5*C.1项目融资信息!$H$5,IF(MONTH(C.1项目融资信息!E5)&gt;6,C.1项目融资信息!$D$5*C.1项目融资信息!$H$5,C.1项目融资信息!D5*C.1项目融资信息!H5/2))</f>
        <v>245.708</v>
      </c>
      <c r="I15" s="39"/>
    </row>
    <row r="16" customHeight="1" spans="1:9">
      <c r="A16" s="10">
        <v>2.3</v>
      </c>
      <c r="B16" s="7" t="s">
        <v>407</v>
      </c>
      <c r="C16" s="11" t="s">
        <v>132</v>
      </c>
      <c r="D16" s="11"/>
      <c r="E16" s="47">
        <f>E12+C.2项目每年借款信息!D4-E14</f>
        <v>11590</v>
      </c>
      <c r="F16" s="47">
        <f>F12+C.2项目每年借款信息!E4-F14</f>
        <v>11590</v>
      </c>
      <c r="G16" s="47">
        <f>G12+C.2项目每年借款信息!W4-G14</f>
        <v>11590</v>
      </c>
      <c r="H16" s="47">
        <f>H12+C.2项目每年借款信息!X4-H14</f>
        <v>0</v>
      </c>
      <c r="I16" s="11"/>
    </row>
    <row r="17" customHeight="1" spans="1:9">
      <c r="A17" s="10">
        <v>2.4</v>
      </c>
      <c r="B17" s="7" t="s">
        <v>408</v>
      </c>
      <c r="C17" s="48">
        <f>SUM(D17:I17)</f>
        <v>0.6163562</v>
      </c>
      <c r="D17" s="48"/>
      <c r="E17" s="48">
        <f>E13*A财务假设!$D$18</f>
        <v>0</v>
      </c>
      <c r="F17" s="48">
        <f>F13*A财务假设!$D$18</f>
        <v>0.0122854</v>
      </c>
      <c r="G17" s="48">
        <f>G13*A财务假设!$D$18</f>
        <v>0.0122854</v>
      </c>
      <c r="H17" s="48">
        <f>H13*A财务假设!$D$18</f>
        <v>0.5917854</v>
      </c>
      <c r="I17" s="11"/>
    </row>
    <row r="18" customHeight="1" spans="1:9">
      <c r="A18" s="10">
        <v>2.5</v>
      </c>
      <c r="B18" s="7" t="s">
        <v>409</v>
      </c>
      <c r="C18" s="11">
        <f>SUM(D18:I18)</f>
        <v>10.01376</v>
      </c>
      <c r="D18" s="11"/>
      <c r="E18" s="47">
        <f>C.2项目每年借款信息!D4*(A财务假设!$D$17+IF(C.1项目融资信息!G5&gt;4,A财务假设!$D$16,A财务假设!$D$15))</f>
        <v>10.01376</v>
      </c>
      <c r="F18" s="47">
        <f>C.2项目每年借款信息!E4*(A财务假设!$D$17+IF(C.1项目融资信息!H5&gt;4,A财务假设!$D$16,A财务假设!$D$15))</f>
        <v>0</v>
      </c>
      <c r="G18" s="47">
        <f>C.2项目每年借款信息!W4*(A财务假设!$D$17+IF(C.1项目融资信息!Z5&gt;4,A财务假设!$D$16,A财务假设!$D$15))</f>
        <v>0</v>
      </c>
      <c r="H18" s="47">
        <f>C.2项目每年借款信息!X4*(A财务假设!$D$17+IF(C.1项目融资信息!AA5&gt;4,A财务假设!$D$16,A财务假设!$D$15))</f>
        <v>0</v>
      </c>
      <c r="I18" s="47"/>
    </row>
    <row r="19" customHeight="1" spans="1:9">
      <c r="A19" s="10">
        <v>2</v>
      </c>
      <c r="B19" s="10" t="s">
        <v>77</v>
      </c>
      <c r="C19" s="10"/>
      <c r="D19" s="10"/>
      <c r="E19" s="10"/>
      <c r="F19" s="10"/>
      <c r="G19" s="10"/>
      <c r="H19" s="10"/>
      <c r="I19" s="10"/>
    </row>
    <row r="20" customHeight="1" spans="1:9">
      <c r="A20" s="10">
        <v>2.1</v>
      </c>
      <c r="B20" s="7" t="s">
        <v>403</v>
      </c>
      <c r="C20" s="11" t="s">
        <v>132</v>
      </c>
      <c r="D20" s="39"/>
      <c r="E20" s="39"/>
      <c r="F20" s="39">
        <v>0</v>
      </c>
      <c r="G20" s="39">
        <f t="shared" ref="G20:I20" si="7">$F$24</f>
        <v>8705</v>
      </c>
      <c r="H20" s="39">
        <f t="shared" si="7"/>
        <v>8705</v>
      </c>
      <c r="I20" s="39">
        <f t="shared" si="7"/>
        <v>8705</v>
      </c>
    </row>
    <row r="21" customHeight="1" spans="1:9">
      <c r="A21" s="10">
        <v>2.2</v>
      </c>
      <c r="B21" s="7" t="s">
        <v>404</v>
      </c>
      <c r="C21" s="11">
        <f>SUM(D21:I21)</f>
        <v>9380.962</v>
      </c>
      <c r="D21" s="11"/>
      <c r="E21" s="11"/>
      <c r="F21" s="11">
        <f t="shared" ref="F21:I21" si="8">F22+F23</f>
        <v>0</v>
      </c>
      <c r="G21" s="11">
        <f t="shared" ref="G21" si="9">G22+G23</f>
        <v>245.708</v>
      </c>
      <c r="H21" s="11">
        <f t="shared" si="8"/>
        <v>245.708</v>
      </c>
      <c r="I21" s="11">
        <f t="shared" si="8"/>
        <v>8889.546</v>
      </c>
    </row>
    <row r="22" customHeight="1" spans="1:9">
      <c r="A22" s="10" t="s">
        <v>127</v>
      </c>
      <c r="B22" s="7" t="s">
        <v>405</v>
      </c>
      <c r="C22" s="11">
        <f>SUM(D22:I22)</f>
        <v>8705</v>
      </c>
      <c r="D22" s="39"/>
      <c r="E22" s="39"/>
      <c r="F22" s="39">
        <v>0</v>
      </c>
      <c r="G22" s="39">
        <v>0</v>
      </c>
      <c r="H22" s="39">
        <v>0</v>
      </c>
      <c r="I22" s="39">
        <f>F24</f>
        <v>8705</v>
      </c>
    </row>
    <row r="23" customHeight="1" spans="1:9">
      <c r="A23" s="10" t="s">
        <v>128</v>
      </c>
      <c r="B23" s="7" t="s">
        <v>406</v>
      </c>
      <c r="C23" s="11">
        <f>SUM(D23:I23)</f>
        <v>675.962</v>
      </c>
      <c r="D23" s="39"/>
      <c r="E23" s="39"/>
      <c r="F23" s="46">
        <f>IF(C.1项目融资信息!G6&lt;10,0,IF(MONTH(C.1项目融资信息!E6)&gt;6,0,C.1项目融资信息!D6*C.1项目融资信息!H6/2))</f>
        <v>0</v>
      </c>
      <c r="G23" s="46">
        <f>C.1项目融资信息!$D$5*C.1项目融资信息!$H$5</f>
        <v>245.708</v>
      </c>
      <c r="H23" s="46">
        <f>C.1项目融资信息!$D$5*C.1项目融资信息!$H$5</f>
        <v>245.708</v>
      </c>
      <c r="I23" s="46">
        <f>IF(C.1项目融资信息!G6&lt;10,C.1项目融资信息!$D$6*C.1项目融资信息!$H$6,IF(MONTH(C.1项目融资信息!E6)&gt;6,C.1项目融资信息!$D$6*C.1项目融资信息!$H$6,C.1项目融资信息!D6*C.1项目融资信息!H6/2))</f>
        <v>184.546</v>
      </c>
    </row>
    <row r="24" customHeight="1" spans="1:9">
      <c r="A24" s="10">
        <v>2.3</v>
      </c>
      <c r="B24" s="7" t="s">
        <v>407</v>
      </c>
      <c r="C24" s="11" t="s">
        <v>132</v>
      </c>
      <c r="D24" s="11"/>
      <c r="E24" s="11"/>
      <c r="F24" s="47">
        <f>F20+C.2项目每年借款信息!E5-F22</f>
        <v>8705</v>
      </c>
      <c r="G24" s="47">
        <f>G20+C.2项目每年借款信息!W5-G22</f>
        <v>8705</v>
      </c>
      <c r="H24" s="47">
        <f>H20+C.2项目每年借款信息!X5-H22</f>
        <v>8705</v>
      </c>
      <c r="I24" s="47">
        <f>I20+C.2项目每年借款信息!Y5-I22</f>
        <v>0</v>
      </c>
    </row>
    <row r="25" customHeight="1" spans="1:9">
      <c r="A25" s="10">
        <v>2.4</v>
      </c>
      <c r="B25" s="7" t="s">
        <v>408</v>
      </c>
      <c r="C25" s="48">
        <f>SUM(D25:I25)</f>
        <v>0.4690481</v>
      </c>
      <c r="D25" s="48"/>
      <c r="E25" s="48"/>
      <c r="F25" s="48">
        <f>F21*A财务假设!$D$18</f>
        <v>0</v>
      </c>
      <c r="G25" s="48">
        <f>G21*A财务假设!$D$18</f>
        <v>0.0122854</v>
      </c>
      <c r="H25" s="48">
        <f>H21*A财务假设!$D$18</f>
        <v>0.0122854</v>
      </c>
      <c r="I25" s="48">
        <f>I21*A财务假设!$D$18</f>
        <v>0.4444773</v>
      </c>
    </row>
    <row r="26" customHeight="1" spans="1:9">
      <c r="A26" s="10">
        <v>2.5</v>
      </c>
      <c r="B26" s="7" t="s">
        <v>409</v>
      </c>
      <c r="C26" s="11">
        <f>SUM(D26:I26)</f>
        <v>7.52112</v>
      </c>
      <c r="D26" s="11"/>
      <c r="E26" s="11"/>
      <c r="F26" s="47">
        <f>C.2项目每年借款信息!E5*(A财务假设!$D$17+IF(C.1项目融资信息!G6&gt;4,A财务假设!$D$16,A财务假设!$D$15))</f>
        <v>7.52112</v>
      </c>
      <c r="G26" s="47">
        <f>C.2项目每年借款信息!W5*(A财务假设!$D$17+IF(C.1项目融资信息!Y6&gt;4,A财务假设!$D$16,A财务假设!$D$15))</f>
        <v>0</v>
      </c>
      <c r="H26" s="47">
        <f>C.2项目每年借款信息!X5*(A财务假设!$D$17+IF(C.1项目融资信息!Z6&gt;4,A财务假设!$D$16,A财务假设!$D$15))</f>
        <v>0</v>
      </c>
      <c r="I26" s="47">
        <f>C.2项目每年借款信息!Y5*(A财务假设!$D$17+IF(C.1项目融资信息!AA6&gt;4,A财务假设!$D$16,A财务假设!$D$15))</f>
        <v>0</v>
      </c>
    </row>
    <row r="27" customHeight="1" spans="1:9">
      <c r="A27" s="10" t="s">
        <v>410</v>
      </c>
      <c r="B27" s="10" t="s">
        <v>411</v>
      </c>
      <c r="C27" s="11">
        <f>C.1项目融资信息!D4+C.1项目融资信息!D5</f>
        <v>12765</v>
      </c>
      <c r="D27" s="49"/>
      <c r="E27" s="49"/>
      <c r="F27" s="49"/>
      <c r="G27" s="49"/>
      <c r="H27" s="49"/>
      <c r="I27" s="49"/>
    </row>
    <row r="28" customHeight="1" spans="1:9">
      <c r="A28" s="10" t="s">
        <v>412</v>
      </c>
      <c r="B28" s="7" t="s">
        <v>403</v>
      </c>
      <c r="C28" s="11" t="s">
        <v>132</v>
      </c>
      <c r="D28" s="47">
        <f>D4+D12+D20</f>
        <v>0</v>
      </c>
      <c r="E28" s="47">
        <f t="shared" ref="E28:I34" si="10">E4+E12+E20</f>
        <v>1175</v>
      </c>
      <c r="F28" s="47">
        <f t="shared" si="10"/>
        <v>12765</v>
      </c>
      <c r="G28" s="47">
        <f t="shared" si="10"/>
        <v>21470</v>
      </c>
      <c r="H28" s="47">
        <f t="shared" si="10"/>
        <v>20295</v>
      </c>
      <c r="I28" s="47">
        <f t="shared" si="10"/>
        <v>8705</v>
      </c>
    </row>
    <row r="29" customHeight="1" spans="1:9">
      <c r="A29" s="10" t="s">
        <v>413</v>
      </c>
      <c r="B29" s="7" t="s">
        <v>404</v>
      </c>
      <c r="C29" s="11">
        <f>SUM(D29:I29)</f>
        <v>22957.816</v>
      </c>
      <c r="D29" s="47">
        <f t="shared" ref="D29:F34" si="11">D5+D13+D21</f>
        <v>0</v>
      </c>
      <c r="E29" s="47">
        <f t="shared" si="11"/>
        <v>24.91</v>
      </c>
      <c r="F29" s="47">
        <f t="shared" si="11"/>
        <v>270.618</v>
      </c>
      <c r="G29" s="47">
        <f t="shared" si="10"/>
        <v>1691.326</v>
      </c>
      <c r="H29" s="47">
        <f t="shared" si="10"/>
        <v>12081.416</v>
      </c>
      <c r="I29" s="47">
        <f t="shared" si="10"/>
        <v>8889.546</v>
      </c>
    </row>
    <row r="30" customHeight="1" spans="1:9">
      <c r="A30" s="10" t="s">
        <v>414</v>
      </c>
      <c r="B30" s="7" t="s">
        <v>405</v>
      </c>
      <c r="C30" s="11">
        <f>SUM(D30:I30)</f>
        <v>21470</v>
      </c>
      <c r="D30" s="47">
        <f t="shared" si="11"/>
        <v>0</v>
      </c>
      <c r="E30" s="47">
        <f t="shared" si="10"/>
        <v>0</v>
      </c>
      <c r="F30" s="47">
        <f t="shared" si="10"/>
        <v>0</v>
      </c>
      <c r="G30" s="47">
        <f t="shared" si="10"/>
        <v>1175</v>
      </c>
      <c r="H30" s="47">
        <f t="shared" si="10"/>
        <v>11590</v>
      </c>
      <c r="I30" s="47">
        <f t="shared" si="10"/>
        <v>8705</v>
      </c>
    </row>
    <row r="31" customHeight="1" spans="1:9">
      <c r="A31" s="10" t="s">
        <v>415</v>
      </c>
      <c r="B31" s="7" t="s">
        <v>406</v>
      </c>
      <c r="C31" s="11">
        <f>SUM(D31:I31)</f>
        <v>1487.816</v>
      </c>
      <c r="D31" s="47">
        <f t="shared" si="11"/>
        <v>0</v>
      </c>
      <c r="E31" s="47">
        <f t="shared" si="10"/>
        <v>24.91</v>
      </c>
      <c r="F31" s="47">
        <f t="shared" si="10"/>
        <v>270.618</v>
      </c>
      <c r="G31" s="47">
        <f t="shared" si="10"/>
        <v>516.326</v>
      </c>
      <c r="H31" s="47">
        <f t="shared" si="10"/>
        <v>491.416</v>
      </c>
      <c r="I31" s="47">
        <f t="shared" si="10"/>
        <v>184.546</v>
      </c>
    </row>
    <row r="32" customHeight="1" spans="1:9">
      <c r="A32" s="10" t="s">
        <v>416</v>
      </c>
      <c r="B32" s="7" t="s">
        <v>407</v>
      </c>
      <c r="C32" s="11" t="s">
        <v>132</v>
      </c>
      <c r="D32" s="47">
        <f t="shared" si="11"/>
        <v>1175</v>
      </c>
      <c r="E32" s="47">
        <f t="shared" si="10"/>
        <v>12765</v>
      </c>
      <c r="F32" s="47">
        <f t="shared" si="10"/>
        <v>21470</v>
      </c>
      <c r="G32" s="47">
        <f t="shared" si="10"/>
        <v>20295</v>
      </c>
      <c r="H32" s="47">
        <f t="shared" si="10"/>
        <v>8705</v>
      </c>
      <c r="I32" s="47">
        <f t="shared" si="10"/>
        <v>0</v>
      </c>
    </row>
    <row r="33" customHeight="1" spans="1:9">
      <c r="A33" s="10" t="s">
        <v>417</v>
      </c>
      <c r="B33" s="7" t="s">
        <v>408</v>
      </c>
      <c r="C33" s="48">
        <f>SUM(D33:I33)</f>
        <v>1.1478908</v>
      </c>
      <c r="D33" s="50">
        <f t="shared" si="11"/>
        <v>0</v>
      </c>
      <c r="E33" s="50">
        <f t="shared" si="10"/>
        <v>0.0012455</v>
      </c>
      <c r="F33" s="50">
        <f t="shared" si="10"/>
        <v>0.0135309</v>
      </c>
      <c r="G33" s="50">
        <f t="shared" si="10"/>
        <v>0.0845663</v>
      </c>
      <c r="H33" s="50">
        <f t="shared" si="10"/>
        <v>0.6040708</v>
      </c>
      <c r="I33" s="50">
        <f t="shared" si="10"/>
        <v>0.4444773</v>
      </c>
    </row>
    <row r="34" customHeight="1" spans="1:9">
      <c r="A34" s="10" t="s">
        <v>418</v>
      </c>
      <c r="B34" s="7" t="s">
        <v>409</v>
      </c>
      <c r="C34" s="11">
        <f>C10+C18</f>
        <v>11.02896</v>
      </c>
      <c r="D34" s="47">
        <f t="shared" si="11"/>
        <v>1.0152</v>
      </c>
      <c r="E34" s="47">
        <f t="shared" si="10"/>
        <v>10.01376</v>
      </c>
      <c r="F34" s="47">
        <f t="shared" si="10"/>
        <v>7.52112</v>
      </c>
      <c r="G34" s="47">
        <f t="shared" si="10"/>
        <v>0</v>
      </c>
      <c r="H34" s="47">
        <f t="shared" si="10"/>
        <v>0</v>
      </c>
      <c r="I34" s="47">
        <f t="shared" si="10"/>
        <v>0</v>
      </c>
    </row>
    <row r="35" customHeight="1" spans="1:9">
      <c r="A35" s="7" t="s">
        <v>419</v>
      </c>
      <c r="B35" s="42" t="s">
        <v>420</v>
      </c>
      <c r="C35" s="35"/>
      <c r="D35" s="35" t="str">
        <f>IF(D31&lt;&gt;0,'b利润与利润分配表（损益和利润分配表）'!D25/D31,"")</f>
        <v/>
      </c>
      <c r="E35" s="35">
        <f>IF(E31&lt;&gt;0,'b利润与利润分配表（损益和利润分配表）'!E25/E31,"")</f>
        <v>7.51746465089153</v>
      </c>
      <c r="F35" s="35">
        <f>IF(F31&lt;&gt;0,'b利润与利润分配表（损益和利润分配表）'!F25/F31,"")</f>
        <v>1.40352899947275</v>
      </c>
      <c r="G35" s="35">
        <f>IF(G31&lt;&gt;0,'b利润与利润分配表（损益和利润分配表）'!G25/G31,"")</f>
        <v>0.404688419057627</v>
      </c>
      <c r="H35" s="35">
        <f>IF(H31&lt;&gt;0,'b利润与利润分配表（损益和利润分配表）'!H25/H31,"")</f>
        <v>0.42285167265795</v>
      </c>
      <c r="I35" s="35">
        <f>IF(I31&lt;&gt;0,'b利润与利润分配表（损益和利润分配表）'!I25/I31,"")</f>
        <v>0</v>
      </c>
    </row>
    <row r="36" customHeight="1" spans="1:9">
      <c r="A36" s="7"/>
      <c r="B36" s="42" t="s">
        <v>421</v>
      </c>
      <c r="C36" s="35"/>
      <c r="D36" s="35" t="str">
        <f>IF(D29&lt;&gt;0,('b利润与利润分配表（损益和利润分配表）'!D26-'b利润与利润分配表（损益和利润分配表）'!D11)/D29,"")</f>
        <v/>
      </c>
      <c r="E36" s="35">
        <f>IF(E29&lt;&gt;0,('b利润与利润分配表（损益和利润分配表）'!E26-'b利润与利润分配表（损益和利润分配表）'!E11)/E29,"")</f>
        <v>6.3910762749752</v>
      </c>
      <c r="F36" s="35">
        <f>IF(F29&lt;&gt;0,('b利润与利润分配表（损益和利润分配表）'!F26-'b利润与利润分配表（损益和利润分配表）'!F11)/F29,"")</f>
        <v>1.30264674960456</v>
      </c>
      <c r="G36" s="35">
        <f>IF(G29&lt;&gt;0,('b利润与利润分配表（损益和利润分配表）'!G26-'b利润与利润分配表（损益和利润分配表）'!G11)/G29,"")</f>
        <v>0.287513801282649</v>
      </c>
      <c r="H36" s="35">
        <f>IF(H29&lt;&gt;0,('b利润与利润分配表（损益和利润分配表）'!H26-'b利润与利润分配表（损益和利润分配表）'!H11)/H29,"")</f>
        <v>0.0391175434825981</v>
      </c>
      <c r="I36" s="35">
        <f>IF(I29&lt;&gt;0,('b利润与利润分配表（损益和利润分配表）'!I26-'b利润与利润分配表（损益和利润分配表）'!I11)/I29,"")</f>
        <v>0</v>
      </c>
    </row>
    <row r="37" customHeight="1" spans="1:9">
      <c r="A37" s="51"/>
      <c r="B37" s="51"/>
      <c r="C37" s="51"/>
      <c r="D37" s="51"/>
      <c r="E37" s="51"/>
      <c r="F37" s="51"/>
      <c r="G37" s="51"/>
      <c r="H37" s="51"/>
      <c r="I37" s="51"/>
    </row>
    <row r="38" customHeight="1" spans="1:9">
      <c r="A38" s="51"/>
      <c r="B38" s="51"/>
      <c r="C38" s="51"/>
      <c r="D38" s="51"/>
      <c r="E38" s="51"/>
      <c r="F38" s="51"/>
      <c r="G38" s="51"/>
      <c r="H38" s="51"/>
      <c r="I38" s="51"/>
    </row>
    <row r="39" customHeight="1" spans="1:11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</row>
    <row r="40" customHeight="1" spans="1:11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</row>
    <row r="41" customHeight="1" spans="1:11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</row>
    <row r="42" customHeight="1" spans="1:11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</row>
  </sheetData>
  <mergeCells count="5">
    <mergeCell ref="A1:I1"/>
    <mergeCell ref="C3:I3"/>
    <mergeCell ref="C11:I11"/>
    <mergeCell ref="C19:I19"/>
    <mergeCell ref="A35:A36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H31"/>
  <sheetViews>
    <sheetView zoomScale="70" zoomScaleNormal="70" workbookViewId="0">
      <pane xSplit="3" ySplit="2" topLeftCell="D15" activePane="bottomRight" state="frozen"/>
      <selection/>
      <selection pane="topRight"/>
      <selection pane="bottomLeft"/>
      <selection pane="bottomRight" activeCell="D30" sqref="D30"/>
    </sheetView>
  </sheetViews>
  <sheetFormatPr defaultColWidth="8.89090909090909" defaultRowHeight="28.05" customHeight="1" outlineLevelCol="7"/>
  <cols>
    <col min="2" max="2" width="20.6636363636364" customWidth="1"/>
    <col min="3" max="3" width="18.1090909090909" customWidth="1"/>
    <col min="4" max="4" width="11.5545454545455" customWidth="1"/>
    <col min="5" max="6" width="11.8909090909091" customWidth="1"/>
    <col min="7" max="7" width="11.5545454545455" customWidth="1"/>
    <col min="8" max="8" width="11.8909090909091" customWidth="1"/>
  </cols>
  <sheetData>
    <row r="1" customHeight="1" spans="1:8">
      <c r="A1" s="38" t="s">
        <v>422</v>
      </c>
      <c r="B1" s="38"/>
      <c r="C1" s="38"/>
      <c r="D1" s="38"/>
      <c r="E1" s="38"/>
      <c r="F1" s="38"/>
      <c r="G1" s="38"/>
      <c r="H1" s="38"/>
    </row>
    <row r="2" customHeight="1" spans="1:8">
      <c r="A2" s="2" t="s">
        <v>1</v>
      </c>
      <c r="B2" s="2" t="s">
        <v>141</v>
      </c>
      <c r="C2" s="2" t="s">
        <v>81</v>
      </c>
      <c r="D2" s="33">
        <v>2025</v>
      </c>
      <c r="E2" s="33">
        <v>2026</v>
      </c>
      <c r="F2" s="33">
        <v>2027</v>
      </c>
      <c r="G2" s="33">
        <v>2028</v>
      </c>
      <c r="H2" s="33">
        <v>2029</v>
      </c>
    </row>
    <row r="3" customHeight="1" spans="1:8">
      <c r="A3" s="7">
        <v>1</v>
      </c>
      <c r="B3" s="7" t="s">
        <v>423</v>
      </c>
      <c r="C3" s="11">
        <f t="shared" ref="C3:C30" si="0">SUM(D3:H3)</f>
        <v>1571.35488010602</v>
      </c>
      <c r="D3" s="11">
        <f t="shared" ref="D3" si="1">D4-D9</f>
        <v>0</v>
      </c>
      <c r="E3" s="11">
        <f t="shared" ref="E3:H3" si="2">E4-E9</f>
        <v>169.039040222056</v>
      </c>
      <c r="F3" s="11">
        <f t="shared" ref="F3:H3" si="3">F4-F9</f>
        <v>378.113713240653</v>
      </c>
      <c r="G3" s="11">
        <f t="shared" si="3"/>
        <v>520.081487226266</v>
      </c>
      <c r="H3" s="11">
        <f t="shared" si="3"/>
        <v>504.120639417049</v>
      </c>
    </row>
    <row r="4" customHeight="1" spans="1:8">
      <c r="A4" s="7">
        <v>1.1</v>
      </c>
      <c r="B4" s="7" t="s">
        <v>334</v>
      </c>
      <c r="C4" s="11">
        <f t="shared" si="0"/>
        <v>2156.8804</v>
      </c>
      <c r="D4" s="11">
        <f t="shared" ref="D4" si="4">SUM(D5:D8)</f>
        <v>0</v>
      </c>
      <c r="E4" s="11">
        <f t="shared" ref="E4:H4" si="5">SUM(E5:E8)</f>
        <v>325</v>
      </c>
      <c r="F4" s="11">
        <f t="shared" ref="F4:H4" si="6">SUM(F5:F8)</f>
        <v>521.8</v>
      </c>
      <c r="G4" s="11">
        <f t="shared" si="6"/>
        <v>654.02</v>
      </c>
      <c r="H4" s="11">
        <f t="shared" si="6"/>
        <v>656.0604</v>
      </c>
    </row>
    <row r="5" customHeight="1" spans="1:8">
      <c r="A5" s="7" t="s">
        <v>260</v>
      </c>
      <c r="B5" s="7" t="s">
        <v>335</v>
      </c>
      <c r="C5" s="11">
        <f t="shared" si="0"/>
        <v>1977.72168599619</v>
      </c>
      <c r="D5" s="41">
        <f>F项目收入!D12-F项目收入!D9</f>
        <v>0</v>
      </c>
      <c r="E5" s="41">
        <f>F项目收入!E12-F项目收入!E9</f>
        <v>298.814263458542</v>
      </c>
      <c r="F5" s="41">
        <f>F项目收入!F12-F项目收入!F9</f>
        <v>478.8575385148</v>
      </c>
      <c r="G5" s="41">
        <f>F项目收入!G12-F项目收入!G9</f>
        <v>599.534187294443</v>
      </c>
      <c r="H5" s="41">
        <f>F项目收入!H12-F项目收入!H9</f>
        <v>600.515696728406</v>
      </c>
    </row>
    <row r="6" customHeight="1" spans="1:8">
      <c r="A6" s="7" t="s">
        <v>262</v>
      </c>
      <c r="B6" s="7" t="s">
        <v>424</v>
      </c>
      <c r="C6" s="11">
        <f t="shared" si="0"/>
        <v>173.158714003808</v>
      </c>
      <c r="D6" s="43">
        <f>G.税金及附加测算表!D25</f>
        <v>0</v>
      </c>
      <c r="E6" s="43">
        <f>G.税金及附加测算表!E25</f>
        <v>26.1857365414575</v>
      </c>
      <c r="F6" s="43">
        <f>G.税金及附加测算表!F25</f>
        <v>41.9424614851999</v>
      </c>
      <c r="G6" s="43">
        <f>G.税金及附加测算表!G25</f>
        <v>52.4858127055565</v>
      </c>
      <c r="H6" s="43">
        <f>G.税金及附加测算表!H25</f>
        <v>52.5447032715943</v>
      </c>
    </row>
    <row r="7" customHeight="1" spans="1:8">
      <c r="A7" s="7" t="s">
        <v>264</v>
      </c>
      <c r="B7" s="7" t="s">
        <v>286</v>
      </c>
      <c r="C7" s="11">
        <f t="shared" si="0"/>
        <v>0</v>
      </c>
      <c r="D7" s="41">
        <f>F项目收入!D9</f>
        <v>0</v>
      </c>
      <c r="E7" s="41">
        <f>F项目收入!E9</f>
        <v>0</v>
      </c>
      <c r="F7" s="41">
        <f>F项目收入!F9</f>
        <v>0</v>
      </c>
      <c r="G7" s="41">
        <f>F项目收入!G9</f>
        <v>0</v>
      </c>
      <c r="H7" s="41">
        <f>F项目收入!H9</f>
        <v>0</v>
      </c>
    </row>
    <row r="8" customHeight="1" spans="1:8">
      <c r="A8" s="7" t="s">
        <v>425</v>
      </c>
      <c r="B8" s="7" t="s">
        <v>426</v>
      </c>
      <c r="C8" s="11">
        <f t="shared" si="0"/>
        <v>6</v>
      </c>
      <c r="D8" s="39">
        <v>0</v>
      </c>
      <c r="E8" s="39">
        <v>0</v>
      </c>
      <c r="F8" s="39">
        <v>1</v>
      </c>
      <c r="G8" s="39">
        <v>2</v>
      </c>
      <c r="H8" s="39">
        <v>3</v>
      </c>
    </row>
    <row r="9" customHeight="1" spans="1:8">
      <c r="A9" s="7">
        <v>1.2</v>
      </c>
      <c r="B9" s="7" t="s">
        <v>338</v>
      </c>
      <c r="C9" s="11">
        <f t="shared" si="0"/>
        <v>585.525519893975</v>
      </c>
      <c r="D9" s="11">
        <f t="shared" ref="D9" si="7">SUM(D10:D15)</f>
        <v>0</v>
      </c>
      <c r="E9" s="11">
        <f t="shared" ref="E9:H9" si="8">SUM(E10:E15)</f>
        <v>155.960959777944</v>
      </c>
      <c r="F9" s="11">
        <f t="shared" ref="F9:H9" si="9">SUM(F10:F15)</f>
        <v>143.686286759347</v>
      </c>
      <c r="G9" s="11">
        <f t="shared" si="9"/>
        <v>133.938512773734</v>
      </c>
      <c r="H9" s="11">
        <f t="shared" si="9"/>
        <v>151.939760582951</v>
      </c>
    </row>
    <row r="10" customHeight="1" spans="1:8">
      <c r="A10" s="7" t="s">
        <v>147</v>
      </c>
      <c r="B10" s="7" t="s">
        <v>339</v>
      </c>
      <c r="C10" s="11">
        <f t="shared" si="0"/>
        <v>475.4374135</v>
      </c>
      <c r="D10" s="11">
        <f>E总成本费用估算表!C11</f>
        <v>0</v>
      </c>
      <c r="E10" s="11">
        <f>E总成本费用估算表!D11</f>
        <v>107.1992455</v>
      </c>
      <c r="F10" s="11">
        <f>E总成本费用估算表!E11</f>
        <v>107.2115309</v>
      </c>
      <c r="G10" s="11">
        <f>E总成本费用估算表!F11</f>
        <v>122.5965663</v>
      </c>
      <c r="H10" s="11">
        <f>E总成本费用估算表!G11</f>
        <v>138.4300708</v>
      </c>
    </row>
    <row r="11" customHeight="1" spans="1:8">
      <c r="A11" s="7" t="s">
        <v>149</v>
      </c>
      <c r="B11" s="7" t="s">
        <v>427</v>
      </c>
      <c r="C11" s="11">
        <f t="shared" si="0"/>
        <v>36.2000425857191</v>
      </c>
      <c r="D11" s="39">
        <f>G.税金及附加测算表!D4</f>
        <v>0</v>
      </c>
      <c r="E11" s="39">
        <f>G.税金及附加测算表!E4</f>
        <v>8.17420316451721</v>
      </c>
      <c r="F11" s="39">
        <f>G.税金及附加测算表!F4</f>
        <v>8.17420316451721</v>
      </c>
      <c r="G11" s="39">
        <f>G.税金及附加测算表!G4</f>
        <v>9.34194647373396</v>
      </c>
      <c r="H11" s="39">
        <f>G.税金及附加测算表!H4</f>
        <v>10.5096897829507</v>
      </c>
    </row>
    <row r="12" customHeight="1" spans="1:8">
      <c r="A12" s="7" t="s">
        <v>151</v>
      </c>
      <c r="B12" s="7" t="s">
        <v>340</v>
      </c>
      <c r="C12" s="11">
        <f t="shared" si="0"/>
        <v>0</v>
      </c>
      <c r="D12" s="11">
        <f>G.税金及附加测算表!D30</f>
        <v>0</v>
      </c>
      <c r="E12" s="11">
        <f>G.税金及附加测算表!E30</f>
        <v>0</v>
      </c>
      <c r="F12" s="11">
        <f>G.税金及附加测算表!F30</f>
        <v>0</v>
      </c>
      <c r="G12" s="11">
        <f>G.税金及附加测算表!G30</f>
        <v>0</v>
      </c>
      <c r="H12" s="11">
        <f>G.税金及附加测算表!H30</f>
        <v>0</v>
      </c>
    </row>
    <row r="13" customHeight="1" spans="1:8">
      <c r="A13" s="7" t="s">
        <v>153</v>
      </c>
      <c r="B13" s="7" t="s">
        <v>341</v>
      </c>
      <c r="C13" s="11">
        <f t="shared" si="0"/>
        <v>0</v>
      </c>
      <c r="D13" s="11">
        <f>G.税金及附加测算表!D29</f>
        <v>0</v>
      </c>
      <c r="E13" s="11">
        <f>G.税金及附加测算表!E29</f>
        <v>0</v>
      </c>
      <c r="F13" s="11">
        <f>G.税金及附加测算表!F29</f>
        <v>0</v>
      </c>
      <c r="G13" s="11">
        <f>G.税金及附加测算表!G29</f>
        <v>0</v>
      </c>
      <c r="H13" s="11">
        <f>G.税金及附加测算表!H29</f>
        <v>0</v>
      </c>
    </row>
    <row r="14" customHeight="1" spans="1:8">
      <c r="A14" s="7" t="s">
        <v>428</v>
      </c>
      <c r="B14" s="7" t="s">
        <v>376</v>
      </c>
      <c r="C14" s="11">
        <f t="shared" si="0"/>
        <v>67.8880638082563</v>
      </c>
      <c r="D14" s="11">
        <f>'b利润与利润分配表（损益和利润分配表）'!D11</f>
        <v>0</v>
      </c>
      <c r="E14" s="11">
        <f>'b利润与利润分配表（损益和利润分配表）'!E11</f>
        <v>40.587511113427</v>
      </c>
      <c r="F14" s="11">
        <f>'b利润与利润分配表（损益和利润分配表）'!F11</f>
        <v>27.3005526948293</v>
      </c>
      <c r="G14" s="11">
        <f>'b利润与利润分配表（损益和利润分配表）'!G11</f>
        <v>0</v>
      </c>
      <c r="H14" s="11">
        <f>'b利润与利润分配表（损益和利润分配表）'!H11</f>
        <v>0</v>
      </c>
    </row>
    <row r="15" customHeight="1" spans="1:8">
      <c r="A15" s="7" t="s">
        <v>429</v>
      </c>
      <c r="B15" s="7" t="s">
        <v>430</v>
      </c>
      <c r="C15" s="11">
        <f t="shared" si="0"/>
        <v>6</v>
      </c>
      <c r="D15" s="39">
        <v>0</v>
      </c>
      <c r="E15" s="39">
        <v>0</v>
      </c>
      <c r="F15" s="39">
        <v>1</v>
      </c>
      <c r="G15" s="39">
        <v>2</v>
      </c>
      <c r="H15" s="39">
        <v>3</v>
      </c>
    </row>
    <row r="16" customHeight="1" spans="1:8">
      <c r="A16" s="7">
        <v>2</v>
      </c>
      <c r="B16" s="7" t="s">
        <v>431</v>
      </c>
      <c r="C16" s="11">
        <f t="shared" si="0"/>
        <v>-1702.99196159759</v>
      </c>
      <c r="D16" s="11">
        <f t="shared" ref="D16" si="10">D17-D18</f>
        <v>-288.84239147918</v>
      </c>
      <c r="E16" s="11">
        <f t="shared" ref="E16:H16" si="11">E17-E18</f>
        <v>-570.014270135307</v>
      </c>
      <c r="F16" s="11">
        <f t="shared" ref="F16:H16" si="12">F17-F18</f>
        <v>-834.3509316581</v>
      </c>
      <c r="G16" s="11">
        <f t="shared" si="12"/>
        <v>-4.55430295</v>
      </c>
      <c r="H16" s="11">
        <f t="shared" si="12"/>
        <v>-5.230065375</v>
      </c>
    </row>
    <row r="17" ht="25.2" customHeight="1" spans="1:8">
      <c r="A17" s="7">
        <v>2.1</v>
      </c>
      <c r="B17" s="36" t="s">
        <v>334</v>
      </c>
      <c r="C17" s="11">
        <f t="shared" si="0"/>
        <v>6</v>
      </c>
      <c r="D17" s="39">
        <v>0</v>
      </c>
      <c r="E17" s="39">
        <v>0</v>
      </c>
      <c r="F17" s="39">
        <v>1</v>
      </c>
      <c r="G17" s="39">
        <v>2</v>
      </c>
      <c r="H17" s="39">
        <v>3</v>
      </c>
    </row>
    <row r="18" customHeight="1" spans="1:8">
      <c r="A18" s="7">
        <v>2.2</v>
      </c>
      <c r="B18" s="7" t="s">
        <v>338</v>
      </c>
      <c r="C18" s="11">
        <f t="shared" si="0"/>
        <v>1708.99196159759</v>
      </c>
      <c r="D18" s="11">
        <f t="shared" ref="D18" si="13">SUM(D19:D22)</f>
        <v>288.84239147918</v>
      </c>
      <c r="E18" s="11">
        <f t="shared" ref="E18:H18" si="14">SUM(E19:E22)</f>
        <v>570.014270135307</v>
      </c>
      <c r="F18" s="11">
        <f t="shared" ref="F18:H18" si="15">SUM(F19:F22)</f>
        <v>835.3509316581</v>
      </c>
      <c r="G18" s="11">
        <f t="shared" si="15"/>
        <v>6.55430295</v>
      </c>
      <c r="H18" s="11">
        <f t="shared" si="15"/>
        <v>8.230065375</v>
      </c>
    </row>
    <row r="19" customHeight="1" spans="1:8">
      <c r="A19" s="7" t="s">
        <v>127</v>
      </c>
      <c r="B19" s="7" t="s">
        <v>114</v>
      </c>
      <c r="C19" s="11">
        <f t="shared" si="0"/>
        <v>1682.47261569759</v>
      </c>
      <c r="D19" s="11">
        <f>E.4建设投资税后金额表!H21</f>
        <v>288.84239147918</v>
      </c>
      <c r="E19" s="11">
        <f>E.4建设投资税后金额表!I21</f>
        <v>560.824205232529</v>
      </c>
      <c r="F19" s="11">
        <f>E.4建设投资税后金额表!J21</f>
        <v>832.806018985878</v>
      </c>
      <c r="G19" s="11">
        <f>E.4建设投资税后金额表!K21</f>
        <v>0</v>
      </c>
      <c r="H19" s="11">
        <f>E.4建设投资税后金额表!L21</f>
        <v>0</v>
      </c>
    </row>
    <row r="20" customHeight="1" spans="1:8">
      <c r="A20" s="7" t="s">
        <v>128</v>
      </c>
      <c r="B20" s="7" t="s">
        <v>342</v>
      </c>
      <c r="C20" s="11">
        <f t="shared" si="0"/>
        <v>6</v>
      </c>
      <c r="D20" s="39">
        <v>0</v>
      </c>
      <c r="E20" s="39">
        <v>0</v>
      </c>
      <c r="F20" s="39">
        <v>1</v>
      </c>
      <c r="G20" s="39">
        <v>2</v>
      </c>
      <c r="H20" s="39">
        <v>3</v>
      </c>
    </row>
    <row r="21" customHeight="1" spans="1:8">
      <c r="A21" s="7" t="s">
        <v>129</v>
      </c>
      <c r="B21" s="7" t="s">
        <v>116</v>
      </c>
      <c r="C21" s="11">
        <f t="shared" si="0"/>
        <v>14.5193459</v>
      </c>
      <c r="D21" s="11">
        <f>D.2项目总投资使用计划与资金筹措表!D6</f>
        <v>0</v>
      </c>
      <c r="E21" s="11">
        <f>D.2项目总投资使用计划与资金筹措表!E6</f>
        <v>9.19006490277778</v>
      </c>
      <c r="F21" s="11">
        <f>D.2项目总投资使用计划与资金筹措表!F6</f>
        <v>0.544912672222226</v>
      </c>
      <c r="G21" s="11">
        <f>D.2项目总投资使用计划与资金筹措表!G6</f>
        <v>2.55430295</v>
      </c>
      <c r="H21" s="11">
        <f>D.2项目总投资使用计划与资金筹措表!H6</f>
        <v>2.230065375</v>
      </c>
    </row>
    <row r="22" customHeight="1" spans="1:8">
      <c r="A22" s="7" t="s">
        <v>432</v>
      </c>
      <c r="B22" s="7" t="s">
        <v>430</v>
      </c>
      <c r="C22" s="11">
        <f t="shared" si="0"/>
        <v>6</v>
      </c>
      <c r="D22" s="39">
        <v>0</v>
      </c>
      <c r="E22" s="39">
        <v>0</v>
      </c>
      <c r="F22" s="39">
        <v>1</v>
      </c>
      <c r="G22" s="39">
        <v>2</v>
      </c>
      <c r="H22" s="39">
        <v>3</v>
      </c>
    </row>
    <row r="23" customHeight="1" spans="1:8">
      <c r="A23" s="7">
        <v>3</v>
      </c>
      <c r="B23" s="7" t="s">
        <v>433</v>
      </c>
      <c r="C23" s="11">
        <f t="shared" si="0"/>
        <v>-10875.9305741</v>
      </c>
      <c r="D23" s="11">
        <f t="shared" ref="D23" si="16">D24-D27</f>
        <v>319.0152</v>
      </c>
      <c r="E23" s="11">
        <f t="shared" ref="E23:H23" si="17">E24-E27</f>
        <v>637.203824902778</v>
      </c>
      <c r="F23" s="11">
        <f t="shared" ref="F23:H23" si="18">F24-F27</f>
        <v>926.066032672222</v>
      </c>
      <c r="G23" s="11">
        <f t="shared" si="18"/>
        <v>-1172.44569705</v>
      </c>
      <c r="H23" s="11">
        <f t="shared" si="18"/>
        <v>-11585.769934625</v>
      </c>
    </row>
    <row r="24" customHeight="1" spans="1:8">
      <c r="A24" s="7">
        <v>3.1</v>
      </c>
      <c r="B24" s="7" t="s">
        <v>334</v>
      </c>
      <c r="C24" s="11">
        <f t="shared" si="0"/>
        <v>3192.3394259</v>
      </c>
      <c r="D24" s="11">
        <f t="shared" ref="D24" si="19">SUM(D25:D26)</f>
        <v>319.0152</v>
      </c>
      <c r="E24" s="11">
        <f t="shared" ref="E24:H24" si="20">SUM(E25:E26)</f>
        <v>662.113824902778</v>
      </c>
      <c r="F24" s="11">
        <f t="shared" ref="F24:H24" si="21">SUM(F25:F26)</f>
        <v>1196.68403267222</v>
      </c>
      <c r="G24" s="11">
        <f t="shared" si="21"/>
        <v>518.88030295</v>
      </c>
      <c r="H24" s="11">
        <f t="shared" si="21"/>
        <v>495.646065375</v>
      </c>
    </row>
    <row r="25" customHeight="1" spans="1:8">
      <c r="A25" s="7" t="s">
        <v>434</v>
      </c>
      <c r="B25" s="7" t="s">
        <v>435</v>
      </c>
      <c r="C25" s="11">
        <f t="shared" si="0"/>
        <v>-4337.6605741</v>
      </c>
      <c r="D25" s="11">
        <f>D.2项目总投资使用计划与资金筹措表!D8</f>
        <v>319.0152</v>
      </c>
      <c r="E25" s="11">
        <f>D.2项目总投资使用计划与资金筹措表!E8</f>
        <v>662.113824902778</v>
      </c>
      <c r="F25" s="11">
        <f>D.2项目总投资使用计划与资金筹措表!F8</f>
        <v>1196.68403267222</v>
      </c>
      <c r="G25" s="11">
        <f>D.2项目总投资使用计划与资金筹措表!G8</f>
        <v>-7011.11969705</v>
      </c>
      <c r="H25" s="11">
        <f>D.2项目总投资使用计划与资金筹措表!H8</f>
        <v>495.646065375</v>
      </c>
    </row>
    <row r="26" customHeight="1" spans="1:8">
      <c r="A26" s="7" t="s">
        <v>436</v>
      </c>
      <c r="B26" s="7" t="s">
        <v>437</v>
      </c>
      <c r="C26" s="11">
        <f t="shared" si="0"/>
        <v>7530</v>
      </c>
      <c r="D26" s="11">
        <f>D.2项目总投资使用计划与资金筹措表!D12</f>
        <v>0</v>
      </c>
      <c r="E26" s="11">
        <f>D.2项目总投资使用计划与资金筹措表!E12</f>
        <v>0</v>
      </c>
      <c r="F26" s="11">
        <f>D.2项目总投资使用计划与资金筹措表!F12</f>
        <v>0</v>
      </c>
      <c r="G26" s="11">
        <f>D.2项目总投资使用计划与资金筹措表!G12</f>
        <v>7530</v>
      </c>
      <c r="H26" s="11">
        <f>D.2项目总投资使用计划与资金筹措表!H12</f>
        <v>0</v>
      </c>
    </row>
    <row r="27" customHeight="1" spans="1:8">
      <c r="A27" s="7">
        <v>3.2</v>
      </c>
      <c r="B27" s="7" t="s">
        <v>338</v>
      </c>
      <c r="C27" s="11">
        <f t="shared" si="0"/>
        <v>14068.27</v>
      </c>
      <c r="D27" s="11">
        <f t="shared" ref="D27" si="22">SUM(D28:D29)</f>
        <v>0</v>
      </c>
      <c r="E27" s="11">
        <f t="shared" ref="E27:H27" si="23">SUM(E28:E29)</f>
        <v>24.91</v>
      </c>
      <c r="F27" s="11">
        <f t="shared" ref="F27:H27" si="24">SUM(F28:F29)</f>
        <v>270.618</v>
      </c>
      <c r="G27" s="11">
        <f t="shared" si="24"/>
        <v>1691.326</v>
      </c>
      <c r="H27" s="11">
        <f t="shared" si="24"/>
        <v>12081.416</v>
      </c>
    </row>
    <row r="28" customHeight="1" spans="1:8">
      <c r="A28" s="7" t="s">
        <v>438</v>
      </c>
      <c r="B28" s="7" t="s">
        <v>439</v>
      </c>
      <c r="C28" s="11">
        <f t="shared" si="0"/>
        <v>1303.27</v>
      </c>
      <c r="D28" s="11">
        <f>c借款还本付息计划表!D31</f>
        <v>0</v>
      </c>
      <c r="E28" s="11">
        <f>c借款还本付息计划表!E31</f>
        <v>24.91</v>
      </c>
      <c r="F28" s="11">
        <f>c借款还本付息计划表!F31</f>
        <v>270.618</v>
      </c>
      <c r="G28" s="11">
        <f>c借款还本付息计划表!G31</f>
        <v>516.326</v>
      </c>
      <c r="H28" s="11">
        <f>c借款还本付息计划表!H31</f>
        <v>491.416</v>
      </c>
    </row>
    <row r="29" customHeight="1" spans="1:8">
      <c r="A29" s="7" t="s">
        <v>440</v>
      </c>
      <c r="B29" s="7" t="s">
        <v>441</v>
      </c>
      <c r="C29" s="11">
        <f t="shared" si="0"/>
        <v>12765</v>
      </c>
      <c r="D29" s="11">
        <f>c借款还本付息计划表!D30</f>
        <v>0</v>
      </c>
      <c r="E29" s="11">
        <f>c借款还本付息计划表!E30</f>
        <v>0</v>
      </c>
      <c r="F29" s="11">
        <f>c借款还本付息计划表!F30</f>
        <v>0</v>
      </c>
      <c r="G29" s="11">
        <f>c借款还本付息计划表!G30</f>
        <v>1175</v>
      </c>
      <c r="H29" s="11">
        <f>c借款还本付息计划表!H30</f>
        <v>11590</v>
      </c>
    </row>
    <row r="30" customHeight="1" spans="1:8">
      <c r="A30" s="7">
        <v>4</v>
      </c>
      <c r="B30" s="7" t="s">
        <v>377</v>
      </c>
      <c r="C30" s="11">
        <f t="shared" si="0"/>
        <v>-11007.5676555916</v>
      </c>
      <c r="D30" s="11">
        <f t="shared" ref="D30" si="25">D3+D16+D23</f>
        <v>30.17280852082</v>
      </c>
      <c r="E30" s="11">
        <f t="shared" ref="E30:H30" si="26">E3+E16+E23</f>
        <v>236.228594989527</v>
      </c>
      <c r="F30" s="11">
        <f t="shared" ref="F30:H30" si="27">F3+F16+F23</f>
        <v>469.828814254775</v>
      </c>
      <c r="G30" s="11">
        <f t="shared" si="27"/>
        <v>-656.918512773733</v>
      </c>
      <c r="H30" s="11">
        <f t="shared" si="27"/>
        <v>-11086.879360583</v>
      </c>
    </row>
    <row r="31" customHeight="1" spans="1:8">
      <c r="A31" s="7">
        <v>5</v>
      </c>
      <c r="B31" s="7" t="s">
        <v>442</v>
      </c>
      <c r="C31" s="11"/>
      <c r="D31" s="11">
        <f>D30</f>
        <v>30.17280852082</v>
      </c>
      <c r="E31" s="11">
        <f t="shared" ref="E31:H31" si="28">E30</f>
        <v>236.228594989527</v>
      </c>
      <c r="F31" s="11">
        <f t="shared" ref="F31:H31" si="29">F30</f>
        <v>469.828814254775</v>
      </c>
      <c r="G31" s="11">
        <f t="shared" si="29"/>
        <v>-656.918512773733</v>
      </c>
      <c r="H31" s="11">
        <f t="shared" si="29"/>
        <v>-11086.879360583</v>
      </c>
    </row>
  </sheetData>
  <mergeCells count="1">
    <mergeCell ref="A1:H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J27"/>
  <sheetViews>
    <sheetView zoomScale="85" zoomScaleNormal="85" workbookViewId="0">
      <pane xSplit="2" ySplit="2" topLeftCell="C11" activePane="bottomRight" state="frozen"/>
      <selection/>
      <selection pane="topRight"/>
      <selection pane="bottomLeft"/>
      <selection pane="bottomRight" activeCell="C19" sqref="C19"/>
    </sheetView>
  </sheetViews>
  <sheetFormatPr defaultColWidth="8.89090909090909" defaultRowHeight="28.05" customHeight="1"/>
  <cols>
    <col min="2" max="2" width="20.6636363636364" customWidth="1"/>
    <col min="3" max="3" width="11" customWidth="1"/>
    <col min="4" max="7" width="11.2181818181818" customWidth="1"/>
  </cols>
  <sheetData>
    <row r="1" customHeight="1" spans="1:7">
      <c r="A1" s="38" t="s">
        <v>443</v>
      </c>
      <c r="B1" s="38"/>
      <c r="C1" s="38"/>
      <c r="D1" s="38"/>
      <c r="E1" s="38"/>
      <c r="F1" s="38"/>
      <c r="G1" s="38"/>
    </row>
    <row r="2" customHeight="1" spans="1:7">
      <c r="A2" s="2" t="s">
        <v>1</v>
      </c>
      <c r="B2" s="2" t="s">
        <v>141</v>
      </c>
      <c r="C2" s="33">
        <v>2025</v>
      </c>
      <c r="D2" s="33">
        <v>2026</v>
      </c>
      <c r="E2" s="33">
        <v>2027</v>
      </c>
      <c r="F2" s="33">
        <v>2028</v>
      </c>
      <c r="G2" s="33">
        <v>2029</v>
      </c>
    </row>
    <row r="3" customHeight="1" spans="1:7">
      <c r="A3" s="7">
        <v>1</v>
      </c>
      <c r="B3" s="7" t="s">
        <v>444</v>
      </c>
      <c r="C3" s="11">
        <f t="shared" ref="C3" si="0">SUM(C4+C10+C11+C12)</f>
        <v>349.18800852082</v>
      </c>
      <c r="D3" s="11">
        <f t="shared" ref="D3:G3" si="1">SUM(D4+D10+D11+D12)</f>
        <v>1185.10088293824</v>
      </c>
      <c r="E3" s="11">
        <f t="shared" si="1"/>
        <v>2510.07130921827</v>
      </c>
      <c r="F3" s="11">
        <f t="shared" ref="F3:G3" si="2">SUM(F4+F10+F11+F12)</f>
        <v>1728.77734623448</v>
      </c>
      <c r="G3" s="11">
        <f t="shared" si="2"/>
        <v>-8814.43002194368</v>
      </c>
    </row>
    <row r="4" customHeight="1" spans="1:7">
      <c r="A4" s="7">
        <v>1.1</v>
      </c>
      <c r="B4" s="7" t="s">
        <v>445</v>
      </c>
      <c r="C4" s="11">
        <f t="shared" ref="C4" si="3">SUM(C5:C9)</f>
        <v>30.17280852082</v>
      </c>
      <c r="D4" s="11">
        <f t="shared" ref="D4:G4" si="4">SUM(D5:D9)</f>
        <v>245.658643225638</v>
      </c>
      <c r="E4" s="11">
        <f t="shared" si="4"/>
        <v>479.803775163109</v>
      </c>
      <c r="F4" s="11">
        <f t="shared" ref="F4:G4" si="5">SUM(F5:F9)</f>
        <v>-642.354965582067</v>
      </c>
      <c r="G4" s="11">
        <f t="shared" si="5"/>
        <v>-11068.051464683</v>
      </c>
    </row>
    <row r="5" customHeight="1" spans="1:7">
      <c r="A5" s="7" t="s">
        <v>260</v>
      </c>
      <c r="B5" s="7" t="s">
        <v>446</v>
      </c>
      <c r="C5" s="11">
        <f>D.4流动资金估算表!E10+d财务计划现金流量表!D31</f>
        <v>30.17280852082</v>
      </c>
      <c r="D5" s="11">
        <f>D.4流动资金估算表!F10+d财务计划现金流量表!E31</f>
        <v>238.92889688536</v>
      </c>
      <c r="E5" s="11">
        <f>D.4流动资金估算表!G10+d财务计划现金流量表!F31</f>
        <v>472.529628042275</v>
      </c>
      <c r="F5" s="11">
        <f>D.4流动资金估算表!H10+d财务计划现金流量表!G31</f>
        <v>-653.8289891779</v>
      </c>
      <c r="G5" s="11">
        <f>D.4流动资金估算表!I10+d财务计划现金流量表!H31</f>
        <v>-11083.3824409663</v>
      </c>
    </row>
    <row r="6" customHeight="1" spans="1:7">
      <c r="A6" s="7" t="s">
        <v>262</v>
      </c>
      <c r="B6" s="7" t="s">
        <v>145</v>
      </c>
      <c r="C6" s="11">
        <f>D.4流动资金估算表!E4</f>
        <v>0</v>
      </c>
      <c r="D6" s="11">
        <f>D.4流动资金估算表!F4</f>
        <v>0.902777777777778</v>
      </c>
      <c r="E6" s="11">
        <f>D.4流动资金估算表!G4</f>
        <v>1.44666666666667</v>
      </c>
      <c r="F6" s="11">
        <f>D.4流动资金估算表!H4</f>
        <v>1.81116666666667</v>
      </c>
      <c r="G6" s="11">
        <f>D.4流动资金估算表!I4</f>
        <v>1.81405666666667</v>
      </c>
    </row>
    <row r="7" customHeight="1" spans="1:7">
      <c r="A7" s="7" t="s">
        <v>264</v>
      </c>
      <c r="B7" s="7" t="s">
        <v>447</v>
      </c>
      <c r="C7" s="39">
        <v>0</v>
      </c>
      <c r="D7" s="39">
        <v>0</v>
      </c>
      <c r="E7" s="39">
        <v>0</v>
      </c>
      <c r="F7" s="39">
        <v>1</v>
      </c>
      <c r="G7" s="39">
        <v>2</v>
      </c>
    </row>
    <row r="8" customHeight="1" spans="1:7">
      <c r="A8" s="7" t="s">
        <v>425</v>
      </c>
      <c r="B8" s="7" t="s">
        <v>146</v>
      </c>
      <c r="C8" s="11">
        <f>D.4流动资金估算表!E5</f>
        <v>0</v>
      </c>
      <c r="D8" s="11">
        <f>D.4流动资金估算表!F5</f>
        <v>5.8269685625</v>
      </c>
      <c r="E8" s="11">
        <f>D.4流动资金估算表!G5</f>
        <v>5.82748045416667</v>
      </c>
      <c r="F8" s="11">
        <f>D.4流动资金估算表!H5</f>
        <v>7.66285692916667</v>
      </c>
      <c r="G8" s="11">
        <f>D.4流动资金估算表!I5</f>
        <v>9.51691961666667</v>
      </c>
    </row>
    <row r="9" customHeight="1" spans="1:7">
      <c r="A9" s="7" t="s">
        <v>448</v>
      </c>
      <c r="B9" s="7" t="s">
        <v>449</v>
      </c>
      <c r="C9" s="39">
        <v>0</v>
      </c>
      <c r="D9" s="39">
        <v>0</v>
      </c>
      <c r="E9" s="39">
        <v>0</v>
      </c>
      <c r="F9" s="39">
        <v>1</v>
      </c>
      <c r="G9" s="39">
        <v>2</v>
      </c>
    </row>
    <row r="10" customHeight="1" spans="1:7">
      <c r="A10" s="7">
        <v>1.2</v>
      </c>
      <c r="B10" s="7" t="s">
        <v>450</v>
      </c>
      <c r="C10" s="11">
        <f>D.2项目总投资使用计划与资金筹措表!D3</f>
        <v>319.0152</v>
      </c>
      <c r="D10" s="11">
        <f>D.2项目总投资使用计划与资金筹措表!E3</f>
        <v>662.113824902778</v>
      </c>
      <c r="E10" s="11">
        <f>D.2项目总投资使用计划与资金筹措表!F3</f>
        <v>1196.68403267222</v>
      </c>
      <c r="F10" s="11">
        <f>D.2项目总投资使用计划与资金筹措表!G3</f>
        <v>518.88030295</v>
      </c>
      <c r="G10" s="11">
        <f>D.2项目总投资使用计划与资金筹措表!H3</f>
        <v>493.646065375</v>
      </c>
    </row>
    <row r="11" customHeight="1" spans="1:7">
      <c r="A11" s="7">
        <v>1.3</v>
      </c>
      <c r="B11" s="7" t="s">
        <v>451</v>
      </c>
      <c r="C11" s="39">
        <f>E.2固定资产折旧费估算表!F7</f>
        <v>0</v>
      </c>
      <c r="D11" s="39">
        <f>E.2固定资产折旧费估算表!G7</f>
        <v>272.036895509293</v>
      </c>
      <c r="E11" s="39">
        <f>E.2固定资产折旧费估算表!H7</f>
        <v>823.264438801395</v>
      </c>
      <c r="F11" s="39">
        <f>E.2固定资产折旧费估算表!I7</f>
        <v>1837.1825778245</v>
      </c>
      <c r="G11" s="39">
        <f>E.2固定资产折旧费估算表!J7</f>
        <v>1745.69907427181</v>
      </c>
    </row>
    <row r="12" customHeight="1" spans="1:7">
      <c r="A12" s="7">
        <v>1.4</v>
      </c>
      <c r="B12" s="7" t="s">
        <v>452</v>
      </c>
      <c r="C12" s="39">
        <f>E.3无形资产和其他资产摊销费估算表!F25</f>
        <v>0</v>
      </c>
      <c r="D12" s="39">
        <f>E.3无形资产和其他资产摊销费估算表!G25</f>
        <v>5.29151930053583</v>
      </c>
      <c r="E12" s="39">
        <f>E.3无形资产和其他资产摊销费估算表!H25</f>
        <v>10.3190625815438</v>
      </c>
      <c r="F12" s="39">
        <f>E.3无形资产和其他资产摊销费估算表!I25</f>
        <v>15.0694310420475</v>
      </c>
      <c r="G12" s="39">
        <f>E.3无形资产和其他资产摊销费估算表!J25</f>
        <v>14.2763030924661</v>
      </c>
    </row>
    <row r="13" customHeight="1" spans="1:7">
      <c r="A13" s="7">
        <v>2</v>
      </c>
      <c r="B13" s="7" t="s">
        <v>453</v>
      </c>
      <c r="C13" s="11">
        <f t="shared" ref="C13" si="6">C21+C22</f>
        <v>1494.0152</v>
      </c>
      <c r="D13" s="11">
        <f t="shared" ref="D13:G13" si="7">D21+D22</f>
        <v>13445.0093755705</v>
      </c>
      <c r="E13" s="11">
        <f t="shared" si="7"/>
        <v>22678.7997564278</v>
      </c>
      <c r="F13" s="11">
        <f t="shared" ref="F13:G13" si="8">F21+F22</f>
        <v>13240.5852167521</v>
      </c>
      <c r="G13" s="11">
        <f t="shared" si="8"/>
        <v>9161.82972662278</v>
      </c>
    </row>
    <row r="14" customHeight="1" spans="1:7">
      <c r="A14" s="7">
        <v>2.1</v>
      </c>
      <c r="B14" s="7" t="s">
        <v>454</v>
      </c>
      <c r="C14" s="11">
        <f t="shared" ref="C14" si="9">SUM(C15:C18)</f>
        <v>0</v>
      </c>
      <c r="D14" s="11">
        <f t="shared" ref="D14:G14" si="10">SUM(D15:D18)</f>
        <v>0.239983333333333</v>
      </c>
      <c r="E14" s="11">
        <f t="shared" si="10"/>
        <v>0.239983333333333</v>
      </c>
      <c r="F14" s="11">
        <f t="shared" ref="F14:G14" si="11">SUM(F15:F18)</f>
        <v>1.27426666666667</v>
      </c>
      <c r="G14" s="11">
        <f t="shared" si="11"/>
        <v>2.30855</v>
      </c>
    </row>
    <row r="15" customHeight="1" spans="1:7">
      <c r="A15" s="7" t="s">
        <v>119</v>
      </c>
      <c r="B15" s="7" t="s">
        <v>455</v>
      </c>
      <c r="C15" s="39">
        <v>0</v>
      </c>
      <c r="D15" s="39">
        <v>0</v>
      </c>
      <c r="E15" s="39">
        <v>0</v>
      </c>
      <c r="F15" s="39">
        <v>1</v>
      </c>
      <c r="G15" s="39">
        <v>2</v>
      </c>
    </row>
    <row r="16" customHeight="1" spans="1:7">
      <c r="A16" s="7" t="s">
        <v>121</v>
      </c>
      <c r="B16" s="7" t="s">
        <v>157</v>
      </c>
      <c r="C16" s="11">
        <f>D.4流动资金估算表!E12</f>
        <v>0</v>
      </c>
      <c r="D16" s="11">
        <f>D.4流动资金估算表!F12</f>
        <v>0.239983333333333</v>
      </c>
      <c r="E16" s="11">
        <f>D.4流动资金估算表!G12</f>
        <v>0.239983333333333</v>
      </c>
      <c r="F16" s="11">
        <f>D.4流动资金估算表!H12</f>
        <v>0.274266666666667</v>
      </c>
      <c r="G16" s="11">
        <f>D.4流动资金估算表!I12</f>
        <v>0.30855</v>
      </c>
    </row>
    <row r="17" customHeight="1" spans="1:7">
      <c r="A17" s="7" t="s">
        <v>123</v>
      </c>
      <c r="B17" s="7" t="s">
        <v>456</v>
      </c>
      <c r="C17" s="39">
        <v>0</v>
      </c>
      <c r="D17" s="39">
        <v>0</v>
      </c>
      <c r="E17" s="39">
        <v>0</v>
      </c>
      <c r="F17" s="39">
        <v>0</v>
      </c>
      <c r="G17" s="39">
        <v>0</v>
      </c>
    </row>
    <row r="18" customHeight="1" spans="1:7">
      <c r="A18" s="7" t="s">
        <v>457</v>
      </c>
      <c r="B18" s="7" t="s">
        <v>449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</row>
    <row r="19" s="37" customFormat="1" customHeight="1" spans="1:10">
      <c r="A19" s="40">
        <v>2.2</v>
      </c>
      <c r="B19" s="40" t="s">
        <v>437</v>
      </c>
      <c r="C19" s="41">
        <f>c借款还本付息计划表!D32</f>
        <v>1175</v>
      </c>
      <c r="D19" s="41">
        <f>c借款还本付息计划表!E32</f>
        <v>12765</v>
      </c>
      <c r="E19" s="41">
        <f>c借款还本付息计划表!F32</f>
        <v>21470</v>
      </c>
      <c r="F19" s="41">
        <f>c借款还本付息计划表!G32</f>
        <v>20295</v>
      </c>
      <c r="G19" s="41">
        <f>c借款还本付息计划表!H32</f>
        <v>8705</v>
      </c>
      <c r="H19"/>
      <c r="I19"/>
      <c r="J19"/>
    </row>
    <row r="20" customHeight="1" spans="1:7">
      <c r="A20" s="7">
        <v>2.3</v>
      </c>
      <c r="B20" s="7" t="s">
        <v>458</v>
      </c>
      <c r="C20" s="11">
        <f>D.4流动资金估算表!E15</f>
        <v>0</v>
      </c>
      <c r="D20" s="11">
        <f>D.4流动资金估算表!F15</f>
        <v>0</v>
      </c>
      <c r="E20" s="11">
        <f>D.4流动资金估算表!G15</f>
        <v>0</v>
      </c>
      <c r="F20" s="11">
        <f>D.4流动资金估算表!H15</f>
        <v>0</v>
      </c>
      <c r="G20" s="11">
        <f>D.4流动资金估算表!I15</f>
        <v>0</v>
      </c>
    </row>
    <row r="21" customHeight="1" spans="1:7">
      <c r="A21" s="7">
        <v>2.4</v>
      </c>
      <c r="B21" s="7" t="s">
        <v>459</v>
      </c>
      <c r="C21" s="11">
        <f t="shared" ref="C21" si="12">C14+C19+C20</f>
        <v>1175</v>
      </c>
      <c r="D21" s="11">
        <f t="shared" ref="D21:G21" si="13">D14+D19+D20</f>
        <v>12765.2399833333</v>
      </c>
      <c r="E21" s="11">
        <f t="shared" si="13"/>
        <v>21470.2399833333</v>
      </c>
      <c r="F21" s="11">
        <f t="shared" ref="F21:G21" si="14">F14+F19+F20</f>
        <v>20296.2742666667</v>
      </c>
      <c r="G21" s="11">
        <f t="shared" si="14"/>
        <v>8707.30855</v>
      </c>
    </row>
    <row r="22" customHeight="1" spans="1:7">
      <c r="A22" s="7">
        <v>2.5</v>
      </c>
      <c r="B22" s="7" t="s">
        <v>460</v>
      </c>
      <c r="C22" s="11">
        <f t="shared" ref="C22" si="15">SUM(C23:C26)</f>
        <v>319.0152</v>
      </c>
      <c r="D22" s="11">
        <f t="shared" ref="D22:G22" si="16">SUM(D23:D26)</f>
        <v>679.769392237118</v>
      </c>
      <c r="E22" s="11">
        <f t="shared" si="16"/>
        <v>1208.55977309447</v>
      </c>
      <c r="F22" s="11">
        <f t="shared" ref="F22:G22" si="17">SUM(F23:F26)</f>
        <v>-7055.68904991454</v>
      </c>
      <c r="G22" s="11">
        <f t="shared" si="17"/>
        <v>454.521176622777</v>
      </c>
    </row>
    <row r="23" customHeight="1" spans="1:7">
      <c r="A23" s="7" t="s">
        <v>461</v>
      </c>
      <c r="B23" s="7" t="s">
        <v>462</v>
      </c>
      <c r="C23" s="11">
        <f>D.2项目总投资使用计划与资金筹措表!D8</f>
        <v>319.0152</v>
      </c>
      <c r="D23" s="11">
        <f>D.2项目总投资使用计划与资金筹措表!E8</f>
        <v>662.113824902778</v>
      </c>
      <c r="E23" s="11">
        <f>D.2项目总投资使用计划与资金筹措表!F8</f>
        <v>1196.68403267222</v>
      </c>
      <c r="F23" s="11">
        <f>D.2项目总投资使用计划与资金筹措表!G8</f>
        <v>-7011.11969705</v>
      </c>
      <c r="G23" s="11">
        <f>D.2项目总投资使用计划与资金筹措表!H8</f>
        <v>495.646065375</v>
      </c>
    </row>
    <row r="24" customHeight="1" spans="1:7">
      <c r="A24" s="7" t="s">
        <v>463</v>
      </c>
      <c r="B24" s="7" t="s">
        <v>464</v>
      </c>
      <c r="C24" s="11">
        <f>'b利润与利润分配表（损益和利润分配表）'!D15</f>
        <v>0</v>
      </c>
      <c r="D24" s="11">
        <f>'b利润与利润分配表（损益和利润分配表）'!E15</f>
        <v>12.1762533340281</v>
      </c>
      <c r="E24" s="11">
        <f>'b利润与利润分配表（损益和利润分配表）'!F15</f>
        <v>8.19016580844879</v>
      </c>
      <c r="F24" s="11">
        <f>'b利润与利润分配表（损益和利润分配表）'!G15</f>
        <v>-30.7374847341652</v>
      </c>
      <c r="G24" s="11">
        <f>'b利润与利润分配表（损益和利润分配表）'!H15</f>
        <v>-28.3619922429121</v>
      </c>
    </row>
    <row r="25" customHeight="1" spans="1:7">
      <c r="A25" s="7" t="s">
        <v>465</v>
      </c>
      <c r="B25" s="7" t="s">
        <v>466</v>
      </c>
      <c r="C25" s="11">
        <f>'b利润与利润分配表（损益和利润分配表）'!D18</f>
        <v>0</v>
      </c>
      <c r="D25" s="11">
        <f>'b利润与利润分配表（损益和利润分配表）'!E18</f>
        <v>5.47931400031265</v>
      </c>
      <c r="E25" s="11">
        <f>'b利润与利润分配表（损益和利润分配表）'!F18</f>
        <v>3.68557461380196</v>
      </c>
      <c r="F25" s="11">
        <f>'b利润与利润分配表（损益和利润分配表）'!G18</f>
        <v>-13.8318681303743</v>
      </c>
      <c r="G25" s="11">
        <f>'b利润与利润分配表（损益和利润分配表）'!H18</f>
        <v>-12.7628965093104</v>
      </c>
    </row>
    <row r="26" customHeight="1" spans="1:7">
      <c r="A26" s="7" t="s">
        <v>467</v>
      </c>
      <c r="B26" s="7" t="s">
        <v>398</v>
      </c>
      <c r="C26" s="11">
        <f>'b利润与利润分配表（损益和利润分配表）'!D24</f>
        <v>0</v>
      </c>
      <c r="D26" s="11">
        <f>'b利润与利润分配表（损益和利润分配表）'!E24</f>
        <v>0</v>
      </c>
      <c r="E26" s="11">
        <f>'b利润与利润分配表（损益和利润分配表）'!F24</f>
        <v>0</v>
      </c>
      <c r="F26" s="11">
        <f>'b利润与利润分配表（损益和利润分配表）'!G24</f>
        <v>0</v>
      </c>
      <c r="G26" s="11">
        <f>'b利润与利润分配表（损益和利润分配表）'!H24</f>
        <v>0</v>
      </c>
    </row>
    <row r="27" customHeight="1" spans="1:7">
      <c r="A27" s="42" t="s">
        <v>468</v>
      </c>
      <c r="B27" s="42"/>
      <c r="C27" s="35">
        <f t="shared" ref="C27" si="18">C21/C3</f>
        <v>3.36494945796497</v>
      </c>
      <c r="D27" s="35">
        <f t="shared" ref="D27:G27" si="19">D21/D3</f>
        <v>10.771437408505</v>
      </c>
      <c r="E27" s="35">
        <f t="shared" si="19"/>
        <v>8.5536374622042</v>
      </c>
      <c r="F27" s="35">
        <f t="shared" ref="F27:G27" si="20">F21/F3</f>
        <v>11.7402477021548</v>
      </c>
      <c r="G27" s="35">
        <f t="shared" si="20"/>
        <v>-0.987847033594118</v>
      </c>
    </row>
  </sheetData>
  <mergeCells count="2">
    <mergeCell ref="A1:G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F3" sqref="F3"/>
    </sheetView>
  </sheetViews>
  <sheetFormatPr defaultColWidth="14.7818181818182" defaultRowHeight="28.05" customHeight="1" outlineLevelRow="3" outlineLevelCol="6"/>
  <cols>
    <col min="1" max="1" width="20.2181818181818" customWidth="1"/>
    <col min="2" max="2" width="14.7818181818182" customWidth="1"/>
    <col min="3" max="3" width="17.7818181818182" customWidth="1"/>
    <col min="4" max="4" width="14.7818181818182" customWidth="1"/>
  </cols>
  <sheetData>
    <row r="1" customHeight="1" spans="1:7">
      <c r="A1" s="13" t="s">
        <v>469</v>
      </c>
      <c r="B1" s="14"/>
      <c r="C1" s="14"/>
      <c r="D1" s="14"/>
      <c r="E1" s="14"/>
      <c r="F1" s="14"/>
      <c r="G1" s="31"/>
    </row>
    <row r="2" customHeight="1" spans="1:7">
      <c r="A2" s="2" t="s">
        <v>470</v>
      </c>
      <c r="B2" s="2" t="s">
        <v>471</v>
      </c>
      <c r="C2" s="2" t="s">
        <v>101</v>
      </c>
      <c r="D2" s="2" t="s">
        <v>472</v>
      </c>
      <c r="E2" s="2" t="s">
        <v>115</v>
      </c>
      <c r="F2" s="2" t="s">
        <v>116</v>
      </c>
      <c r="G2" s="2" t="s">
        <v>81</v>
      </c>
    </row>
    <row r="3" customHeight="1" spans="1:7">
      <c r="A3" s="7" t="s">
        <v>473</v>
      </c>
      <c r="B3" s="8">
        <f>D.1建设投资!D3</f>
        <v>1824</v>
      </c>
      <c r="C3" s="8">
        <f>D.1建设投资!D13</f>
        <v>24</v>
      </c>
      <c r="D3" s="8">
        <f>D.1建设投资!D19</f>
        <v>6</v>
      </c>
      <c r="E3" s="8">
        <f>D.2项目总投资使用计划与资金筹措表!C5</f>
        <v>1321.82008</v>
      </c>
      <c r="F3" s="8">
        <f>D.2项目总投资使用计划与资金筹措表!C6</f>
        <v>14.5193459</v>
      </c>
      <c r="G3" s="8">
        <f>SUM(B3:F3)</f>
        <v>3190.3394259</v>
      </c>
    </row>
    <row r="4" customHeight="1" spans="1:7">
      <c r="A4" s="7" t="s">
        <v>474</v>
      </c>
      <c r="B4" s="35">
        <f t="shared" ref="B4:F4" si="0">B3/$G$3</f>
        <v>0.571726000435031</v>
      </c>
      <c r="C4" s="35">
        <f t="shared" si="0"/>
        <v>0.00752271053203988</v>
      </c>
      <c r="D4" s="35">
        <f t="shared" si="0"/>
        <v>0.00188067763300997</v>
      </c>
      <c r="E4" s="35">
        <f t="shared" si="0"/>
        <v>0.414319576553242</v>
      </c>
      <c r="F4" s="35">
        <f t="shared" si="0"/>
        <v>0.0045510348466775</v>
      </c>
      <c r="G4" s="35" t="s">
        <v>132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E4" sqref="E4"/>
    </sheetView>
  </sheetViews>
  <sheetFormatPr defaultColWidth="14.7818181818182" defaultRowHeight="28.05" customHeight="1" outlineLevelCol="6"/>
  <cols>
    <col min="1" max="1" width="22" customWidth="1"/>
    <col min="2" max="2" width="15.6636363636364" customWidth="1"/>
  </cols>
  <sheetData>
    <row r="1" customHeight="1" spans="1:7">
      <c r="A1" s="13" t="s">
        <v>475</v>
      </c>
      <c r="B1" s="14"/>
      <c r="C1" s="14"/>
      <c r="D1" s="14"/>
      <c r="E1" s="14"/>
      <c r="F1" s="31"/>
      <c r="G1" s="32" t="s">
        <v>476</v>
      </c>
    </row>
    <row r="2" customHeight="1" spans="1:6">
      <c r="A2" s="2" t="s">
        <v>477</v>
      </c>
      <c r="B2" s="33">
        <v>2025</v>
      </c>
      <c r="C2" s="33">
        <v>2026</v>
      </c>
      <c r="D2" s="33">
        <v>2027</v>
      </c>
      <c r="E2" s="2" t="s">
        <v>81</v>
      </c>
      <c r="F2" s="2" t="s">
        <v>478</v>
      </c>
    </row>
    <row r="3" customHeight="1" spans="1:6">
      <c r="A3" s="7" t="s">
        <v>479</v>
      </c>
      <c r="B3" s="34">
        <v>0</v>
      </c>
      <c r="C3" s="34">
        <v>0</v>
      </c>
      <c r="D3" s="34">
        <v>0</v>
      </c>
      <c r="E3" s="8">
        <f t="shared" ref="E3:E8" si="0">SUM(B3:D3)</f>
        <v>0</v>
      </c>
      <c r="F3" s="35">
        <f>E3/E9</f>
        <v>0</v>
      </c>
    </row>
    <row r="4" customHeight="1" spans="1:6">
      <c r="A4" s="7" t="s">
        <v>480</v>
      </c>
      <c r="B4" s="11">
        <f>D.2项目总投资使用计划与资金筹措表!D8</f>
        <v>319.0152</v>
      </c>
      <c r="C4" s="11">
        <f>D.2项目总投资使用计划与资金筹措表!E8</f>
        <v>662.113824902778</v>
      </c>
      <c r="D4" s="11">
        <f>D.2项目总投资使用计划与资金筹措表!F8</f>
        <v>1196.68403267222</v>
      </c>
      <c r="E4" s="11">
        <f t="shared" si="0"/>
        <v>2177.813057575</v>
      </c>
      <c r="F4" s="35">
        <f>E4/E9</f>
        <v>1</v>
      </c>
    </row>
    <row r="5" ht="39" customHeight="1" spans="1:6">
      <c r="A5" s="36" t="s">
        <v>481</v>
      </c>
      <c r="B5" s="34">
        <v>0</v>
      </c>
      <c r="C5" s="34">
        <v>0</v>
      </c>
      <c r="D5" s="34">
        <v>0</v>
      </c>
      <c r="E5" s="8">
        <f t="shared" si="0"/>
        <v>0</v>
      </c>
      <c r="F5" s="35">
        <f>E5/E9</f>
        <v>0</v>
      </c>
    </row>
    <row r="6" ht="39" customHeight="1" spans="1:6">
      <c r="A6" s="36" t="s">
        <v>482</v>
      </c>
      <c r="B6" s="8">
        <f>D.2项目总投资使用计划与资金筹措表!D12</f>
        <v>0</v>
      </c>
      <c r="C6" s="8">
        <f>D.2项目总投资使用计划与资金筹措表!E12</f>
        <v>0</v>
      </c>
      <c r="D6" s="8">
        <f>D.2项目总投资使用计划与资金筹措表!F12</f>
        <v>0</v>
      </c>
      <c r="E6" s="8">
        <f t="shared" si="0"/>
        <v>0</v>
      </c>
      <c r="F6" s="35">
        <f>E6/E9</f>
        <v>0</v>
      </c>
    </row>
    <row r="7" customHeight="1" spans="1:6">
      <c r="A7" s="7" t="s">
        <v>483</v>
      </c>
      <c r="B7" s="34">
        <v>0</v>
      </c>
      <c r="C7" s="34">
        <v>0</v>
      </c>
      <c r="D7" s="34">
        <v>0</v>
      </c>
      <c r="E7" s="8">
        <f t="shared" si="0"/>
        <v>0</v>
      </c>
      <c r="F7" s="35">
        <f>E7/E9</f>
        <v>0</v>
      </c>
    </row>
    <row r="8" customHeight="1" spans="1:6">
      <c r="A8" s="7" t="s">
        <v>484</v>
      </c>
      <c r="B8" s="34">
        <v>0</v>
      </c>
      <c r="C8" s="34">
        <v>0</v>
      </c>
      <c r="D8" s="34">
        <v>0</v>
      </c>
      <c r="E8" s="8">
        <f t="shared" si="0"/>
        <v>0</v>
      </c>
      <c r="F8" s="35">
        <f>E8/E9</f>
        <v>0</v>
      </c>
    </row>
    <row r="9" customHeight="1" spans="1:6">
      <c r="A9" s="7" t="s">
        <v>81</v>
      </c>
      <c r="B9" s="8">
        <f>SUM(B3:B8)</f>
        <v>319.0152</v>
      </c>
      <c r="C9" s="8">
        <f>SUM(C3:C8)</f>
        <v>662.113824902778</v>
      </c>
      <c r="D9" s="8">
        <f>SUM(D3:D8)</f>
        <v>1196.68403267222</v>
      </c>
      <c r="E9" s="8">
        <f>SUM(E3:E8)</f>
        <v>2177.813057575</v>
      </c>
      <c r="F9" s="7" t="s">
        <v>132</v>
      </c>
    </row>
    <row r="10" customHeight="1" spans="1:6">
      <c r="A10" s="7" t="s">
        <v>485</v>
      </c>
      <c r="B10" s="35">
        <f>B9/E9</f>
        <v>0.146484198398197</v>
      </c>
      <c r="C10" s="35">
        <f>C9/E9</f>
        <v>0.304026933165716</v>
      </c>
      <c r="D10" s="35">
        <f>D9/E9</f>
        <v>0.549488868436087</v>
      </c>
      <c r="E10" s="7" t="s">
        <v>132</v>
      </c>
      <c r="F10" s="7" t="s">
        <v>132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G6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J10" sqref="J10"/>
    </sheetView>
  </sheetViews>
  <sheetFormatPr defaultColWidth="15.7818181818182" defaultRowHeight="28.05" customHeight="1" outlineLevelRow="5" outlineLevelCol="6"/>
  <cols>
    <col min="1" max="1" width="15.7818181818182" customWidth="1"/>
    <col min="2" max="2" width="6.44545454545455" customWidth="1"/>
    <col min="3" max="6" width="8.78181818181818" customWidth="1"/>
  </cols>
  <sheetData>
    <row r="1" customHeight="1" spans="1:7">
      <c r="A1" s="13" t="s">
        <v>486</v>
      </c>
      <c r="B1" s="14"/>
      <c r="C1" s="14"/>
      <c r="D1" s="14"/>
      <c r="E1" s="14"/>
      <c r="F1" s="14"/>
      <c r="G1" s="27" t="s">
        <v>487</v>
      </c>
    </row>
    <row r="2" customHeight="1" spans="1:6">
      <c r="A2" s="15" t="s">
        <v>488</v>
      </c>
      <c r="B2" s="28" t="s">
        <v>489</v>
      </c>
      <c r="C2" s="29"/>
      <c r="D2" s="29"/>
      <c r="E2" s="29"/>
      <c r="F2" s="29"/>
    </row>
    <row r="3" customHeight="1" spans="1:6">
      <c r="A3" s="16"/>
      <c r="B3" s="30">
        <v>2025</v>
      </c>
      <c r="C3" s="30">
        <v>2026</v>
      </c>
      <c r="D3" s="30">
        <v>2027</v>
      </c>
      <c r="E3" s="30">
        <v>2028</v>
      </c>
      <c r="F3" s="30">
        <v>2029</v>
      </c>
    </row>
    <row r="4" customHeight="1" spans="1:6">
      <c r="A4" s="7" t="s">
        <v>490</v>
      </c>
      <c r="B4" s="8">
        <f>F项目收入!D11-F项目收入!D9</f>
        <v>0</v>
      </c>
      <c r="C4" s="8">
        <f>F项目收入!E11-F项目收入!E9</f>
        <v>325</v>
      </c>
      <c r="D4" s="8">
        <f>F项目收入!F11-F项目收入!F9</f>
        <v>520.8</v>
      </c>
      <c r="E4" s="8">
        <f>F项目收入!G11-F项目收入!G9</f>
        <v>652.02</v>
      </c>
      <c r="F4" s="8">
        <f>F项目收入!H11-F项目收入!H9</f>
        <v>653.0604</v>
      </c>
    </row>
    <row r="5" customHeight="1" spans="1:6">
      <c r="A5" s="7" t="s">
        <v>491</v>
      </c>
      <c r="B5" s="8">
        <f>F项目收入!D9</f>
        <v>0</v>
      </c>
      <c r="C5" s="8">
        <f>F项目收入!E9</f>
        <v>0</v>
      </c>
      <c r="D5" s="8">
        <f>F项目收入!F9</f>
        <v>0</v>
      </c>
      <c r="E5" s="8">
        <f>F项目收入!G9</f>
        <v>0</v>
      </c>
      <c r="F5" s="8">
        <f>F项目收入!H9</f>
        <v>0</v>
      </c>
    </row>
    <row r="6" customHeight="1" spans="1:6">
      <c r="A6" s="7" t="s">
        <v>81</v>
      </c>
      <c r="B6" s="8">
        <f t="shared" ref="B6" si="0">SUM(B4:B5)</f>
        <v>0</v>
      </c>
      <c r="C6" s="8">
        <f t="shared" ref="C6:F6" si="1">SUM(C4:C5)</f>
        <v>325</v>
      </c>
      <c r="D6" s="8">
        <f t="shared" si="1"/>
        <v>520.8</v>
      </c>
      <c r="E6" s="8">
        <f t="shared" si="1"/>
        <v>652.02</v>
      </c>
      <c r="F6" s="8">
        <f t="shared" si="1"/>
        <v>653.0604</v>
      </c>
    </row>
  </sheetData>
  <mergeCells count="3">
    <mergeCell ref="A1:F1"/>
    <mergeCell ref="B2:F2"/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N23"/>
  <sheetViews>
    <sheetView zoomScale="70" zoomScaleNormal="70" workbookViewId="0">
      <selection activeCell="J5" sqref="J5"/>
    </sheetView>
  </sheetViews>
  <sheetFormatPr defaultColWidth="13.7818181818182" defaultRowHeight="28.05" customHeight="1"/>
  <cols>
    <col min="1" max="1" width="13.6636363636364" customWidth="1"/>
    <col min="2" max="2" width="11.2181818181818" customWidth="1"/>
    <col min="3" max="3" width="44.2181818181818" style="17" customWidth="1"/>
    <col min="4" max="4" width="43.8909090909091" style="17" customWidth="1"/>
    <col min="5" max="16355" width="13.7818181818182" customWidth="1"/>
  </cols>
  <sheetData>
    <row r="1" customHeight="1" spans="1:14">
      <c r="A1" s="18" t="s">
        <v>492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25" t="s">
        <v>493</v>
      </c>
    </row>
    <row r="2" customHeight="1" spans="1:13">
      <c r="A2" s="19" t="s">
        <v>180</v>
      </c>
      <c r="B2" s="19" t="s">
        <v>1</v>
      </c>
      <c r="C2" s="20" t="s">
        <v>112</v>
      </c>
      <c r="D2" s="20" t="s">
        <v>181</v>
      </c>
      <c r="E2" s="19" t="s">
        <v>182</v>
      </c>
      <c r="F2" s="20" t="s">
        <v>494</v>
      </c>
      <c r="G2" s="2" t="s">
        <v>184</v>
      </c>
      <c r="H2" s="21" t="s">
        <v>495</v>
      </c>
      <c r="I2" s="26" t="s">
        <v>496</v>
      </c>
      <c r="J2" s="21" t="s">
        <v>497</v>
      </c>
      <c r="K2" s="26" t="s">
        <v>498</v>
      </c>
      <c r="L2" s="21" t="s">
        <v>499</v>
      </c>
      <c r="M2" s="16" t="s">
        <v>81</v>
      </c>
    </row>
    <row r="3" customHeight="1" spans="1:13">
      <c r="A3" s="16"/>
      <c r="B3" s="16"/>
      <c r="C3" s="22"/>
      <c r="D3" s="22"/>
      <c r="E3" s="16"/>
      <c r="F3" s="16"/>
      <c r="G3" s="2"/>
      <c r="H3" s="23" t="s">
        <v>185</v>
      </c>
      <c r="I3" s="12">
        <v>0.7</v>
      </c>
      <c r="J3" s="12">
        <v>0.7</v>
      </c>
      <c r="K3" s="12">
        <v>0.8</v>
      </c>
      <c r="L3" s="12">
        <v>0.9</v>
      </c>
      <c r="M3" s="7" t="s">
        <v>132</v>
      </c>
    </row>
    <row r="4" customHeight="1" spans="1:13">
      <c r="A4" s="10" t="str">
        <f>E.1项目运营期费用!A4</f>
        <v>场地维护成本</v>
      </c>
      <c r="B4" s="10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7">
        <f>E.1项目运营期费用!E4</f>
        <v>1</v>
      </c>
      <c r="F4" s="7">
        <f>E.1项目运营期费用!F4</f>
        <v>2</v>
      </c>
      <c r="G4" s="7">
        <f>E.1项目运营期费用!G4</f>
        <v>2</v>
      </c>
      <c r="H4" s="7">
        <f>E.1项目运营期费用!H4</f>
        <v>0</v>
      </c>
      <c r="I4" s="7">
        <f>E.1项目运营期费用!I4</f>
        <v>1.4</v>
      </c>
      <c r="J4" s="7">
        <f>E.1项目运营期费用!J4</f>
        <v>1.4</v>
      </c>
      <c r="K4" s="7">
        <f>E.1项目运营期费用!K4</f>
        <v>1.6</v>
      </c>
      <c r="L4" s="7">
        <f>E.1项目运营期费用!L4</f>
        <v>1.8</v>
      </c>
      <c r="M4" s="7">
        <f>E.1项目运营期费用!M4</f>
        <v>6.2</v>
      </c>
    </row>
    <row r="5" customHeight="1" spans="1:13">
      <c r="A5" s="10"/>
      <c r="B5" s="10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7">
        <f>E.1项目运营期费用!E5</f>
        <v>2</v>
      </c>
      <c r="F5" s="7">
        <f>E.1项目运营期费用!F5</f>
        <v>2</v>
      </c>
      <c r="G5" s="7">
        <f>E.1项目运营期费用!G5</f>
        <v>2</v>
      </c>
      <c r="H5" s="7">
        <f>E.1项目运营期费用!H5</f>
        <v>0</v>
      </c>
      <c r="I5" s="7">
        <f>E.1项目运营期费用!I5</f>
        <v>2.8</v>
      </c>
      <c r="J5" s="7">
        <f>E.1项目运营期费用!J5</f>
        <v>2.8</v>
      </c>
      <c r="K5" s="7">
        <f>E.1项目运营期费用!K5</f>
        <v>3.2</v>
      </c>
      <c r="L5" s="7">
        <f>E.1项目运营期费用!L5</f>
        <v>3.6</v>
      </c>
      <c r="M5" s="7">
        <f>E.1项目运营期费用!M5</f>
        <v>12.4</v>
      </c>
    </row>
    <row r="6" customHeight="1" spans="1:13">
      <c r="A6" s="10"/>
      <c r="B6" s="10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7">
        <f>E.1项目运营期费用!E6</f>
        <v>3</v>
      </c>
      <c r="F6" s="7">
        <f>E.1项目运营期费用!F6</f>
        <v>2</v>
      </c>
      <c r="G6" s="7">
        <f>E.1项目运营期费用!G6</f>
        <v>2</v>
      </c>
      <c r="H6" s="7">
        <f>E.1项目运营期费用!H6</f>
        <v>0</v>
      </c>
      <c r="I6" s="7">
        <f>E.1项目运营期费用!I6</f>
        <v>4.2</v>
      </c>
      <c r="J6" s="7">
        <f>E.1项目运营期费用!J6</f>
        <v>4.2</v>
      </c>
      <c r="K6" s="7">
        <f>E.1项目运营期费用!K6</f>
        <v>4.8</v>
      </c>
      <c r="L6" s="7">
        <f>E.1项目运营期费用!L6</f>
        <v>5.4</v>
      </c>
      <c r="M6" s="7">
        <f>E.1项目运营期费用!M6</f>
        <v>18.6</v>
      </c>
    </row>
    <row r="7" customHeight="1" spans="1:13">
      <c r="A7" s="10"/>
      <c r="B7" s="10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7">
        <f>E.1项目运营期费用!E7</f>
        <v>4</v>
      </c>
      <c r="F7" s="7">
        <f>E.1项目运营期费用!F7</f>
        <v>2</v>
      </c>
      <c r="G7" s="7">
        <f>E.1项目运营期费用!G7</f>
        <v>2</v>
      </c>
      <c r="H7" s="7">
        <f>E.1项目运营期费用!H7</f>
        <v>0</v>
      </c>
      <c r="I7" s="7">
        <f>E.1项目运营期费用!I7</f>
        <v>5.6</v>
      </c>
      <c r="J7" s="7">
        <f>E.1项目运营期费用!J7</f>
        <v>5.6</v>
      </c>
      <c r="K7" s="7">
        <f>E.1项目运营期费用!K7</f>
        <v>6.4</v>
      </c>
      <c r="L7" s="7">
        <f>E.1项目运营期费用!L7</f>
        <v>7.2</v>
      </c>
      <c r="M7" s="7">
        <f>E.1项目运营期费用!M7</f>
        <v>24.8</v>
      </c>
    </row>
    <row r="8" customHeight="1" spans="1:13">
      <c r="A8" s="10" t="str">
        <f>E.1项目运营期费用!A8</f>
        <v>燃料动力费</v>
      </c>
      <c r="B8" s="10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7">
        <f>E.1项目运营期费用!E8</f>
        <v>5</v>
      </c>
      <c r="F8" s="7">
        <f>E.1项目运营期费用!F8</f>
        <v>2</v>
      </c>
      <c r="G8" s="7">
        <f>E.1项目运营期费用!G8</f>
        <v>2</v>
      </c>
      <c r="H8" s="7">
        <f>E.1项目运营期费用!H8</f>
        <v>0</v>
      </c>
      <c r="I8" s="7">
        <f>E.1项目运营期费用!I8</f>
        <v>7</v>
      </c>
      <c r="J8" s="7">
        <f>E.1项目运营期费用!J8</f>
        <v>7</v>
      </c>
      <c r="K8" s="7">
        <f>E.1项目运营期费用!K8</f>
        <v>8</v>
      </c>
      <c r="L8" s="7">
        <f>E.1项目运营期费用!L8</f>
        <v>9</v>
      </c>
      <c r="M8" s="7">
        <f>E.1项目运营期费用!M8</f>
        <v>31</v>
      </c>
    </row>
    <row r="9" customHeight="1" spans="1:13">
      <c r="A9" s="10"/>
      <c r="B9" s="10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7">
        <f>E.1项目运营期费用!E9</f>
        <v>6</v>
      </c>
      <c r="F9" s="7">
        <f>E.1项目运营期费用!F9</f>
        <v>2</v>
      </c>
      <c r="G9" s="7">
        <f>E.1项目运营期费用!G9</f>
        <v>2</v>
      </c>
      <c r="H9" s="7">
        <f>E.1项目运营期费用!H9</f>
        <v>0</v>
      </c>
      <c r="I9" s="7">
        <f>E.1项目运营期费用!I9</f>
        <v>8.4</v>
      </c>
      <c r="J9" s="7">
        <f>E.1项目运营期费用!J9</f>
        <v>8.4</v>
      </c>
      <c r="K9" s="7">
        <f>E.1项目运营期费用!K9</f>
        <v>9.6</v>
      </c>
      <c r="L9" s="7">
        <f>E.1项目运营期费用!L9</f>
        <v>10.8</v>
      </c>
      <c r="M9" s="7">
        <f>E.1项目运营期费用!M9</f>
        <v>37.2</v>
      </c>
    </row>
    <row r="10" customHeight="1" spans="1:13">
      <c r="A10" s="10"/>
      <c r="B10" s="10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7">
        <f>E.1项目运营期费用!E10</f>
        <v>7</v>
      </c>
      <c r="F10" s="7">
        <f>E.1项目运营期费用!F10</f>
        <v>2</v>
      </c>
      <c r="G10" s="7">
        <f>E.1项目运营期费用!G10</f>
        <v>2</v>
      </c>
      <c r="H10" s="7">
        <f>E.1项目运营期费用!H10</f>
        <v>0</v>
      </c>
      <c r="I10" s="7">
        <f>E.1项目运营期费用!I10</f>
        <v>9.8</v>
      </c>
      <c r="J10" s="7">
        <f>E.1项目运营期费用!J10</f>
        <v>9.8</v>
      </c>
      <c r="K10" s="7">
        <f>E.1项目运营期费用!K10</f>
        <v>11.2</v>
      </c>
      <c r="L10" s="7">
        <f>E.1项目运营期费用!L10</f>
        <v>12.6</v>
      </c>
      <c r="M10" s="7">
        <f>E.1项目运营期费用!M10</f>
        <v>43.4</v>
      </c>
    </row>
    <row r="11" customHeight="1" spans="1:13">
      <c r="A11" s="10" t="str">
        <f>E.1项目运营期费用!A11</f>
        <v>网络费</v>
      </c>
      <c r="B11" s="10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7">
        <f>E.1项目运营期费用!E11</f>
        <v>8</v>
      </c>
      <c r="F11" s="7">
        <f>E.1项目运营期费用!F11</f>
        <v>2</v>
      </c>
      <c r="G11" s="7">
        <f>E.1项目运营期费用!G11</f>
        <v>2</v>
      </c>
      <c r="H11" s="7">
        <f>E.1项目运营期费用!H11</f>
        <v>0</v>
      </c>
      <c r="I11" s="7">
        <f>E.1项目运营期费用!I11</f>
        <v>11.2</v>
      </c>
      <c r="J11" s="7">
        <f>E.1项目运营期费用!J11</f>
        <v>11.2</v>
      </c>
      <c r="K11" s="7">
        <f>E.1项目运营期费用!K11</f>
        <v>12.8</v>
      </c>
      <c r="L11" s="7">
        <f>E.1项目运营期费用!L11</f>
        <v>14.4</v>
      </c>
      <c r="M11" s="7">
        <f>E.1项目运营期费用!M11</f>
        <v>49.6</v>
      </c>
    </row>
    <row r="12" customHeight="1" spans="1:13">
      <c r="A12" s="10" t="str">
        <f>E.1项目运营期费用!A12</f>
        <v>硬件维护成本</v>
      </c>
      <c r="B12" s="10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7">
        <f>E.1项目运营期费用!E12</f>
        <v>9</v>
      </c>
      <c r="F12" s="7">
        <f>E.1项目运营期费用!F12</f>
        <v>2</v>
      </c>
      <c r="G12" s="7">
        <f>E.1项目运营期费用!G12</f>
        <v>2</v>
      </c>
      <c r="H12" s="7">
        <f>E.1项目运营期费用!H12</f>
        <v>0</v>
      </c>
      <c r="I12" s="7">
        <f>E.1项目运营期费用!I12</f>
        <v>12.6</v>
      </c>
      <c r="J12" s="7">
        <f>E.1项目运营期费用!J12</f>
        <v>12.6</v>
      </c>
      <c r="K12" s="7">
        <f>E.1项目运营期费用!K12</f>
        <v>14.4</v>
      </c>
      <c r="L12" s="7">
        <f>E.1项目运营期费用!L12</f>
        <v>16.2</v>
      </c>
      <c r="M12" s="7">
        <f>E.1项目运营期费用!M12</f>
        <v>55.8</v>
      </c>
    </row>
    <row r="13" customHeight="1" spans="1:13">
      <c r="A13" s="10"/>
      <c r="B13" s="10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7">
        <f>E.1项目运营期费用!E13</f>
        <v>1</v>
      </c>
      <c r="F13" s="7">
        <f>E.1项目运营期费用!F13</f>
        <v>2</v>
      </c>
      <c r="G13" s="7">
        <f>E.1项目运营期费用!G13</f>
        <v>2</v>
      </c>
      <c r="H13" s="7">
        <f>E.1项目运营期费用!H13</f>
        <v>0</v>
      </c>
      <c r="I13" s="7">
        <f>E.1项目运营期费用!I13</f>
        <v>1.4</v>
      </c>
      <c r="J13" s="7">
        <f>E.1项目运营期费用!J13</f>
        <v>1.4</v>
      </c>
      <c r="K13" s="7">
        <f>E.1项目运营期费用!K13</f>
        <v>1.6</v>
      </c>
      <c r="L13" s="7">
        <f>E.1项目运营期费用!L13</f>
        <v>1.8</v>
      </c>
      <c r="M13" s="7">
        <f>E.1项目运营期费用!M13</f>
        <v>6.2</v>
      </c>
    </row>
    <row r="14" customHeight="1" spans="1:13">
      <c r="A14" s="10" t="str">
        <f>E.1项目运营期费用!A14</f>
        <v>软件维护费</v>
      </c>
      <c r="B14" s="10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7">
        <f>E.1项目运营期费用!E14</f>
        <v>2</v>
      </c>
      <c r="F14" s="7">
        <f>E.1项目运营期费用!F14</f>
        <v>2</v>
      </c>
      <c r="G14" s="7">
        <f>E.1项目运营期费用!G14</f>
        <v>2</v>
      </c>
      <c r="H14" s="7">
        <f>E.1项目运营期费用!H14</f>
        <v>0</v>
      </c>
      <c r="I14" s="7">
        <f>E.1项目运营期费用!I14</f>
        <v>2.8</v>
      </c>
      <c r="J14" s="7">
        <f>E.1项目运营期费用!J14</f>
        <v>2.8</v>
      </c>
      <c r="K14" s="7">
        <f>E.1项目运营期费用!K14</f>
        <v>3.2</v>
      </c>
      <c r="L14" s="7">
        <f>E.1项目运营期费用!L14</f>
        <v>3.6</v>
      </c>
      <c r="M14" s="7">
        <f>E.1项目运营期费用!M14</f>
        <v>12.4</v>
      </c>
    </row>
    <row r="15" customHeight="1" spans="1:13">
      <c r="A15" s="10" t="str">
        <f>E.1项目运营期费用!A15</f>
        <v>营销费用</v>
      </c>
      <c r="B15" s="10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7">
        <f>E.1项目运营期费用!E15</f>
        <v>2</v>
      </c>
      <c r="F15" s="7">
        <f>E.1项目运营期费用!F15</f>
        <v>2</v>
      </c>
      <c r="G15" s="7">
        <f>E.1项目运营期费用!G15</f>
        <v>2</v>
      </c>
      <c r="H15" s="7">
        <f>E.1项目运营期费用!H15</f>
        <v>0</v>
      </c>
      <c r="I15" s="7">
        <f>E.1项目运营期费用!I15</f>
        <v>2.8</v>
      </c>
      <c r="J15" s="7">
        <f>E.1项目运营期费用!J15</f>
        <v>2.8</v>
      </c>
      <c r="K15" s="7">
        <f>E.1项目运营期费用!K15</f>
        <v>3.2</v>
      </c>
      <c r="L15" s="7">
        <f>E.1项目运营期费用!L15</f>
        <v>3.6</v>
      </c>
      <c r="M15" s="7">
        <f>E.1项目运营期费用!M15</f>
        <v>12.4</v>
      </c>
    </row>
    <row r="16" customHeight="1" spans="1:13">
      <c r="A16" s="10" t="str">
        <f>E.1项目运营期费用!A16</f>
        <v>工资及福利费</v>
      </c>
      <c r="B16" s="10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7">
        <f>E.1项目运营期费用!E16</f>
        <v>3</v>
      </c>
      <c r="F16" s="7">
        <f>E.1项目运营期费用!F16</f>
        <v>2</v>
      </c>
      <c r="G16" s="7">
        <f>E.1项目运营期费用!G16</f>
        <v>2</v>
      </c>
      <c r="H16" s="7">
        <f>E.1项目运营期费用!H16</f>
        <v>0</v>
      </c>
      <c r="I16" s="7">
        <f>E.1项目运营期费用!I16</f>
        <v>4.2</v>
      </c>
      <c r="J16" s="7">
        <f>E.1项目运营期费用!J16</f>
        <v>4.2</v>
      </c>
      <c r="K16" s="7">
        <f>E.1项目运营期费用!K16</f>
        <v>4.8</v>
      </c>
      <c r="L16" s="7">
        <f>E.1项目运营期费用!L16</f>
        <v>5.4</v>
      </c>
      <c r="M16" s="7">
        <f>E.1项目运营期费用!M16</f>
        <v>18.6</v>
      </c>
    </row>
    <row r="17" customHeight="1" spans="1:13">
      <c r="A17" s="10"/>
      <c r="B17" s="10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7">
        <f>E.1项目运营期费用!E17</f>
        <v>3</v>
      </c>
      <c r="F17" s="7">
        <f>E.1项目运营期费用!F17</f>
        <v>2</v>
      </c>
      <c r="G17" s="7">
        <f>E.1项目运营期费用!G17</f>
        <v>2</v>
      </c>
      <c r="H17" s="7">
        <f>E.1项目运营期费用!H17</f>
        <v>0</v>
      </c>
      <c r="I17" s="7">
        <f>E.1项目运营期费用!I17</f>
        <v>4.2</v>
      </c>
      <c r="J17" s="7">
        <f>E.1项目运营期费用!J17</f>
        <v>4.2</v>
      </c>
      <c r="K17" s="7">
        <f>E.1项目运营期费用!K17</f>
        <v>4.8</v>
      </c>
      <c r="L17" s="7">
        <f>E.1项目运营期费用!L17</f>
        <v>5.4</v>
      </c>
      <c r="M17" s="7">
        <f>E.1项目运营期费用!M17</f>
        <v>18.6</v>
      </c>
    </row>
    <row r="18" customHeight="1" spans="1:13">
      <c r="A18" s="10"/>
      <c r="B18" s="10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7">
        <f>E.1项目运营期费用!E18</f>
        <v>4</v>
      </c>
      <c r="F18" s="7">
        <f>E.1项目运营期费用!F18</f>
        <v>2</v>
      </c>
      <c r="G18" s="7">
        <f>E.1项目运营期费用!G18</f>
        <v>2</v>
      </c>
      <c r="H18" s="7">
        <f>E.1项目运营期费用!H18</f>
        <v>0</v>
      </c>
      <c r="I18" s="7">
        <f>E.1项目运营期费用!I18</f>
        <v>5.6</v>
      </c>
      <c r="J18" s="7">
        <f>E.1项目运营期费用!J18</f>
        <v>5.6</v>
      </c>
      <c r="K18" s="7">
        <f>E.1项目运营期费用!K18</f>
        <v>6.4</v>
      </c>
      <c r="L18" s="7">
        <f>E.1项目运营期费用!L18</f>
        <v>7.2</v>
      </c>
      <c r="M18" s="7">
        <f>E.1项目运营期费用!M18</f>
        <v>24.8</v>
      </c>
    </row>
    <row r="19" customHeight="1" spans="1:13">
      <c r="A19" s="10" t="str">
        <f>E.1项目运营期费用!A19</f>
        <v>合规性与安全成本</v>
      </c>
      <c r="B19" s="10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7">
        <f>E.1项目运营期费用!E19</f>
        <v>1</v>
      </c>
      <c r="F19" s="7">
        <f>E.1项目运营期费用!F19</f>
        <v>2</v>
      </c>
      <c r="G19" s="7">
        <f>E.1项目运营期费用!G19</f>
        <v>2</v>
      </c>
      <c r="H19" s="7">
        <f>E.1项目运营期费用!H19</f>
        <v>0</v>
      </c>
      <c r="I19" s="7">
        <f>E.1项目运营期费用!I19</f>
        <v>1.4</v>
      </c>
      <c r="J19" s="7">
        <f>E.1项目运营期费用!J19</f>
        <v>1.4</v>
      </c>
      <c r="K19" s="7">
        <f>E.1项目运营期费用!K19</f>
        <v>1.6</v>
      </c>
      <c r="L19" s="7">
        <f>E.1项目运营期费用!L19</f>
        <v>1.8</v>
      </c>
      <c r="M19" s="7">
        <f>E.1项目运营期费用!M19</f>
        <v>6.2</v>
      </c>
    </row>
    <row r="20" customHeight="1" spans="1:13">
      <c r="A20" s="10"/>
      <c r="B20" s="10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7">
        <f>E.1项目运营期费用!E20</f>
        <v>4</v>
      </c>
      <c r="F20" s="7">
        <f>E.1项目运营期费用!F20</f>
        <v>2</v>
      </c>
      <c r="G20" s="7">
        <f>E.1项目运营期费用!G20</f>
        <v>2</v>
      </c>
      <c r="H20" s="7">
        <f>E.1项目运营期费用!H20</f>
        <v>0</v>
      </c>
      <c r="I20" s="7">
        <f>E.1项目运营期费用!I20</f>
        <v>5.6</v>
      </c>
      <c r="J20" s="7">
        <f>E.1项目运营期费用!J20</f>
        <v>5.6</v>
      </c>
      <c r="K20" s="7">
        <f>E.1项目运营期费用!K20</f>
        <v>6.4</v>
      </c>
      <c r="L20" s="7">
        <f>E.1项目运营期费用!L20</f>
        <v>7.2</v>
      </c>
      <c r="M20" s="7">
        <f>E.1项目运营期费用!M20</f>
        <v>24.8</v>
      </c>
    </row>
    <row r="21" customHeight="1" spans="1:13">
      <c r="A21" s="10"/>
      <c r="B21" s="10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7">
        <f>E.1项目运营期费用!E21</f>
        <v>8</v>
      </c>
      <c r="F21" s="7">
        <f>E.1项目运营期费用!F21</f>
        <v>2</v>
      </c>
      <c r="G21" s="7">
        <f>E.1项目运营期费用!G21</f>
        <v>2</v>
      </c>
      <c r="H21" s="7">
        <f>E.1项目运营期费用!H21</f>
        <v>0</v>
      </c>
      <c r="I21" s="7">
        <f>E.1项目运营期费用!I21</f>
        <v>11.2</v>
      </c>
      <c r="J21" s="7">
        <f>E.1项目运营期费用!J21</f>
        <v>11.2</v>
      </c>
      <c r="K21" s="7">
        <f>E.1项目运营期费用!K21</f>
        <v>12.8</v>
      </c>
      <c r="L21" s="7">
        <f>E.1项目运营期费用!L21</f>
        <v>14.4</v>
      </c>
      <c r="M21" s="7">
        <f>E.1项目运营期费用!M21</f>
        <v>49.6</v>
      </c>
    </row>
    <row r="22" customHeight="1" spans="1:13">
      <c r="A22" s="10" t="str">
        <f>E.1项目运营期费用!A22</f>
        <v>其他费用</v>
      </c>
      <c r="B22" s="10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7">
        <f>E.1项目运营期费用!E22</f>
        <v>1</v>
      </c>
      <c r="F22" s="7">
        <f>E.1项目运营期费用!F22</f>
        <v>2</v>
      </c>
      <c r="G22" s="7">
        <f>E.1项目运营期费用!G22</f>
        <v>2</v>
      </c>
      <c r="H22" s="7">
        <f>E.1项目运营期费用!H22</f>
        <v>0</v>
      </c>
      <c r="I22" s="7">
        <f>E.1项目运营期费用!I22</f>
        <v>1.4</v>
      </c>
      <c r="J22" s="7">
        <f>E.1项目运营期费用!J22</f>
        <v>1.4</v>
      </c>
      <c r="K22" s="7">
        <f>E.1项目运营期费用!K22</f>
        <v>1.6</v>
      </c>
      <c r="L22" s="7">
        <f>E.1项目运营期费用!L22</f>
        <v>1.8</v>
      </c>
      <c r="M22" s="7">
        <f>E.1项目运营期费用!M22</f>
        <v>6.2</v>
      </c>
    </row>
    <row r="23" customHeight="1" spans="1:13">
      <c r="A23" s="10"/>
      <c r="B23" s="10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7">
        <f>E.1项目运营期费用!E23</f>
        <v>9</v>
      </c>
      <c r="F23" s="7">
        <f>E.1项目运营期费用!F23</f>
        <v>2</v>
      </c>
      <c r="G23" s="7">
        <f>E.1项目运营期费用!G23</f>
        <v>2</v>
      </c>
      <c r="H23" s="7">
        <f>E.1项目运营期费用!H23</f>
        <v>0</v>
      </c>
      <c r="I23" s="7">
        <f>E.1项目运营期费用!I23</f>
        <v>12.6</v>
      </c>
      <c r="J23" s="7">
        <f>E.1项目运营期费用!J23</f>
        <v>12.6</v>
      </c>
      <c r="K23" s="7">
        <f>E.1项目运营期费用!K23</f>
        <v>14.4</v>
      </c>
      <c r="L23" s="7">
        <f>E.1项目运营期费用!L23</f>
        <v>16.2</v>
      </c>
      <c r="M23" s="7">
        <f>E.1项目运营期费用!M23</f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F6"/>
  <sheetViews>
    <sheetView workbookViewId="0">
      <selection activeCell="G8" sqref="G8"/>
    </sheetView>
  </sheetViews>
  <sheetFormatPr defaultColWidth="14.7818181818182" defaultRowHeight="28.05" customHeight="1" outlineLevelRow="5" outlineLevelCol="5"/>
  <cols>
    <col min="1" max="1" width="14.7818181818182" customWidth="1"/>
    <col min="2" max="2" width="6.44545454545455" customWidth="1"/>
    <col min="3" max="4" width="8.66363636363636" customWidth="1"/>
    <col min="5" max="6" width="9.55454545454545" customWidth="1"/>
    <col min="7" max="7" width="14.7818181818182" customWidth="1"/>
  </cols>
  <sheetData>
    <row r="1" customHeight="1" spans="1:6">
      <c r="A1" s="13" t="s">
        <v>500</v>
      </c>
      <c r="B1" s="14"/>
      <c r="C1" s="14"/>
      <c r="D1" s="14"/>
      <c r="E1" s="14"/>
      <c r="F1" s="14"/>
    </row>
    <row r="2" customHeight="1" spans="1:6">
      <c r="A2" s="15" t="s">
        <v>501</v>
      </c>
      <c r="B2" s="2" t="s">
        <v>489</v>
      </c>
      <c r="C2" s="2"/>
      <c r="D2" s="2"/>
      <c r="E2" s="2"/>
      <c r="F2" s="2"/>
    </row>
    <row r="3" customHeight="1" spans="1:6">
      <c r="A3" s="16"/>
      <c r="B3" s="10">
        <v>2025</v>
      </c>
      <c r="C3" s="10">
        <v>2026</v>
      </c>
      <c r="D3" s="10">
        <v>2027</v>
      </c>
      <c r="E3" s="10">
        <v>2028</v>
      </c>
      <c r="F3" s="10">
        <v>2029</v>
      </c>
    </row>
    <row r="4" customHeight="1" spans="1:6">
      <c r="A4" s="7" t="s">
        <v>502</v>
      </c>
      <c r="B4" s="11">
        <f>Ⅲ项目分年度收入合计表!B6</f>
        <v>0</v>
      </c>
      <c r="C4" s="11">
        <f>Ⅲ项目分年度收入合计表!C6</f>
        <v>325</v>
      </c>
      <c r="D4" s="11">
        <f>Ⅲ项目分年度收入合计表!D6</f>
        <v>520.8</v>
      </c>
      <c r="E4" s="11">
        <f>Ⅲ项目分年度收入合计表!E6</f>
        <v>652.02</v>
      </c>
      <c r="F4" s="11">
        <f>Ⅲ项目分年度收入合计表!F6</f>
        <v>653.0604</v>
      </c>
    </row>
    <row r="5" customHeight="1" spans="1:6">
      <c r="A5" s="7" t="s">
        <v>503</v>
      </c>
      <c r="B5" s="11">
        <f>E总成本费用估算表!C15</f>
        <v>0</v>
      </c>
      <c r="C5" s="11">
        <f>E总成本费用估算表!D15</f>
        <v>144.638422169351</v>
      </c>
      <c r="D5" s="11">
        <f>E总成本费用估算表!E15</f>
        <v>377.8295309</v>
      </c>
      <c r="E5" s="11">
        <f>E总成本费用估算表!F15</f>
        <v>916.250981109829</v>
      </c>
      <c r="F5" s="11">
        <f>E总成本费用估算表!G15</f>
        <v>894.645308940477</v>
      </c>
    </row>
    <row r="6" customHeight="1" spans="1:6">
      <c r="A6" s="7" t="s">
        <v>504</v>
      </c>
      <c r="B6" s="11">
        <f>B4-B5</f>
        <v>0</v>
      </c>
      <c r="C6" s="11">
        <f t="shared" ref="C6:F6" si="0">C4-C5</f>
        <v>180.361577830649</v>
      </c>
      <c r="D6" s="11">
        <f t="shared" si="0"/>
        <v>142.9704691</v>
      </c>
      <c r="E6" s="11">
        <f t="shared" si="0"/>
        <v>-264.230981109829</v>
      </c>
      <c r="F6" s="11">
        <f t="shared" si="0"/>
        <v>-241.584908940477</v>
      </c>
    </row>
  </sheetData>
  <mergeCells count="3">
    <mergeCell ref="A1:F1"/>
    <mergeCell ref="B2:F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F8"/>
  <sheetViews>
    <sheetView workbookViewId="0">
      <selection activeCell="G3" sqref="G3"/>
    </sheetView>
  </sheetViews>
  <sheetFormatPr defaultColWidth="14.7818181818182" defaultRowHeight="28.95" customHeight="1" outlineLevelRow="7" outlineLevelCol="5"/>
  <cols>
    <col min="2" max="2" width="9.89090909090909" customWidth="1"/>
    <col min="3" max="6" width="11.2181818181818" customWidth="1"/>
  </cols>
  <sheetData>
    <row r="1" customHeight="1" spans="1:6">
      <c r="A1" s="9" t="s">
        <v>505</v>
      </c>
      <c r="B1" s="9"/>
      <c r="C1" s="9"/>
      <c r="D1" s="9"/>
      <c r="E1" s="9"/>
      <c r="F1" s="9"/>
    </row>
    <row r="2" customHeight="1" spans="1:6">
      <c r="A2" s="2" t="s">
        <v>506</v>
      </c>
      <c r="B2" s="10">
        <v>2025</v>
      </c>
      <c r="C2" s="10">
        <v>2026</v>
      </c>
      <c r="D2" s="10">
        <v>2027</v>
      </c>
      <c r="E2" s="10">
        <v>2028</v>
      </c>
      <c r="F2" s="10">
        <v>2029</v>
      </c>
    </row>
    <row r="3" customHeight="1" spans="1:6">
      <c r="A3" s="2" t="s">
        <v>507</v>
      </c>
      <c r="B3" s="11">
        <f>c借款还本付息计划表!E28-c借款还本付息计划表!D28</f>
        <v>1175</v>
      </c>
      <c r="C3" s="11">
        <f>c借款还本付息计划表!F28-c借款还本付息计划表!E28</f>
        <v>11590</v>
      </c>
      <c r="D3" s="11">
        <f>c借款还本付息计划表!G28-c借款还本付息计划表!F28</f>
        <v>8705</v>
      </c>
      <c r="E3" s="11">
        <f>c借款还本付息计划表!H28-c借款还本付息计划表!G28</f>
        <v>-1175</v>
      </c>
      <c r="F3" s="11">
        <f>c借款还本付息计划表!I28-c借款还本付息计划表!H28</f>
        <v>-11590</v>
      </c>
    </row>
    <row r="4" customHeight="1" spans="1:6">
      <c r="A4" s="2" t="s">
        <v>508</v>
      </c>
      <c r="B4" s="11">
        <f>c借款还本付息计划表!D30</f>
        <v>0</v>
      </c>
      <c r="C4" s="11">
        <f>c借款还本付息计划表!E30</f>
        <v>0</v>
      </c>
      <c r="D4" s="11">
        <f>c借款还本付息计划表!F30</f>
        <v>0</v>
      </c>
      <c r="E4" s="11">
        <f>c借款还本付息计划表!G30</f>
        <v>1175</v>
      </c>
      <c r="F4" s="11">
        <f>c借款还本付息计划表!H30</f>
        <v>11590</v>
      </c>
    </row>
    <row r="5" customHeight="1" spans="1:6">
      <c r="A5" s="2" t="s">
        <v>509</v>
      </c>
      <c r="B5" s="11">
        <f>c借款还本付息计划表!D32</f>
        <v>1175</v>
      </c>
      <c r="C5" s="11">
        <f>c借款还本付息计划表!E32</f>
        <v>12765</v>
      </c>
      <c r="D5" s="11">
        <f>c借款还本付息计划表!F32</f>
        <v>21470</v>
      </c>
      <c r="E5" s="11">
        <f>c借款还本付息计划表!G32</f>
        <v>20295</v>
      </c>
      <c r="F5" s="11">
        <f>c借款还本付息计划表!H32</f>
        <v>8705</v>
      </c>
    </row>
    <row r="6" customHeight="1" spans="1:6">
      <c r="A6" s="2" t="s">
        <v>510</v>
      </c>
      <c r="B6" s="12">
        <v>0.0212</v>
      </c>
      <c r="C6" s="12">
        <v>0.0212</v>
      </c>
      <c r="D6" s="12">
        <v>1.0212</v>
      </c>
      <c r="E6" s="12">
        <v>2.0212</v>
      </c>
      <c r="F6" s="12">
        <v>3.0212</v>
      </c>
    </row>
    <row r="7" customHeight="1" spans="1:6">
      <c r="A7" s="2" t="s">
        <v>511</v>
      </c>
      <c r="B7" s="11">
        <f>c借款还本付息计划表!D31</f>
        <v>0</v>
      </c>
      <c r="C7" s="11">
        <f>c借款还本付息计划表!E31</f>
        <v>24.91</v>
      </c>
      <c r="D7" s="11">
        <f>c借款还本付息计划表!F31</f>
        <v>270.618</v>
      </c>
      <c r="E7" s="11">
        <f>c借款还本付息计划表!G31</f>
        <v>516.326</v>
      </c>
      <c r="F7" s="11">
        <f>c借款还本付息计划表!H31</f>
        <v>491.416</v>
      </c>
    </row>
    <row r="8" customHeight="1" spans="1:6">
      <c r="A8" s="2" t="s">
        <v>512</v>
      </c>
      <c r="B8" s="11">
        <f>B7+B4</f>
        <v>0</v>
      </c>
      <c r="C8" s="11">
        <f t="shared" ref="C8:F8" si="0">C7+C4</f>
        <v>24.91</v>
      </c>
      <c r="D8" s="11">
        <f t="shared" ref="D8:F8" si="1">D7+D4</f>
        <v>270.618</v>
      </c>
      <c r="E8" s="11">
        <f t="shared" si="1"/>
        <v>1691.326</v>
      </c>
      <c r="F8" s="11">
        <f t="shared" si="1"/>
        <v>12081.416</v>
      </c>
    </row>
  </sheetData>
  <mergeCells count="1">
    <mergeCell ref="A1:F1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11"/>
  <sheetViews>
    <sheetView zoomScale="85" zoomScaleNormal="85" workbookViewId="0">
      <selection activeCell="G15" sqref="G15"/>
    </sheetView>
  </sheetViews>
  <sheetFormatPr defaultColWidth="15.7818181818182" defaultRowHeight="28.05" customHeight="1" outlineLevelCol="7"/>
  <cols>
    <col min="1" max="1" width="29.6636363636364" customWidth="1"/>
    <col min="2" max="2" width="12.6636363636364" customWidth="1"/>
    <col min="3" max="3" width="15.7818181818182" customWidth="1"/>
  </cols>
  <sheetData>
    <row r="1" customHeight="1" spans="1:8">
      <c r="A1" s="1" t="s">
        <v>513</v>
      </c>
      <c r="B1" s="1"/>
      <c r="C1" s="1"/>
      <c r="D1" s="1"/>
      <c r="E1" s="1"/>
      <c r="F1" s="1"/>
      <c r="G1" s="1"/>
      <c r="H1" s="1"/>
    </row>
    <row r="2" customHeight="1" spans="1:8">
      <c r="A2" s="2" t="s">
        <v>514</v>
      </c>
      <c r="B2" s="3">
        <v>-0.15</v>
      </c>
      <c r="C2" s="3">
        <v>-0.1</v>
      </c>
      <c r="D2" s="3">
        <v>-0.05</v>
      </c>
      <c r="E2" s="3">
        <v>0</v>
      </c>
      <c r="F2" s="3">
        <v>0.05</v>
      </c>
      <c r="G2" s="3">
        <v>0.1</v>
      </c>
      <c r="H2" s="3">
        <v>0.15</v>
      </c>
    </row>
    <row r="3" customHeight="1" spans="1:8">
      <c r="A3" s="4" t="s">
        <v>515</v>
      </c>
      <c r="B3" s="5"/>
      <c r="C3" s="5"/>
      <c r="D3" s="5"/>
      <c r="E3" s="5"/>
      <c r="F3" s="5"/>
      <c r="G3" s="5"/>
      <c r="H3" s="6"/>
    </row>
    <row r="4" customHeight="1" spans="1:8">
      <c r="A4" s="7" t="s">
        <v>516</v>
      </c>
      <c r="B4" s="8">
        <v>0.0547032025158285</v>
      </c>
      <c r="C4" s="8">
        <v>0.0587561655510622</v>
      </c>
      <c r="D4" s="8">
        <v>0.062809128586296</v>
      </c>
      <c r="E4" s="8">
        <v>0.0668620916215297</v>
      </c>
      <c r="F4" s="8">
        <v>0.0709150546567635</v>
      </c>
      <c r="G4" s="8">
        <v>0.0749680176919973</v>
      </c>
      <c r="H4" s="8">
        <v>0.079020980727231</v>
      </c>
    </row>
    <row r="5" customHeight="1" spans="1:8">
      <c r="A5" s="7" t="s">
        <v>517</v>
      </c>
      <c r="B5" s="8">
        <v>0.0514321197027345</v>
      </c>
      <c r="C5" s="8">
        <v>0.0552427280472567</v>
      </c>
      <c r="D5" s="8">
        <v>0.0590533363917788</v>
      </c>
      <c r="E5" s="8">
        <v>0.062863944736301</v>
      </c>
      <c r="F5" s="8">
        <v>0.0666745530808232</v>
      </c>
      <c r="G5" s="8">
        <v>0.0704851614253453</v>
      </c>
      <c r="H5" s="8">
        <v>0.0742957697698674</v>
      </c>
    </row>
    <row r="6" customHeight="1" spans="1:8">
      <c r="A6" s="4" t="s">
        <v>518</v>
      </c>
      <c r="B6" s="5"/>
      <c r="C6" s="5"/>
      <c r="D6" s="5"/>
      <c r="E6" s="5"/>
      <c r="F6" s="5"/>
      <c r="G6" s="5"/>
      <c r="H6" s="6"/>
    </row>
    <row r="7" customHeight="1" spans="1:8">
      <c r="A7" s="7" t="s">
        <v>516</v>
      </c>
      <c r="B7" s="8">
        <v>0.0695145147510516</v>
      </c>
      <c r="C7" s="8">
        <v>0.0686303737078776</v>
      </c>
      <c r="D7" s="8">
        <v>0.0677462326647037</v>
      </c>
      <c r="E7" s="8">
        <v>0.0668620916215297</v>
      </c>
      <c r="F7" s="8">
        <v>0.0659779505783558</v>
      </c>
      <c r="G7" s="8">
        <v>0.0650938095351818</v>
      </c>
      <c r="H7" s="8">
        <v>0.0642096684920079</v>
      </c>
    </row>
    <row r="8" customHeight="1" spans="1:8">
      <c r="A8" s="7" t="s">
        <v>517</v>
      </c>
      <c r="B8" s="8">
        <v>0.0653577611423953</v>
      </c>
      <c r="C8" s="8">
        <v>0.0645264890070305</v>
      </c>
      <c r="D8" s="8">
        <v>0.0636952168716658</v>
      </c>
      <c r="E8" s="8">
        <v>0.062863944736301</v>
      </c>
      <c r="F8" s="8">
        <v>0.0620326726009362</v>
      </c>
      <c r="G8" s="8">
        <v>0.0612014004655715</v>
      </c>
      <c r="H8" s="8">
        <v>0.0603701283302067</v>
      </c>
    </row>
    <row r="9" customHeight="1" spans="1:8">
      <c r="A9" s="4" t="s">
        <v>519</v>
      </c>
      <c r="B9" s="5"/>
      <c r="C9" s="5"/>
      <c r="D9" s="5"/>
      <c r="E9" s="5"/>
      <c r="F9" s="5"/>
      <c r="G9" s="5"/>
      <c r="H9" s="6"/>
    </row>
    <row r="10" customHeight="1" spans="1:8">
      <c r="A10" s="7" t="s">
        <v>516</v>
      </c>
      <c r="B10" s="8">
        <v>0.0663565619624388</v>
      </c>
      <c r="C10" s="8">
        <v>0.0665250718488025</v>
      </c>
      <c r="D10" s="8">
        <v>0.0666935817351661</v>
      </c>
      <c r="E10" s="8">
        <v>0.0668620916215297</v>
      </c>
      <c r="F10" s="8">
        <v>0.0670306015078934</v>
      </c>
      <c r="G10" s="8">
        <v>0.067199111394257</v>
      </c>
      <c r="H10" s="8">
        <v>0.0673676212806206</v>
      </c>
    </row>
    <row r="11" customHeight="1" spans="1:8">
      <c r="A11" s="7" t="s">
        <v>517</v>
      </c>
      <c r="B11" s="8">
        <v>0.0629533062277658</v>
      </c>
      <c r="C11" s="8">
        <v>0.0629233398743923</v>
      </c>
      <c r="D11" s="8">
        <v>0.0628935532479264</v>
      </c>
      <c r="E11" s="8">
        <v>0.062863944736301</v>
      </c>
      <c r="F11" s="8">
        <v>0.0628345127466707</v>
      </c>
      <c r="G11" s="8">
        <v>0.0628052557051264</v>
      </c>
      <c r="H11" s="8">
        <v>0.0627761720564145</v>
      </c>
    </row>
  </sheetData>
  <mergeCells count="4">
    <mergeCell ref="A1:H1"/>
    <mergeCell ref="A3:H3"/>
    <mergeCell ref="A6:H6"/>
    <mergeCell ref="A9:H9"/>
  </mergeCell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name="Button 3" r:id="rId3">
              <controlPr print="0" defaultSize="0">
                <anchor moveWithCells="1" sizeWithCells="1">
                  <from>
                    <xdr:col>7</xdr:col>
                    <xdr:colOff>91440</xdr:colOff>
                    <xdr:row>12</xdr:row>
                    <xdr:rowOff>68580</xdr:rowOff>
                  </from>
                  <to>
                    <xdr:col>7</xdr:col>
                    <xdr:colOff>967740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name="Button 4" r:id="rId4">
              <controlPr print="0" defaultSize="0">
                <anchor moveWithCells="1" sizeWithCells="1">
                  <from>
                    <xdr:col>6</xdr:col>
                    <xdr:colOff>114300</xdr:colOff>
                    <xdr:row>12</xdr:row>
                    <xdr:rowOff>68580</xdr:rowOff>
                  </from>
                  <to>
                    <xdr:col>6</xdr:col>
                    <xdr:colOff>967740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dcterms:modified xsi:type="dcterms:W3CDTF">2025-08-22T01:36:30Z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5B0515E3698A41968C0858727A12FADA_13</vt:lpwstr>
  </property>
  <property fmtid="{D5CDD505-2E9C-101B-9397-08002B2CF9AE}" pid="3" name="KSOProductBuildVer">
    <vt:lpwstr>2052-12.8.2.18205</vt:lpwstr>
  </property>
</Properties>
</file>