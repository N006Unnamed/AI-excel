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00" tabRatio="847" firstSheet="8" activeTab="11"/>
  </bookViews>
  <sheets>
    <sheet name="A财务假设" sheetId="1" r:id="rId1"/>
    <sheet name="B项目信息" sheetId="2" r:id="rId2"/>
    <sheet name="C.1项目融资信息" sheetId="3" r:id="rId3"/>
    <sheet name="C.2项目每年借款信息" sheetId="4" r:id="rId4"/>
    <sheet name="D.1建设投资" sheetId="5" r:id="rId5"/>
    <sheet name="D.2项目总投资使用计划与资金筹措表" sheetId="6" r:id="rId6"/>
    <sheet name="D.3建设投资分年计划表" sheetId="7" r:id="rId7"/>
    <sheet name="D.4流动资金估算表" sheetId="8" r:id="rId8"/>
    <sheet name="E总成本费用估算表" sheetId="9" r:id="rId9"/>
    <sheet name="E.1项目运营期费用" sheetId="10" r:id="rId10"/>
    <sheet name="E.1.1项目运营期费用(不含税）" sheetId="11" r:id="rId11"/>
    <sheet name="E.2固定资产折旧费估算表" sheetId="12" r:id="rId12"/>
    <sheet name="E.3无形资产和其他资产摊销费估算表" sheetId="13" r:id="rId13"/>
    <sheet name="E.4建设投资税后金额表" sheetId="14" r:id="rId14"/>
    <sheet name="F项目收入" sheetId="15" r:id="rId15"/>
    <sheet name="F.1项目单项收入信息" sheetId="16" r:id="rId16"/>
    <sheet name="G.税金及附加测算表" sheetId="17" r:id="rId17"/>
    <sheet name="G.1进项增值税率-建设投资" sheetId="18" r:id="rId18"/>
    <sheet name="G.2进项增值税率-运营成本" sheetId="19" r:id="rId19"/>
    <sheet name="G.3销项增值税率" sheetId="20" r:id="rId20"/>
    <sheet name="a.1财务现金流量表" sheetId="21" r:id="rId21"/>
    <sheet name="a.2项目资本金现金流量表" sheetId="22" r:id="rId22"/>
    <sheet name="b利润与利润分配表（损益和利润分配表）" sheetId="23" r:id="rId23"/>
    <sheet name="c借款还本付息计划表" sheetId="24" r:id="rId24"/>
    <sheet name="d财务计划现金流量表" sheetId="25" r:id="rId25"/>
    <sheet name="e资产负债表" sheetId="26" r:id="rId26"/>
    <sheet name="Ⅰ项目投资估算构成表" sheetId="27" r:id="rId27"/>
    <sheet name="Ⅱ项目分年度资金筹措计划表" sheetId="28" r:id="rId28"/>
    <sheet name="Ⅲ项目分年度收入合计表" sheetId="29" r:id="rId29"/>
    <sheet name="Ⅳ项目分年度成本明细表" sheetId="30" r:id="rId30"/>
    <sheet name="Ⅴ项目分年度收益表" sheetId="31" r:id="rId31"/>
    <sheet name="Ⅵ专项债券应付本息情况表" sheetId="32" r:id="rId32"/>
    <sheet name="Ⅶ专项债券资金收益与融资平衡情况表" sheetId="33" state="hidden" r:id="rId33"/>
    <sheet name="VIII债券资金覆盖率压力测试表" sheetId="34" r:id="rId34"/>
  </sheets>
  <definedNames>
    <definedName name="_xlnm._FilterDatabase" localSheetId="14" hidden="1">F项目收入!$A$2:$H$25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周亮</author>
  </authors>
  <commentList>
    <comment ref="D10" authorId="0">
      <text>
        <r>
          <rPr>
            <sz val="10"/>
            <rFont val="宋体"/>
            <charset val="134"/>
          </rPr>
          <t>周亮:
建设期利息不能用专项债
优先将2.2债务资金用于2.2.1建设投资
纯专项债项目，2.2.2建设期利息均为0，建设期利息要用资本金支付，即2.1.2
建设投资不够的部分，再使用资本金，即2.1.1
纯专项债项目，专项债资金不能用于流动资金，故2.2.3为0</t>
        </r>
      </text>
    </comment>
  </commentList>
</comments>
</file>

<file path=xl/comments2.xml><?xml version="1.0" encoding="utf-8"?>
<comments xmlns="http://schemas.openxmlformats.org/spreadsheetml/2006/main">
  <authors>
    <author>周亮</author>
  </authors>
  <commentList>
    <comment ref="F7" authorId="0">
      <text>
        <r>
          <rPr>
            <sz val="10"/>
            <rFont val="宋体"/>
            <charset val="134"/>
          </rPr>
          <t>周亮:
需根据选项，自行单独计算每行的值，表格只做了示例的公式，供参考</t>
        </r>
      </text>
    </comment>
    <comment ref="F13" authorId="0">
      <text>
        <r>
          <rPr>
            <sz val="10"/>
            <rFont val="宋体"/>
            <charset val="134"/>
          </rPr>
          <t xml:space="preserve">周亮:
需根据选项，自行单独计算每行的值，表格只做了示例的公式，供参考144.00 
</t>
        </r>
      </text>
    </comment>
    <comment ref="F21" authorId="0">
      <text>
        <r>
          <rPr>
            <sz val="10"/>
            <rFont val="宋体"/>
            <charset val="134"/>
          </rPr>
          <t>周亮:
需根据选项，自行单独计算每行的值，表格只做了示例的公式，供参考</t>
        </r>
      </text>
    </comment>
  </commentList>
</comments>
</file>

<file path=xl/sharedStrings.xml><?xml version="1.0" encoding="utf-8"?>
<sst xmlns="http://schemas.openxmlformats.org/spreadsheetml/2006/main" count="1112" uniqueCount="591">
  <si>
    <t>A财务假设</t>
  </si>
  <si>
    <t>序号</t>
  </si>
  <si>
    <t>名称</t>
  </si>
  <si>
    <t>解释</t>
  </si>
  <si>
    <t>参考值</t>
  </si>
  <si>
    <t>项目投资财务基准收益率(税前)</t>
  </si>
  <si>
    <t>国家发改委《建设项目财务基准收益率取值表》</t>
  </si>
  <si>
    <t>项目投资财务基准收益率(税后)</t>
  </si>
  <si>
    <t>项目资本金财务基准收益率</t>
  </si>
  <si>
    <t>项目资本金财务基准收益率应体现项目发起人（代表项目所有权益投资者）
对投资获利的最低期望值（也称最低可接受收益率）。当项目资本金财务
内部收益率大于或等于该最低可接受收益率时，说明在该融资方案下，项目
资本金获利水平超过或达到了要求，该融资方案是可以接受的。</t>
  </si>
  <si>
    <t>城市维护建设税税率</t>
  </si>
  <si>
    <t>市区：7%；县城、镇：5%；
不在市区、县城或者镇：1% ；
缴纳基数为：增值税税额+营业税税额+消费税税额</t>
  </si>
  <si>
    <t>教育费附加费率</t>
  </si>
  <si>
    <t>缴纳基数为：增值税税额+营业税税额+消费税税额</t>
  </si>
  <si>
    <t>地方教育费附加费率</t>
  </si>
  <si>
    <t>企业所得税率</t>
  </si>
  <si>
    <t>是针对企业应纳税所得额征收的税种</t>
  </si>
  <si>
    <t>法定盈余公积提取比例</t>
  </si>
  <si>
    <t>企业应按照一定的比例从税后利润中提取盈余公积</t>
  </si>
  <si>
    <t>任意盈余公积提取比例</t>
  </si>
  <si>
    <t>提取比例由企业自主决定，没有固定标</t>
  </si>
  <si>
    <t>残值率</t>
  </si>
  <si>
    <t>资产在预计使用寿命结束时的剩余价值占其原始成本的百分比</t>
  </si>
  <si>
    <t>资本金用于流动资金比例</t>
  </si>
  <si>
    <t>不低于30%，但专项债资金不能用于流动资金，故设为 100%</t>
  </si>
  <si>
    <t>折现率</t>
  </si>
  <si>
    <t>投资者要求的最低收益率，可参考基准收益率，是由国家或行业主管部门制
定的，针对特定行业的标准折现率（如《建设项目经济评价方法与参数》中
规定的行业基准值）</t>
  </si>
  <si>
    <t>债券发行手续费率</t>
  </si>
  <si>
    <t xml:space="preserve"> 3年期及以下债券发行手续费为发行额的0.04%</t>
  </si>
  <si>
    <t>5年期及以上债券发行手续费为发行额的0.08%</t>
  </si>
  <si>
    <t>债券发行登记服务费率</t>
  </si>
  <si>
    <t>债券发行登记服务费为发行额的0.0064%</t>
  </si>
  <si>
    <t>债券还本付息兑付手续费率</t>
  </si>
  <si>
    <t>金额为本息和的0.005%</t>
  </si>
  <si>
    <t>成本浮动系数</t>
  </si>
  <si>
    <t>用于压力测试表中对应的系数填写</t>
  </si>
  <si>
    <t>收入浮动系数</t>
  </si>
  <si>
    <t>贷款利率浮动系数</t>
  </si>
  <si>
    <t>B项目信息</t>
  </si>
  <si>
    <t>值</t>
  </si>
  <si>
    <t>建设分期一</t>
  </si>
  <si>
    <t>建设开始年月</t>
  </si>
  <si>
    <t>建设完成年月</t>
  </si>
  <si>
    <t>建设期（月）</t>
  </si>
  <si>
    <t>建设完成年月-建设开始年月</t>
  </si>
  <si>
    <t>运营开始年月</t>
  </si>
  <si>
    <t>开始有运营收入的时间，可以在建设期间</t>
  </si>
  <si>
    <t>运营期（年）</t>
  </si>
  <si>
    <t>按照债务周期为截止时间，折旧年限等同于运营期</t>
  </si>
  <si>
    <t>总借款年限-运营开始年限+1</t>
  </si>
  <si>
    <t>建设分期二</t>
  </si>
  <si>
    <t>C.1项目融资信息</t>
  </si>
  <si>
    <t>借款名称</t>
  </si>
  <si>
    <t>借款类别</t>
  </si>
  <si>
    <t>借款金额
（万元）</t>
  </si>
  <si>
    <t>开始时间</t>
  </si>
  <si>
    <t>结束时间</t>
  </si>
  <si>
    <t>借款周期（年）</t>
  </si>
  <si>
    <t>借款利率</t>
  </si>
  <si>
    <t>还款方式</t>
  </si>
  <si>
    <t>首年计息月份</t>
  </si>
  <si>
    <t>债券发行费（万元）</t>
  </si>
  <si>
    <t>债券发行登记服务费
（万元）</t>
  </si>
  <si>
    <t>债券还本付息兑付手续费
（万元）</t>
  </si>
  <si>
    <t>地方政府专项债
/市场化融资</t>
  </si>
  <si>
    <t>1,2,3,5,7,10,15,20,30
根据实际需要选择</t>
  </si>
  <si>
    <t>专项债按发行前5个
工作日国债均价利率，
选择性上浮10%</t>
  </si>
  <si>
    <t>允许地方结合实际情况，采取
到期还本（10年期以下按年付息，10年期以上按半年付息）、提前还本、分年还本等不同还本方式</t>
  </si>
  <si>
    <t>3年期及以下债券发行手续费
为发行额的0.04%，5年期及以
上债券发行手续费为发行额的0.08%</t>
  </si>
  <si>
    <t>发行额的0.0064%</t>
  </si>
  <si>
    <t>在每年还本付息时支付，
金额为本息和的0.005%</t>
  </si>
  <si>
    <t>借款1</t>
  </si>
  <si>
    <t>地方政府专项债</t>
  </si>
  <si>
    <t>到期一次性还清</t>
  </si>
  <si>
    <t>对应好c</t>
  </si>
  <si>
    <t>借款2</t>
  </si>
  <si>
    <t>借款3</t>
  </si>
  <si>
    <t>借款4</t>
  </si>
  <si>
    <t>C.2项目每年借款信息（万元）</t>
  </si>
  <si>
    <t>计算期年序</t>
  </si>
  <si>
    <t>合计</t>
  </si>
  <si>
    <t>D.1建设投资</t>
  </si>
  <si>
    <t>（此表不需要填写，复制D.3的前4列，如果D.3有修改，此表也要同步复制）</t>
  </si>
  <si>
    <t>大类</t>
  </si>
  <si>
    <t>小类</t>
  </si>
  <si>
    <t>细类</t>
  </si>
  <si>
    <t>数量</t>
  </si>
  <si>
    <t>金额</t>
  </si>
  <si>
    <t>备注</t>
  </si>
  <si>
    <t>一</t>
  </si>
  <si>
    <t>项目建设工程费用</t>
  </si>
  <si>
    <t>低空基础设施</t>
  </si>
  <si>
    <t>起降设施</t>
  </si>
  <si>
    <t>低空载人起降点</t>
  </si>
  <si>
    <t>客运枢纽低空综合枢纽</t>
  </si>
  <si>
    <t>罗湖物流转运中心货运枢纽</t>
  </si>
  <si>
    <t>东湖公园低空培训测试基地</t>
  </si>
  <si>
    <t>低空智联网设施</t>
  </si>
  <si>
    <t>无人机起降场设备</t>
  </si>
  <si>
    <t>低空数据机房</t>
  </si>
  <si>
    <t>运营服务保障中心</t>
  </si>
  <si>
    <t>低空平台</t>
  </si>
  <si>
    <t>低空飞行综合运营服务
保障平台</t>
  </si>
  <si>
    <t>低空规划子系统</t>
  </si>
  <si>
    <t>低空智联网子系统</t>
  </si>
  <si>
    <t>低空反无子系统</t>
  </si>
  <si>
    <t>低空气象服务子系统</t>
  </si>
  <si>
    <t>政府联合监管子系统</t>
  </si>
  <si>
    <t>低空飞行任务调度子系统</t>
  </si>
  <si>
    <t>低空场景运营平台</t>
  </si>
  <si>
    <t>城市治理无人机运营管理子系统</t>
  </si>
  <si>
    <t>物流配送无人机运营管理平台</t>
  </si>
  <si>
    <t>二</t>
  </si>
  <si>
    <t>工程建设其他费用</t>
  </si>
  <si>
    <t>建设单位管理费</t>
  </si>
  <si>
    <t>财建【2016】504号</t>
  </si>
  <si>
    <t>前期咨询费</t>
  </si>
  <si>
    <t>《信息系统工程造价指导（2019版）》</t>
  </si>
  <si>
    <t>工程设计费</t>
  </si>
  <si>
    <t>计价格【2002】10号</t>
  </si>
  <si>
    <t>工程监理费</t>
  </si>
  <si>
    <t>发改价格【2007】670号</t>
  </si>
  <si>
    <t>第三方测评费</t>
  </si>
  <si>
    <t>工程保险费</t>
  </si>
  <si>
    <t>深圳市建设工程计价费率标准(2018)</t>
  </si>
  <si>
    <t>招标代理费</t>
  </si>
  <si>
    <t>计价格[2002] 1980号</t>
  </si>
  <si>
    <t>工程造价咨询费</t>
  </si>
  <si>
    <t>(一) × 1%</t>
  </si>
  <si>
    <t>等保测评费</t>
  </si>
  <si>
    <t>商用密码评估费</t>
  </si>
  <si>
    <t>编制环境影响报告书费</t>
  </si>
  <si>
    <t>编制环境影响报告表费</t>
  </si>
  <si>
    <t>评估编制环境报告书费</t>
  </si>
  <si>
    <t>评估编制环境报告表费</t>
  </si>
  <si>
    <t>竣工图编制费</t>
  </si>
  <si>
    <t>三</t>
  </si>
  <si>
    <t>预备费</t>
  </si>
  <si>
    <t>基本预备费</t>
  </si>
  <si>
    <t>四</t>
  </si>
  <si>
    <t>建设期利息</t>
  </si>
  <si>
    <t>建设项目总投资</t>
  </si>
  <si>
    <t>D.2项目总投资使用计划与资金筹措表（万元）</t>
  </si>
  <si>
    <t>科目</t>
  </si>
  <si>
    <t>总投资</t>
  </si>
  <si>
    <t>建设投资</t>
  </si>
  <si>
    <t>流动资金</t>
  </si>
  <si>
    <t>资金筹措</t>
  </si>
  <si>
    <t>项目资本金</t>
  </si>
  <si>
    <t>2.1.1</t>
  </si>
  <si>
    <t>用于建设投资</t>
  </si>
  <si>
    <t>2.1.2</t>
  </si>
  <si>
    <t>用于建设期利息</t>
  </si>
  <si>
    <t>2.1.3</t>
  </si>
  <si>
    <t>用于流动资金</t>
  </si>
  <si>
    <t>债务资金</t>
  </si>
  <si>
    <t>2.2.1</t>
  </si>
  <si>
    <t>2.2.2</t>
  </si>
  <si>
    <t>2.2.3</t>
  </si>
  <si>
    <t>其他资金</t>
  </si>
  <si>
    <t>资本金基数总投资</t>
  </si>
  <si>
    <t>/</t>
  </si>
  <si>
    <t>铺底流动资金</t>
  </si>
  <si>
    <t>资本金比例</t>
  </si>
  <si>
    <t>D.3建设投资分年计划表（万元）</t>
  </si>
  <si>
    <t>分项费用</t>
  </si>
  <si>
    <t>说明</t>
  </si>
  <si>
    <t>工程建设费用</t>
  </si>
  <si>
    <t>工程类费用</t>
  </si>
  <si>
    <t>建筑工程费</t>
  </si>
  <si>
    <t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t>
  </si>
  <si>
    <t>设备购置费</t>
  </si>
  <si>
    <t>安装工程费</t>
  </si>
  <si>
    <t>指的是建筑工程中的管线安装、设备安装（如空调、电线、水管等），以及室内装修、园林绿化等方面的费用。</t>
  </si>
  <si>
    <t>信息化建设费用</t>
  </si>
  <si>
    <t>硬件类</t>
  </si>
  <si>
    <t>包括服务器、存储、网络等设备</t>
  </si>
  <si>
    <t>软件类</t>
  </si>
  <si>
    <t>安全类</t>
  </si>
  <si>
    <t>数据类</t>
  </si>
  <si>
    <t>其他费</t>
  </si>
  <si>
    <t>总计</t>
  </si>
  <si>
    <t>D.4流动资金估算表（万元）</t>
  </si>
  <si>
    <t>项目</t>
  </si>
  <si>
    <t>最低周转天数(天)</t>
  </si>
  <si>
    <t>周转次数</t>
  </si>
  <si>
    <t>流动资产</t>
  </si>
  <si>
    <t>应收账款</t>
  </si>
  <si>
    <t>存货</t>
  </si>
  <si>
    <t>1.2.1</t>
  </si>
  <si>
    <t>原材料</t>
  </si>
  <si>
    <t>1.2.2</t>
  </si>
  <si>
    <t>燃料动力</t>
  </si>
  <si>
    <t>1.2.3</t>
  </si>
  <si>
    <t>在产品</t>
  </si>
  <si>
    <t>1.2.4</t>
  </si>
  <si>
    <t>产成品</t>
  </si>
  <si>
    <t>现金</t>
  </si>
  <si>
    <t>流动负债</t>
  </si>
  <si>
    <t>应付账款</t>
  </si>
  <si>
    <t>流动资金（1-2）</t>
  </si>
  <si>
    <t>流动资金当年增加额</t>
  </si>
  <si>
    <t>流动资金贷款</t>
  </si>
  <si>
    <t>E总成本费用估算表（万元）</t>
  </si>
  <si>
    <t>外购原材料费</t>
  </si>
  <si>
    <t>外购燃料及动力费</t>
  </si>
  <si>
    <t>工资福利费</t>
  </si>
  <si>
    <t>修理费</t>
  </si>
  <si>
    <t>其他费用 （5.1+5.2+5.3）</t>
  </si>
  <si>
    <t>其他制造费用</t>
  </si>
  <si>
    <t>其他管理费用</t>
  </si>
  <si>
    <t>其他营业费用</t>
  </si>
  <si>
    <t>经营成本 （1+2+3+4+5）</t>
  </si>
  <si>
    <t>折旧费</t>
  </si>
  <si>
    <t>摊销费</t>
  </si>
  <si>
    <t>利息支出</t>
  </si>
  <si>
    <t>总成本费用 （6+7+8+9）</t>
  </si>
  <si>
    <t>其中固定成本 （10-10.2）</t>
  </si>
  <si>
    <t>其中可变成本 （1+2+3+5.3）</t>
  </si>
  <si>
    <t>E.1项目运营期费用（万元）</t>
  </si>
  <si>
    <t>成本类别</t>
  </si>
  <si>
    <t>取费计算方式</t>
  </si>
  <si>
    <t>单价</t>
  </si>
  <si>
    <t>浮动系数</t>
  </si>
  <si>
    <t>负荷系数</t>
  </si>
  <si>
    <t>场地维护成本</t>
  </si>
  <si>
    <t>场地租金</t>
  </si>
  <si>
    <t>按面积×租金单价</t>
  </si>
  <si>
    <t>场地日常维护（停机坪/起降场/交通枢纽/飞行营地/指挥中心等）</t>
  </si>
  <si>
    <t>按面积 × 单位维护单价（元 / ㎡・年）</t>
  </si>
  <si>
    <t>消防设施年检</t>
  </si>
  <si>
    <t>按设备数量 × 单台年检费（元 / 台・次）</t>
  </si>
  <si>
    <t>防鸟措施（驱鸟器维护）</t>
  </si>
  <si>
    <t>按套数 × 年费（元 / 套・年）+ 耗材费（如驱鸟剂）</t>
  </si>
  <si>
    <t>燃料动力费</t>
  </si>
  <si>
    <t>飞行器能耗</t>
  </si>
  <si>
    <t>按电耗或油耗计算</t>
  </si>
  <si>
    <t>核心设备电力能耗</t>
  </si>
  <si>
    <t>按实际用电量 × 电价（元 / 千瓦 时）</t>
  </si>
  <si>
    <t>水电能耗</t>
  </si>
  <si>
    <t>按面积估算</t>
  </si>
  <si>
    <t>网络费</t>
  </si>
  <si>
    <t>网络通信费用</t>
  </si>
  <si>
    <t>按年计算租金</t>
  </si>
  <si>
    <t>硬件维护成本</t>
  </si>
  <si>
    <t>硬件设备维护</t>
  </si>
  <si>
    <t>按照固定资产15%计算</t>
  </si>
  <si>
    <t>备品备件储备</t>
  </si>
  <si>
    <t>按年度设备维护预算 × 储备比例 （10%-20%）</t>
  </si>
  <si>
    <t>软件维护费</t>
  </si>
  <si>
    <t>软件维护</t>
  </si>
  <si>
    <t>按无形资产造价的20%计算</t>
  </si>
  <si>
    <t>营销费用</t>
  </si>
  <si>
    <t>营销及活动</t>
  </si>
  <si>
    <t>按年平均营业收入的2%计算</t>
  </si>
  <si>
    <t>工资及福利费</t>
  </si>
  <si>
    <t>人员薪酬</t>
  </si>
  <si>
    <t>按岗位月薪 ×12 + 福利（月薪 ×20%-30%）</t>
  </si>
  <si>
    <t>培训与资质认证</t>
  </si>
  <si>
    <t>按人次 × 人均培训费（元 / 人 次）</t>
  </si>
  <si>
    <t>办公与行政支出</t>
  </si>
  <si>
    <t>按人员数量 × 人均办公费（元 / 人・月）</t>
  </si>
  <si>
    <t>合规性与安全成本</t>
  </si>
  <si>
    <t>空域使用审批费</t>
  </si>
  <si>
    <t>按空域面积 × 年费率（元 / 平方 公里・年）</t>
  </si>
  <si>
    <t>场地责任险</t>
  </si>
  <si>
    <t>按保额 × 保险费率（年费率 0.1%-0.3%）</t>
  </si>
  <si>
    <t>安全演练与应急处置</t>
  </si>
  <si>
    <t>按次数 × 单次演练成本（元 / 次）</t>
  </si>
  <si>
    <t>其他费用</t>
  </si>
  <si>
    <t>第三方安全评估</t>
  </si>
  <si>
    <t>按项目投资额 × 评估费率 （0.1%-0.3%）</t>
  </si>
  <si>
    <t>不可预见支出</t>
  </si>
  <si>
    <t>按年度总成本 × 计提比例 （5%-10%）</t>
  </si>
  <si>
    <t>E.1.1项目运营期费用(不含税）（万元）</t>
  </si>
  <si>
    <t>浮动后单价</t>
  </si>
  <si>
    <t>E.2固定资产折旧费估算表（万元）</t>
  </si>
  <si>
    <t>原值</t>
  </si>
  <si>
    <t>年折旧率</t>
  </si>
  <si>
    <t>年折旧额</t>
  </si>
  <si>
    <t>净值（原值-年折旧额*n）</t>
  </si>
  <si>
    <t>不含税（固定资产金额）+不含税（工程其他费）+预备费 + c建设期利息及发行费</t>
  </si>
  <si>
    <t>1 /B 折旧年限 × 100%
（折旧年限等同于运营期）</t>
  </si>
  <si>
    <t>原值 × A~（1-残值残值率）× 年折旧率）</t>
  </si>
  <si>
    <t>建设期1</t>
  </si>
  <si>
    <t>固定资产投资</t>
  </si>
  <si>
    <t>建设期2</t>
  </si>
  <si>
    <t>净值合计</t>
  </si>
  <si>
    <t>折旧额合计</t>
  </si>
  <si>
    <t>E.3无形资产和其他资产摊销费估算表</t>
  </si>
  <si>
    <t>净值</t>
  </si>
  <si>
    <t>不含税(软件类)+不含税(安全类软件)+不含税 (数据类)+专利费+土地使用权费+商标权、著作权费</t>
  </si>
  <si>
    <t>原值×年折旧率</t>
  </si>
  <si>
    <t>合计1</t>
  </si>
  <si>
    <t>无形资产</t>
  </si>
  <si>
    <t>1.1.1</t>
  </si>
  <si>
    <t>土地使用权</t>
  </si>
  <si>
    <t>1.1.2</t>
  </si>
  <si>
    <t>专利技术</t>
  </si>
  <si>
    <t>1.1.3</t>
  </si>
  <si>
    <t>软件及其他无形资产</t>
  </si>
  <si>
    <t>其他资产</t>
  </si>
  <si>
    <t>项目开办费</t>
  </si>
  <si>
    <t>合计2</t>
  </si>
  <si>
    <t>E.4建设投资税后金额表（万元）</t>
  </si>
  <si>
    <t>税前金额</t>
  </si>
  <si>
    <t>增值税率</t>
  </si>
  <si>
    <t>2025
（税后）</t>
  </si>
  <si>
    <t>2026
（税后）</t>
  </si>
  <si>
    <t>2027
（税后）</t>
  </si>
  <si>
    <t>2028
（税后）</t>
  </si>
  <si>
    <t>F项目收入（万元）</t>
  </si>
  <si>
    <t>收入类别</t>
  </si>
  <si>
    <t>含税/不含税</t>
  </si>
  <si>
    <t>含税</t>
  </si>
  <si>
    <t>不含税</t>
  </si>
  <si>
    <t>补贴收入</t>
  </si>
  <si>
    <t>年度合计（含税）</t>
  </si>
  <si>
    <t>年度合计（不含税）</t>
  </si>
  <si>
    <t>F.1项目单项收入信息</t>
  </si>
  <si>
    <t>单价（万元/年）</t>
  </si>
  <si>
    <t>单价年增长情况</t>
  </si>
  <si>
    <t>增长比例</t>
  </si>
  <si>
    <t>气象收入</t>
  </si>
  <si>
    <t>不增长</t>
  </si>
  <si>
    <t>年度负荷</t>
  </si>
  <si>
    <t>企业服务收入</t>
  </si>
  <si>
    <t>低空物流收入</t>
  </si>
  <si>
    <t>每年增长</t>
  </si>
  <si>
    <t>低空出行收入</t>
  </si>
  <si>
    <t>广告位收入</t>
  </si>
  <si>
    <t>停车位收入</t>
  </si>
  <si>
    <t>商铺租赁收入</t>
  </si>
  <si>
    <t>政务服务收入</t>
  </si>
  <si>
    <t>数据收入</t>
  </si>
  <si>
    <t>产学研收入</t>
  </si>
  <si>
    <t>...</t>
  </si>
  <si>
    <t>G.税金及附加测算表（万元）</t>
  </si>
  <si>
    <t>建设投资进项税</t>
  </si>
  <si>
    <t xml:space="preserve">2025
</t>
  </si>
  <si>
    <t xml:space="preserve">2026
</t>
  </si>
  <si>
    <t xml:space="preserve">2027
</t>
  </si>
  <si>
    <t xml:space="preserve">2028
</t>
  </si>
  <si>
    <t xml:space="preserve">2029
</t>
  </si>
  <si>
    <t>G.1 进项税总计-建设投资
可一直累进抵扣，直至为0</t>
  </si>
  <si>
    <t>当期进项税额</t>
  </si>
  <si>
    <t>当期销项税额</t>
  </si>
  <si>
    <t>租赁收入</t>
  </si>
  <si>
    <t>停车收入</t>
  </si>
  <si>
    <t>充电桩收入</t>
  </si>
  <si>
    <t>当期应缴增值税</t>
  </si>
  <si>
    <t>城建税及教育费附加</t>
  </si>
  <si>
    <t>G.1进项增值税率-建设投资</t>
  </si>
  <si>
    <t>金额（万元）</t>
  </si>
  <si>
    <t>增值税（万元）</t>
  </si>
  <si>
    <t>工程类</t>
  </si>
  <si>
    <t>进项税总计-建设投资</t>
  </si>
  <si>
    <t>G.2进项增值税率-运营成本</t>
  </si>
  <si>
    <t>行分项跟随E.1修改</t>
  </si>
  <si>
    <t>G.3销项增值税率</t>
  </si>
  <si>
    <t>行分项跟随F修改</t>
  </si>
  <si>
    <t>气象服务收入</t>
  </si>
  <si>
    <t>低空文旅收入</t>
  </si>
  <si>
    <t>a.1财务现金流量表（万元）</t>
  </si>
  <si>
    <t>现金流入</t>
  </si>
  <si>
    <t>营业收入</t>
  </si>
  <si>
    <t>回收固定资产余值</t>
  </si>
  <si>
    <t>回收流动资金</t>
  </si>
  <si>
    <t>现金流出</t>
  </si>
  <si>
    <t>经营成本</t>
  </si>
  <si>
    <t>营业税金及附加</t>
  </si>
  <si>
    <t>增值税</t>
  </si>
  <si>
    <t>维持运营投资</t>
  </si>
  <si>
    <t>所得税前净现金流量（1-2）</t>
  </si>
  <si>
    <t>累计所得税前净现金流量</t>
  </si>
  <si>
    <t>调整所得税</t>
  </si>
  <si>
    <t>所得税后净现金流量（3-5）</t>
  </si>
  <si>
    <t>累计所得税后净现金流量</t>
  </si>
  <si>
    <t>折现值-所得税前净现金流量</t>
  </si>
  <si>
    <t>折现值-累计所得税前净现金流量</t>
  </si>
  <si>
    <t>折现值-所得税后净现金流量</t>
  </si>
  <si>
    <t>折现值-累计所得税后净现金流量</t>
  </si>
  <si>
    <t>Ⅰ</t>
  </si>
  <si>
    <t>项目投资财务内部收益率（%）
（所得税前）</t>
  </si>
  <si>
    <t>Ⅱ</t>
  </si>
  <si>
    <t>项目投资财务内部收益率（%）
（所得税后）</t>
  </si>
  <si>
    <t>Ⅲ</t>
  </si>
  <si>
    <t>项目投资财务净现值（所得税前）
（ic = %）</t>
  </si>
  <si>
    <t>ic参考表A</t>
  </si>
  <si>
    <t>Ⅳ</t>
  </si>
  <si>
    <t>项目投资财务净现值（所得税后）
（ic = %）</t>
  </si>
  <si>
    <t>Ⅴ</t>
  </si>
  <si>
    <t>项目静态投资回收期（年）
（所得税前）</t>
  </si>
  <si>
    <t>看A列序号：行4转正年份 - 2025 + 行4[行4转正年份-1] / 行3[行4转正年份]</t>
  </si>
  <si>
    <t>Ⅵ</t>
  </si>
  <si>
    <t>项目动态投资回收期（年）
（所得税前）</t>
  </si>
  <si>
    <t>看A列序号：行9转正年份 - 2025 + 行9[行9转正年份-1] / 行8[行9转正年份]</t>
  </si>
  <si>
    <t>Ⅶ</t>
  </si>
  <si>
    <t>★项目静态投资回收期（年）
（所得税后）</t>
  </si>
  <si>
    <t>看A列序号：行7转正年份 - 2025 + 行7[行7转正年份-1] / 行6[行7转正年份]</t>
  </si>
  <si>
    <t>Ⅷ</t>
  </si>
  <si>
    <t>★项目动态投资回收期（年）
（所得税后）</t>
  </si>
  <si>
    <t>看A列序号：行11转正年份 - 2025 + 行11[行11转正年份-1] / 行10[行11转正年份]</t>
  </si>
  <si>
    <t>a.2项目资本金现金流量表（万元）</t>
  </si>
  <si>
    <t>借款本金偿还</t>
  </si>
  <si>
    <t>借款利息支付</t>
  </si>
  <si>
    <t>所得税</t>
  </si>
  <si>
    <t>净现金流量</t>
  </si>
  <si>
    <t>资本金财务内部收益率（%）</t>
  </si>
  <si>
    <t>b利润与利润分配表（损益和利润分配表）（万元）</t>
  </si>
  <si>
    <t>营业收入（不含增值税）</t>
  </si>
  <si>
    <t>总成本费用（不含增值税）</t>
  </si>
  <si>
    <t>利润总额（1-2-3+4）</t>
  </si>
  <si>
    <t>弥补以前年度亏损</t>
  </si>
  <si>
    <t>期末未弥补亏损</t>
  </si>
  <si>
    <t>应纳税所得额（5-6）</t>
  </si>
  <si>
    <t>净利润（5-8）</t>
  </si>
  <si>
    <t>期初未分配利润</t>
  </si>
  <si>
    <t>可供分配的利润（9+10）</t>
  </si>
  <si>
    <t>提取法定盈余公积金</t>
  </si>
  <si>
    <t>可供投资者分配的利润（11-12）</t>
  </si>
  <si>
    <t>应付优先股股利</t>
  </si>
  <si>
    <t>提取任意盈余公积金</t>
  </si>
  <si>
    <t>应付普通股股利（13-14-15）</t>
  </si>
  <si>
    <t>各投资方利润分配：</t>
  </si>
  <si>
    <t>其中：投资方</t>
  </si>
  <si>
    <t>未分配利润（13-14-15-17）</t>
  </si>
  <si>
    <t>其中：偿还借款</t>
  </si>
  <si>
    <t>累计未分配利润</t>
  </si>
  <si>
    <t>息税前利润
（利润总额+利息支出）</t>
  </si>
  <si>
    <t>息税折旧摊销前利润
（息税前利润+折旧+摊销）</t>
  </si>
  <si>
    <t>本息资金覆盖倍数</t>
  </si>
  <si>
    <t>2025</t>
  </si>
  <si>
    <t>2026</t>
  </si>
  <si>
    <t>2027</t>
  </si>
  <si>
    <t>2028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</si>
  <si>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</si>
  <si>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</si>
  <si>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</si>
  <si>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</si>
  <si>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</si>
  <si>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</si>
  <si>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</si>
  <si>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</si>
  <si>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</si>
  <si>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</si>
  <si>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</si>
  <si>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</si>
  <si>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</si>
  <si>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</si>
  <si>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</si>
  <si>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</si>
  <si>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</si>
  <si>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</si>
  <si>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1.1</t>
  </si>
  <si>
    <t>期初借款余额</t>
  </si>
  <si>
    <t>1.2</t>
  </si>
  <si>
    <t>当期还本付息</t>
  </si>
  <si>
    <t>其中：还本</t>
  </si>
  <si>
    <t>付息</t>
  </si>
  <si>
    <t>1.3</t>
  </si>
  <si>
    <t>期末借款余额</t>
  </si>
  <si>
    <t>1.4</t>
  </si>
  <si>
    <t>还本付息兑付手续费</t>
  </si>
  <si>
    <t>1.5</t>
  </si>
  <si>
    <t>债券发行及服务费</t>
  </si>
  <si>
    <t>1.6</t>
  </si>
  <si>
    <t>应付利息</t>
  </si>
  <si>
    <t>2.1</t>
  </si>
  <si>
    <t>2.2</t>
  </si>
  <si>
    <t>2.3</t>
  </si>
  <si>
    <t>2.4</t>
  </si>
  <si>
    <t>2.5</t>
  </si>
  <si>
    <t>2.6</t>
  </si>
  <si>
    <t>3.1</t>
  </si>
  <si>
    <t>3.2</t>
  </si>
  <si>
    <t>3.2.1</t>
  </si>
  <si>
    <t>3.2.2</t>
  </si>
  <si>
    <t>3.3</t>
  </si>
  <si>
    <t>3.4</t>
  </si>
  <si>
    <t>3.5</t>
  </si>
  <si>
    <t>3.6</t>
  </si>
  <si>
    <t>4.1</t>
  </si>
  <si>
    <t>4.2</t>
  </si>
  <si>
    <t>4.2.1</t>
  </si>
  <si>
    <t>4.2.2</t>
  </si>
  <si>
    <t>4.3</t>
  </si>
  <si>
    <t>4.4</t>
  </si>
  <si>
    <t>4.5</t>
  </si>
  <si>
    <t>4.6</t>
  </si>
  <si>
    <t>借款总结</t>
  </si>
  <si>
    <t>5.1</t>
  </si>
  <si>
    <t>5.2</t>
  </si>
  <si>
    <t>5.2.1</t>
  </si>
  <si>
    <t>5.2.2</t>
  </si>
  <si>
    <t>5.3</t>
  </si>
  <si>
    <t>5.4</t>
  </si>
  <si>
    <t>5.5</t>
  </si>
  <si>
    <t>5.6</t>
  </si>
  <si>
    <t>d财务计划现金流量表（万元）</t>
  </si>
  <si>
    <t>经营活动净现金流量</t>
  </si>
  <si>
    <t>增值税销项税额</t>
  </si>
  <si>
    <t>1.1.4</t>
  </si>
  <si>
    <t>其他流入</t>
  </si>
  <si>
    <t>增值税进项税额</t>
  </si>
  <si>
    <t>1.2.5</t>
  </si>
  <si>
    <t>1.2.6</t>
  </si>
  <si>
    <t>其他流出</t>
  </si>
  <si>
    <t>投资活动净现金流量</t>
  </si>
  <si>
    <t>2.2.4</t>
  </si>
  <si>
    <t>筹资活动净现金流量</t>
  </si>
  <si>
    <t>3.1.1</t>
  </si>
  <si>
    <t>项目资本金投入</t>
  </si>
  <si>
    <t>3.1.2</t>
  </si>
  <si>
    <t>建设投资借款</t>
  </si>
  <si>
    <t>各种利息支出</t>
  </si>
  <si>
    <t>偿还债务本金</t>
  </si>
  <si>
    <t>累计盈余资金</t>
  </si>
  <si>
    <t>e资产负债表（万元）</t>
  </si>
  <si>
    <t>资产</t>
  </si>
  <si>
    <t>流动资产总额</t>
  </si>
  <si>
    <t>货币资金</t>
  </si>
  <si>
    <t>预付账款</t>
  </si>
  <si>
    <t>1.1.5</t>
  </si>
  <si>
    <t>其他</t>
  </si>
  <si>
    <t>在建工程</t>
  </si>
  <si>
    <t>固定资产净值</t>
  </si>
  <si>
    <t>无形及其他资产净值</t>
  </si>
  <si>
    <t>负债及所有者权益</t>
  </si>
  <si>
    <t>流动负债总额</t>
  </si>
  <si>
    <t>短期借款</t>
  </si>
  <si>
    <t>预收账款</t>
  </si>
  <si>
    <t>2.1.4</t>
  </si>
  <si>
    <t>流动资金借款</t>
  </si>
  <si>
    <t>负债小计</t>
  </si>
  <si>
    <t>所有者权益</t>
  </si>
  <si>
    <t>2.5.1</t>
  </si>
  <si>
    <t>资本金</t>
  </si>
  <si>
    <t>2.5.2</t>
  </si>
  <si>
    <t>资本公积</t>
  </si>
  <si>
    <t>2.5.3</t>
  </si>
  <si>
    <t>累计盈余公积金</t>
  </si>
  <si>
    <t>2.5.4</t>
  </si>
  <si>
    <t>计算指标：资产负债率</t>
  </si>
  <si>
    <t/>
  </si>
  <si>
    <t>Ⅰ项目投资估算构成表</t>
  </si>
  <si>
    <t>投资构成类别</t>
  </si>
  <si>
    <t>工程费用</t>
  </si>
  <si>
    <t>预备费用</t>
  </si>
  <si>
    <t>投资估算金额（万元）</t>
  </si>
  <si>
    <t>占比</t>
  </si>
  <si>
    <t>Ⅱ项目分年度资金筹措计划表（万元）</t>
  </si>
  <si>
    <t>注：此表依据D.2自行填写，一般财政预算资金和单位自有资金二选一</t>
  </si>
  <si>
    <t>资金来源类型</t>
  </si>
  <si>
    <t>各类型占比</t>
  </si>
  <si>
    <t>财政预算资金</t>
  </si>
  <si>
    <t>单位自有资金</t>
  </si>
  <si>
    <t>专项债券
（用作项目资本金）</t>
  </si>
  <si>
    <t>专项债券
（不用做项目资本金）</t>
  </si>
  <si>
    <t>银行贷款</t>
  </si>
  <si>
    <t>其他来源资金</t>
  </si>
  <si>
    <t>分年度占比</t>
  </si>
  <si>
    <t>Ⅲ项目分年度收入合计表（经营性收入+补贴收入）（万元）</t>
  </si>
  <si>
    <t>注：不同类别的经营性收入可以分多个表填写。经营性收入分年度表、政府补贴收入分年度表，可以单独填写。</t>
  </si>
  <si>
    <t>收入类型</t>
  </si>
  <si>
    <t>分年收入</t>
  </si>
  <si>
    <t>经营性收入</t>
  </si>
  <si>
    <t>政府补贴收入</t>
  </si>
  <si>
    <t>Ⅳ项目分年度成本明细表（万元）</t>
  </si>
  <si>
    <t>复制E.1</t>
  </si>
  <si>
    <t>Ⅴ项目分年度收益表（万元）</t>
  </si>
  <si>
    <t>类别</t>
  </si>
  <si>
    <t>项目收入</t>
  </si>
  <si>
    <t>运营成本</t>
  </si>
  <si>
    <t>项目收益</t>
  </si>
  <si>
    <t>Ⅵ专项债券应付本息情况表（万元）</t>
  </si>
  <si>
    <t>年度</t>
  </si>
  <si>
    <t>本期新增</t>
  </si>
  <si>
    <t>此行最后一格不要拖动复制</t>
  </si>
  <si>
    <t>本期偿还</t>
  </si>
  <si>
    <t>行3 4 5 7公式做好对应</t>
  </si>
  <si>
    <t>期末本金</t>
  </si>
  <si>
    <t>融资利率</t>
  </si>
  <si>
    <t>应付本息</t>
  </si>
  <si>
    <t>VIII债券资金覆盖率压力测试表</t>
  </si>
  <si>
    <t>资金覆盖率-压力测试</t>
  </si>
  <si>
    <t>运营收入变动敏感性分析</t>
  </si>
  <si>
    <t>专项债券本息资金覆盖率</t>
  </si>
  <si>
    <t>运营成本变动敏感性分析</t>
  </si>
  <si>
    <t>债券利率变动敏感新分析</t>
  </si>
  <si>
    <t>如果公式失效修改F.1,E.1表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</si>
</sst>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8" formatCode="&quot;￥&quot;#,##0.00;[Red]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);[Red]\(0.00\)"/>
    <numFmt numFmtId="177" formatCode="0.00_ "/>
    <numFmt numFmtId="178" formatCode="0_ "/>
    <numFmt numFmtId="179" formatCode="0.0000%"/>
    <numFmt numFmtId="180" formatCode="0.000%"/>
  </numFmts>
  <fonts count="53">
    <font>
      <sz val="11"/>
      <color theme="1"/>
      <name val="宋体"/>
      <charset val="134"/>
      <scheme val="minor"/>
    </font>
    <font>
      <b/>
      <sz val="13"/>
      <color theme="0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color rgb="FFFF0000"/>
      <name val="微软雅黑"/>
      <charset val="134"/>
    </font>
    <font>
      <b/>
      <sz val="11"/>
      <color rgb="FF0070C0"/>
      <name val="宋体"/>
      <charset val="134"/>
      <scheme val="minor"/>
    </font>
    <font>
      <b/>
      <sz val="11"/>
      <color rgb="FFFF0000"/>
      <name val="微软雅黑"/>
      <charset val="134"/>
    </font>
    <font>
      <b/>
      <sz val="10"/>
      <color rgb="FF0070C0"/>
      <name val="宋体"/>
      <charset val="134"/>
      <scheme val="minor"/>
    </font>
    <font>
      <b/>
      <sz val="14"/>
      <color theme="0"/>
      <name val="微软雅黑"/>
      <charset val="134"/>
    </font>
    <font>
      <sz val="11"/>
      <name val="微软雅黑"/>
      <charset val="134"/>
    </font>
    <font>
      <b/>
      <sz val="14"/>
      <color rgb="FF000000"/>
      <name val="宋体"/>
      <charset val="134"/>
    </font>
    <font>
      <b/>
      <sz val="11"/>
      <color rgb="FF000000"/>
      <name val="宋体"/>
      <charset val="134"/>
    </font>
    <font>
      <sz val="11"/>
      <color rgb="FF000000"/>
      <name val="宋体"/>
      <charset val="134"/>
    </font>
    <font>
      <b/>
      <sz val="16"/>
      <color theme="0"/>
      <name val="微软雅黑"/>
      <charset val="134"/>
    </font>
    <font>
      <b/>
      <sz val="11"/>
      <color rgb="FF000000"/>
      <name val="微软雅黑"/>
      <charset val="134"/>
    </font>
    <font>
      <sz val="11"/>
      <color rgb="FF00000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宋体"/>
      <charset val="134"/>
    </font>
    <font>
      <b/>
      <sz val="10"/>
      <color rgb="FFFF0000"/>
      <name val="宋体"/>
      <charset val="134"/>
    </font>
    <font>
      <b/>
      <sz val="10"/>
      <color rgb="FF000000"/>
      <name val="宋体"/>
      <charset val="134"/>
    </font>
    <font>
      <b/>
      <sz val="10"/>
      <name val="宋体"/>
      <charset val="134"/>
    </font>
    <font>
      <b/>
      <sz val="14"/>
      <name val="宋体"/>
      <charset val="134"/>
    </font>
    <font>
      <sz val="14"/>
      <name val="宋体"/>
      <charset val="134"/>
    </font>
    <font>
      <sz val="14"/>
      <color indexed="8"/>
      <name val="宋体"/>
      <charset val="134"/>
    </font>
    <font>
      <sz val="10"/>
      <color indexed="8"/>
      <name val="宋体"/>
      <charset val="134"/>
    </font>
    <font>
      <sz val="14"/>
      <color rgb="FF000000"/>
      <name val="宋体"/>
      <charset val="134"/>
    </font>
    <font>
      <sz val="10"/>
      <name val="宋体"/>
      <charset val="134"/>
    </font>
    <font>
      <b/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1"/>
      <color rgb="FF0070C0"/>
      <name val="微软雅黑"/>
      <charset val="134"/>
    </font>
    <font>
      <b/>
      <sz val="12"/>
      <color theme="1"/>
      <name val="微软雅黑"/>
      <charset val="134"/>
    </font>
    <font>
      <sz val="12"/>
      <color rgb="FF404040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name val="等线"/>
      <charset val="134"/>
    </font>
    <font>
      <sz val="10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DC6E6"/>
        <bgColor rgb="FFADC6E6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>
      <alignment vertical="center"/>
    </xf>
    <xf numFmtId="44" fontId="0" fillId="0" borderId="0">
      <alignment vertical="center"/>
    </xf>
    <xf numFmtId="9" fontId="0" fillId="0" borderId="0">
      <alignment vertical="center"/>
    </xf>
    <xf numFmtId="41" fontId="0" fillId="0" borderId="0">
      <alignment vertical="center"/>
    </xf>
    <xf numFmtId="42" fontId="0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0" fillId="11" borderId="17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7" fillId="0" borderId="18">
      <alignment vertical="center"/>
    </xf>
    <xf numFmtId="0" fontId="38" fillId="0" borderId="18">
      <alignment vertical="center"/>
    </xf>
    <xf numFmtId="0" fontId="39" fillId="0" borderId="19">
      <alignment vertical="center"/>
    </xf>
    <xf numFmtId="0" fontId="39" fillId="0" borderId="0">
      <alignment vertical="center"/>
    </xf>
    <xf numFmtId="0" fontId="40" fillId="12" borderId="20">
      <alignment vertical="center"/>
    </xf>
    <xf numFmtId="0" fontId="41" fillId="13" borderId="21">
      <alignment vertical="center"/>
    </xf>
    <xf numFmtId="0" fontId="42" fillId="13" borderId="20">
      <alignment vertical="center"/>
    </xf>
    <xf numFmtId="0" fontId="43" fillId="14" borderId="22">
      <alignment vertical="center"/>
    </xf>
    <xf numFmtId="0" fontId="44" fillId="0" borderId="23">
      <alignment vertical="center"/>
    </xf>
    <xf numFmtId="0" fontId="45" fillId="0" borderId="24">
      <alignment vertical="center"/>
    </xf>
    <xf numFmtId="0" fontId="46" fillId="15" borderId="0">
      <alignment vertical="center"/>
    </xf>
    <xf numFmtId="0" fontId="47" fillId="16" borderId="0">
      <alignment vertical="center"/>
    </xf>
    <xf numFmtId="0" fontId="48" fillId="17" borderId="0">
      <alignment vertical="center"/>
    </xf>
    <xf numFmtId="0" fontId="49" fillId="18" borderId="0">
      <alignment vertical="center"/>
    </xf>
    <xf numFmtId="0" fontId="50" fillId="19" borderId="0">
      <alignment vertical="center"/>
    </xf>
    <xf numFmtId="0" fontId="50" fillId="3" borderId="0">
      <alignment vertical="center"/>
    </xf>
    <xf numFmtId="0" fontId="49" fillId="20" borderId="0">
      <alignment vertical="center"/>
    </xf>
    <xf numFmtId="0" fontId="49" fillId="21" borderId="0">
      <alignment vertical="center"/>
    </xf>
    <xf numFmtId="0" fontId="50" fillId="22" borderId="0">
      <alignment vertical="center"/>
    </xf>
    <xf numFmtId="0" fontId="50" fillId="23" borderId="0">
      <alignment vertical="center"/>
    </xf>
    <xf numFmtId="0" fontId="49" fillId="24" borderId="0">
      <alignment vertical="center"/>
    </xf>
    <xf numFmtId="0" fontId="49" fillId="25" borderId="0">
      <alignment vertical="center"/>
    </xf>
    <xf numFmtId="0" fontId="50" fillId="26" borderId="0">
      <alignment vertical="center"/>
    </xf>
    <xf numFmtId="0" fontId="50" fillId="27" borderId="0">
      <alignment vertical="center"/>
    </xf>
    <xf numFmtId="0" fontId="49" fillId="28" borderId="0">
      <alignment vertical="center"/>
    </xf>
    <xf numFmtId="0" fontId="49" fillId="29" borderId="0">
      <alignment vertical="center"/>
    </xf>
    <xf numFmtId="0" fontId="50" fillId="30" borderId="0">
      <alignment vertical="center"/>
    </xf>
    <xf numFmtId="0" fontId="50" fillId="31" borderId="0">
      <alignment vertical="center"/>
    </xf>
    <xf numFmtId="0" fontId="49" fillId="32" borderId="0">
      <alignment vertical="center"/>
    </xf>
    <xf numFmtId="0" fontId="49" fillId="33" borderId="0">
      <alignment vertical="center"/>
    </xf>
    <xf numFmtId="0" fontId="50" fillId="34" borderId="0">
      <alignment vertical="center"/>
    </xf>
    <xf numFmtId="0" fontId="50" fillId="35" borderId="0">
      <alignment vertical="center"/>
    </xf>
    <xf numFmtId="0" fontId="49" fillId="36" borderId="0">
      <alignment vertical="center"/>
    </xf>
    <xf numFmtId="0" fontId="49" fillId="37" borderId="0">
      <alignment vertical="center"/>
    </xf>
    <xf numFmtId="0" fontId="50" fillId="38" borderId="0">
      <alignment vertical="center"/>
    </xf>
    <xf numFmtId="0" fontId="50" fillId="39" borderId="0">
      <alignment vertical="center"/>
    </xf>
    <xf numFmtId="0" fontId="49" fillId="40" borderId="0">
      <alignment vertical="center"/>
    </xf>
    <xf numFmtId="0" fontId="51" fillId="0" borderId="0">
      <alignment vertical="center"/>
    </xf>
  </cellStyleXfs>
  <cellXfs count="171">
    <xf numFmtId="0" fontId="0" fillId="0" borderId="0" xfId="0" applyAlignment="1">
      <alignment vertical="center"/>
    </xf>
    <xf numFmtId="0" fontId="0" fillId="0" borderId="0" xfId="0" applyAlignment="1"/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/>
    <xf numFmtId="0" fontId="0" fillId="0" borderId="3" xfId="0" applyBorder="1" applyAlignment="1"/>
    <xf numFmtId="0" fontId="2" fillId="3" borderId="1" xfId="0" applyFont="1" applyFill="1" applyBorder="1" applyAlignment="1">
      <alignment horizontal="center" vertical="center"/>
    </xf>
    <xf numFmtId="9" fontId="2" fillId="3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4" xfId="0" applyBorder="1" applyAlignment="1"/>
    <xf numFmtId="0" fontId="4" fillId="0" borderId="1" xfId="0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8" xfId="0" applyBorder="1" applyAlignment="1"/>
    <xf numFmtId="0" fontId="6" fillId="3" borderId="6" xfId="0" applyFont="1" applyFill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3" borderId="5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8" fillId="6" borderId="1" xfId="0" applyFont="1" applyFill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7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177" fontId="12" fillId="9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Border="1" applyAlignment="1">
      <alignment horizontal="center" vertical="center"/>
    </xf>
    <xf numFmtId="0" fontId="13" fillId="6" borderId="5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9" fontId="3" fillId="9" borderId="1" xfId="0" applyNumberFormat="1" applyFont="1" applyFill="1" applyBorder="1" applyAlignment="1">
      <alignment horizontal="center" vertical="center"/>
    </xf>
    <xf numFmtId="177" fontId="0" fillId="0" borderId="0" xfId="0" applyNumberFormat="1" applyAlignment="1">
      <alignment vertical="center"/>
    </xf>
    <xf numFmtId="0" fontId="13" fillId="6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77" fontId="15" fillId="0" borderId="1" xfId="0" applyNumberFormat="1" applyFont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8" fontId="3" fillId="9" borderId="1" xfId="0" applyNumberFormat="1" applyFont="1" applyFill="1" applyBorder="1" applyAlignment="1">
      <alignment horizontal="center" vertical="center"/>
    </xf>
    <xf numFmtId="2" fontId="3" fillId="9" borderId="1" xfId="0" applyNumberFormat="1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9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0" fontId="8" fillId="6" borderId="5" xfId="0" applyFont="1" applyFill="1" applyBorder="1" applyAlignment="1">
      <alignment horizontal="center" vertical="center"/>
    </xf>
    <xf numFmtId="2" fontId="3" fillId="5" borderId="1" xfId="0" applyNumberFormat="1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 vertical="center" wrapText="1"/>
    </xf>
    <xf numFmtId="177" fontId="4" fillId="0" borderId="1" xfId="0" applyNumberFormat="1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177" fontId="4" fillId="9" borderId="1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left" vertical="center" wrapText="1"/>
    </xf>
    <xf numFmtId="177" fontId="3" fillId="7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10" fontId="4" fillId="5" borderId="1" xfId="0" applyNumberFormat="1" applyFont="1" applyFill="1" applyBorder="1" applyAlignment="1">
      <alignment horizontal="center" vertical="center"/>
    </xf>
    <xf numFmtId="177" fontId="18" fillId="0" borderId="0" xfId="0" applyNumberFormat="1" applyFont="1" applyAlignment="1">
      <alignment horizontal="left" vertical="center" wrapText="1"/>
    </xf>
    <xf numFmtId="0" fontId="8" fillId="6" borderId="1" xfId="0" applyFont="1" applyFill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77" fontId="3" fillId="5" borderId="6" xfId="0" applyNumberFormat="1" applyFont="1" applyFill="1" applyBorder="1" applyAlignment="1">
      <alignment horizontal="center" vertical="center"/>
    </xf>
    <xf numFmtId="177" fontId="3" fillId="0" borderId="6" xfId="0" applyNumberFormat="1" applyFont="1" applyBorder="1" applyAlignment="1">
      <alignment horizontal="center" vertical="center"/>
    </xf>
    <xf numFmtId="0" fontId="3" fillId="5" borderId="5" xfId="0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8" fillId="6" borderId="9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7" fontId="3" fillId="4" borderId="1" xfId="0" applyNumberFormat="1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176" fontId="3" fillId="4" borderId="1" xfId="0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vertical="center"/>
    </xf>
    <xf numFmtId="177" fontId="3" fillId="0" borderId="0" xfId="0" applyNumberFormat="1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 wrapText="1"/>
    </xf>
    <xf numFmtId="10" fontId="3" fillId="5" borderId="1" xfId="0" applyNumberFormat="1" applyFont="1" applyFill="1" applyBorder="1" applyAlignment="1">
      <alignment horizontal="center" vertical="center"/>
    </xf>
    <xf numFmtId="10" fontId="9" fillId="5" borderId="1" xfId="0" applyNumberFormat="1" applyFont="1" applyFill="1" applyBorder="1" applyAlignment="1">
      <alignment horizontal="center" vertical="center"/>
    </xf>
    <xf numFmtId="177" fontId="13" fillId="6" borderId="0" xfId="0" applyNumberFormat="1" applyFont="1" applyFill="1" applyAlignment="1">
      <alignment horizontal="center" vertical="center"/>
    </xf>
    <xf numFmtId="177" fontId="2" fillId="3" borderId="0" xfId="0" applyNumberFormat="1" applyFont="1" applyFill="1" applyAlignment="1">
      <alignment horizontal="center" vertical="center"/>
    </xf>
    <xf numFmtId="0" fontId="8" fillId="6" borderId="2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/>
    </xf>
    <xf numFmtId="176" fontId="4" fillId="9" borderId="1" xfId="0" applyNumberFormat="1" applyFont="1" applyFill="1" applyBorder="1" applyAlignment="1">
      <alignment horizontal="center" vertical="center" wrapText="1"/>
    </xf>
    <xf numFmtId="10" fontId="4" fillId="9" borderId="1" xfId="0" applyNumberFormat="1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176" fontId="3" fillId="9" borderId="1" xfId="0" applyNumberFormat="1" applyFont="1" applyFill="1" applyBorder="1" applyAlignment="1">
      <alignment horizontal="center" vertical="center" wrapText="1"/>
    </xf>
    <xf numFmtId="0" fontId="13" fillId="6" borderId="9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 wrapText="1"/>
    </xf>
    <xf numFmtId="176" fontId="9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177" fontId="19" fillId="5" borderId="0" xfId="0" applyNumberFormat="1" applyFont="1" applyFill="1" applyAlignment="1">
      <alignment horizontal="center" vertical="center" wrapText="1"/>
    </xf>
    <xf numFmtId="0" fontId="13" fillId="0" borderId="0" xfId="0" applyFont="1" applyAlignment="1">
      <alignment vertical="center"/>
    </xf>
    <xf numFmtId="177" fontId="18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6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0" fontId="3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0" fillId="10" borderId="12" xfId="49" applyFont="1" applyFill="1" applyBorder="1" applyAlignment="1">
      <alignment horizontal="center" vertical="center"/>
    </xf>
    <xf numFmtId="0" fontId="20" fillId="10" borderId="13" xfId="49" applyFont="1" applyFill="1" applyBorder="1" applyAlignment="1">
      <alignment horizontal="center" vertical="center" wrapText="1"/>
    </xf>
    <xf numFmtId="0" fontId="20" fillId="10" borderId="13" xfId="49" applyFont="1" applyFill="1" applyBorder="1" applyAlignment="1">
      <alignment horizontal="center" vertical="center"/>
    </xf>
    <xf numFmtId="0" fontId="20" fillId="10" borderId="13" xfId="49" applyFont="1" applyFill="1" applyBorder="1" applyAlignment="1">
      <alignment horizontal="left" vertical="center"/>
    </xf>
    <xf numFmtId="0" fontId="20" fillId="10" borderId="14" xfId="49" applyFont="1" applyFill="1" applyBorder="1" applyAlignment="1">
      <alignment horizontal="center" vertical="center"/>
    </xf>
    <xf numFmtId="0" fontId="21" fillId="10" borderId="15" xfId="49" applyFont="1" applyFill="1" applyBorder="1" applyAlignment="1">
      <alignment horizontal="center" vertical="center"/>
    </xf>
    <xf numFmtId="0" fontId="21" fillId="10" borderId="1" xfId="49" applyFont="1" applyFill="1" applyBorder="1" applyAlignment="1">
      <alignment horizontal="center" vertical="center" wrapText="1"/>
    </xf>
    <xf numFmtId="177" fontId="20" fillId="10" borderId="1" xfId="49" applyNumberFormat="1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176" fontId="24" fillId="0" borderId="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vertical="center" wrapText="1"/>
    </xf>
    <xf numFmtId="178" fontId="25" fillId="0" borderId="1" xfId="0" applyNumberFormat="1" applyFont="1" applyBorder="1" applyAlignment="1">
      <alignment horizontal="center" vertical="center" wrapText="1"/>
    </xf>
    <xf numFmtId="0" fontId="21" fillId="10" borderId="1" xfId="49" applyFont="1" applyFill="1" applyBorder="1" applyAlignment="1">
      <alignment horizontal="center" vertical="center"/>
    </xf>
    <xf numFmtId="0" fontId="22" fillId="10" borderId="1" xfId="49" applyFont="1" applyFill="1" applyBorder="1" applyAlignment="1">
      <alignment horizontal="center" vertical="center"/>
    </xf>
    <xf numFmtId="0" fontId="22" fillId="10" borderId="1" xfId="49" applyFont="1" applyFill="1" applyBorder="1" applyAlignment="1">
      <alignment horizontal="center" vertical="center" wrapText="1"/>
    </xf>
    <xf numFmtId="0" fontId="22" fillId="10" borderId="1" xfId="49" applyFont="1" applyFill="1" applyBorder="1" applyAlignment="1">
      <alignment horizontal="left" vertical="center" wrapText="1"/>
    </xf>
    <xf numFmtId="177" fontId="26" fillId="10" borderId="1" xfId="49" applyNumberFormat="1" applyFont="1" applyFill="1" applyBorder="1" applyAlignment="1">
      <alignment horizontal="center" vertical="center"/>
    </xf>
    <xf numFmtId="177" fontId="26" fillId="10" borderId="1" xfId="49" applyNumberFormat="1" applyFont="1" applyFill="1" applyBorder="1" applyAlignment="1">
      <alignment horizontal="center" vertical="center" wrapText="1"/>
    </xf>
    <xf numFmtId="0" fontId="22" fillId="10" borderId="1" xfId="49" applyFont="1" applyFill="1" applyBorder="1" applyAlignment="1">
      <alignment horizontal="left" vertical="center"/>
    </xf>
    <xf numFmtId="177" fontId="20" fillId="10" borderId="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8" fillId="0" borderId="1" xfId="0" applyFont="1" applyBorder="1" applyAlignment="1">
      <alignment horizontal="center" vertical="center"/>
    </xf>
    <xf numFmtId="176" fontId="28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57" fontId="4" fillId="0" borderId="1" xfId="0" applyNumberFormat="1" applyFont="1" applyBorder="1" applyAlignment="1">
      <alignment horizontal="center" vertical="center"/>
    </xf>
    <xf numFmtId="177" fontId="9" fillId="5" borderId="1" xfId="0" applyNumberFormat="1" applyFont="1" applyFill="1" applyBorder="1" applyAlignment="1">
      <alignment horizontal="center" vertical="center"/>
    </xf>
    <xf numFmtId="177" fontId="3" fillId="9" borderId="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0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3" fillId="6" borderId="16" xfId="0" applyFont="1" applyFill="1" applyBorder="1" applyAlignment="1">
      <alignment horizontal="center" vertical="center"/>
    </xf>
    <xf numFmtId="0" fontId="0" fillId="0" borderId="16" xfId="0" applyBorder="1" applyAlignment="1"/>
    <xf numFmtId="0" fontId="30" fillId="3" borderId="6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3" xf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7" Type="http://schemas.openxmlformats.org/officeDocument/2006/relationships/styles" Target="styles.xml"/><Relationship Id="rId36" Type="http://schemas.openxmlformats.org/officeDocument/2006/relationships/sharedStrings" Target="sharedStrings.xml"/><Relationship Id="rId35" Type="http://schemas.openxmlformats.org/officeDocument/2006/relationships/theme" Target="theme/theme1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</sheetPr>
  <dimension ref="A1:D21"/>
  <sheetViews>
    <sheetView zoomScale="70" zoomScaleNormal="70" workbookViewId="0">
      <selection activeCell="F10" sqref="F10"/>
    </sheetView>
  </sheetViews>
  <sheetFormatPr defaultColWidth="8.89090909090909" defaultRowHeight="30" customHeight="1" outlineLevelCol="3"/>
  <cols>
    <col min="2" max="2" width="30.3363636363636" style="1" customWidth="1"/>
    <col min="3" max="3" width="70.6636363636364" style="1" customWidth="1"/>
    <col min="4" max="4" width="12.7818181818182" style="1" customWidth="1"/>
    <col min="9" max="9" width="29.2181818181818" style="1" customWidth="1"/>
  </cols>
  <sheetData>
    <row r="1" s="130" customFormat="1" ht="22.5" customHeight="1" spans="1:4">
      <c r="A1" s="165" t="s">
        <v>0</v>
      </c>
      <c r="D1" s="166"/>
    </row>
    <row r="2" s="130" customFormat="1" ht="16.5" customHeight="1" spans="1:4">
      <c r="A2" s="167" t="s">
        <v>1</v>
      </c>
      <c r="B2" s="167" t="s">
        <v>2</v>
      </c>
      <c r="C2" s="167" t="s">
        <v>3</v>
      </c>
      <c r="D2" s="167" t="s">
        <v>4</v>
      </c>
    </row>
    <row r="3" s="130" customFormat="1" ht="16.5" customHeight="1" spans="1:4">
      <c r="A3" s="8">
        <v>1</v>
      </c>
      <c r="B3" s="8" t="s">
        <v>5</v>
      </c>
      <c r="C3" s="8" t="s">
        <v>6</v>
      </c>
      <c r="D3" s="67">
        <v>0.05</v>
      </c>
    </row>
    <row r="4" s="130" customFormat="1" ht="16.5" customHeight="1" spans="1:4">
      <c r="A4" s="8">
        <v>2</v>
      </c>
      <c r="B4" s="8" t="s">
        <v>7</v>
      </c>
      <c r="C4" s="8" t="s">
        <v>6</v>
      </c>
      <c r="D4" s="67">
        <v>0.03</v>
      </c>
    </row>
    <row r="5" s="130" customFormat="1" ht="78" customHeight="1" spans="1:4">
      <c r="A5" s="8">
        <v>3</v>
      </c>
      <c r="B5" s="8" t="s">
        <v>8</v>
      </c>
      <c r="C5" s="69" t="s">
        <v>9</v>
      </c>
      <c r="D5" s="67">
        <v>0.08</v>
      </c>
    </row>
    <row r="6" s="130" customFormat="1" ht="55.05" customHeight="1" spans="1:4">
      <c r="A6" s="8">
        <v>4</v>
      </c>
      <c r="B6" s="8" t="s">
        <v>10</v>
      </c>
      <c r="C6" s="34" t="s">
        <v>11</v>
      </c>
      <c r="D6" s="67">
        <v>0.07</v>
      </c>
    </row>
    <row r="7" s="130" customFormat="1" ht="16.5" customHeight="1" spans="1:4">
      <c r="A7" s="8">
        <v>5</v>
      </c>
      <c r="B7" s="8" t="s">
        <v>12</v>
      </c>
      <c r="C7" s="8" t="s">
        <v>13</v>
      </c>
      <c r="D7" s="67">
        <v>0.03</v>
      </c>
    </row>
    <row r="8" s="130" customFormat="1" ht="16.5" customHeight="1" spans="1:4">
      <c r="A8" s="8">
        <v>6</v>
      </c>
      <c r="B8" s="8" t="s">
        <v>14</v>
      </c>
      <c r="C8" s="8" t="s">
        <v>13</v>
      </c>
      <c r="D8" s="67">
        <v>0.02</v>
      </c>
    </row>
    <row r="9" s="130" customFormat="1" ht="16.5" customHeight="1" spans="1:4">
      <c r="A9" s="8">
        <v>7</v>
      </c>
      <c r="B9" s="8" t="s">
        <v>15</v>
      </c>
      <c r="C9" s="8" t="s">
        <v>16</v>
      </c>
      <c r="D9" s="67">
        <v>0.25</v>
      </c>
    </row>
    <row r="10" s="130" customFormat="1" ht="16.5" customHeight="1" spans="1:4">
      <c r="A10" s="8">
        <v>8</v>
      </c>
      <c r="B10" s="8" t="s">
        <v>17</v>
      </c>
      <c r="C10" s="8" t="s">
        <v>18</v>
      </c>
      <c r="D10" s="67">
        <v>0.1</v>
      </c>
    </row>
    <row r="11" s="130" customFormat="1" ht="16.5" customHeight="1" spans="1:4">
      <c r="A11" s="8">
        <v>9</v>
      </c>
      <c r="B11" s="8" t="s">
        <v>19</v>
      </c>
      <c r="C11" s="8" t="s">
        <v>20</v>
      </c>
      <c r="D11" s="67">
        <v>0.05</v>
      </c>
    </row>
    <row r="12" s="130" customFormat="1" ht="16.5" customHeight="1" spans="1:4">
      <c r="A12" s="8">
        <v>10</v>
      </c>
      <c r="B12" s="8" t="s">
        <v>21</v>
      </c>
      <c r="C12" s="168" t="s">
        <v>22</v>
      </c>
      <c r="D12" s="67">
        <v>0.05</v>
      </c>
    </row>
    <row r="13" s="130" customFormat="1" ht="16.5" customHeight="1" spans="1:4">
      <c r="A13" s="8">
        <v>11</v>
      </c>
      <c r="B13" s="8" t="s">
        <v>23</v>
      </c>
      <c r="C13" s="8" t="s">
        <v>24</v>
      </c>
      <c r="D13" s="67">
        <v>1</v>
      </c>
    </row>
    <row r="14" ht="61.95" customHeight="1" spans="1:4">
      <c r="A14" s="8">
        <v>12</v>
      </c>
      <c r="B14" s="8" t="s">
        <v>25</v>
      </c>
      <c r="C14" s="69" t="s">
        <v>26</v>
      </c>
      <c r="D14" s="67">
        <v>0.03</v>
      </c>
    </row>
    <row r="15" ht="34.95" customHeight="1" spans="1:4">
      <c r="A15" s="8">
        <v>13</v>
      </c>
      <c r="B15" s="8" t="s">
        <v>27</v>
      </c>
      <c r="C15" s="34" t="s">
        <v>28</v>
      </c>
      <c r="D15" s="10">
        <v>0.0004</v>
      </c>
    </row>
    <row r="16" ht="33" customHeight="1" spans="1:4">
      <c r="A16" s="17"/>
      <c r="B16" s="17"/>
      <c r="C16" s="34" t="s">
        <v>29</v>
      </c>
      <c r="D16" s="10">
        <v>0.0008</v>
      </c>
    </row>
    <row r="17" ht="16.5" customHeight="1" spans="1:4">
      <c r="A17" s="8">
        <v>14</v>
      </c>
      <c r="B17" s="8" t="s">
        <v>30</v>
      </c>
      <c r="C17" s="8" t="s">
        <v>31</v>
      </c>
      <c r="D17" s="169">
        <v>6.4e-5</v>
      </c>
    </row>
    <row r="18" ht="16.5" customHeight="1" spans="1:4">
      <c r="A18" s="8">
        <v>15</v>
      </c>
      <c r="B18" s="8" t="s">
        <v>32</v>
      </c>
      <c r="C18" s="8" t="s">
        <v>33</v>
      </c>
      <c r="D18" s="170">
        <v>5e-5</v>
      </c>
    </row>
    <row r="19" ht="16.5" customHeight="1" spans="1:4">
      <c r="A19" s="8">
        <v>16</v>
      </c>
      <c r="B19" s="8" t="s">
        <v>34</v>
      </c>
      <c r="C19" s="8" t="s">
        <v>35</v>
      </c>
      <c r="D19" s="10">
        <v>0</v>
      </c>
    </row>
    <row r="20" ht="16.5" customHeight="1" spans="1:4">
      <c r="A20" s="8">
        <v>17</v>
      </c>
      <c r="B20" s="8" t="s">
        <v>36</v>
      </c>
      <c r="C20" s="8" t="s">
        <v>35</v>
      </c>
      <c r="D20" s="10">
        <v>0</v>
      </c>
    </row>
    <row r="21" ht="16.5" customHeight="1" spans="1:4">
      <c r="A21" s="8">
        <v>18</v>
      </c>
      <c r="B21" s="8" t="s">
        <v>37</v>
      </c>
      <c r="C21" s="8" t="s">
        <v>35</v>
      </c>
      <c r="D21" s="10">
        <v>0</v>
      </c>
    </row>
  </sheetData>
  <mergeCells count="3">
    <mergeCell ref="A1:D1"/>
    <mergeCell ref="A15:A16"/>
    <mergeCell ref="B15:B16"/>
  </mergeCells>
  <pageMargins left="0.75" right="0.75" top="1" bottom="1" header="0.5" footer="0.5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FF00"/>
  </sheetPr>
  <dimension ref="A1:E14"/>
  <sheetViews>
    <sheetView workbookViewId="0">
      <selection activeCell="D11" sqref="D11"/>
    </sheetView>
  </sheetViews>
  <sheetFormatPr defaultColWidth="8.89090909090909" defaultRowHeight="28.05" customHeight="1" outlineLevelCol="4"/>
  <cols>
    <col min="2" max="2" width="22.6636363636364" style="1" customWidth="1"/>
    <col min="3" max="3" width="58.4454545454545" style="1" customWidth="1"/>
    <col min="4" max="4" width="17.1090909090909" style="1" customWidth="1"/>
    <col min="5" max="5" width="29.8909090909091" style="1" customWidth="1"/>
  </cols>
  <sheetData>
    <row r="1" customHeight="1" spans="1:4">
      <c r="A1" s="56" t="s">
        <v>38</v>
      </c>
      <c r="B1" s="3"/>
      <c r="C1" s="3"/>
      <c r="D1" s="4"/>
    </row>
    <row r="2" customHeight="1" spans="1:4">
      <c r="A2" s="163" t="s">
        <v>1</v>
      </c>
      <c r="B2" s="163" t="s">
        <v>2</v>
      </c>
      <c r="C2" s="163" t="s">
        <v>3</v>
      </c>
      <c r="D2" s="163" t="s">
        <v>39</v>
      </c>
    </row>
    <row r="3" customHeight="1" spans="1:4">
      <c r="A3" s="164">
        <v>1</v>
      </c>
      <c r="B3" s="164" t="s">
        <v>40</v>
      </c>
      <c r="C3" s="95"/>
      <c r="D3" s="95"/>
    </row>
    <row r="4" customHeight="1" spans="1:4">
      <c r="A4" s="8">
        <v>1.1</v>
      </c>
      <c r="B4" s="8" t="s">
        <v>41</v>
      </c>
      <c r="C4" s="159">
        <v>45901</v>
      </c>
      <c r="D4" s="159">
        <v>45931</v>
      </c>
    </row>
    <row r="5" customHeight="1" spans="1:4">
      <c r="A5" s="8">
        <v>1.2</v>
      </c>
      <c r="B5" s="8" t="s">
        <v>42</v>
      </c>
      <c r="C5" s="159">
        <v>46966</v>
      </c>
      <c r="D5" s="159">
        <v>46387</v>
      </c>
    </row>
    <row r="6" customHeight="1" spans="1:4">
      <c r="A6" s="8">
        <v>1.3</v>
      </c>
      <c r="B6" s="8" t="s">
        <v>43</v>
      </c>
      <c r="C6" s="38" t="s">
        <v>44</v>
      </c>
      <c r="D6" s="80">
        <v>15</v>
      </c>
    </row>
    <row r="7" customHeight="1" spans="1:4">
      <c r="A7" s="8">
        <v>1.4</v>
      </c>
      <c r="B7" s="8" t="s">
        <v>45</v>
      </c>
      <c r="C7" s="8" t="s">
        <v>46</v>
      </c>
      <c r="D7" s="159">
        <f>D5+31</f>
        <v>46418</v>
      </c>
    </row>
    <row r="8" customHeight="1" spans="1:5">
      <c r="A8" s="8">
        <v>1.5</v>
      </c>
      <c r="B8" s="8" t="s">
        <v>47</v>
      </c>
      <c r="C8" s="8" t="s">
        <v>48</v>
      </c>
      <c r="D8" s="13">
        <v>22</v>
      </c>
      <c r="E8" s="15" t="s">
        <v>49</v>
      </c>
    </row>
    <row r="9" customHeight="1" spans="1:4">
      <c r="A9" s="164">
        <v>2</v>
      </c>
      <c r="B9" s="164" t="s">
        <v>50</v>
      </c>
      <c r="C9" s="95"/>
      <c r="D9" s="164"/>
    </row>
    <row r="10" customHeight="1" spans="1:4">
      <c r="A10" s="8">
        <v>2.1</v>
      </c>
      <c r="B10" s="8" t="s">
        <v>41</v>
      </c>
      <c r="C10" s="159">
        <v>46266</v>
      </c>
      <c r="D10" s="159">
        <v>46388</v>
      </c>
    </row>
    <row r="11" customHeight="1" spans="1:4">
      <c r="A11" s="8">
        <v>2.2</v>
      </c>
      <c r="B11" s="8" t="s">
        <v>42</v>
      </c>
      <c r="C11" s="159">
        <v>46966</v>
      </c>
      <c r="D11" s="159">
        <v>47118</v>
      </c>
    </row>
    <row r="12" customHeight="1" spans="1:4">
      <c r="A12" s="8">
        <v>2.3</v>
      </c>
      <c r="B12" s="8" t="s">
        <v>43</v>
      </c>
      <c r="C12" s="38" t="s">
        <v>44</v>
      </c>
      <c r="D12" s="80">
        <v>21</v>
      </c>
    </row>
    <row r="13" customHeight="1" spans="1:4">
      <c r="A13" s="8">
        <v>2.4</v>
      </c>
      <c r="B13" s="8" t="s">
        <v>45</v>
      </c>
      <c r="C13" s="8" t="s">
        <v>46</v>
      </c>
      <c r="D13" s="159">
        <f>D11</f>
        <v>47118</v>
      </c>
    </row>
    <row r="14" customHeight="1" spans="1:5">
      <c r="A14" s="8">
        <v>2.5</v>
      </c>
      <c r="B14" s="8" t="s">
        <v>47</v>
      </c>
      <c r="C14" s="8" t="s">
        <v>48</v>
      </c>
      <c r="D14" s="13">
        <v>20</v>
      </c>
      <c r="E14" s="15" t="s">
        <v>49</v>
      </c>
    </row>
  </sheetData>
  <mergeCells count="1">
    <mergeCell ref="A1:D1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FFFF00"/>
  </sheetPr>
  <dimension ref="A1:N7"/>
  <sheetViews>
    <sheetView zoomScale="80" zoomScaleNormal="80" topLeftCell="E1" workbookViewId="0">
      <selection activeCell="F11" sqref="F11"/>
    </sheetView>
  </sheetViews>
  <sheetFormatPr defaultColWidth="8.89090909090909" defaultRowHeight="28.05" customHeight="1" outlineLevelRow="6"/>
  <cols>
    <col min="1" max="1" width="7.78181818181818" style="1" customWidth="1"/>
    <col min="2" max="2" width="9.55454545454545" style="1" customWidth="1"/>
    <col min="3" max="3" width="16.5545454545455" style="1" customWidth="1"/>
    <col min="4" max="4" width="15.6636363636364" style="1" customWidth="1"/>
    <col min="5" max="5" width="11.3363636363636" style="1" customWidth="1"/>
    <col min="6" max="6" width="12.7818181818182" style="1" customWidth="1"/>
    <col min="7" max="7" width="21.7818181818182" style="1" customWidth="1"/>
    <col min="8" max="8" width="21.8909090909091" style="1" customWidth="1"/>
    <col min="9" max="9" width="28.6636363636364" style="1" customWidth="1"/>
    <col min="10" max="10" width="13.7818181818182" style="1" customWidth="1"/>
    <col min="11" max="11" width="29" style="1" customWidth="1"/>
    <col min="12" max="12" width="23.2181818181818" style="1" customWidth="1"/>
    <col min="13" max="13" width="26" style="1" customWidth="1"/>
    <col min="15" max="15" width="18.8909090909091" style="1" customWidth="1"/>
  </cols>
  <sheetData>
    <row r="1" s="44" customFormat="1" ht="22.5" customHeight="1" spans="1:13">
      <c r="A1" s="56" t="s">
        <v>51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4"/>
    </row>
    <row r="2" s="44" customFormat="1" ht="40.05" customHeight="1" spans="1:13">
      <c r="A2" s="5" t="s">
        <v>1</v>
      </c>
      <c r="B2" s="5" t="s">
        <v>52</v>
      </c>
      <c r="C2" s="5" t="s">
        <v>53</v>
      </c>
      <c r="D2" s="158" t="s">
        <v>54</v>
      </c>
      <c r="E2" s="5" t="s">
        <v>55</v>
      </c>
      <c r="F2" s="5" t="s">
        <v>56</v>
      </c>
      <c r="G2" s="5" t="s">
        <v>57</v>
      </c>
      <c r="H2" s="5" t="s">
        <v>58</v>
      </c>
      <c r="I2" s="5" t="s">
        <v>59</v>
      </c>
      <c r="J2" s="5" t="s">
        <v>60</v>
      </c>
      <c r="K2" s="5" t="s">
        <v>61</v>
      </c>
      <c r="L2" s="158" t="s">
        <v>62</v>
      </c>
      <c r="M2" s="158" t="s">
        <v>63</v>
      </c>
    </row>
    <row r="3" s="44" customFormat="1" ht="82.05" customHeight="1" spans="1:13">
      <c r="A3" s="95"/>
      <c r="B3" s="95"/>
      <c r="C3" s="81" t="s">
        <v>64</v>
      </c>
      <c r="D3" s="95"/>
      <c r="E3" s="95"/>
      <c r="F3" s="95"/>
      <c r="G3" s="81" t="s">
        <v>65</v>
      </c>
      <c r="H3" s="81" t="s">
        <v>66</v>
      </c>
      <c r="I3" s="81" t="s">
        <v>67</v>
      </c>
      <c r="J3" s="95"/>
      <c r="K3" s="81" t="s">
        <v>68</v>
      </c>
      <c r="L3" s="81" t="s">
        <v>69</v>
      </c>
      <c r="M3" s="81" t="s">
        <v>70</v>
      </c>
    </row>
    <row r="4" s="44" customFormat="1" ht="16.5" customHeight="1" spans="1:14">
      <c r="A4" s="8">
        <v>1</v>
      </c>
      <c r="B4" s="13" t="s">
        <v>71</v>
      </c>
      <c r="C4" s="13" t="s">
        <v>72</v>
      </c>
      <c r="D4" s="37">
        <v>1175</v>
      </c>
      <c r="E4" s="159">
        <v>45901</v>
      </c>
      <c r="F4" s="159">
        <f>DATE(YEAR(E4)+G4,MONTH(E4),DAY(E4))</f>
        <v>53206</v>
      </c>
      <c r="G4" s="13">
        <v>20</v>
      </c>
      <c r="H4" s="10">
        <f>2.12%*(1+A财务假设!$D$21)</f>
        <v>0.0212</v>
      </c>
      <c r="I4" s="80" t="s">
        <v>73</v>
      </c>
      <c r="J4" s="159">
        <f>IF(G4&lt;10,DATE(YEAR(E4)+1,MONTH(E4),DAY(E4)),DATE(YEAR(E4),MONTH(E4)+6,DAY(E4)))</f>
        <v>46082</v>
      </c>
      <c r="K4" s="160">
        <f>IF(G4&gt;4,D4*A财务假设!$D$16,D4*A财务假设!$D$15)</f>
        <v>0.94</v>
      </c>
      <c r="L4" s="38">
        <f>D4*A财务假设!$D$17</f>
        <v>0.0752</v>
      </c>
      <c r="M4" s="161">
        <f>(c借款还本付息计划表!C9)</f>
        <v>0.08366</v>
      </c>
      <c r="N4" s="162" t="s">
        <v>74</v>
      </c>
    </row>
    <row r="5" s="44" customFormat="1" ht="16.5" customHeight="1" spans="1:14">
      <c r="A5" s="8">
        <v>2</v>
      </c>
      <c r="B5" s="13" t="s">
        <v>75</v>
      </c>
      <c r="C5" s="13" t="s">
        <v>72</v>
      </c>
      <c r="D5" s="37">
        <v>11590</v>
      </c>
      <c r="E5" s="159">
        <v>46266</v>
      </c>
      <c r="F5" s="159">
        <f>DATE(YEAR(E5)+G5,MONTH(E5),DAY(E5))</f>
        <v>53571</v>
      </c>
      <c r="G5" s="13">
        <v>20</v>
      </c>
      <c r="H5" s="10">
        <f>2.12%*(1+A财务假设!$D$21)</f>
        <v>0.0212</v>
      </c>
      <c r="I5" s="80" t="s">
        <v>73</v>
      </c>
      <c r="J5" s="159">
        <f>IF(G5&lt;10,DATE(YEAR(E5)+1,MONTH(E5),DAY(E5)),DATE(YEAR(E5),MONTH(E5)+6,DAY(E5)))</f>
        <v>46447</v>
      </c>
      <c r="K5" s="160">
        <f>IF(G5&gt;4,D5*A财务假设!$D$16,D5*A财务假设!$D$15)</f>
        <v>9.272</v>
      </c>
      <c r="L5" s="38">
        <f>D5*A财务假设!$D$17</f>
        <v>0.74176</v>
      </c>
      <c r="M5" s="161">
        <f>(c借款还本付息计划表!C18)</f>
        <v>0.825208</v>
      </c>
      <c r="N5" s="162" t="s">
        <v>74</v>
      </c>
    </row>
    <row r="6" s="44" customFormat="1" ht="16.5" customHeight="1" spans="1:14">
      <c r="A6" s="8">
        <v>3</v>
      </c>
      <c r="B6" s="13" t="s">
        <v>76</v>
      </c>
      <c r="C6" s="13" t="s">
        <v>72</v>
      </c>
      <c r="D6" s="37">
        <v>8705</v>
      </c>
      <c r="E6" s="159">
        <v>46631</v>
      </c>
      <c r="F6" s="159">
        <f>DATE(YEAR(E6)+G6,MONTH(E6),DAY(E6))</f>
        <v>53936</v>
      </c>
      <c r="G6" s="13">
        <v>20</v>
      </c>
      <c r="H6" s="10">
        <f>2.12%*(1+A财务假设!$D$21)</f>
        <v>0.0212</v>
      </c>
      <c r="I6" s="80" t="s">
        <v>73</v>
      </c>
      <c r="J6" s="159">
        <f>IF(G6&lt;10,DATE(YEAR(E6)+1,MONTH(E6),DAY(E6)),DATE(YEAR(E6),MONTH(E6)+6,DAY(E6)))</f>
        <v>46813</v>
      </c>
      <c r="K6" s="160">
        <f>IF(G6&gt;4,D6*A财务假设!$D$16,D6*A财务假设!$D$15)</f>
        <v>6.964</v>
      </c>
      <c r="L6" s="38">
        <f>D6*A财务假设!$D$17</f>
        <v>0.55712</v>
      </c>
      <c r="M6" s="161">
        <f>(c借款还本付息计划表!C27)</f>
        <v>0.619796</v>
      </c>
      <c r="N6" s="162" t="s">
        <v>74</v>
      </c>
    </row>
    <row r="7" s="44" customFormat="1" ht="16.5" customHeight="1" spans="1:14">
      <c r="A7" s="8">
        <v>4</v>
      </c>
      <c r="B7" s="13" t="s">
        <v>77</v>
      </c>
      <c r="C7" s="13" t="s">
        <v>72</v>
      </c>
      <c r="D7" s="37">
        <v>7530</v>
      </c>
      <c r="E7" s="159">
        <v>46997</v>
      </c>
      <c r="F7" s="159">
        <f>DATE(YEAR(E7)+G7,MONTH(E7),DAY(E7))</f>
        <v>54302</v>
      </c>
      <c r="G7" s="13">
        <v>20</v>
      </c>
      <c r="H7" s="10">
        <f>2.12%*(1+A财务假设!$D$21)</f>
        <v>0.0212</v>
      </c>
      <c r="I7" s="80" t="s">
        <v>73</v>
      </c>
      <c r="J7" s="159">
        <f>IF(G7&lt;10,DATE(YEAR(E7)+1,MONTH(E7),DAY(E7)),DATE(YEAR(E7),MONTH(E7)+6,DAY(E7)))</f>
        <v>47178</v>
      </c>
      <c r="K7" s="160">
        <f>IF(G7&gt;4,D7*A财务假设!$D$16,D7*A财务假设!$D$15)</f>
        <v>6.024</v>
      </c>
      <c r="L7" s="38">
        <f>D7*A财务假设!$D$17</f>
        <v>0.48192</v>
      </c>
      <c r="M7" s="161">
        <f>(c借款还本付息计划表!C36)</f>
        <v>0.536136</v>
      </c>
      <c r="N7" s="162" t="s">
        <v>74</v>
      </c>
    </row>
  </sheetData>
  <mergeCells count="1">
    <mergeCell ref="A1:M1"/>
  </mergeCells>
  <dataValidations count="1">
    <dataValidation type="list" allowBlank="1" showInputMessage="1" showErrorMessage="1" sqref="I4:I7">
      <formula1>"贷款期内本期等额本金还款,贷款期内本期等额本息还款,后五年每年还本20%,后十年每年还本10%,后二十年每年还本5%,到期一次性还清,自定义还款"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FFFF00"/>
  </sheetPr>
  <dimension ref="A1:F7"/>
  <sheetViews>
    <sheetView workbookViewId="0">
      <selection activeCell="F2" sqref="F2"/>
    </sheetView>
  </sheetViews>
  <sheetFormatPr defaultColWidth="15.3363636363636" defaultRowHeight="28.05" customHeight="1" outlineLevelRow="6" outlineLevelCol="5"/>
  <sheetData>
    <row r="1" customHeight="1" spans="1:6">
      <c r="A1" s="36" t="s">
        <v>78</v>
      </c>
      <c r="B1" s="3"/>
      <c r="C1" s="3"/>
      <c r="D1" s="3"/>
      <c r="E1" s="3"/>
      <c r="F1" s="4"/>
    </row>
    <row r="2" s="155" customFormat="1" customHeight="1" spans="1:6">
      <c r="A2" s="5" t="s">
        <v>1</v>
      </c>
      <c r="B2" s="5" t="s">
        <v>79</v>
      </c>
      <c r="C2" s="32">
        <v>2025</v>
      </c>
      <c r="D2" s="32">
        <v>2026</v>
      </c>
      <c r="E2" s="32">
        <v>2027</v>
      </c>
      <c r="F2" s="32">
        <v>2028</v>
      </c>
    </row>
    <row r="3" customHeight="1" spans="1:6">
      <c r="A3" s="8">
        <v>1</v>
      </c>
      <c r="B3" s="13" t="s">
        <v>71</v>
      </c>
      <c r="C3" s="37">
        <f>C.1项目融资信息!D4</f>
        <v>1175</v>
      </c>
      <c r="D3" s="37">
        <v>0</v>
      </c>
      <c r="E3" s="37">
        <v>0</v>
      </c>
      <c r="F3" s="37">
        <v>0</v>
      </c>
    </row>
    <row r="4" customHeight="1" spans="1:6">
      <c r="A4" s="8">
        <v>2</v>
      </c>
      <c r="B4" s="13" t="s">
        <v>75</v>
      </c>
      <c r="C4" s="37"/>
      <c r="D4" s="37">
        <f>C.1项目融资信息!D5</f>
        <v>11590</v>
      </c>
      <c r="E4" s="37"/>
      <c r="F4" s="37"/>
    </row>
    <row r="5" customHeight="1" spans="1:6">
      <c r="A5" s="8">
        <v>2</v>
      </c>
      <c r="B5" s="13" t="s">
        <v>76</v>
      </c>
      <c r="C5" s="37"/>
      <c r="D5" s="37"/>
      <c r="E5" s="37">
        <f>C.1项目融资信息!D6</f>
        <v>8705</v>
      </c>
      <c r="F5" s="37"/>
    </row>
    <row r="6" customHeight="1" spans="1:6">
      <c r="A6" s="8">
        <v>2</v>
      </c>
      <c r="B6" s="13" t="s">
        <v>77</v>
      </c>
      <c r="C6" s="37"/>
      <c r="D6" s="37"/>
      <c r="E6" s="37"/>
      <c r="F6" s="37">
        <f>C.1项目融资信息!D7</f>
        <v>7530</v>
      </c>
    </row>
    <row r="7" customHeight="1" spans="1:6">
      <c r="A7" s="156">
        <v>4</v>
      </c>
      <c r="B7" s="156" t="s">
        <v>80</v>
      </c>
      <c r="C7" s="157">
        <f>SUM(C3:C6)</f>
        <v>1175</v>
      </c>
      <c r="D7" s="157">
        <f>SUM(D3:D6)</f>
        <v>11590</v>
      </c>
      <c r="E7" s="157">
        <f>SUM(E3:E6)</f>
        <v>8705</v>
      </c>
      <c r="F7" s="157">
        <f>SUM(F3:F6)</f>
        <v>7530</v>
      </c>
    </row>
  </sheetData>
  <mergeCells count="1">
    <mergeCell ref="A1:F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0070C0"/>
  </sheetPr>
  <dimension ref="A1:H39"/>
  <sheetViews>
    <sheetView zoomScale="85" zoomScaleNormal="85" workbookViewId="0">
      <selection activeCell="F38" sqref="F38"/>
    </sheetView>
  </sheetViews>
  <sheetFormatPr defaultColWidth="8.89090909090909" defaultRowHeight="28.05" customHeight="1" outlineLevelCol="7"/>
  <cols>
    <col min="2" max="4" width="20.6636363636364" style="1" customWidth="1"/>
    <col min="5" max="5" width="55.6636363636364" style="1" customWidth="1"/>
    <col min="6" max="6" width="18.8909090909091" style="1" customWidth="1"/>
  </cols>
  <sheetData>
    <row r="1" s="130" customFormat="1" ht="23.25" customHeight="1" spans="1:8">
      <c r="A1" s="56" t="s">
        <v>81</v>
      </c>
      <c r="B1" s="3"/>
      <c r="C1" s="3"/>
      <c r="D1" s="3"/>
      <c r="E1" s="3"/>
      <c r="F1" s="4"/>
      <c r="H1" s="131" t="s">
        <v>82</v>
      </c>
    </row>
    <row r="2" s="130" customFormat="1" ht="16.5" customHeight="1" spans="1:7">
      <c r="A2" s="132" t="s">
        <v>1</v>
      </c>
      <c r="B2" s="133" t="s">
        <v>83</v>
      </c>
      <c r="C2" s="134" t="s">
        <v>84</v>
      </c>
      <c r="D2" s="135" t="s">
        <v>85</v>
      </c>
      <c r="E2" s="134" t="s">
        <v>86</v>
      </c>
      <c r="F2" s="134" t="s">
        <v>87</v>
      </c>
      <c r="G2" s="136" t="s">
        <v>88</v>
      </c>
    </row>
    <row r="3" s="130" customFormat="1" ht="17.5" customHeight="1" spans="1:6">
      <c r="A3" s="137" t="s">
        <v>89</v>
      </c>
      <c r="B3" s="138" t="s">
        <v>90</v>
      </c>
      <c r="C3" s="3"/>
      <c r="D3" s="3"/>
      <c r="E3" s="4"/>
      <c r="F3" s="139">
        <v>24474.93</v>
      </c>
    </row>
    <row r="4" s="130" customFormat="1" ht="17.5" customHeight="1" spans="1:6">
      <c r="A4" s="140">
        <v>1</v>
      </c>
      <c r="B4" s="141" t="s">
        <v>91</v>
      </c>
      <c r="C4" s="140" t="s">
        <v>92</v>
      </c>
      <c r="D4" s="142" t="s">
        <v>93</v>
      </c>
      <c r="E4" s="140">
        <v>1</v>
      </c>
      <c r="F4" s="143">
        <v>3990</v>
      </c>
    </row>
    <row r="5" s="130" customFormat="1" ht="87" customHeight="1" spans="1:6">
      <c r="A5" s="140">
        <v>2</v>
      </c>
      <c r="B5" s="25"/>
      <c r="C5" s="25"/>
      <c r="D5" s="142" t="s">
        <v>94</v>
      </c>
      <c r="E5" s="140">
        <v>1</v>
      </c>
      <c r="F5" s="143">
        <v>3036</v>
      </c>
    </row>
    <row r="6" s="130" customFormat="1" ht="87" customHeight="1" spans="1:6">
      <c r="A6" s="140">
        <v>3</v>
      </c>
      <c r="B6" s="25"/>
      <c r="C6" s="17"/>
      <c r="D6" s="142" t="s">
        <v>95</v>
      </c>
      <c r="E6" s="140">
        <v>1</v>
      </c>
      <c r="F6" s="143">
        <v>1880</v>
      </c>
    </row>
    <row r="7" s="130" customFormat="1" ht="87" customHeight="1" spans="1:6">
      <c r="A7" s="140">
        <v>4</v>
      </c>
      <c r="B7" s="25"/>
      <c r="C7" s="142" t="s">
        <v>96</v>
      </c>
      <c r="D7" s="142" t="s">
        <v>96</v>
      </c>
      <c r="E7" s="140">
        <v>1</v>
      </c>
      <c r="F7" s="143">
        <v>866</v>
      </c>
    </row>
    <row r="8" s="130" customFormat="1" ht="87" customHeight="1" spans="1:6">
      <c r="A8" s="140">
        <v>5</v>
      </c>
      <c r="B8" s="25"/>
      <c r="C8" s="142" t="s">
        <v>97</v>
      </c>
      <c r="D8" s="142" t="s">
        <v>97</v>
      </c>
      <c r="E8" s="140">
        <v>1</v>
      </c>
      <c r="F8" s="143">
        <v>7128.5</v>
      </c>
    </row>
    <row r="9" s="130" customFormat="1" ht="35" customHeight="1" spans="1:6">
      <c r="A9" s="140">
        <v>6</v>
      </c>
      <c r="B9" s="25"/>
      <c r="C9" s="142" t="s">
        <v>98</v>
      </c>
      <c r="D9" s="142" t="s">
        <v>98</v>
      </c>
      <c r="E9" s="140">
        <v>1</v>
      </c>
      <c r="F9" s="143">
        <v>1420</v>
      </c>
    </row>
    <row r="10" s="130" customFormat="1" ht="46.95" customHeight="1" spans="1:6">
      <c r="A10" s="140">
        <v>7</v>
      </c>
      <c r="B10" s="25"/>
      <c r="C10" s="142" t="s">
        <v>99</v>
      </c>
      <c r="D10" s="142" t="s">
        <v>99</v>
      </c>
      <c r="E10" s="140">
        <v>1</v>
      </c>
      <c r="F10" s="143">
        <v>926.43</v>
      </c>
    </row>
    <row r="11" s="130" customFormat="1" ht="35" customHeight="1" spans="1:6">
      <c r="A11" s="140">
        <v>8</v>
      </c>
      <c r="B11" s="17"/>
      <c r="C11" s="142" t="s">
        <v>100</v>
      </c>
      <c r="D11" s="142" t="s">
        <v>100</v>
      </c>
      <c r="E11" s="140">
        <v>1</v>
      </c>
      <c r="F11" s="143">
        <v>288</v>
      </c>
    </row>
    <row r="12" s="130" customFormat="1" ht="52.05" customHeight="1" spans="1:6">
      <c r="A12" s="140">
        <v>9</v>
      </c>
      <c r="B12" s="140" t="s">
        <v>101</v>
      </c>
      <c r="C12" s="144" t="s">
        <v>102</v>
      </c>
      <c r="D12" s="145" t="s">
        <v>103</v>
      </c>
      <c r="E12" s="140">
        <v>1</v>
      </c>
      <c r="F12" s="143">
        <v>580</v>
      </c>
    </row>
    <row r="13" s="130" customFormat="1" ht="35" customHeight="1" spans="1:6">
      <c r="A13" s="140">
        <v>10</v>
      </c>
      <c r="B13" s="25"/>
      <c r="C13" s="25"/>
      <c r="D13" s="145" t="s">
        <v>104</v>
      </c>
      <c r="E13" s="140">
        <v>1</v>
      </c>
      <c r="F13" s="143">
        <v>650</v>
      </c>
    </row>
    <row r="14" s="130" customFormat="1" ht="17.5" customHeight="1" spans="1:6">
      <c r="A14" s="140">
        <v>11</v>
      </c>
      <c r="B14" s="25"/>
      <c r="C14" s="25"/>
      <c r="D14" s="145" t="s">
        <v>105</v>
      </c>
      <c r="E14" s="140">
        <v>1</v>
      </c>
      <c r="F14" s="143">
        <v>680</v>
      </c>
    </row>
    <row r="15" s="130" customFormat="1" ht="35" customHeight="1" spans="1:6">
      <c r="A15" s="140">
        <v>12</v>
      </c>
      <c r="B15" s="25"/>
      <c r="C15" s="25"/>
      <c r="D15" s="145" t="s">
        <v>106</v>
      </c>
      <c r="E15" s="140">
        <v>1</v>
      </c>
      <c r="F15" s="143">
        <v>500</v>
      </c>
    </row>
    <row r="16" s="130" customFormat="1" ht="35" customHeight="1" spans="1:6">
      <c r="A16" s="140">
        <v>13</v>
      </c>
      <c r="B16" s="25"/>
      <c r="C16" s="25"/>
      <c r="D16" s="145" t="s">
        <v>107</v>
      </c>
      <c r="E16" s="140">
        <v>1</v>
      </c>
      <c r="F16" s="143">
        <v>380</v>
      </c>
    </row>
    <row r="17" s="130" customFormat="1" ht="35" customHeight="1" spans="1:6">
      <c r="A17" s="140">
        <v>14</v>
      </c>
      <c r="B17" s="25"/>
      <c r="C17" s="17"/>
      <c r="D17" s="145" t="s">
        <v>108</v>
      </c>
      <c r="E17" s="140">
        <v>1</v>
      </c>
      <c r="F17" s="143">
        <v>800</v>
      </c>
    </row>
    <row r="18" s="130" customFormat="1" ht="35" customHeight="1" spans="1:6">
      <c r="A18" s="140">
        <v>15</v>
      </c>
      <c r="B18" s="25"/>
      <c r="C18" s="146" t="s">
        <v>109</v>
      </c>
      <c r="D18" s="145" t="s">
        <v>110</v>
      </c>
      <c r="E18" s="140">
        <v>1</v>
      </c>
      <c r="F18" s="143">
        <v>800</v>
      </c>
    </row>
    <row r="19" s="130" customFormat="1" ht="35" customHeight="1" spans="1:6">
      <c r="A19" s="140">
        <v>16</v>
      </c>
      <c r="B19" s="17"/>
      <c r="C19" s="17"/>
      <c r="D19" s="145" t="s">
        <v>111</v>
      </c>
      <c r="E19" s="140">
        <v>1</v>
      </c>
      <c r="F19" s="143">
        <v>550</v>
      </c>
    </row>
    <row r="20" s="130" customFormat="1" ht="17.5" customHeight="1" spans="1:6">
      <c r="A20" s="147" t="s">
        <v>112</v>
      </c>
      <c r="B20" s="138" t="s">
        <v>113</v>
      </c>
      <c r="C20" s="3"/>
      <c r="D20" s="3"/>
      <c r="E20" s="4"/>
      <c r="F20" s="139">
        <v>2408.1821113962</v>
      </c>
    </row>
    <row r="21" s="130" customFormat="1" ht="35" customHeight="1" spans="1:6">
      <c r="A21" s="148">
        <v>1</v>
      </c>
      <c r="B21" s="149" t="s">
        <v>114</v>
      </c>
      <c r="C21" s="4"/>
      <c r="D21" s="150" t="s">
        <v>115</v>
      </c>
      <c r="E21" s="149"/>
      <c r="F21" s="151">
        <v>284.7493</v>
      </c>
    </row>
    <row r="22" s="130" customFormat="1" ht="52.5" customHeight="1" spans="1:6">
      <c r="A22" s="148">
        <v>2</v>
      </c>
      <c r="B22" s="149" t="s">
        <v>116</v>
      </c>
      <c r="C22" s="4"/>
      <c r="D22" s="150" t="s">
        <v>117</v>
      </c>
      <c r="E22" s="149"/>
      <c r="F22" s="151">
        <v>146.84958</v>
      </c>
    </row>
    <row r="23" s="130" customFormat="1" ht="35" customHeight="1" spans="1:6">
      <c r="A23" s="148">
        <v>3</v>
      </c>
      <c r="B23" s="149" t="s">
        <v>118</v>
      </c>
      <c r="C23" s="4"/>
      <c r="D23" s="150" t="s">
        <v>119</v>
      </c>
      <c r="E23" s="149"/>
      <c r="F23" s="151">
        <v>675.8092948</v>
      </c>
    </row>
    <row r="24" s="130" customFormat="1" ht="35" customHeight="1" spans="1:6">
      <c r="A24" s="148">
        <v>4</v>
      </c>
      <c r="B24" s="149" t="s">
        <v>120</v>
      </c>
      <c r="C24" s="4"/>
      <c r="D24" s="150" t="s">
        <v>121</v>
      </c>
      <c r="E24" s="149"/>
      <c r="F24" s="151">
        <v>463.8353982</v>
      </c>
    </row>
    <row r="25" s="130" customFormat="1" ht="52.5" customHeight="1" spans="1:6">
      <c r="A25" s="148">
        <v>5</v>
      </c>
      <c r="B25" s="149" t="s">
        <v>122</v>
      </c>
      <c r="C25" s="4"/>
      <c r="D25" s="150" t="s">
        <v>117</v>
      </c>
      <c r="E25" s="149"/>
      <c r="F25" s="151">
        <v>244.7493</v>
      </c>
    </row>
    <row r="26" s="130" customFormat="1" ht="52.5" customHeight="1" spans="1:6">
      <c r="A26" s="148">
        <v>6</v>
      </c>
      <c r="B26" s="149" t="s">
        <v>123</v>
      </c>
      <c r="C26" s="4"/>
      <c r="D26" s="150" t="s">
        <v>124</v>
      </c>
      <c r="E26" s="149"/>
      <c r="F26" s="151">
        <v>29.369916</v>
      </c>
    </row>
    <row r="27" s="130" customFormat="1" ht="35" customHeight="1" spans="1:6">
      <c r="A27" s="148">
        <v>7</v>
      </c>
      <c r="B27" s="149" t="s">
        <v>125</v>
      </c>
      <c r="C27" s="4"/>
      <c r="D27" s="150" t="s">
        <v>126</v>
      </c>
      <c r="E27" s="149"/>
      <c r="F27" s="151">
        <v>53.0052788122</v>
      </c>
    </row>
    <row r="28" s="130" customFormat="1" ht="17.5" customHeight="1" spans="1:6">
      <c r="A28" s="148">
        <v>8</v>
      </c>
      <c r="B28" s="149" t="s">
        <v>127</v>
      </c>
      <c r="C28" s="4"/>
      <c r="D28" s="150" t="s">
        <v>128</v>
      </c>
      <c r="E28" s="149"/>
      <c r="F28" s="151">
        <v>244.7493</v>
      </c>
    </row>
    <row r="29" s="130" customFormat="1" ht="17.5" customHeight="1" spans="1:6">
      <c r="A29" s="148">
        <v>9</v>
      </c>
      <c r="B29" s="149" t="s">
        <v>129</v>
      </c>
      <c r="C29" s="4"/>
      <c r="D29" s="150"/>
      <c r="E29" s="149"/>
      <c r="F29" s="151">
        <v>80</v>
      </c>
    </row>
    <row r="30" s="130" customFormat="1" ht="17.5" customHeight="1" spans="1:6">
      <c r="A30" s="148">
        <v>10</v>
      </c>
      <c r="B30" s="149" t="s">
        <v>130</v>
      </c>
      <c r="C30" s="4"/>
      <c r="D30" s="150"/>
      <c r="E30" s="147"/>
      <c r="F30" s="151">
        <v>80</v>
      </c>
    </row>
    <row r="31" s="130" customFormat="1" ht="17.5" customHeight="1" spans="1:6">
      <c r="A31" s="148">
        <v>11</v>
      </c>
      <c r="B31" s="149" t="s">
        <v>131</v>
      </c>
      <c r="C31" s="4"/>
      <c r="D31" s="150"/>
      <c r="E31" s="147"/>
      <c r="F31" s="151">
        <v>35</v>
      </c>
    </row>
    <row r="32" s="130" customFormat="1" ht="17.5" customHeight="1" spans="1:6">
      <c r="A32" s="148">
        <v>12</v>
      </c>
      <c r="B32" s="149" t="s">
        <v>132</v>
      </c>
      <c r="C32" s="4"/>
      <c r="D32" s="150"/>
      <c r="E32" s="147"/>
      <c r="F32" s="151">
        <v>7</v>
      </c>
    </row>
    <row r="33" s="130" customFormat="1" ht="17.5" customHeight="1" spans="1:6">
      <c r="A33" s="148">
        <v>13</v>
      </c>
      <c r="B33" s="149" t="s">
        <v>133</v>
      </c>
      <c r="C33" s="4"/>
      <c r="D33" s="150"/>
      <c r="E33" s="147"/>
      <c r="F33" s="151">
        <v>7</v>
      </c>
    </row>
    <row r="34" s="130" customFormat="1" ht="17.5" customHeight="1" spans="1:6">
      <c r="A34" s="148">
        <v>14</v>
      </c>
      <c r="B34" s="149" t="s">
        <v>134</v>
      </c>
      <c r="C34" s="4"/>
      <c r="D34" s="150"/>
      <c r="E34" s="147"/>
      <c r="F34" s="151">
        <v>2</v>
      </c>
    </row>
    <row r="35" s="130" customFormat="1" ht="35" customHeight="1" spans="1:6">
      <c r="A35" s="148">
        <v>15</v>
      </c>
      <c r="B35" s="149" t="s">
        <v>135</v>
      </c>
      <c r="C35" s="4"/>
      <c r="D35" s="150" t="s">
        <v>115</v>
      </c>
      <c r="E35" s="147"/>
      <c r="F35" s="152">
        <v>54.064743584</v>
      </c>
    </row>
    <row r="36" s="130" customFormat="1" ht="17.5" customHeight="1" spans="1:6">
      <c r="A36" s="147" t="s">
        <v>136</v>
      </c>
      <c r="B36" s="138" t="s">
        <v>137</v>
      </c>
      <c r="C36" s="3"/>
      <c r="D36" s="3"/>
      <c r="E36" s="4"/>
      <c r="F36" s="139">
        <v>1344.15560556981</v>
      </c>
    </row>
    <row r="37" s="130" customFormat="1" ht="17.5" customHeight="1" spans="1:6">
      <c r="A37" s="148">
        <v>1</v>
      </c>
      <c r="B37" s="149" t="s">
        <v>138</v>
      </c>
      <c r="C37" s="4"/>
      <c r="D37" s="153"/>
      <c r="E37" s="149"/>
      <c r="F37" s="152">
        <v>1344.15560556981</v>
      </c>
    </row>
    <row r="38" s="130" customFormat="1" ht="17.5" customHeight="1" spans="1:6">
      <c r="A38" s="148" t="s">
        <v>139</v>
      </c>
      <c r="B38" s="138" t="s">
        <v>140</v>
      </c>
      <c r="C38" s="3"/>
      <c r="D38" s="4"/>
      <c r="E38" s="149"/>
      <c r="F38" s="139">
        <v>772.736</v>
      </c>
    </row>
    <row r="39" s="130" customFormat="1" ht="17.5" customHeight="1" spans="1:6">
      <c r="A39" s="147" t="s">
        <v>141</v>
      </c>
      <c r="B39" s="3"/>
      <c r="C39" s="3"/>
      <c r="D39" s="4"/>
      <c r="E39" s="148"/>
      <c r="F39" s="154">
        <v>29000.003716966</v>
      </c>
    </row>
  </sheetData>
  <mergeCells count="27">
    <mergeCell ref="A1:F1"/>
    <mergeCell ref="B3:E3"/>
    <mergeCell ref="B20:E20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E36"/>
    <mergeCell ref="B37:C37"/>
    <mergeCell ref="B38:D38"/>
    <mergeCell ref="A39:D39"/>
    <mergeCell ref="B4:B11"/>
    <mergeCell ref="B12:B19"/>
    <mergeCell ref="C4:C6"/>
    <mergeCell ref="C12:C17"/>
    <mergeCell ref="C18:C19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FFFF00"/>
  </sheetPr>
  <dimension ref="A1:AB27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H2" sqref="H2"/>
    </sheetView>
  </sheetViews>
  <sheetFormatPr defaultColWidth="16" defaultRowHeight="28.05" customHeight="1"/>
  <cols>
    <col min="2" max="2" width="21.4454545454545" style="1" customWidth="1"/>
    <col min="3" max="8" width="16" style="1" customWidth="1"/>
  </cols>
  <sheetData>
    <row r="1" s="44" customFormat="1" ht="22.5" customHeight="1" spans="1:10">
      <c r="A1" s="127" t="s">
        <v>142</v>
      </c>
      <c r="B1" s="12"/>
      <c r="C1" s="12"/>
      <c r="D1" s="12"/>
      <c r="E1" s="12"/>
      <c r="F1" s="12"/>
      <c r="G1" s="12"/>
      <c r="H1" s="12"/>
      <c r="I1"/>
      <c r="J1"/>
    </row>
    <row r="2" s="44" customFormat="1" ht="16.5" customHeight="1" spans="1:28">
      <c r="A2" s="5" t="s">
        <v>1</v>
      </c>
      <c r="B2" s="5" t="s">
        <v>143</v>
      </c>
      <c r="C2" s="5" t="s">
        <v>80</v>
      </c>
      <c r="D2" s="32">
        <v>2025</v>
      </c>
      <c r="E2" s="32">
        <v>2026</v>
      </c>
      <c r="F2" s="32">
        <v>2027</v>
      </c>
      <c r="G2" s="32">
        <v>2028</v>
      </c>
      <c r="H2" s="32">
        <v>2029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="44" customFormat="1" ht="16.5" customHeight="1" spans="1:28">
      <c r="A3" s="95">
        <v>1</v>
      </c>
      <c r="B3" s="95" t="s">
        <v>144</v>
      </c>
      <c r="C3" s="96">
        <f t="shared" ref="C3:C16" si="0">SUM(D3:H3)</f>
        <v>27707.6257479663</v>
      </c>
      <c r="D3" s="96">
        <f>SUM(D4:D6)</f>
        <v>562.909023853375</v>
      </c>
      <c r="E3" s="96">
        <f>SUM(E4:E6)</f>
        <v>11658.8284889455</v>
      </c>
      <c r="F3" s="96">
        <f>SUM(F4:F6)</f>
        <v>14417.4132629807</v>
      </c>
      <c r="G3" s="96">
        <f>SUM(G4:G6)</f>
        <v>1068.47430703671</v>
      </c>
      <c r="H3" s="96">
        <f>SUM(H4:H6)</f>
        <v>0.000665150000000004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="44" customFormat="1" ht="16.5" customHeight="1" spans="1:28">
      <c r="A4" s="8">
        <v>1.1</v>
      </c>
      <c r="B4" s="8" t="s">
        <v>145</v>
      </c>
      <c r="C4" s="96">
        <f t="shared" si="0"/>
        <v>26742.4463329663</v>
      </c>
      <c r="D4" s="14">
        <f>(D.3建设投资分年计划表!H17)</f>
        <v>553.590490520042</v>
      </c>
      <c r="E4" s="14">
        <f>D.3建设投资分年计划表!F17</f>
        <v>11551.0006222788</v>
      </c>
      <c r="F4" s="14">
        <f>D.3建设投资分年计划表!G17</f>
        <v>14084.2647296474</v>
      </c>
      <c r="G4" s="14">
        <f>D.3建设投资分年计划表!H17</f>
        <v>553.590490520042</v>
      </c>
      <c r="H4" s="14">
        <f>D.3建设投资分年计划表!I17</f>
        <v>0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="44" customFormat="1" ht="16.5" customHeight="1" spans="1:28">
      <c r="A5" s="8">
        <v>1.2</v>
      </c>
      <c r="B5" s="8" t="s">
        <v>140</v>
      </c>
      <c r="C5" s="96">
        <f t="shared" si="0"/>
        <v>965.176853333333</v>
      </c>
      <c r="D5" s="14">
        <f>(c借款还本付息计划表!D47+c借款还本付息计划表!D46)</f>
        <v>9.31853333333333</v>
      </c>
      <c r="E5" s="14">
        <f>(c借款还本付息计划表!E47+c借款还本付息计划表!D46)</f>
        <v>107.827866666667</v>
      </c>
      <c r="F5" s="14">
        <f>(c借款还本付息计划表!F47+c借款还本付息计划表!D46)</f>
        <v>333.148533333333</v>
      </c>
      <c r="G5" s="14">
        <f>c借款还本付息计划表!G47+c借款还本付息计划表!G46</f>
        <v>514.88192</v>
      </c>
      <c r="H5" s="14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="44" customFormat="1" ht="16.5" customHeight="1" spans="1:28">
      <c r="A6" s="8">
        <v>1.3</v>
      </c>
      <c r="B6" s="8" t="s">
        <v>146</v>
      </c>
      <c r="C6" s="96">
        <f t="shared" si="0"/>
        <v>0.00256166666666667</v>
      </c>
      <c r="D6" s="14">
        <f>(D.3建设投资分年计划表!H35)</f>
        <v>0</v>
      </c>
      <c r="E6" s="14">
        <f>D.4流动资金估算表!F14</f>
        <v>0</v>
      </c>
      <c r="F6" s="14">
        <f>D.4流动资金估算表!G14</f>
        <v>0</v>
      </c>
      <c r="G6" s="14">
        <f>D.4流动资金估算表!H14</f>
        <v>0.00189651666666667</v>
      </c>
      <c r="H6" s="14">
        <f>D.4流动资金估算表!I14</f>
        <v>0.000665150000000004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="44" customFormat="1" ht="16.5" customHeight="1" spans="1:28">
      <c r="A7" s="95">
        <v>2</v>
      </c>
      <c r="B7" s="95" t="s">
        <v>147</v>
      </c>
      <c r="C7" s="96">
        <f t="shared" si="0"/>
        <v>27144.7167241129</v>
      </c>
      <c r="D7" s="96">
        <f>(D.3建设投资分年计划表!H44)</f>
        <v>0</v>
      </c>
      <c r="E7" s="96">
        <f>E8+E12+E16</f>
        <v>11658.8284889455</v>
      </c>
      <c r="F7" s="96">
        <f>F8+F12+F16</f>
        <v>14417.4132629807</v>
      </c>
      <c r="G7" s="96">
        <f>G8+G12+G16</f>
        <v>1068.47430703671</v>
      </c>
      <c r="H7" s="96">
        <f>H8+H12+H16</f>
        <v>0.000665150000000004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="44" customFormat="1" ht="16.5" customHeight="1" spans="1:28">
      <c r="A8" s="8">
        <v>2.1</v>
      </c>
      <c r="B8" s="8" t="s">
        <v>148</v>
      </c>
      <c r="C8" s="96">
        <f t="shared" si="0"/>
        <v>-680.283275887118</v>
      </c>
      <c r="D8" s="14">
        <f>(D.3建设投资分年计划表!H53)</f>
        <v>0</v>
      </c>
      <c r="E8" s="14">
        <f>SUM(E9:E11)</f>
        <v>68.8284889454536</v>
      </c>
      <c r="F8" s="14">
        <f>SUM(F9:F11)</f>
        <v>5712.41326298072</v>
      </c>
      <c r="G8" s="14">
        <f>SUM(G9:G11)</f>
        <v>-6461.52569296329</v>
      </c>
      <c r="H8" s="14">
        <f>SUM(H9:H11)</f>
        <v>0.000665150000000004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="44" customFormat="1" ht="16.5" customHeight="1" spans="1:28">
      <c r="A9" s="8" t="s">
        <v>149</v>
      </c>
      <c r="B9" s="8" t="s">
        <v>150</v>
      </c>
      <c r="C9" s="96">
        <f t="shared" si="0"/>
        <v>-1636.14415755378</v>
      </c>
      <c r="D9" s="39">
        <f>(D.3建设投资分年计划表!H62)</f>
        <v>0</v>
      </c>
      <c r="E9" s="39">
        <f>E4-E13</f>
        <v>-38.999377721213</v>
      </c>
      <c r="F9" s="39">
        <f>F4-F13</f>
        <v>5379.26472964739</v>
      </c>
      <c r="G9" s="39">
        <f>G4-G13</f>
        <v>-6976.40950947996</v>
      </c>
      <c r="H9" s="39">
        <f>H4-H13</f>
        <v>0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="44" customFormat="1" ht="16.5" customHeight="1" spans="1:28">
      <c r="A10" s="8" t="s">
        <v>151</v>
      </c>
      <c r="B10" s="8" t="s">
        <v>152</v>
      </c>
      <c r="C10" s="96">
        <f t="shared" si="0"/>
        <v>955.85832</v>
      </c>
      <c r="D10" s="37">
        <f>(D.3建设投资分年计划表!H71)</f>
        <v>0</v>
      </c>
      <c r="E10" s="37">
        <f>E5</f>
        <v>107.827866666667</v>
      </c>
      <c r="F10" s="37">
        <f>F5</f>
        <v>333.148533333333</v>
      </c>
      <c r="G10" s="37">
        <f>G5</f>
        <v>514.88192</v>
      </c>
      <c r="H10" s="37">
        <f>H5</f>
        <v>0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="44" customFormat="1" ht="16.5" customHeight="1" spans="1:28">
      <c r="A11" s="8" t="s">
        <v>153</v>
      </c>
      <c r="B11" s="8" t="s">
        <v>154</v>
      </c>
      <c r="C11" s="96">
        <f t="shared" si="0"/>
        <v>0.00256166666666667</v>
      </c>
      <c r="D11" s="37">
        <f>(D.3建设投资分年计划表!H80)</f>
        <v>0</v>
      </c>
      <c r="E11" s="37">
        <f>E6*A财务假设!$D$13</f>
        <v>0</v>
      </c>
      <c r="F11" s="37">
        <f>F6*A财务假设!$D$13</f>
        <v>0</v>
      </c>
      <c r="G11" s="37">
        <f>G6*A财务假设!$D$13</f>
        <v>0.00189651666666667</v>
      </c>
      <c r="H11" s="37">
        <f>H6*A财务假设!$D$13</f>
        <v>0.000665150000000004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="44" customFormat="1" ht="16.5" customHeight="1" spans="1:28">
      <c r="A12" s="8">
        <v>2.2</v>
      </c>
      <c r="B12" s="8" t="s">
        <v>155</v>
      </c>
      <c r="C12" s="96">
        <f t="shared" si="0"/>
        <v>29000</v>
      </c>
      <c r="D12" s="14">
        <f>(C.2项目每年借款信息!C7)</f>
        <v>1175</v>
      </c>
      <c r="E12" s="14">
        <f>(C.2项目每年借款信息!D7)</f>
        <v>11590</v>
      </c>
      <c r="F12" s="14">
        <f>(C.2项目每年借款信息!E7)</f>
        <v>8705</v>
      </c>
      <c r="G12" s="14">
        <f>(C.2项目每年借款信息!F7)</f>
        <v>7530</v>
      </c>
      <c r="H12" s="14">
        <f>(C.2项目每年借款信息!G7)</f>
        <v>0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="44" customFormat="1" ht="16.5" customHeight="1" spans="1:28">
      <c r="A13" s="8" t="s">
        <v>156</v>
      </c>
      <c r="B13" s="8" t="s">
        <v>150</v>
      </c>
      <c r="C13" s="96">
        <f t="shared" si="0"/>
        <v>27825</v>
      </c>
      <c r="D13" s="39">
        <f>(D.3建设投资分年计划表!H98)</f>
        <v>0</v>
      </c>
      <c r="E13" s="39">
        <f>E12-E14-E15-E16</f>
        <v>11590</v>
      </c>
      <c r="F13" s="39">
        <f>F12-F14-F15-F16</f>
        <v>8705</v>
      </c>
      <c r="G13" s="39">
        <f>G12-G14-G15-G16</f>
        <v>7530</v>
      </c>
      <c r="H13" s="39">
        <f>H12-H14-H15-H16</f>
        <v>0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="44" customFormat="1" ht="16.5" customHeight="1" spans="1:28">
      <c r="A14" s="8" t="s">
        <v>157</v>
      </c>
      <c r="B14" s="8" t="s">
        <v>152</v>
      </c>
      <c r="C14" s="96">
        <f t="shared" si="0"/>
        <v>0</v>
      </c>
      <c r="D14" s="37">
        <f>(D.3建设投资分年计划表!H107)</f>
        <v>0</v>
      </c>
      <c r="E14" s="37">
        <v>0</v>
      </c>
      <c r="F14" s="37">
        <v>0</v>
      </c>
      <c r="G14" s="37">
        <v>0</v>
      </c>
      <c r="H14" s="37">
        <v>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="44" customFormat="1" ht="16.5" customHeight="1" spans="1:28">
      <c r="A15" s="8" t="s">
        <v>158</v>
      </c>
      <c r="B15" s="8" t="s">
        <v>154</v>
      </c>
      <c r="C15" s="96">
        <f t="shared" si="0"/>
        <v>0</v>
      </c>
      <c r="D15" s="37">
        <f>(D.3建设投资分年计划表!H116)</f>
        <v>0</v>
      </c>
      <c r="E15" s="37">
        <f>E6-E11</f>
        <v>0</v>
      </c>
      <c r="F15" s="37">
        <f>F6-F11</f>
        <v>0</v>
      </c>
      <c r="G15" s="37">
        <f>G6-G11</f>
        <v>0</v>
      </c>
      <c r="H15" s="37">
        <f>H6-H11</f>
        <v>0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="44" customFormat="1" ht="16.5" customHeight="1" spans="1:28">
      <c r="A16" s="8">
        <v>2.3</v>
      </c>
      <c r="B16" s="8" t="s">
        <v>159</v>
      </c>
      <c r="C16" s="96">
        <f t="shared" si="0"/>
        <v>0</v>
      </c>
      <c r="D16" s="37">
        <f>(D.3建设投资分年计划表!H125)</f>
        <v>0</v>
      </c>
      <c r="E16" s="37">
        <v>0</v>
      </c>
      <c r="F16" s="37">
        <v>0</v>
      </c>
      <c r="G16" s="37">
        <v>0</v>
      </c>
      <c r="H16" s="37">
        <v>0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="44" customFormat="1" ht="16.5" customHeight="1" spans="1:28">
      <c r="A17" s="95">
        <v>3</v>
      </c>
      <c r="B17" s="95" t="s">
        <v>160</v>
      </c>
      <c r="C17" s="96">
        <f>SUM(C18:C20)</f>
        <v>-680.283275887114</v>
      </c>
      <c r="D17" s="96">
        <f>(D.3建设投资分年计划表!H134)</f>
        <v>0</v>
      </c>
      <c r="E17" s="96" t="s">
        <v>161</v>
      </c>
      <c r="F17" s="96" t="s">
        <v>161</v>
      </c>
      <c r="G17" s="96" t="s">
        <v>161</v>
      </c>
      <c r="H17" s="96" t="s">
        <v>161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="44" customFormat="1" ht="16.5" customHeight="1" spans="1:28">
      <c r="A18" s="8">
        <v>3.1</v>
      </c>
      <c r="B18" s="8" t="s">
        <v>145</v>
      </c>
      <c r="C18" s="14">
        <f>C9</f>
        <v>-1636.14415755378</v>
      </c>
      <c r="D18" s="14">
        <f>(D.3建设投资分年计划表!H143)</f>
        <v>0</v>
      </c>
      <c r="E18" s="14" t="s">
        <v>161</v>
      </c>
      <c r="F18" s="14" t="s">
        <v>161</v>
      </c>
      <c r="G18" s="14" t="s">
        <v>161</v>
      </c>
      <c r="H18" s="14" t="s">
        <v>161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="44" customFormat="1" ht="16.5" customHeight="1" spans="1:28">
      <c r="A19" s="8">
        <v>3.2</v>
      </c>
      <c r="B19" s="8" t="s">
        <v>140</v>
      </c>
      <c r="C19" s="14">
        <f>C10</f>
        <v>955.85832</v>
      </c>
      <c r="D19" s="14">
        <f>(D.3建设投资分年计划表!H152)</f>
        <v>0</v>
      </c>
      <c r="E19" s="14" t="s">
        <v>161</v>
      </c>
      <c r="F19" s="14" t="s">
        <v>161</v>
      </c>
      <c r="G19" s="14" t="s">
        <v>161</v>
      </c>
      <c r="H19" s="14" t="s">
        <v>161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="44" customFormat="1" ht="16.5" customHeight="1" spans="1:28">
      <c r="A20" s="8">
        <v>3.3</v>
      </c>
      <c r="B20" s="8" t="s">
        <v>162</v>
      </c>
      <c r="C20" s="14">
        <f>C11</f>
        <v>0.00256166666666667</v>
      </c>
      <c r="D20" s="14">
        <f>(D.3建设投资分年计划表!H161)</f>
        <v>0</v>
      </c>
      <c r="E20" s="14" t="s">
        <v>161</v>
      </c>
      <c r="F20" s="14" t="s">
        <v>161</v>
      </c>
      <c r="G20" s="14" t="s">
        <v>161</v>
      </c>
      <c r="H20" s="14" t="s">
        <v>161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="44" customFormat="1" ht="16.5" customHeight="1" spans="1:28">
      <c r="A21" s="95">
        <v>4</v>
      </c>
      <c r="B21" s="81" t="s">
        <v>163</v>
      </c>
      <c r="C21" s="129">
        <f>C17/C3</f>
        <v>-0.0245522038616768</v>
      </c>
      <c r="D21" s="129">
        <f>(D.3建设投资分年计划表!H170)</f>
        <v>0</v>
      </c>
      <c r="E21" s="129" t="s">
        <v>161</v>
      </c>
      <c r="F21" s="129" t="s">
        <v>161</v>
      </c>
      <c r="G21" s="129" t="s">
        <v>161</v>
      </c>
      <c r="H21" s="129" t="s">
        <v>161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="126" customFormat="1" ht="14" customHeight="1" spans="4:4">
      <c r="D22"/>
    </row>
    <row r="23" ht="14" spans="4:4">
      <c r="D23"/>
    </row>
    <row r="24" ht="14" spans="4:4">
      <c r="D24"/>
    </row>
    <row r="25" ht="14" spans="4:4">
      <c r="D25"/>
    </row>
    <row r="26" customHeight="1" spans="4:4">
      <c r="D26"/>
    </row>
    <row r="27" customHeight="1" spans="4:4">
      <c r="D27"/>
    </row>
  </sheetData>
  <mergeCells count="1">
    <mergeCell ref="A1:H1"/>
  </mergeCell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FFF00"/>
  </sheetPr>
  <dimension ref="A1:I21"/>
  <sheetViews>
    <sheetView zoomScale="85" zoomScaleNormal="85" workbookViewId="0">
      <selection activeCell="B9" sqref="B9"/>
    </sheetView>
  </sheetViews>
  <sheetFormatPr defaultColWidth="33.6636363636364" defaultRowHeight="14"/>
  <cols>
    <col min="1" max="1" width="6" style="1" customWidth="1"/>
    <col min="2" max="2" width="19.3363636363636" style="1" customWidth="1"/>
    <col min="3" max="3" width="56.8909090909091" style="1" customWidth="1"/>
    <col min="4" max="4" width="14.5545454545455" style="1" customWidth="1"/>
    <col min="5" max="5" width="26.3363636363636" style="1" customWidth="1"/>
    <col min="6" max="6" width="27" style="1" customWidth="1"/>
    <col min="7" max="8" width="26" style="1" customWidth="1"/>
  </cols>
  <sheetData>
    <row r="1" s="44" customFormat="1" ht="22.5" customHeight="1" spans="1:9">
      <c r="A1" s="56" t="s">
        <v>164</v>
      </c>
      <c r="B1" s="3"/>
      <c r="C1" s="3"/>
      <c r="D1" s="3"/>
      <c r="E1" s="3"/>
      <c r="F1" s="3"/>
      <c r="G1" s="3"/>
      <c r="H1" s="4"/>
      <c r="I1"/>
    </row>
    <row r="2" s="44" customFormat="1" ht="16.5" customHeight="1" spans="1:8">
      <c r="A2" s="5" t="s">
        <v>1</v>
      </c>
      <c r="B2" s="5" t="s">
        <v>165</v>
      </c>
      <c r="C2" s="5" t="s">
        <v>166</v>
      </c>
      <c r="D2" s="5" t="s">
        <v>87</v>
      </c>
      <c r="E2" s="32">
        <v>2025</v>
      </c>
      <c r="F2" s="32">
        <v>2026</v>
      </c>
      <c r="G2" s="32">
        <v>2027</v>
      </c>
      <c r="H2" s="32">
        <v>2028</v>
      </c>
    </row>
    <row r="3" s="44" customFormat="1" ht="16.5" customHeight="1" spans="1:8">
      <c r="A3" s="8" t="s">
        <v>89</v>
      </c>
      <c r="B3" s="8" t="s">
        <v>167</v>
      </c>
      <c r="C3" s="8"/>
      <c r="D3" s="14">
        <f>SUM(D4+D8)</f>
        <v>24474.93</v>
      </c>
      <c r="E3" s="14">
        <f>E4+E8</f>
        <v>1767.4395</v>
      </c>
      <c r="F3" s="14">
        <f>F4+F8</f>
        <v>10015.4905</v>
      </c>
      <c r="G3" s="14">
        <f>G4+G8</f>
        <v>12212</v>
      </c>
      <c r="H3" s="14">
        <f>H4+H8</f>
        <v>480</v>
      </c>
    </row>
    <row r="4" s="44" customFormat="1" ht="16.5" customHeight="1" spans="1:8">
      <c r="A4" s="95">
        <v>1</v>
      </c>
      <c r="B4" s="95" t="s">
        <v>168</v>
      </c>
      <c r="C4" s="95"/>
      <c r="D4" s="96">
        <f>SUM(D5:D7)</f>
        <v>19534.93</v>
      </c>
      <c r="E4" s="96">
        <f>E5+E6+E7</f>
        <v>1267.9395</v>
      </c>
      <c r="F4" s="96">
        <f>F5+F6+F7</f>
        <v>7184.9905</v>
      </c>
      <c r="G4" s="96">
        <f>G5+G6+G7</f>
        <v>10602</v>
      </c>
      <c r="H4" s="96">
        <f>H5+H6+H7</f>
        <v>480</v>
      </c>
    </row>
    <row r="5" s="44" customFormat="1" ht="66" customHeight="1" spans="1:8">
      <c r="A5" s="8">
        <v>1.1</v>
      </c>
      <c r="B5" s="13" t="s">
        <v>169</v>
      </c>
      <c r="C5" s="69" t="s">
        <v>170</v>
      </c>
      <c r="D5" s="14">
        <f>SUM(E5:H5)</f>
        <v>9772</v>
      </c>
      <c r="E5" s="37">
        <v>260.4</v>
      </c>
      <c r="F5" s="37">
        <v>1475.6</v>
      </c>
      <c r="G5" s="37">
        <v>7796</v>
      </c>
      <c r="H5" s="37">
        <v>240</v>
      </c>
    </row>
    <row r="6" s="44" customFormat="1" ht="16.5" customHeight="1" spans="1:8">
      <c r="A6" s="8">
        <v>1.2</v>
      </c>
      <c r="B6" s="13" t="s">
        <v>171</v>
      </c>
      <c r="C6" s="8"/>
      <c r="D6" s="14">
        <f>SUM(E6:H6)</f>
        <v>9762.93</v>
      </c>
      <c r="E6" s="37">
        <v>1007.5395</v>
      </c>
      <c r="F6" s="37">
        <v>5709.3905</v>
      </c>
      <c r="G6" s="37">
        <v>2806</v>
      </c>
      <c r="H6" s="37">
        <v>240</v>
      </c>
    </row>
    <row r="7" s="44" customFormat="1" ht="33" customHeight="1" spans="1:8">
      <c r="A7" s="8">
        <v>1.3</v>
      </c>
      <c r="B7" s="13" t="s">
        <v>172</v>
      </c>
      <c r="C7" s="69" t="s">
        <v>173</v>
      </c>
      <c r="D7" s="14">
        <f>SUM(E7:H7)</f>
        <v>0</v>
      </c>
      <c r="E7" s="37"/>
      <c r="F7" s="37"/>
      <c r="G7" s="37"/>
      <c r="H7" s="37"/>
    </row>
    <row r="8" s="44" customFormat="1" ht="16.5" customHeight="1" spans="1:8">
      <c r="A8" s="95">
        <v>2</v>
      </c>
      <c r="B8" s="95" t="s">
        <v>174</v>
      </c>
      <c r="C8" s="95"/>
      <c r="D8" s="96">
        <f>SUM(D9:D12)</f>
        <v>4940</v>
      </c>
      <c r="E8" s="96">
        <f>SUM(E9:E12)</f>
        <v>499.5</v>
      </c>
      <c r="F8" s="96">
        <f>SUM(F9:F12)</f>
        <v>2830.5</v>
      </c>
      <c r="G8" s="96">
        <f>SUM(G9:G12)</f>
        <v>1610</v>
      </c>
      <c r="H8" s="96">
        <f>SUM(H9:H12)</f>
        <v>0</v>
      </c>
    </row>
    <row r="9" s="44" customFormat="1" ht="16.5" customHeight="1" spans="1:8">
      <c r="A9" s="8">
        <v>2.1</v>
      </c>
      <c r="B9" s="13" t="s">
        <v>175</v>
      </c>
      <c r="C9" s="8" t="s">
        <v>176</v>
      </c>
      <c r="D9" s="14">
        <f>SUM(E9:H9)</f>
        <v>0</v>
      </c>
      <c r="E9" s="37"/>
      <c r="F9" s="37"/>
      <c r="G9" s="37"/>
      <c r="H9" s="37"/>
    </row>
    <row r="10" s="44" customFormat="1" ht="16.5" customHeight="1" spans="1:8">
      <c r="A10" s="8">
        <v>2.2</v>
      </c>
      <c r="B10" s="13" t="s">
        <v>177</v>
      </c>
      <c r="C10" s="8"/>
      <c r="D10" s="14">
        <f>SUM(E10:H10)</f>
        <v>4940</v>
      </c>
      <c r="E10" s="37">
        <v>499.5</v>
      </c>
      <c r="F10" s="37">
        <v>2830.5</v>
      </c>
      <c r="G10" s="37">
        <v>1610</v>
      </c>
      <c r="H10" s="37">
        <v>0</v>
      </c>
    </row>
    <row r="11" s="44" customFormat="1" ht="16.5" customHeight="1" spans="1:8">
      <c r="A11" s="8">
        <v>2.3</v>
      </c>
      <c r="B11" s="13" t="s">
        <v>178</v>
      </c>
      <c r="C11" s="8"/>
      <c r="D11" s="14">
        <f>SUM(E11:H11)</f>
        <v>0</v>
      </c>
      <c r="E11" s="37"/>
      <c r="F11" s="37"/>
      <c r="G11" s="37"/>
      <c r="H11" s="37"/>
    </row>
    <row r="12" s="44" customFormat="1" ht="16.5" customHeight="1" spans="1:8">
      <c r="A12" s="8">
        <v>2.4</v>
      </c>
      <c r="B12" s="13" t="s">
        <v>179</v>
      </c>
      <c r="C12" s="8"/>
      <c r="D12" s="14">
        <f>SUM(E12:H12)</f>
        <v>0</v>
      </c>
      <c r="E12" s="37"/>
      <c r="F12" s="37"/>
      <c r="G12" s="37"/>
      <c r="H12" s="37"/>
    </row>
    <row r="13" s="44" customFormat="1" ht="16.5" customHeight="1" spans="1:8">
      <c r="A13" s="95" t="s">
        <v>112</v>
      </c>
      <c r="B13" s="95" t="s">
        <v>113</v>
      </c>
      <c r="C13" s="95"/>
      <c r="D13" s="95">
        <f>SUM(D14:D14)</f>
        <v>2408.1821113962</v>
      </c>
      <c r="E13" s="96">
        <f>SUM(E14:E14)</f>
        <v>173.905142399796</v>
      </c>
      <c r="F13" s="96">
        <f>SUM(F14:F14)</f>
        <v>985.462473598845</v>
      </c>
      <c r="G13" s="96">
        <f>SUM(G14:G14)</f>
        <v>1201.58545680704</v>
      </c>
      <c r="H13" s="96">
        <f>SUM(H14:H14)</f>
        <v>47.2290385905159</v>
      </c>
    </row>
    <row r="14" s="44" customFormat="1" ht="16.5" customHeight="1" spans="1:8">
      <c r="A14" s="8">
        <v>1</v>
      </c>
      <c r="B14" s="13" t="s">
        <v>180</v>
      </c>
      <c r="C14" s="8"/>
      <c r="D14" s="14">
        <f>SUM(E14:H14)</f>
        <v>2408.1821113962</v>
      </c>
      <c r="E14" s="37">
        <v>173.905142399796</v>
      </c>
      <c r="F14" s="37">
        <v>985.462473598845</v>
      </c>
      <c r="G14" s="37">
        <v>1201.58545680704</v>
      </c>
      <c r="H14" s="37">
        <v>47.2290385905159</v>
      </c>
    </row>
    <row r="15" s="44" customFormat="1" ht="16.5" customHeight="1" spans="1:8">
      <c r="A15" s="95" t="s">
        <v>136</v>
      </c>
      <c r="B15" s="95" t="s">
        <v>137</v>
      </c>
      <c r="C15" s="95"/>
      <c r="D15" s="96">
        <f>D16</f>
        <v>1344.15560556981</v>
      </c>
      <c r="E15" s="96">
        <f>E16</f>
        <v>97.0672321199898</v>
      </c>
      <c r="F15" s="96">
        <f>F16</f>
        <v>550.047648679942</v>
      </c>
      <c r="G15" s="96">
        <f>G16</f>
        <v>670.679272840352</v>
      </c>
      <c r="H15" s="96">
        <f>H16</f>
        <v>26.3614519295258</v>
      </c>
    </row>
    <row r="16" s="44" customFormat="1" ht="16.5" customHeight="1" spans="1:8">
      <c r="A16" s="8">
        <v>1</v>
      </c>
      <c r="B16" s="128" t="s">
        <v>138</v>
      </c>
      <c r="C16" s="128"/>
      <c r="D16" s="14">
        <f>SUM(E16:H16)</f>
        <v>1344.15560556981</v>
      </c>
      <c r="E16" s="37">
        <v>97.0672321199898</v>
      </c>
      <c r="F16" s="37">
        <v>550.047648679942</v>
      </c>
      <c r="G16" s="37">
        <v>670.679272840352</v>
      </c>
      <c r="H16" s="37">
        <v>26.3614519295258</v>
      </c>
    </row>
    <row r="17" s="44" customFormat="1" ht="16.5" customHeight="1" spans="1:8">
      <c r="A17" s="8"/>
      <c r="B17" s="8" t="s">
        <v>181</v>
      </c>
      <c r="C17" s="4"/>
      <c r="D17" s="14">
        <f>SUM(E17:H17)</f>
        <v>28227.267716966</v>
      </c>
      <c r="E17" s="14">
        <f>E15+E13+E3</f>
        <v>2038.41187451979</v>
      </c>
      <c r="F17" s="14">
        <f>F15+F13+F3</f>
        <v>11551.0006222788</v>
      </c>
      <c r="G17" s="14">
        <f>G15+G13+G3</f>
        <v>14084.2647296474</v>
      </c>
      <c r="H17" s="14">
        <f>H15+H13+H3</f>
        <v>553.590490520042</v>
      </c>
    </row>
    <row r="20" spans="2:3">
      <c r="B20"/>
      <c r="C20" s="55"/>
    </row>
    <row r="21" spans="2:3">
      <c r="B21"/>
      <c r="C21" s="55"/>
    </row>
  </sheetData>
  <mergeCells count="2">
    <mergeCell ref="A1:H1"/>
    <mergeCell ref="B17:C17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FFFF00"/>
  </sheetPr>
  <dimension ref="A1:AC16"/>
  <sheetViews>
    <sheetView zoomScale="85" zoomScaleNormal="85" workbookViewId="0">
      <pane xSplit="4" ySplit="2" topLeftCell="E3" activePane="bottomRight" state="frozen"/>
      <selection/>
      <selection pane="topRight"/>
      <selection pane="bottomLeft"/>
      <selection pane="bottomRight" activeCell="I4" sqref="I4"/>
    </sheetView>
  </sheetViews>
  <sheetFormatPr defaultColWidth="8.89090909090909" defaultRowHeight="28.05" customHeight="1"/>
  <cols>
    <col min="1" max="1" width="6.10909090909091" style="1" customWidth="1"/>
    <col min="2" max="2" width="20.4454545454545" style="1" customWidth="1"/>
    <col min="3" max="3" width="17.7818181818182" style="1" customWidth="1"/>
    <col min="4" max="4" width="9.55454545454545" style="1" customWidth="1"/>
    <col min="5" max="5" width="6.44545454545455" style="1" customWidth="1"/>
    <col min="6" max="9" width="7.44545454545455" style="1" customWidth="1"/>
    <col min="14" max="14" width="80.4454545454546" style="1" customWidth="1"/>
  </cols>
  <sheetData>
    <row r="1" s="44" customFormat="1" ht="22.5" customHeight="1" spans="1:29">
      <c r="A1" s="127" t="s">
        <v>182</v>
      </c>
      <c r="B1" s="12"/>
      <c r="C1" s="12"/>
      <c r="D1" s="12"/>
      <c r="E1" s="12"/>
      <c r="F1" s="12"/>
      <c r="G1" s="12"/>
      <c r="H1" s="12"/>
      <c r="I1" s="12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</row>
    <row r="2" s="44" customFormat="1" ht="33" customHeight="1" spans="1:29">
      <c r="A2" s="5" t="s">
        <v>1</v>
      </c>
      <c r="B2" s="5" t="s">
        <v>183</v>
      </c>
      <c r="C2" s="5" t="s">
        <v>184</v>
      </c>
      <c r="D2" s="5" t="s">
        <v>185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</row>
    <row r="3" s="44" customFormat="1" ht="16.5" customHeight="1" spans="1:29">
      <c r="A3" s="8">
        <v>1</v>
      </c>
      <c r="B3" s="8" t="s">
        <v>186</v>
      </c>
      <c r="C3" s="13">
        <v>2</v>
      </c>
      <c r="D3" s="8">
        <f t="shared" ref="D3:D15" si="0">360/C3</f>
        <v>180</v>
      </c>
      <c r="E3" s="43"/>
      <c r="F3" s="14">
        <f>F4+F5+F10</f>
        <v>0</v>
      </c>
      <c r="G3" s="14">
        <f>G4+G5+G10</f>
        <v>0</v>
      </c>
      <c r="H3" s="14">
        <f>H4+H5+H10</f>
        <v>0.00189651666666667</v>
      </c>
      <c r="I3" s="14">
        <f>I4+I5+I10</f>
        <v>0.00256166666666667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</row>
    <row r="4" s="44" customFormat="1" ht="16.5" customHeight="1" spans="1:29">
      <c r="A4" s="8">
        <v>1.1</v>
      </c>
      <c r="B4" s="8" t="s">
        <v>187</v>
      </c>
      <c r="C4" s="13">
        <v>1</v>
      </c>
      <c r="D4" s="8">
        <f t="shared" si="0"/>
        <v>360</v>
      </c>
      <c r="E4" s="43"/>
      <c r="F4" s="14">
        <f>F项目收入!E24/$D$4</f>
        <v>0</v>
      </c>
      <c r="G4" s="14">
        <f>F项目收入!F24/$D$4</f>
        <v>0</v>
      </c>
      <c r="H4" s="14">
        <f>F项目收入!G24/$D$4</f>
        <v>0</v>
      </c>
      <c r="I4" s="14">
        <f>F项目收入!H24/$D$4</f>
        <v>0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</row>
    <row r="5" s="44" customFormat="1" ht="16.5" customHeight="1" spans="1:29">
      <c r="A5" s="8">
        <v>1.2</v>
      </c>
      <c r="B5" s="8" t="s">
        <v>188</v>
      </c>
      <c r="C5" s="13">
        <v>3</v>
      </c>
      <c r="D5" s="8">
        <f t="shared" si="0"/>
        <v>120</v>
      </c>
      <c r="E5" s="43"/>
      <c r="F5" s="14">
        <f>SUM(F6:F9)</f>
        <v>0</v>
      </c>
      <c r="G5" s="14">
        <f>SUM(G6:G9)</f>
        <v>0</v>
      </c>
      <c r="H5" s="14">
        <f>SUM(H6:H9)</f>
        <v>0.000948258333333333</v>
      </c>
      <c r="I5" s="14">
        <f>SUM(I6:I9)</f>
        <v>0.00128083333333333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</row>
    <row r="6" s="44" customFormat="1" ht="16.5" customHeight="1" spans="1:29">
      <c r="A6" s="8" t="s">
        <v>189</v>
      </c>
      <c r="B6" s="8" t="s">
        <v>190</v>
      </c>
      <c r="C6" s="13">
        <v>30</v>
      </c>
      <c r="D6" s="8">
        <f t="shared" si="0"/>
        <v>12</v>
      </c>
      <c r="E6" s="43"/>
      <c r="F6" s="14">
        <f>E总成本费用估算表!D3/$D$6</f>
        <v>0</v>
      </c>
      <c r="G6" s="14">
        <f>E总成本费用估算表!E3/$D$6</f>
        <v>0</v>
      </c>
      <c r="H6" s="14">
        <f>E总成本费用估算表!F3/$D$6</f>
        <v>0</v>
      </c>
      <c r="I6" s="14">
        <f>E总成本费用估算表!G3/$D$6</f>
        <v>0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</row>
    <row r="7" s="44" customFormat="1" ht="16.5" customHeight="1" spans="1:29">
      <c r="A7" s="8" t="s">
        <v>191</v>
      </c>
      <c r="B7" s="8" t="s">
        <v>192</v>
      </c>
      <c r="C7" s="13">
        <v>15</v>
      </c>
      <c r="D7" s="8">
        <f t="shared" si="0"/>
        <v>24</v>
      </c>
      <c r="E7" s="43"/>
      <c r="F7" s="14">
        <f>E总成本费用估算表!D4/$D$7</f>
        <v>0</v>
      </c>
      <c r="G7" s="14">
        <f>E总成本费用估算表!E4/$D$7</f>
        <v>0</v>
      </c>
      <c r="H7" s="14">
        <f>E总成本费用估算表!F4/$D$7</f>
        <v>0</v>
      </c>
      <c r="I7" s="14">
        <f>E总成本费用估算表!G4/$D$7</f>
        <v>0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</row>
    <row r="8" s="44" customFormat="1" ht="16.5" customHeight="1" spans="1:29">
      <c r="A8" s="8" t="s">
        <v>193</v>
      </c>
      <c r="B8" s="8" t="s">
        <v>194</v>
      </c>
      <c r="C8" s="13">
        <v>3</v>
      </c>
      <c r="D8" s="8">
        <f t="shared" si="0"/>
        <v>120</v>
      </c>
      <c r="E8" s="43"/>
      <c r="F8" s="37">
        <v>0</v>
      </c>
      <c r="G8" s="37">
        <v>0</v>
      </c>
      <c r="H8" s="37">
        <v>0</v>
      </c>
      <c r="I8" s="37">
        <v>0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</row>
    <row r="9" s="44" customFormat="1" ht="16.5" customHeight="1" spans="1:29">
      <c r="A9" s="8" t="s">
        <v>195</v>
      </c>
      <c r="B9" s="8" t="s">
        <v>196</v>
      </c>
      <c r="C9" s="13">
        <v>15</v>
      </c>
      <c r="D9" s="8">
        <f t="shared" si="0"/>
        <v>24</v>
      </c>
      <c r="E9" s="43"/>
      <c r="F9" s="14">
        <f>(E总成本费用估算表!D11-E总成本费用估算表!D10)/$D$9</f>
        <v>0</v>
      </c>
      <c r="G9" s="14">
        <f>(E总成本费用估算表!E11-E总成本费用估算表!E10)/$D$9</f>
        <v>0</v>
      </c>
      <c r="H9" s="14">
        <f>(E总成本费用估算表!F11-E总成本费用估算表!F10)/$D$9</f>
        <v>0.000948258333333333</v>
      </c>
      <c r="I9" s="14">
        <f>(E总成本费用估算表!G11-E总成本费用估算表!G10)/$D$9</f>
        <v>0.00128083333333333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</row>
    <row r="10" s="44" customFormat="1" ht="16.5" customHeight="1" spans="1:29">
      <c r="A10" s="8">
        <v>1.3</v>
      </c>
      <c r="B10" s="8" t="s">
        <v>197</v>
      </c>
      <c r="C10" s="13">
        <v>15</v>
      </c>
      <c r="D10" s="8">
        <f t="shared" si="0"/>
        <v>24</v>
      </c>
      <c r="E10" s="43"/>
      <c r="F10" s="14">
        <f>(E总成本费用估算表!D5+E总成本费用估算表!D7)/$D$10</f>
        <v>0</v>
      </c>
      <c r="G10" s="14">
        <f>(E总成本费用估算表!E5+E总成本费用估算表!E7)/$D$10</f>
        <v>0</v>
      </c>
      <c r="H10" s="14">
        <f>(E总成本费用估算表!F5+E总成本费用估算表!F7)/$D$10</f>
        <v>0.000948258333333333</v>
      </c>
      <c r="I10" s="14">
        <f>(E总成本费用估算表!G5+E总成本费用估算表!G7)/$D$10</f>
        <v>0.00128083333333333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</row>
    <row r="11" s="44" customFormat="1" ht="16.5" customHeight="1" spans="1:29">
      <c r="A11" s="8">
        <v>2</v>
      </c>
      <c r="B11" s="8" t="s">
        <v>198</v>
      </c>
      <c r="C11" s="13">
        <v>3</v>
      </c>
      <c r="D11" s="8">
        <f t="shared" si="0"/>
        <v>120</v>
      </c>
      <c r="E11" s="43"/>
      <c r="F11" s="14">
        <f>F12</f>
        <v>0</v>
      </c>
      <c r="G11" s="14">
        <f>G12</f>
        <v>0</v>
      </c>
      <c r="H11" s="14">
        <f>H12</f>
        <v>0</v>
      </c>
      <c r="I11" s="14">
        <f>I12</f>
        <v>0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</row>
    <row r="12" s="44" customFormat="1" ht="16.5" customHeight="1" spans="1:29">
      <c r="A12" s="8">
        <v>2.1</v>
      </c>
      <c r="B12" s="8" t="s">
        <v>199</v>
      </c>
      <c r="C12" s="13">
        <v>3</v>
      </c>
      <c r="D12" s="8">
        <f t="shared" si="0"/>
        <v>120</v>
      </c>
      <c r="E12" s="43"/>
      <c r="F12" s="14">
        <f>(E总成本费用估算表!D3+E总成本费用估算表!D4)/$D$12</f>
        <v>0</v>
      </c>
      <c r="G12" s="14">
        <f>(E总成本费用估算表!E3+E总成本费用估算表!E4)/$D$12</f>
        <v>0</v>
      </c>
      <c r="H12" s="14">
        <f>(E总成本费用估算表!F3+E总成本费用估算表!F4)/$D$12</f>
        <v>0</v>
      </c>
      <c r="I12" s="14">
        <f>(E总成本费用估算表!G3+E总成本费用估算表!G4)/$D$12</f>
        <v>0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</row>
    <row r="13" s="44" customFormat="1" ht="16.5" customHeight="1" spans="1:29">
      <c r="A13" s="8">
        <v>3</v>
      </c>
      <c r="B13" s="8" t="s">
        <v>200</v>
      </c>
      <c r="C13" s="13">
        <v>3</v>
      </c>
      <c r="D13" s="8">
        <f t="shared" si="0"/>
        <v>120</v>
      </c>
      <c r="E13" s="43"/>
      <c r="F13" s="14">
        <f>F3-F11</f>
        <v>0</v>
      </c>
      <c r="G13" s="14">
        <f>G3-G11</f>
        <v>0</v>
      </c>
      <c r="H13" s="14">
        <f>H3-H11</f>
        <v>0.00189651666666667</v>
      </c>
      <c r="I13" s="14">
        <f>I3-I11</f>
        <v>0.00256166666666667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</row>
    <row r="14" s="44" customFormat="1" ht="16.5" customHeight="1" spans="1:29">
      <c r="A14" s="8">
        <v>4</v>
      </c>
      <c r="B14" s="8" t="s">
        <v>201</v>
      </c>
      <c r="C14" s="13">
        <v>3</v>
      </c>
      <c r="D14" s="8">
        <f t="shared" si="0"/>
        <v>120</v>
      </c>
      <c r="E14" s="43"/>
      <c r="F14" s="14">
        <f>F13-E13</f>
        <v>0</v>
      </c>
      <c r="G14" s="14">
        <f>G13-F13</f>
        <v>0</v>
      </c>
      <c r="H14" s="14">
        <f>H13-G13</f>
        <v>0.00189651666666667</v>
      </c>
      <c r="I14" s="14">
        <f>I13-H13</f>
        <v>0.000665150000000004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</row>
    <row r="15" s="44" customFormat="1" ht="16.5" customHeight="1" spans="1:14">
      <c r="A15" s="8">
        <v>5</v>
      </c>
      <c r="B15" s="8" t="s">
        <v>202</v>
      </c>
      <c r="C15" s="13">
        <v>3</v>
      </c>
      <c r="D15" s="8">
        <f t="shared" si="0"/>
        <v>120</v>
      </c>
      <c r="E15" s="9"/>
      <c r="F15" s="14">
        <f>D.2项目总投资使用计划与资金筹措表!E15</f>
        <v>0</v>
      </c>
      <c r="G15" s="14">
        <f>D.2项目总投资使用计划与资金筹措表!F15</f>
        <v>0</v>
      </c>
      <c r="H15" s="14">
        <f>D.2项目总投资使用计划与资金筹措表!G15</f>
        <v>0</v>
      </c>
      <c r="I15" s="14">
        <f>D.2项目总投资使用计划与资金筹措表!H15</f>
        <v>0</v>
      </c>
      <c r="J15"/>
      <c r="K15"/>
      <c r="L15"/>
      <c r="M15"/>
      <c r="N15"/>
    </row>
    <row r="16" ht="14" spans="14:14">
      <c r="N16"/>
    </row>
  </sheetData>
  <mergeCells count="1">
    <mergeCell ref="A1:I1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4" tint="-0.249977111117893"/>
  </sheetPr>
  <dimension ref="A1:Z19"/>
  <sheetViews>
    <sheetView zoomScale="70" zoomScaleNormal="70" workbookViewId="0">
      <pane xSplit="2" ySplit="2" topLeftCell="C3" activePane="bottomRight" state="frozen"/>
      <selection/>
      <selection pane="topRight"/>
      <selection pane="bottomLeft"/>
      <selection pane="bottomRight" activeCell="C13" sqref="C13"/>
    </sheetView>
  </sheetViews>
  <sheetFormatPr defaultColWidth="8.89090909090909" defaultRowHeight="28.05" customHeight="1"/>
  <cols>
    <col min="2" max="2" width="29.7818181818182" style="1" customWidth="1"/>
    <col min="3" max="3" width="6.44545454545455" style="1" customWidth="1"/>
    <col min="4" max="4" width="8.66363636363636" style="1" customWidth="1"/>
    <col min="5" max="7" width="10.8909090909091" style="1" customWidth="1"/>
    <col min="8" max="8" width="40.4454545454545" style="1" customWidth="1"/>
  </cols>
  <sheetData>
    <row r="1" s="44" customFormat="1" ht="22.5" customHeight="1" spans="1:26">
      <c r="A1" s="56" t="s">
        <v>203</v>
      </c>
      <c r="B1" s="3"/>
      <c r="C1" s="3"/>
      <c r="D1" s="3"/>
      <c r="E1" s="3"/>
      <c r="F1" s="3"/>
      <c r="G1" s="4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="44" customFormat="1" ht="28.2" customHeight="1" spans="1:26">
      <c r="A2" s="5" t="s">
        <v>1</v>
      </c>
      <c r="B2" s="5" t="s">
        <v>143</v>
      </c>
      <c r="C2" s="125">
        <v>2025</v>
      </c>
      <c r="D2" s="32">
        <v>2026</v>
      </c>
      <c r="E2" s="32">
        <v>2027</v>
      </c>
      <c r="F2" s="32">
        <v>2028</v>
      </c>
      <c r="G2" s="32">
        <v>2029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="44" customFormat="1" ht="16.5" customHeight="1" spans="1:26">
      <c r="A3" s="8">
        <v>1</v>
      </c>
      <c r="B3" s="8" t="s">
        <v>204</v>
      </c>
      <c r="C3" s="9"/>
      <c r="D3" s="37">
        <f>'E.1.1项目运营期费用(不含税）'!I7+'E.1.1项目运营期费用(不含税）'!I13</f>
        <v>0</v>
      </c>
      <c r="E3" s="37">
        <f>'E.1.1项目运营期费用(不含税）'!J7+'E.1.1项目运营期费用(不含税）'!J13</f>
        <v>0</v>
      </c>
      <c r="F3" s="37">
        <f>'E.1.1项目运营期费用(不含税）'!K7+'E.1.1项目运营期费用(不含税）'!K13</f>
        <v>0</v>
      </c>
      <c r="G3" s="37">
        <f>'E.1.1项目运营期费用(不含税）'!L7+'E.1.1项目运营期费用(不含税）'!L13</f>
        <v>0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="44" customFormat="1" ht="16.5" customHeight="1" spans="1:26">
      <c r="A4" s="8">
        <v>2</v>
      </c>
      <c r="B4" s="8" t="s">
        <v>205</v>
      </c>
      <c r="C4" s="9"/>
      <c r="D4" s="37">
        <f>'E.1.1项目运营期费用(不含税）'!I8+'E.1.1项目运营期费用(不含税）'!I9+'E.1.1项目运营期费用(不含税）'!I10</f>
        <v>0</v>
      </c>
      <c r="E4" s="37">
        <f>'E.1.1项目运营期费用(不含税）'!J8+'E.1.1项目运营期费用(不含税）'!J9+'E.1.1项目运营期费用(不含税）'!J10</f>
        <v>0</v>
      </c>
      <c r="F4" s="37">
        <f>'E.1.1项目运营期费用(不含税）'!K8+'E.1.1项目运营期费用(不含税）'!K9+'E.1.1项目运营期费用(不含税）'!K10</f>
        <v>0</v>
      </c>
      <c r="G4" s="37">
        <f>'E.1.1项目运营期费用(不含税）'!L8+'E.1.1项目运营期费用(不含税）'!L9+'E.1.1项目运营期费用(不含税）'!L10</f>
        <v>0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="44" customFormat="1" ht="16.5" customHeight="1" spans="1:26">
      <c r="A5" s="8">
        <v>3</v>
      </c>
      <c r="B5" s="8" t="s">
        <v>206</v>
      </c>
      <c r="C5" s="9"/>
      <c r="D5" s="37">
        <f>'E.1.1项目运营期费用(不含税）'!I16</f>
        <v>0</v>
      </c>
      <c r="E5" s="37">
        <f>'E.1.1项目运营期费用(不含税）'!J16</f>
        <v>0</v>
      </c>
      <c r="F5" s="37">
        <f>'E.1.1项目运营期费用(不含税）'!K16</f>
        <v>0</v>
      </c>
      <c r="G5" s="37">
        <f>'E.1.1项目运营期费用(不含税）'!L16</f>
        <v>0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="44" customFormat="1" ht="16.5" customHeight="1" spans="1:26">
      <c r="A6" s="8">
        <v>4</v>
      </c>
      <c r="B6" s="8" t="s">
        <v>207</v>
      </c>
      <c r="C6" s="9"/>
      <c r="D6" s="37">
        <f>'E.1.1项目运营期费用(不含税）'!I5+'E.1.1项目运营期费用(不含税）'!I12</f>
        <v>0</v>
      </c>
      <c r="E6" s="37">
        <f>'E.1.1项目运营期费用(不含税）'!J5+'E.1.1项目运营期费用(不含税）'!J12</f>
        <v>0</v>
      </c>
      <c r="F6" s="37">
        <f>'E.1.1项目运营期费用(不含税）'!K5+'E.1.1项目运营期费用(不含税）'!K12</f>
        <v>0</v>
      </c>
      <c r="G6" s="37">
        <f>'E.1.1项目运营期费用(不含税）'!L5+'E.1.1项目运营期费用(不含税）'!L12</f>
        <v>0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="44" customFormat="1" ht="16.5" customHeight="1" spans="1:26">
      <c r="A7" s="8">
        <v>5</v>
      </c>
      <c r="B7" s="8" t="s">
        <v>208</v>
      </c>
      <c r="C7" s="9"/>
      <c r="D7" s="39">
        <f>D8+D9+D10</f>
        <v>0</v>
      </c>
      <c r="E7" s="39">
        <f>E8+E9+E10</f>
        <v>0</v>
      </c>
      <c r="F7" s="39">
        <f>F8+F9+F10</f>
        <v>0.0227582</v>
      </c>
      <c r="G7" s="39">
        <f>G8+G9+G10</f>
        <v>0.03074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="44" customFormat="1" ht="16.5" customHeight="1" spans="1:26">
      <c r="A8" s="8">
        <v>5.1</v>
      </c>
      <c r="B8" s="8" t="s">
        <v>209</v>
      </c>
      <c r="C8" s="9"/>
      <c r="D8" s="41">
        <f>'E.1.1项目运营期费用(不含税）'!I4+'E.1.1项目运营期费用(不含税）'!I14</f>
        <v>0</v>
      </c>
      <c r="E8" s="41">
        <f>'E.1.1项目运营期费用(不含税）'!J4+'E.1.1项目运营期费用(不含税）'!J14</f>
        <v>0</v>
      </c>
      <c r="F8" s="41">
        <f>'E.1.1项目运营期费用(不含税）'!K4+'E.1.1项目运营期费用(不含税）'!K14</f>
        <v>0</v>
      </c>
      <c r="G8" s="41">
        <f>'E.1.1项目运营期费用(不含税）'!L4+'E.1.1项目运营期费用(不含税）'!L14</f>
        <v>0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="44" customFormat="1" ht="16.5" customHeight="1" spans="1:26">
      <c r="A9" s="8">
        <v>5.2</v>
      </c>
      <c r="B9" s="8" t="s">
        <v>210</v>
      </c>
      <c r="C9" s="9"/>
      <c r="D9" s="37">
        <f>'E.1.1项目运营期费用(不含税）'!I6+'E.1.1项目运营期费用(不含税）'!I11+'E.1.1项目运营期费用(不含税）'!I17+'E.1.1项目运营期费用(不含税）'!I18+'E.1.1项目运营期费用(不含税）'!I19+'E.1.1项目运营期费用(不含税）'!I20+'E.1.1项目运营期费用(不含税）'!I21+'E.1.1项目运营期费用(不含税）'!I22</f>
        <v>0</v>
      </c>
      <c r="E9" s="37">
        <f>'E.1.1项目运营期费用(不含税）'!J6+'E.1.1项目运营期费用(不含税）'!J11+'E.1.1项目运营期费用(不含税）'!J17+'E.1.1项目运营期费用(不含税）'!J18+'E.1.1项目运营期费用(不含税）'!J19+'E.1.1项目运营期费用(不含税）'!J20+'E.1.1项目运营期费用(不含税）'!J21+'E.1.1项目运营期费用(不含税）'!J22+'E.1.1项目运营期费用(不含税）'!J23</f>
        <v>0</v>
      </c>
      <c r="F9" s="37">
        <f>'E.1.1项目运营期费用(不含税）'!K6+'E.1.1项目运营期费用(不含税）'!K11+'E.1.1项目运营期费用(不含税）'!K17+'E.1.1项目运营期费用(不含税）'!K18+'E.1.1项目运营期费用(不含税）'!K19+'E.1.1项目运营期费用(不含税）'!K20+'E.1.1项目运营期费用(不含税）'!K21+'E.1.1项目运营期费用(不含税）'!K22+'E.1.1项目运营期费用(不含税）'!K23+c借款还本付息计划表!G45</f>
        <v>0.0227582</v>
      </c>
      <c r="G9" s="37">
        <f>'E.1.1项目运营期费用(不含税）'!L6+'E.1.1项目运营期费用(不含税）'!L11+'E.1.1项目运营期费用(不含税）'!L17+'E.1.1项目运营期费用(不含税）'!L18+'E.1.1项目运营期费用(不含税）'!L19+'E.1.1项目运营期费用(不含税）'!L20+'E.1.1项目运营期费用(不含税）'!L21+'E.1.1项目运营期费用(不含税）'!L22+'E.1.1项目运营期费用(不含税）'!L23+c借款还本付息计划表!H45</f>
        <v>0.03074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="44" customFormat="1" ht="16.5" customHeight="1" spans="1:26">
      <c r="A10" s="8">
        <v>5.3</v>
      </c>
      <c r="B10" s="8" t="s">
        <v>211</v>
      </c>
      <c r="C10" s="9"/>
      <c r="D10" s="37">
        <f>'E.1.1项目运营期费用(不含税）'!I15</f>
        <v>0</v>
      </c>
      <c r="E10" s="37">
        <f>'E.1.1项目运营期费用(不含税）'!J15</f>
        <v>0</v>
      </c>
      <c r="F10" s="37">
        <f>'E.1.1项目运营期费用(不含税）'!K15</f>
        <v>0</v>
      </c>
      <c r="G10" s="37">
        <f>'E.1.1项目运营期费用(不含税）'!L15</f>
        <v>0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="44" customFormat="1" ht="16.5" customHeight="1" spans="1:26">
      <c r="A11" s="8">
        <v>6</v>
      </c>
      <c r="B11" s="8" t="s">
        <v>212</v>
      </c>
      <c r="C11" s="9"/>
      <c r="D11" s="14">
        <f>D3+D4+D5+D6+D7</f>
        <v>0</v>
      </c>
      <c r="E11" s="14">
        <f>E3+E4+E5+E6+E7</f>
        <v>0</v>
      </c>
      <c r="F11" s="14">
        <f>F3+F4+F5+F6+F7</f>
        <v>0.0227582</v>
      </c>
      <c r="G11" s="14">
        <f>G3+G4+G5+G6+G7</f>
        <v>0.03074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="44" customFormat="1" ht="16.5" customHeight="1" spans="1:26">
      <c r="A12" s="8">
        <v>7</v>
      </c>
      <c r="B12" s="8" t="s">
        <v>213</v>
      </c>
      <c r="C12" s="120">
        <f>E.2固定资产折旧费估算表!F9</f>
        <v>0</v>
      </c>
      <c r="D12" s="120">
        <f>E.2固定资产折旧费估算表!G9</f>
        <v>0</v>
      </c>
      <c r="E12" s="120">
        <f>E.2固定资产折旧费估算表!H9</f>
        <v>406.07530921051</v>
      </c>
      <c r="F12" s="120">
        <f>E.2固定资产折旧费估算表!I9</f>
        <v>406.07530921051</v>
      </c>
      <c r="G12" s="120">
        <f>E.2固定资产折旧费估算表!J9</f>
        <v>1013.96873184612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="44" customFormat="1" ht="16.5" customHeight="1" spans="1:26">
      <c r="A13" s="8">
        <v>8</v>
      </c>
      <c r="B13" s="8" t="s">
        <v>214</v>
      </c>
      <c r="C13" s="120">
        <f>E.3无形资产和其他资产摊销费估算表!F18</f>
        <v>0</v>
      </c>
      <c r="D13" s="120">
        <f>E.3无形资产和其他资产摊销费估算表!G18</f>
        <v>0</v>
      </c>
      <c r="E13" s="120">
        <f>E.3无形资产和其他资产摊销费估算表!H18</f>
        <v>142.795883361921</v>
      </c>
      <c r="F13" s="120">
        <f>E.3无形资产和其他资产摊销费估算表!I18</f>
        <v>142.795883361921</v>
      </c>
      <c r="G13" s="120">
        <f>E.3无形资产和其他资产摊销费估算表!J18</f>
        <v>218.739279588336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="44" customFormat="1" ht="16.5" customHeight="1" spans="1:26">
      <c r="A14" s="8">
        <v>9</v>
      </c>
      <c r="B14" s="8" t="s">
        <v>215</v>
      </c>
      <c r="C14" s="104"/>
      <c r="D14" s="14"/>
      <c r="E14" s="14"/>
      <c r="F14" s="14"/>
      <c r="G14" s="14">
        <f>c借款还本付息计划表!H47+c借款还本付息计划表!H45</f>
        <v>614.83074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="44" customFormat="1" ht="16.5" customHeight="1" spans="1:26">
      <c r="A15" s="8">
        <v>10</v>
      </c>
      <c r="B15" s="8" t="s">
        <v>216</v>
      </c>
      <c r="C15" s="9"/>
      <c r="D15" s="14">
        <f>D11+D12+D13+D14</f>
        <v>0</v>
      </c>
      <c r="E15" s="14">
        <f>E11+E12+E13+E14</f>
        <v>548.871192572431</v>
      </c>
      <c r="F15" s="14">
        <f>F11+F12+F13+F14</f>
        <v>548.893950772431</v>
      </c>
      <c r="G15" s="14">
        <f>G11+G12+G13+G14</f>
        <v>1847.56949143446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="44" customFormat="1" ht="16.5" customHeight="1" spans="1:26">
      <c r="A16" s="8">
        <v>10.1</v>
      </c>
      <c r="B16" s="8" t="s">
        <v>217</v>
      </c>
      <c r="C16" s="9"/>
      <c r="D16" s="14">
        <f>D15-D17</f>
        <v>0</v>
      </c>
      <c r="E16" s="14">
        <f>E15-E17</f>
        <v>548.871192572431</v>
      </c>
      <c r="F16" s="14">
        <f>F15-F17</f>
        <v>548.893950772431</v>
      </c>
      <c r="G16" s="14">
        <f>G15-G17</f>
        <v>1847.56949143446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="44" customFormat="1" ht="16.5" customHeight="1" spans="1:26">
      <c r="A17" s="8">
        <v>10.2</v>
      </c>
      <c r="B17" s="8" t="s">
        <v>218</v>
      </c>
      <c r="C17" s="9"/>
      <c r="D17" s="14">
        <f>D3+D4+D5+D10</f>
        <v>0</v>
      </c>
      <c r="E17" s="14">
        <f>E3+E4+E5+E10</f>
        <v>0</v>
      </c>
      <c r="F17" s="14">
        <f>F3+F4+F5+F10</f>
        <v>0</v>
      </c>
      <c r="G17" s="14">
        <f>G3+G4+G5+G10</f>
        <v>0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ht="14" customHeight="1" spans="3:8">
      <c r="C18" s="126"/>
      <c r="H18"/>
    </row>
    <row r="19" ht="14" spans="8:8">
      <c r="H19"/>
    </row>
  </sheetData>
  <mergeCells count="1">
    <mergeCell ref="A1:G1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FFFF00"/>
  </sheetPr>
  <dimension ref="A1:AF33"/>
  <sheetViews>
    <sheetView zoomScale="70" zoomScaleNormal="70" workbookViewId="0">
      <selection activeCell="D22" sqref="D22"/>
    </sheetView>
  </sheetViews>
  <sheetFormatPr defaultColWidth="8.89090909090909" defaultRowHeight="28.05" customHeight="1"/>
  <cols>
    <col min="1" max="1" width="19.6636363636364" style="1" customWidth="1"/>
    <col min="3" max="3" width="32.3363636363636" style="1" customWidth="1"/>
    <col min="4" max="4" width="58.1090909090909" style="1" customWidth="1"/>
    <col min="5" max="5" width="14.1090909090909" style="1" customWidth="1"/>
    <col min="6" max="6" width="12.3363636363636" style="1" customWidth="1"/>
    <col min="7" max="8" width="15.1090909090909" style="1" customWidth="1"/>
    <col min="9" max="9" width="15.4454545454545" style="1" customWidth="1"/>
    <col min="10" max="10" width="16.1090909090909" style="1" customWidth="1"/>
    <col min="11" max="11" width="17" style="1" customWidth="1"/>
    <col min="12" max="12" width="15.4454545454545" style="1" customWidth="1"/>
    <col min="13" max="13" width="16.1090909090909" style="1" customWidth="1"/>
    <col min="14" max="14" width="17" style="1" customWidth="1"/>
    <col min="15" max="15" width="15.4454545454545" style="1" customWidth="1"/>
    <col min="16" max="16" width="16.1090909090909" style="1" customWidth="1"/>
    <col min="17" max="17" width="17" style="1" customWidth="1"/>
    <col min="18" max="18" width="15.4454545454545" style="1" customWidth="1"/>
    <col min="19" max="19" width="16.1090909090909" style="1" customWidth="1"/>
    <col min="20" max="20" width="17" style="1" customWidth="1"/>
    <col min="21" max="21" width="15.4454545454545" style="1" customWidth="1"/>
    <col min="22" max="22" width="16.1090909090909" style="1" customWidth="1"/>
    <col min="23" max="23" width="17" style="1" customWidth="1"/>
    <col min="24" max="24" width="15.4454545454545" style="1" customWidth="1"/>
    <col min="25" max="25" width="16.1090909090909" style="1" customWidth="1"/>
    <col min="26" max="26" width="17" style="1" customWidth="1"/>
    <col min="27" max="27" width="15.4454545454545" style="1" customWidth="1"/>
    <col min="28" max="28" width="16.1090909090909" style="1" customWidth="1"/>
    <col min="29" max="31" width="17" style="1" customWidth="1"/>
    <col min="32" max="32" width="16.5545454545455" style="1" customWidth="1"/>
  </cols>
  <sheetData>
    <row r="1" s="44" customFormat="1" ht="22.5" customHeight="1" spans="1:32">
      <c r="A1" s="117" t="s">
        <v>219</v>
      </c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</row>
    <row r="2" s="44" customFormat="1" ht="16.5" customHeight="1" spans="1:13">
      <c r="A2" s="20" t="s">
        <v>220</v>
      </c>
      <c r="B2" s="20" t="s">
        <v>1</v>
      </c>
      <c r="C2" s="20" t="s">
        <v>143</v>
      </c>
      <c r="D2" s="20" t="s">
        <v>221</v>
      </c>
      <c r="E2" s="20" t="s">
        <v>86</v>
      </c>
      <c r="F2" s="21" t="s">
        <v>222</v>
      </c>
      <c r="G2" s="21" t="s">
        <v>223</v>
      </c>
      <c r="H2" s="22">
        <v>2025</v>
      </c>
      <c r="I2" s="26">
        <v>2026</v>
      </c>
      <c r="J2" s="22">
        <v>2027</v>
      </c>
      <c r="K2" s="26">
        <v>2028</v>
      </c>
      <c r="L2" s="22">
        <v>2029</v>
      </c>
      <c r="M2" s="20" t="s">
        <v>80</v>
      </c>
    </row>
    <row r="3" s="44" customFormat="1" ht="16.5" customHeight="1" spans="1:13">
      <c r="A3" s="17"/>
      <c r="B3" s="17"/>
      <c r="C3" s="17"/>
      <c r="D3" s="17"/>
      <c r="E3" s="17"/>
      <c r="F3" s="17"/>
      <c r="G3" s="17"/>
      <c r="H3" s="23" t="s">
        <v>224</v>
      </c>
      <c r="I3" s="10">
        <v>0.7</v>
      </c>
      <c r="J3" s="10">
        <v>0.7</v>
      </c>
      <c r="K3" s="67">
        <v>0.8</v>
      </c>
      <c r="L3" s="10">
        <v>0.9</v>
      </c>
      <c r="M3" s="8" t="s">
        <v>161</v>
      </c>
    </row>
    <row r="4" s="44" customFormat="1" ht="16.5" customHeight="1" spans="1:13">
      <c r="A4" s="13" t="s">
        <v>225</v>
      </c>
      <c r="B4" s="13">
        <v>1</v>
      </c>
      <c r="C4" s="13" t="s">
        <v>226</v>
      </c>
      <c r="D4" s="13" t="s">
        <v>227</v>
      </c>
      <c r="E4" s="37"/>
      <c r="F4" s="37"/>
      <c r="G4" s="119">
        <f>A财务假设!D19</f>
        <v>0</v>
      </c>
      <c r="H4" s="120">
        <f>F30*(1+$G4)</f>
        <v>0</v>
      </c>
      <c r="I4" s="120">
        <f>G30*(1+$G4)</f>
        <v>0</v>
      </c>
      <c r="J4" s="120">
        <f>H30*(1+$G4)</f>
        <v>0</v>
      </c>
      <c r="K4" s="120">
        <f>I30*(1+$G4)</f>
        <v>0</v>
      </c>
      <c r="L4" s="120">
        <f>J30*(1+$G4)</f>
        <v>0</v>
      </c>
      <c r="M4" s="14">
        <f t="shared" ref="M4:M23" si="0">SUM(H4:L4)</f>
        <v>0</v>
      </c>
    </row>
    <row r="5" s="44" customFormat="1" ht="48" customHeight="1" spans="1:13">
      <c r="A5" s="25"/>
      <c r="B5" s="13">
        <v>2</v>
      </c>
      <c r="C5" s="24" t="s">
        <v>228</v>
      </c>
      <c r="D5" s="13" t="s">
        <v>229</v>
      </c>
      <c r="E5" s="37"/>
      <c r="F5" s="37"/>
      <c r="G5" s="119"/>
      <c r="H5" s="120"/>
      <c r="I5" s="120"/>
      <c r="J5" s="120"/>
      <c r="K5" s="120"/>
      <c r="L5" s="120"/>
      <c r="M5" s="14">
        <f t="shared" si="0"/>
        <v>0</v>
      </c>
    </row>
    <row r="6" s="44" customFormat="1" ht="16.5" customHeight="1" spans="1:13">
      <c r="A6" s="25"/>
      <c r="B6" s="13">
        <v>3</v>
      </c>
      <c r="C6" s="13" t="s">
        <v>230</v>
      </c>
      <c r="D6" s="13" t="s">
        <v>231</v>
      </c>
      <c r="E6" s="37"/>
      <c r="F6" s="37"/>
      <c r="G6" s="119"/>
      <c r="H6" s="120"/>
      <c r="I6" s="120"/>
      <c r="J6" s="120"/>
      <c r="K6" s="120"/>
      <c r="L6" s="120"/>
      <c r="M6" s="14">
        <f t="shared" si="0"/>
        <v>0</v>
      </c>
    </row>
    <row r="7" s="44" customFormat="1" ht="16.5" customHeight="1" spans="1:13">
      <c r="A7" s="17"/>
      <c r="B7" s="13">
        <v>4</v>
      </c>
      <c r="C7" s="13" t="s">
        <v>232</v>
      </c>
      <c r="D7" s="13" t="s">
        <v>233</v>
      </c>
      <c r="E7" s="37"/>
      <c r="F7" s="37"/>
      <c r="G7" s="119"/>
      <c r="H7" s="120"/>
      <c r="I7" s="120"/>
      <c r="J7" s="120"/>
      <c r="K7" s="120"/>
      <c r="L7" s="120"/>
      <c r="M7" s="14">
        <f t="shared" si="0"/>
        <v>0</v>
      </c>
    </row>
    <row r="8" s="44" customFormat="1" ht="16.5" customHeight="1" spans="1:13">
      <c r="A8" s="13" t="s">
        <v>234</v>
      </c>
      <c r="B8" s="13">
        <v>5</v>
      </c>
      <c r="C8" s="13" t="s">
        <v>235</v>
      </c>
      <c r="D8" s="13" t="s">
        <v>236</v>
      </c>
      <c r="E8" s="37"/>
      <c r="F8" s="37"/>
      <c r="G8" s="119"/>
      <c r="H8" s="120"/>
      <c r="I8" s="120"/>
      <c r="J8" s="120"/>
      <c r="K8" s="120"/>
      <c r="L8" s="120"/>
      <c r="M8" s="14">
        <f t="shared" si="0"/>
        <v>0</v>
      </c>
    </row>
    <row r="9" s="44" customFormat="1" ht="16.5" customHeight="1" spans="1:13">
      <c r="A9" s="25"/>
      <c r="B9" s="13">
        <v>6</v>
      </c>
      <c r="C9" s="13" t="s">
        <v>237</v>
      </c>
      <c r="D9" s="13" t="s">
        <v>238</v>
      </c>
      <c r="E9" s="37"/>
      <c r="F9" s="37"/>
      <c r="G9" s="119"/>
      <c r="H9" s="120"/>
      <c r="I9" s="120"/>
      <c r="J9" s="120"/>
      <c r="K9" s="120"/>
      <c r="L9" s="120"/>
      <c r="M9" s="14">
        <f t="shared" si="0"/>
        <v>0</v>
      </c>
    </row>
    <row r="10" s="44" customFormat="1" ht="16.5" customHeight="1" spans="1:13">
      <c r="A10" s="17"/>
      <c r="B10" s="13">
        <v>7</v>
      </c>
      <c r="C10" s="13" t="s">
        <v>239</v>
      </c>
      <c r="D10" s="13" t="s">
        <v>240</v>
      </c>
      <c r="E10" s="37"/>
      <c r="F10" s="37"/>
      <c r="G10" s="119">
        <f>G4</f>
        <v>0</v>
      </c>
      <c r="H10" s="120">
        <f>F28*(1+$G10)</f>
        <v>0</v>
      </c>
      <c r="I10" s="120">
        <f>G28*(1+$G10)</f>
        <v>0</v>
      </c>
      <c r="J10" s="120">
        <f>H28*(1+$G10)</f>
        <v>0</v>
      </c>
      <c r="K10" s="120">
        <f>I28*(1+$G10)</f>
        <v>0</v>
      </c>
      <c r="L10" s="120">
        <f>J28*(1+$G10)</f>
        <v>0</v>
      </c>
      <c r="M10" s="14">
        <f t="shared" si="0"/>
        <v>0</v>
      </c>
    </row>
    <row r="11" s="44" customFormat="1" ht="16.5" customHeight="1" spans="1:13">
      <c r="A11" s="13" t="s">
        <v>241</v>
      </c>
      <c r="B11" s="13">
        <v>8</v>
      </c>
      <c r="C11" s="13" t="s">
        <v>242</v>
      </c>
      <c r="D11" s="13" t="s">
        <v>243</v>
      </c>
      <c r="E11" s="37"/>
      <c r="F11" s="37"/>
      <c r="G11" s="119">
        <f>G4</f>
        <v>0</v>
      </c>
      <c r="H11" s="120">
        <f>F29*(1+$G11)</f>
        <v>0</v>
      </c>
      <c r="I11" s="120">
        <f>G29*(1+$G11)</f>
        <v>0</v>
      </c>
      <c r="J11" s="120">
        <f>H29*(1+$G11)</f>
        <v>0</v>
      </c>
      <c r="K11" s="120">
        <f>I29*(1+$G11)</f>
        <v>0</v>
      </c>
      <c r="L11" s="120">
        <f>J29*(1+$G11)</f>
        <v>0</v>
      </c>
      <c r="M11" s="14">
        <f t="shared" si="0"/>
        <v>0</v>
      </c>
    </row>
    <row r="12" s="44" customFormat="1" ht="16.5" customHeight="1" spans="1:13">
      <c r="A12" s="13" t="s">
        <v>244</v>
      </c>
      <c r="B12" s="13">
        <v>9</v>
      </c>
      <c r="C12" s="13" t="s">
        <v>245</v>
      </c>
      <c r="D12" s="13" t="s">
        <v>246</v>
      </c>
      <c r="E12" s="37"/>
      <c r="F12" s="37"/>
      <c r="G12" s="119">
        <f>G4</f>
        <v>0</v>
      </c>
      <c r="H12" s="120">
        <f>F26*(1+$G12)</f>
        <v>0</v>
      </c>
      <c r="I12" s="120">
        <f>G26*(1+$G12)</f>
        <v>0</v>
      </c>
      <c r="J12" s="120">
        <f>H26*(1+$G12)</f>
        <v>0</v>
      </c>
      <c r="K12" s="120">
        <f>I26*(1+$G12)</f>
        <v>0</v>
      </c>
      <c r="L12" s="120">
        <f>J26*(1+$G12)</f>
        <v>0</v>
      </c>
      <c r="M12" s="14">
        <f t="shared" si="0"/>
        <v>0</v>
      </c>
    </row>
    <row r="13" s="44" customFormat="1" ht="16.5" customHeight="1" spans="1:13">
      <c r="A13" s="17"/>
      <c r="B13" s="13">
        <v>10</v>
      </c>
      <c r="C13" s="13" t="s">
        <v>247</v>
      </c>
      <c r="D13" s="13" t="s">
        <v>248</v>
      </c>
      <c r="E13" s="37"/>
      <c r="F13" s="37"/>
      <c r="G13" s="119"/>
      <c r="H13" s="120"/>
      <c r="I13" s="120"/>
      <c r="J13" s="120"/>
      <c r="K13" s="120"/>
      <c r="L13" s="120"/>
      <c r="M13" s="14">
        <f t="shared" si="0"/>
        <v>0</v>
      </c>
    </row>
    <row r="14" s="44" customFormat="1" ht="16.5" customHeight="1" spans="1:13">
      <c r="A14" s="13" t="s">
        <v>249</v>
      </c>
      <c r="B14" s="13">
        <v>11</v>
      </c>
      <c r="C14" s="13" t="s">
        <v>250</v>
      </c>
      <c r="D14" s="13" t="s">
        <v>251</v>
      </c>
      <c r="E14" s="37"/>
      <c r="F14" s="37"/>
      <c r="G14" s="119"/>
      <c r="H14" s="120"/>
      <c r="I14" s="120"/>
      <c r="J14" s="120"/>
      <c r="K14" s="120"/>
      <c r="L14" s="120"/>
      <c r="M14" s="14">
        <f t="shared" si="0"/>
        <v>0</v>
      </c>
    </row>
    <row r="15" s="44" customFormat="1" ht="16.5" customHeight="1" spans="1:13">
      <c r="A15" s="13" t="s">
        <v>252</v>
      </c>
      <c r="B15" s="13">
        <v>12</v>
      </c>
      <c r="C15" s="13" t="s">
        <v>253</v>
      </c>
      <c r="D15" s="13" t="s">
        <v>254</v>
      </c>
      <c r="E15" s="37"/>
      <c r="F15" s="37"/>
      <c r="G15" s="119"/>
      <c r="H15" s="120"/>
      <c r="I15" s="120"/>
      <c r="J15" s="120"/>
      <c r="K15" s="120"/>
      <c r="L15" s="120"/>
      <c r="M15" s="14">
        <f t="shared" si="0"/>
        <v>0</v>
      </c>
    </row>
    <row r="16" s="44" customFormat="1" ht="16.5" customHeight="1" spans="1:13">
      <c r="A16" s="13" t="s">
        <v>255</v>
      </c>
      <c r="B16" s="13">
        <v>13</v>
      </c>
      <c r="C16" s="13" t="s">
        <v>256</v>
      </c>
      <c r="D16" s="13" t="s">
        <v>257</v>
      </c>
      <c r="E16" s="37"/>
      <c r="F16" s="37"/>
      <c r="G16" s="119">
        <f>G4</f>
        <v>0</v>
      </c>
      <c r="H16" s="120">
        <f>F27*(1+$G16)</f>
        <v>0</v>
      </c>
      <c r="I16" s="120">
        <f>G27*(1+$G16)</f>
        <v>0</v>
      </c>
      <c r="J16" s="120">
        <f>H27*(1+$G16)</f>
        <v>0</v>
      </c>
      <c r="K16" s="120">
        <f>I27*(1+$G16)</f>
        <v>0</v>
      </c>
      <c r="L16" s="120">
        <f>J27*(1+$G16)</f>
        <v>0</v>
      </c>
      <c r="M16" s="14">
        <f t="shared" si="0"/>
        <v>0</v>
      </c>
    </row>
    <row r="17" s="44" customFormat="1" ht="16.5" customHeight="1" spans="1:13">
      <c r="A17" s="25"/>
      <c r="B17" s="13">
        <v>14</v>
      </c>
      <c r="C17" s="13" t="s">
        <v>258</v>
      </c>
      <c r="D17" s="13" t="s">
        <v>259</v>
      </c>
      <c r="E17" s="37"/>
      <c r="F17" s="37"/>
      <c r="G17" s="119"/>
      <c r="H17" s="120"/>
      <c r="I17" s="120"/>
      <c r="J17" s="120"/>
      <c r="K17" s="120"/>
      <c r="L17" s="120"/>
      <c r="M17" s="14">
        <f t="shared" si="0"/>
        <v>0</v>
      </c>
    </row>
    <row r="18" s="44" customFormat="1" ht="16.5" customHeight="1" spans="1:13">
      <c r="A18" s="17"/>
      <c r="B18" s="13">
        <v>15</v>
      </c>
      <c r="C18" s="13" t="s">
        <v>260</v>
      </c>
      <c r="D18" s="13" t="s">
        <v>261</v>
      </c>
      <c r="E18" s="37"/>
      <c r="F18" s="37"/>
      <c r="G18" s="119"/>
      <c r="H18" s="120"/>
      <c r="I18" s="120"/>
      <c r="J18" s="120"/>
      <c r="K18" s="120"/>
      <c r="L18" s="120"/>
      <c r="M18" s="14">
        <f t="shared" si="0"/>
        <v>0</v>
      </c>
    </row>
    <row r="19" s="44" customFormat="1" ht="16.5" customHeight="1" spans="1:13">
      <c r="A19" s="13" t="s">
        <v>262</v>
      </c>
      <c r="B19" s="13">
        <v>16</v>
      </c>
      <c r="C19" s="13" t="s">
        <v>263</v>
      </c>
      <c r="D19" s="13" t="s">
        <v>264</v>
      </c>
      <c r="E19" s="37"/>
      <c r="F19" s="37"/>
      <c r="G19" s="119"/>
      <c r="H19" s="120"/>
      <c r="I19" s="120"/>
      <c r="J19" s="120"/>
      <c r="K19" s="120"/>
      <c r="L19" s="120"/>
      <c r="M19" s="14">
        <f t="shared" si="0"/>
        <v>0</v>
      </c>
    </row>
    <row r="20" s="44" customFormat="1" ht="16.5" customHeight="1" spans="1:13">
      <c r="A20" s="25"/>
      <c r="B20" s="13">
        <v>17</v>
      </c>
      <c r="C20" s="13" t="s">
        <v>265</v>
      </c>
      <c r="D20" s="13" t="s">
        <v>266</v>
      </c>
      <c r="E20" s="37"/>
      <c r="F20" s="37"/>
      <c r="G20" s="119"/>
      <c r="H20" s="120"/>
      <c r="I20" s="120"/>
      <c r="J20" s="120"/>
      <c r="K20" s="120"/>
      <c r="L20" s="120"/>
      <c r="M20" s="14">
        <f t="shared" si="0"/>
        <v>0</v>
      </c>
    </row>
    <row r="21" s="44" customFormat="1" ht="16.5" customHeight="1" spans="1:13">
      <c r="A21" s="17"/>
      <c r="B21" s="13">
        <v>18</v>
      </c>
      <c r="C21" s="13" t="s">
        <v>267</v>
      </c>
      <c r="D21" s="13" t="s">
        <v>268</v>
      </c>
      <c r="E21" s="37"/>
      <c r="F21" s="37"/>
      <c r="G21" s="119"/>
      <c r="H21" s="120"/>
      <c r="I21" s="120"/>
      <c r="J21" s="120"/>
      <c r="K21" s="120"/>
      <c r="L21" s="120"/>
      <c r="M21" s="14">
        <f t="shared" si="0"/>
        <v>0</v>
      </c>
    </row>
    <row r="22" s="44" customFormat="1" ht="16.5" customHeight="1" spans="1:13">
      <c r="A22" s="13" t="s">
        <v>269</v>
      </c>
      <c r="B22" s="13">
        <v>19</v>
      </c>
      <c r="C22" s="13" t="s">
        <v>270</v>
      </c>
      <c r="D22" s="13" t="s">
        <v>271</v>
      </c>
      <c r="E22" s="37"/>
      <c r="F22" s="37"/>
      <c r="G22" s="119"/>
      <c r="H22" s="120"/>
      <c r="I22" s="120"/>
      <c r="J22" s="120"/>
      <c r="K22" s="120"/>
      <c r="L22" s="120"/>
      <c r="M22" s="14">
        <f t="shared" si="0"/>
        <v>0</v>
      </c>
    </row>
    <row r="23" s="44" customFormat="1" ht="16.5" customHeight="1" spans="1:13">
      <c r="A23" s="17"/>
      <c r="B23" s="13">
        <v>20</v>
      </c>
      <c r="C23" s="13" t="s">
        <v>272</v>
      </c>
      <c r="D23" s="13" t="s">
        <v>273</v>
      </c>
      <c r="E23" s="37"/>
      <c r="F23" s="37"/>
      <c r="G23" s="119"/>
      <c r="H23" s="120"/>
      <c r="I23" s="120"/>
      <c r="J23" s="120"/>
      <c r="K23" s="120"/>
      <c r="L23" s="120"/>
      <c r="M23" s="14">
        <f t="shared" si="0"/>
        <v>0</v>
      </c>
    </row>
    <row r="24" s="118" customFormat="1" ht="58.05" customHeight="1" spans="1:30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="118" customFormat="1" ht="26" customHeight="1" spans="1:30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="118" customFormat="1" ht="37.95" customHeight="1" spans="1:30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="118" customFormat="1" ht="13" customHeight="1" spans="1:30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="118" customFormat="1" ht="13" customHeight="1" spans="1:30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="118" customFormat="1" ht="13" customHeight="1" spans="1:30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="118" customFormat="1" ht="24" customHeight="1" spans="1:3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="118" customFormat="1" ht="15" customHeight="1" spans="1:30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="118" customFormat="1" ht="15" customHeight="1" spans="1:30">
      <c r="A32" s="121"/>
      <c r="B32" s="121"/>
      <c r="C32" s="121"/>
      <c r="D32" s="121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4"/>
    </row>
    <row r="33" s="118" customFormat="1" ht="15" customHeight="1" spans="1:30">
      <c r="A33" s="121"/>
      <c r="B33" s="121"/>
      <c r="C33" s="121"/>
      <c r="D33" s="121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4"/>
    </row>
  </sheetData>
  <mergeCells count="14">
    <mergeCell ref="A1:M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tabColor rgb="FF0070C0"/>
  </sheetPr>
  <dimension ref="A1:M23"/>
  <sheetViews>
    <sheetView zoomScale="70" zoomScaleNormal="70" workbookViewId="0">
      <pane xSplit="7" ySplit="3" topLeftCell="H12" activePane="bottomRight" state="frozen"/>
      <selection/>
      <selection pane="topRight"/>
      <selection pane="bottomLeft"/>
      <selection pane="bottomRight" activeCell="B17" sqref="$A17:$XFD23"/>
    </sheetView>
  </sheetViews>
  <sheetFormatPr defaultColWidth="20.7818181818182" defaultRowHeight="30" customHeight="1"/>
  <cols>
    <col min="1" max="1" width="18.4454545454545" style="1" customWidth="1"/>
    <col min="2" max="2" width="13.3363636363636" style="1" customWidth="1"/>
    <col min="3" max="3" width="24.7818181818182" style="18" customWidth="1"/>
    <col min="4" max="4" width="23.8909090909091" style="18" customWidth="1"/>
    <col min="5" max="6" width="6.78181818181818" style="1" customWidth="1"/>
    <col min="7" max="7" width="12.3363636363636" style="1" customWidth="1"/>
    <col min="8" max="8" width="10.1090909090909" style="1" customWidth="1"/>
    <col min="9" max="10" width="9.33636363636364" style="1" customWidth="1"/>
    <col min="11" max="11" width="8" style="1" customWidth="1"/>
    <col min="12" max="12" width="9.33636363636364" style="1" customWidth="1"/>
    <col min="13" max="13" width="11.7818181818182" style="1" customWidth="1"/>
  </cols>
  <sheetData>
    <row r="1" ht="22.5" customHeight="1" spans="1:1">
      <c r="A1" s="117" t="s">
        <v>274</v>
      </c>
    </row>
    <row r="2" ht="16.5" customHeight="1" spans="1:13">
      <c r="A2" s="20" t="s">
        <v>220</v>
      </c>
      <c r="B2" s="20" t="s">
        <v>1</v>
      </c>
      <c r="C2" s="21" t="s">
        <v>143</v>
      </c>
      <c r="D2" s="21" t="s">
        <v>221</v>
      </c>
      <c r="E2" s="20" t="s">
        <v>86</v>
      </c>
      <c r="F2" s="21" t="s">
        <v>222</v>
      </c>
      <c r="G2" s="21" t="s">
        <v>275</v>
      </c>
      <c r="H2" s="22">
        <v>2025</v>
      </c>
      <c r="I2" s="26">
        <v>2026</v>
      </c>
      <c r="J2" s="22">
        <v>2027</v>
      </c>
      <c r="K2" s="26">
        <v>2028</v>
      </c>
      <c r="L2" s="22">
        <v>2029</v>
      </c>
      <c r="M2" s="20" t="s">
        <v>80</v>
      </c>
    </row>
    <row r="3" ht="16.5" customHeight="1" spans="1:13">
      <c r="A3" s="17"/>
      <c r="B3" s="17"/>
      <c r="C3" s="17"/>
      <c r="D3" s="17"/>
      <c r="E3" s="17"/>
      <c r="F3" s="17"/>
      <c r="G3" s="17"/>
      <c r="H3" s="23" t="s">
        <v>224</v>
      </c>
      <c r="I3" s="27">
        <f>E.1项目运营期费用!I3</f>
        <v>0.7</v>
      </c>
      <c r="J3" s="27">
        <f>E.1项目运营期费用!J3</f>
        <v>0.7</v>
      </c>
      <c r="K3" s="97">
        <f>E.1项目运营期费用!K3</f>
        <v>0.8</v>
      </c>
      <c r="L3" s="27">
        <f>E.1项目运营期费用!L3</f>
        <v>0.9</v>
      </c>
      <c r="M3" s="8" t="s">
        <v>161</v>
      </c>
    </row>
    <row r="4" ht="16.5" customHeight="1" spans="1:13">
      <c r="A4" s="13" t="s">
        <v>225</v>
      </c>
      <c r="B4" s="13">
        <f>E.1项目运营期费用!B4</f>
        <v>1</v>
      </c>
      <c r="C4" s="24" t="str">
        <f>E.1项目运营期费用!C4</f>
        <v>场地租金</v>
      </c>
      <c r="D4" s="24" t="str">
        <f>E.1项目运营期费用!D4</f>
        <v>按面积×租金单价</v>
      </c>
      <c r="E4" s="14">
        <f>E.1项目运营期费用!E4</f>
        <v>0</v>
      </c>
      <c r="F4" s="14">
        <f>E.1项目运营期费用!F4</f>
        <v>0</v>
      </c>
      <c r="G4" s="14">
        <f>E.1项目运营期费用!G4</f>
        <v>0</v>
      </c>
      <c r="H4" s="14">
        <f>E.1项目运营期费用!H4*(1-'G.2进项增值税率-运营成本'!$C3)</f>
        <v>0</v>
      </c>
      <c r="I4" s="14">
        <f>E.1项目运营期费用!I4/(1+'G.2进项增值税率-运营成本'!$C3)</f>
        <v>0</v>
      </c>
      <c r="J4" s="14">
        <f>E.1项目运营期费用!J4/(1+'G.2进项增值税率-运营成本'!$C3)</f>
        <v>0</v>
      </c>
      <c r="K4" s="14">
        <f>E.1项目运营期费用!K4/(1+'G.2进项增值税率-运营成本'!$C3)</f>
        <v>0</v>
      </c>
      <c r="L4" s="14">
        <f>E.1项目运营期费用!L4/(1+'G.2进项增值税率-运营成本'!$C3)</f>
        <v>0</v>
      </c>
      <c r="M4" s="14">
        <f t="shared" ref="M4:M23" si="0">SUM(H4:L4)</f>
        <v>0</v>
      </c>
    </row>
    <row r="5" ht="54" customHeight="1" spans="1:13">
      <c r="A5" s="25"/>
      <c r="B5" s="13">
        <f>E.1项目运营期费用!B5</f>
        <v>2</v>
      </c>
      <c r="C5" s="24" t="str">
        <f>E.1项目运营期费用!C5</f>
        <v>场地日常维护（停机坪/起降场/交通枢纽/飞行营地/指挥中心等）</v>
      </c>
      <c r="D5" s="24" t="str">
        <f>E.1项目运营期费用!D5</f>
        <v>按面积 × 单位维护单价（元 / ㎡・年）</v>
      </c>
      <c r="E5" s="14">
        <f>E.1项目运营期费用!E5</f>
        <v>0</v>
      </c>
      <c r="F5" s="14">
        <f>E.1项目运营期费用!F5</f>
        <v>0</v>
      </c>
      <c r="G5" s="14">
        <f>E.1项目运营期费用!G5</f>
        <v>0</v>
      </c>
      <c r="H5" s="14">
        <f>E.1项目运营期费用!H5*(1-'G.2进项增值税率-运营成本'!$C4)</f>
        <v>0</v>
      </c>
      <c r="I5" s="14">
        <f>E.1项目运营期费用!I5/(1+'G.2进项增值税率-运营成本'!$C4)</f>
        <v>0</v>
      </c>
      <c r="J5" s="14">
        <f>E.1项目运营期费用!J5/(1+'G.2进项增值税率-运营成本'!$C4)</f>
        <v>0</v>
      </c>
      <c r="K5" s="14">
        <f>E.1项目运营期费用!K5/(1+'G.2进项增值税率-运营成本'!$C4)</f>
        <v>0</v>
      </c>
      <c r="L5" s="14">
        <f>E.1项目运营期费用!L5/(1+'G.2进项增值税率-运营成本'!$C4)</f>
        <v>0</v>
      </c>
      <c r="M5" s="14">
        <f t="shared" si="0"/>
        <v>0</v>
      </c>
    </row>
    <row r="6" ht="33" customHeight="1" spans="1:13">
      <c r="A6" s="25"/>
      <c r="B6" s="13">
        <f>E.1项目运营期费用!B6</f>
        <v>3</v>
      </c>
      <c r="C6" s="24" t="str">
        <f>E.1项目运营期费用!C6</f>
        <v>消防设施年检</v>
      </c>
      <c r="D6" s="24" t="str">
        <f>E.1项目运营期费用!D6</f>
        <v>按设备数量 × 单台年检费（元 / 台・次）</v>
      </c>
      <c r="E6" s="14">
        <f>E.1项目运营期费用!E6</f>
        <v>0</v>
      </c>
      <c r="F6" s="14">
        <f>E.1项目运营期费用!F6</f>
        <v>0</v>
      </c>
      <c r="G6" s="14">
        <f>E.1项目运营期费用!G6</f>
        <v>0</v>
      </c>
      <c r="H6" s="14">
        <f>E.1项目运营期费用!H6*(1-'G.2进项增值税率-运营成本'!$C5)</f>
        <v>0</v>
      </c>
      <c r="I6" s="14">
        <f>E.1项目运营期费用!I6/(1+'G.2进项增值税率-运营成本'!$C5)</f>
        <v>0</v>
      </c>
      <c r="J6" s="14">
        <f>E.1项目运营期费用!J6/(1+'G.2进项增值税率-运营成本'!$C5)</f>
        <v>0</v>
      </c>
      <c r="K6" s="14">
        <f>E.1项目运营期费用!K6/(1+'G.2进项增值税率-运营成本'!$C5)</f>
        <v>0</v>
      </c>
      <c r="L6" s="14">
        <f>E.1项目运营期费用!L6/(1+'G.2进项增值税率-运营成本'!$C5)</f>
        <v>0</v>
      </c>
      <c r="M6" s="14">
        <f t="shared" si="0"/>
        <v>0</v>
      </c>
    </row>
    <row r="7" ht="49.5" customHeight="1" spans="1:13">
      <c r="A7" s="17"/>
      <c r="B7" s="13">
        <f>E.1项目运营期费用!B7</f>
        <v>4</v>
      </c>
      <c r="C7" s="24" t="str">
        <f>E.1项目运营期费用!C7</f>
        <v>防鸟措施（驱鸟器维护）</v>
      </c>
      <c r="D7" s="24" t="str">
        <f>E.1项目运营期费用!D7</f>
        <v>按套数 × 年费（元 / 套・年）+ 耗材费（如驱鸟剂）</v>
      </c>
      <c r="E7" s="14">
        <f>E.1项目运营期费用!E7</f>
        <v>0</v>
      </c>
      <c r="F7" s="14">
        <f>E.1项目运营期费用!F7</f>
        <v>0</v>
      </c>
      <c r="G7" s="14">
        <f>E.1项目运营期费用!G7</f>
        <v>0</v>
      </c>
      <c r="H7" s="14">
        <f>E.1项目运营期费用!H7*(1-'G.2进项增值税率-运营成本'!$C6)</f>
        <v>0</v>
      </c>
      <c r="I7" s="14">
        <f>E.1项目运营期费用!I7/(1+'G.2进项增值税率-运营成本'!$C6)</f>
        <v>0</v>
      </c>
      <c r="J7" s="14">
        <f>E.1项目运营期费用!J7/(1+'G.2进项增值税率-运营成本'!$C6)</f>
        <v>0</v>
      </c>
      <c r="K7" s="14">
        <f>E.1项目运营期费用!K7/(1+'G.2进项增值税率-运营成本'!$C6)</f>
        <v>0</v>
      </c>
      <c r="L7" s="14">
        <f>E.1项目运营期费用!L7/(1+'G.2进项增值税率-运营成本'!$C6)</f>
        <v>0</v>
      </c>
      <c r="M7" s="14">
        <f t="shared" si="0"/>
        <v>0</v>
      </c>
    </row>
    <row r="8" ht="16.5" customHeight="1" spans="1:13">
      <c r="A8" s="13" t="s">
        <v>234</v>
      </c>
      <c r="B8" s="13">
        <f>E.1项目运营期费用!B8</f>
        <v>5</v>
      </c>
      <c r="C8" s="24" t="str">
        <f>E.1项目运营期费用!C8</f>
        <v>飞行器能耗</v>
      </c>
      <c r="D8" s="24" t="str">
        <f>E.1项目运营期费用!D8</f>
        <v>按电耗或油耗计算</v>
      </c>
      <c r="E8" s="14">
        <f>E.1项目运营期费用!E8</f>
        <v>0</v>
      </c>
      <c r="F8" s="14">
        <f>E.1项目运营期费用!F8</f>
        <v>0</v>
      </c>
      <c r="G8" s="14">
        <f>E.1项目运营期费用!G8</f>
        <v>0</v>
      </c>
      <c r="H8" s="14">
        <f>E.1项目运营期费用!H8*(1-'G.2进项增值税率-运营成本'!$C7)</f>
        <v>0</v>
      </c>
      <c r="I8" s="14">
        <f>E.1项目运营期费用!I8/(1+'G.2进项增值税率-运营成本'!$C7)</f>
        <v>0</v>
      </c>
      <c r="J8" s="14">
        <f>E.1项目运营期费用!J8/(1+'G.2进项增值税率-运营成本'!$C7)</f>
        <v>0</v>
      </c>
      <c r="K8" s="14">
        <f>E.1项目运营期费用!K8/(1+'G.2进项增值税率-运营成本'!$C7)</f>
        <v>0</v>
      </c>
      <c r="L8" s="14">
        <f>E.1项目运营期费用!L8/(1+'G.2进项增值税率-运营成本'!$C7)</f>
        <v>0</v>
      </c>
      <c r="M8" s="14">
        <f t="shared" si="0"/>
        <v>0</v>
      </c>
    </row>
    <row r="9" ht="33" customHeight="1" spans="1:13">
      <c r="A9" s="25"/>
      <c r="B9" s="13">
        <f>E.1项目运营期费用!B9</f>
        <v>6</v>
      </c>
      <c r="C9" s="24" t="str">
        <f>E.1项目运营期费用!C9</f>
        <v>核心设备电力能耗</v>
      </c>
      <c r="D9" s="24" t="str">
        <f>E.1项目运营期费用!D9</f>
        <v>按实际用电量 × 电价（元 / 千瓦 时）</v>
      </c>
      <c r="E9" s="14">
        <f>E.1项目运营期费用!E9</f>
        <v>0</v>
      </c>
      <c r="F9" s="14">
        <f>E.1项目运营期费用!F9</f>
        <v>0</v>
      </c>
      <c r="G9" s="14">
        <f>E.1项目运营期费用!G9</f>
        <v>0</v>
      </c>
      <c r="H9" s="14">
        <f>E.1项目运营期费用!H9*(1-'G.2进项增值税率-运营成本'!$C8)</f>
        <v>0</v>
      </c>
      <c r="I9" s="14">
        <f>E.1项目运营期费用!I9/(1+'G.2进项增值税率-运营成本'!$C8)</f>
        <v>0</v>
      </c>
      <c r="J9" s="14">
        <f>E.1项目运营期费用!J9/(1+'G.2进项增值税率-运营成本'!$C8)</f>
        <v>0</v>
      </c>
      <c r="K9" s="14">
        <f>E.1项目运营期费用!K9/(1+'G.2进项增值税率-运营成本'!$C8)</f>
        <v>0</v>
      </c>
      <c r="L9" s="14">
        <f>E.1项目运营期费用!L9/(1+'G.2进项增值税率-运营成本'!$C8)</f>
        <v>0</v>
      </c>
      <c r="M9" s="14">
        <f t="shared" si="0"/>
        <v>0</v>
      </c>
    </row>
    <row r="10" ht="16.5" customHeight="1" spans="1:13">
      <c r="A10" s="17"/>
      <c r="B10" s="13">
        <f>E.1项目运营期费用!B10</f>
        <v>7</v>
      </c>
      <c r="C10" s="24" t="str">
        <f>E.1项目运营期费用!C10</f>
        <v>水电能耗</v>
      </c>
      <c r="D10" s="24" t="str">
        <f>E.1项目运营期费用!D10</f>
        <v>按面积估算</v>
      </c>
      <c r="E10" s="14">
        <f>E.1项目运营期费用!E10</f>
        <v>0</v>
      </c>
      <c r="F10" s="14">
        <f>E.1项目运营期费用!F10</f>
        <v>0</v>
      </c>
      <c r="G10" s="14">
        <f>E.1项目运营期费用!G10</f>
        <v>0</v>
      </c>
      <c r="H10" s="14">
        <f>E.1项目运营期费用!H10*(1-'G.2进项增值税率-运营成本'!$C9)</f>
        <v>0</v>
      </c>
      <c r="I10" s="14">
        <f>E.1项目运营期费用!I10/(1+'G.2进项增值税率-运营成本'!$C9)</f>
        <v>0</v>
      </c>
      <c r="J10" s="14">
        <f>E.1项目运营期费用!J10/(1+'G.2进项增值税率-运营成本'!$C9)</f>
        <v>0</v>
      </c>
      <c r="K10" s="14">
        <f>E.1项目运营期费用!K10/(1+'G.2进项增值税率-运营成本'!$C9)</f>
        <v>0</v>
      </c>
      <c r="L10" s="14">
        <f>E.1项目运营期费用!L10/(1+'G.2进项增值税率-运营成本'!$C9)</f>
        <v>0</v>
      </c>
      <c r="M10" s="14">
        <f t="shared" si="0"/>
        <v>0</v>
      </c>
    </row>
    <row r="11" ht="16.5" customHeight="1" spans="1:13">
      <c r="A11" s="13" t="s">
        <v>241</v>
      </c>
      <c r="B11" s="13">
        <f>E.1项目运营期费用!B11</f>
        <v>8</v>
      </c>
      <c r="C11" s="24" t="str">
        <f>E.1项目运营期费用!C11</f>
        <v>网络通信费用</v>
      </c>
      <c r="D11" s="24" t="str">
        <f>E.1项目运营期费用!D11</f>
        <v>按年计算租金</v>
      </c>
      <c r="E11" s="14">
        <f>E.1项目运营期费用!E11</f>
        <v>0</v>
      </c>
      <c r="F11" s="14">
        <f>E.1项目运营期费用!F11</f>
        <v>0</v>
      </c>
      <c r="G11" s="14">
        <f>E.1项目运营期费用!G11</f>
        <v>0</v>
      </c>
      <c r="H11" s="14">
        <f>E.1项目运营期费用!H11*(1-'G.2进项增值税率-运营成本'!$C10)</f>
        <v>0</v>
      </c>
      <c r="I11" s="14">
        <f>E.1项目运营期费用!I11/(1+'G.2进项增值税率-运营成本'!$C10)</f>
        <v>0</v>
      </c>
      <c r="J11" s="14">
        <f>E.1项目运营期费用!J11/(1+'G.2进项增值税率-运营成本'!$C10)</f>
        <v>0</v>
      </c>
      <c r="K11" s="14">
        <f>E.1项目运营期费用!K11/(1+'G.2进项增值税率-运营成本'!$C10)</f>
        <v>0</v>
      </c>
      <c r="L11" s="14">
        <f>E.1项目运营期费用!L11/(1+'G.2进项增值税率-运营成本'!$C10)</f>
        <v>0</v>
      </c>
      <c r="M11" s="14">
        <f t="shared" si="0"/>
        <v>0</v>
      </c>
    </row>
    <row r="12" ht="16.5" customHeight="1" spans="1:13">
      <c r="A12" s="13" t="s">
        <v>244</v>
      </c>
      <c r="B12" s="13">
        <f>E.1项目运营期费用!B12</f>
        <v>9</v>
      </c>
      <c r="C12" s="24" t="str">
        <f>E.1项目运营期费用!C12</f>
        <v>硬件设备维护</v>
      </c>
      <c r="D12" s="24" t="str">
        <f>E.1项目运营期费用!D12</f>
        <v>按照固定资产15%计算</v>
      </c>
      <c r="E12" s="14">
        <f>E.1项目运营期费用!E12</f>
        <v>0</v>
      </c>
      <c r="F12" s="14">
        <f>E.1项目运营期费用!F12</f>
        <v>0</v>
      </c>
      <c r="G12" s="14">
        <f>E.1项目运营期费用!G12</f>
        <v>0</v>
      </c>
      <c r="H12" s="14">
        <f>E.1项目运营期费用!H12*(1-'G.2进项增值税率-运营成本'!$C11)</f>
        <v>0</v>
      </c>
      <c r="I12" s="14">
        <f>E.1项目运营期费用!I12/(1+'G.2进项增值税率-运营成本'!$C11)</f>
        <v>0</v>
      </c>
      <c r="J12" s="14">
        <f>E.1项目运营期费用!J12/(1+'G.2进项增值税率-运营成本'!$C11)</f>
        <v>0</v>
      </c>
      <c r="K12" s="14">
        <f>E.1项目运营期费用!K12/(1+'G.2进项增值税率-运营成本'!$C11)</f>
        <v>0</v>
      </c>
      <c r="L12" s="14">
        <f>E.1项目运营期费用!L12/(1+'G.2进项增值税率-运营成本'!$C11)</f>
        <v>0</v>
      </c>
      <c r="M12" s="14">
        <f t="shared" si="0"/>
        <v>0</v>
      </c>
    </row>
    <row r="13" ht="33" customHeight="1" spans="1:13">
      <c r="A13" s="17"/>
      <c r="B13" s="13">
        <f>E.1项目运营期费用!B13</f>
        <v>10</v>
      </c>
      <c r="C13" s="24" t="str">
        <f>E.1项目运营期费用!C13</f>
        <v>备品备件储备</v>
      </c>
      <c r="D13" s="24" t="str">
        <f>E.1项目运营期费用!D13</f>
        <v>按年度设备维护预算 × 储备比例 （10%-20%）</v>
      </c>
      <c r="E13" s="14">
        <f>E.1项目运营期费用!E13</f>
        <v>0</v>
      </c>
      <c r="F13" s="14">
        <f>E.1项目运营期费用!F13</f>
        <v>0</v>
      </c>
      <c r="G13" s="14">
        <f>E.1项目运营期费用!G13</f>
        <v>0</v>
      </c>
      <c r="H13" s="14">
        <f>E.1项目运营期费用!H13*(1-'G.2进项增值税率-运营成本'!$C12)</f>
        <v>0</v>
      </c>
      <c r="I13" s="14">
        <f>E.1项目运营期费用!I13/(1+'G.2进项增值税率-运营成本'!$C12)</f>
        <v>0</v>
      </c>
      <c r="J13" s="14">
        <f>E.1项目运营期费用!J13/(1+'G.2进项增值税率-运营成本'!$C12)</f>
        <v>0</v>
      </c>
      <c r="K13" s="14">
        <f>E.1项目运营期费用!K13/(1+'G.2进项增值税率-运营成本'!$C12)</f>
        <v>0</v>
      </c>
      <c r="L13" s="14">
        <f>E.1项目运营期费用!L13/(1+'G.2进项增值税率-运营成本'!$C12)</f>
        <v>0</v>
      </c>
      <c r="M13" s="14">
        <f t="shared" si="0"/>
        <v>0</v>
      </c>
    </row>
    <row r="14" ht="33" customHeight="1" spans="1:13">
      <c r="A14" s="13" t="s">
        <v>249</v>
      </c>
      <c r="B14" s="13">
        <f>E.1项目运营期费用!B14</f>
        <v>11</v>
      </c>
      <c r="C14" s="24" t="str">
        <f>E.1项目运营期费用!C14</f>
        <v>软件维护</v>
      </c>
      <c r="D14" s="24" t="str">
        <f>E.1项目运营期费用!D14</f>
        <v>按无形资产造价的20%计算</v>
      </c>
      <c r="E14" s="14">
        <f>E.1项目运营期费用!E14</f>
        <v>0</v>
      </c>
      <c r="F14" s="14">
        <f>E.1项目运营期费用!F14</f>
        <v>0</v>
      </c>
      <c r="G14" s="14">
        <f>E.1项目运营期费用!G14</f>
        <v>0</v>
      </c>
      <c r="H14" s="14">
        <f>E.1项目运营期费用!H14*(1-'G.2进项增值税率-运营成本'!$C13)</f>
        <v>0</v>
      </c>
      <c r="I14" s="14">
        <f>E.1项目运营期费用!I14/(1+'G.2进项增值税率-运营成本'!$C13)</f>
        <v>0</v>
      </c>
      <c r="J14" s="14">
        <f>E.1项目运营期费用!J14/(1+'G.2进项增值税率-运营成本'!$C13)</f>
        <v>0</v>
      </c>
      <c r="K14" s="14">
        <f>E.1项目运营期费用!K14/(1+'G.2进项增值税率-运营成本'!$C13)</f>
        <v>0</v>
      </c>
      <c r="L14" s="14">
        <f>E.1项目运营期费用!L14/(1+'G.2进项增值税率-运营成本'!$C13)</f>
        <v>0</v>
      </c>
      <c r="M14" s="14">
        <f t="shared" si="0"/>
        <v>0</v>
      </c>
    </row>
    <row r="15" ht="33" customHeight="1" spans="1:13">
      <c r="A15" s="13" t="s">
        <v>252</v>
      </c>
      <c r="B15" s="13">
        <f>E.1项目运营期费用!B15</f>
        <v>12</v>
      </c>
      <c r="C15" s="24" t="str">
        <f>E.1项目运营期费用!C15</f>
        <v>营销及活动</v>
      </c>
      <c r="D15" s="24" t="str">
        <f>E.1项目运营期费用!D15</f>
        <v>按年平均营业收入的2%计算</v>
      </c>
      <c r="E15" s="14">
        <f>E.1项目运营期费用!E15</f>
        <v>0</v>
      </c>
      <c r="F15" s="14">
        <f>E.1项目运营期费用!F15</f>
        <v>0</v>
      </c>
      <c r="G15" s="14">
        <f>E.1项目运营期费用!G15</f>
        <v>0</v>
      </c>
      <c r="H15" s="14">
        <f>E.1项目运营期费用!H15*(1-'G.2进项增值税率-运营成本'!$C14)</f>
        <v>0</v>
      </c>
      <c r="I15" s="14">
        <f>E.1项目运营期费用!I15/(1+'G.2进项增值税率-运营成本'!$C14)</f>
        <v>0</v>
      </c>
      <c r="J15" s="14">
        <f>E.1项目运营期费用!J15/(1+'G.2进项增值税率-运营成本'!$C14)</f>
        <v>0</v>
      </c>
      <c r="K15" s="14">
        <f>E.1项目运营期费用!K15/(1+'G.2进项增值税率-运营成本'!$C14)</f>
        <v>0</v>
      </c>
      <c r="L15" s="14">
        <f>E.1项目运营期费用!L15/(1+'G.2进项增值税率-运营成本'!$C14)</f>
        <v>0</v>
      </c>
      <c r="M15" s="14">
        <f t="shared" si="0"/>
        <v>0</v>
      </c>
    </row>
    <row r="16" ht="33" customHeight="1" spans="1:13">
      <c r="A16" s="13" t="s">
        <v>255</v>
      </c>
      <c r="B16" s="13">
        <f>E.1项目运营期费用!B16</f>
        <v>13</v>
      </c>
      <c r="C16" s="24" t="str">
        <f>E.1项目运营期费用!C16</f>
        <v>人员薪酬</v>
      </c>
      <c r="D16" s="24" t="str">
        <f>E.1项目运营期费用!D16</f>
        <v>按岗位月薪 ×12 + 福利（月薪 ×20%-30%）</v>
      </c>
      <c r="E16" s="14">
        <f>E.1项目运营期费用!E16</f>
        <v>0</v>
      </c>
      <c r="F16" s="14">
        <f>E.1项目运营期费用!F16</f>
        <v>0</v>
      </c>
      <c r="G16" s="14">
        <f>E.1项目运营期费用!G16</f>
        <v>0</v>
      </c>
      <c r="H16" s="14">
        <f>E.1项目运营期费用!H16*(1-'G.2进项增值税率-运营成本'!$C15)</f>
        <v>0</v>
      </c>
      <c r="I16" s="14">
        <f>E.1项目运营期费用!I16/(1+'G.2进项增值税率-运营成本'!$C15)</f>
        <v>0</v>
      </c>
      <c r="J16" s="14">
        <f>E.1项目运营期费用!J16/(1+'G.2进项增值税率-运营成本'!$C15)</f>
        <v>0</v>
      </c>
      <c r="K16" s="14">
        <f>E.1项目运营期费用!K16/(1+'G.2进项增值税率-运营成本'!$C15)</f>
        <v>0</v>
      </c>
      <c r="L16" s="14">
        <f>E.1项目运营期费用!L16/(1+'G.2进项增值税率-运营成本'!$C15)</f>
        <v>0</v>
      </c>
      <c r="M16" s="14">
        <f t="shared" si="0"/>
        <v>0</v>
      </c>
    </row>
    <row r="17" ht="33" customHeight="1" spans="1:13">
      <c r="A17" s="25"/>
      <c r="B17" s="13">
        <f>E.1项目运营期费用!B17</f>
        <v>14</v>
      </c>
      <c r="C17" s="24" t="str">
        <f>E.1项目运营期费用!C17</f>
        <v>培训与资质认证</v>
      </c>
      <c r="D17" s="24" t="str">
        <f>E.1项目运营期费用!D17</f>
        <v>按人次 × 人均培训费（元 / 人 次）</v>
      </c>
      <c r="E17" s="14">
        <f>E.1项目运营期费用!E17</f>
        <v>0</v>
      </c>
      <c r="F17" s="14">
        <f>E.1项目运营期费用!F17</f>
        <v>0</v>
      </c>
      <c r="G17" s="14">
        <f>E.1项目运营期费用!G17</f>
        <v>0</v>
      </c>
      <c r="H17" s="14">
        <f>E.1项目运营期费用!H17*(1-'G.2进项增值税率-运营成本'!$C16)</f>
        <v>0</v>
      </c>
      <c r="I17" s="14">
        <f>E.1项目运营期费用!I17/(1+'G.2进项增值税率-运营成本'!$C16)</f>
        <v>0</v>
      </c>
      <c r="J17" s="14">
        <f>E.1项目运营期费用!J17/(1+'G.2进项增值税率-运营成本'!$C16)</f>
        <v>0</v>
      </c>
      <c r="K17" s="14">
        <f>E.1项目运营期费用!K17/(1+'G.2进项增值税率-运营成本'!$C16)</f>
        <v>0</v>
      </c>
      <c r="L17" s="14">
        <f>E.1项目运营期费用!L17/(1+'G.2进项增值税率-运营成本'!$C16)</f>
        <v>0</v>
      </c>
      <c r="M17" s="14">
        <f t="shared" si="0"/>
        <v>0</v>
      </c>
    </row>
    <row r="18" ht="33" customHeight="1" spans="1:13">
      <c r="A18" s="17"/>
      <c r="B18" s="13">
        <f>E.1项目运营期费用!B18</f>
        <v>15</v>
      </c>
      <c r="C18" s="24" t="str">
        <f>E.1项目运营期费用!C18</f>
        <v>办公与行政支出</v>
      </c>
      <c r="D18" s="24" t="str">
        <f>E.1项目运营期费用!D18</f>
        <v>按人员数量 × 人均办公费（元 / 人・月）</v>
      </c>
      <c r="E18" s="14">
        <f>E.1项目运营期费用!E18</f>
        <v>0</v>
      </c>
      <c r="F18" s="14">
        <f>E.1项目运营期费用!F18</f>
        <v>0</v>
      </c>
      <c r="G18" s="14">
        <f>E.1项目运营期费用!G18</f>
        <v>0</v>
      </c>
      <c r="H18" s="14">
        <f>E.1项目运营期费用!H18*(1-'G.2进项增值税率-运营成本'!$C17)</f>
        <v>0</v>
      </c>
      <c r="I18" s="14">
        <f>E.1项目运营期费用!I18/(1+'G.2进项增值税率-运营成本'!$C17)</f>
        <v>0</v>
      </c>
      <c r="J18" s="14">
        <f>E.1项目运营期费用!J18/(1+'G.2进项增值税率-运营成本'!$C17)</f>
        <v>0</v>
      </c>
      <c r="K18" s="14">
        <f>E.1项目运营期费用!K18/(1+'G.2进项增值税率-运营成本'!$C17)</f>
        <v>0</v>
      </c>
      <c r="L18" s="14">
        <f>E.1项目运营期费用!L18/(1+'G.2进项增值税率-运营成本'!$C17)</f>
        <v>0</v>
      </c>
      <c r="M18" s="14">
        <f t="shared" si="0"/>
        <v>0</v>
      </c>
    </row>
    <row r="19" ht="33" customHeight="1" spans="1:13">
      <c r="A19" s="13" t="s">
        <v>262</v>
      </c>
      <c r="B19" s="13">
        <f>E.1项目运营期费用!B19</f>
        <v>16</v>
      </c>
      <c r="C19" s="24" t="str">
        <f>E.1项目运营期费用!C19</f>
        <v>空域使用审批费</v>
      </c>
      <c r="D19" s="24" t="str">
        <f>E.1项目运营期费用!D19</f>
        <v>按空域面积 × 年费率（元 / 平方 公里・年）</v>
      </c>
      <c r="E19" s="14">
        <f>E.1项目运营期费用!E19</f>
        <v>0</v>
      </c>
      <c r="F19" s="14">
        <f>E.1项目运营期费用!F19</f>
        <v>0</v>
      </c>
      <c r="G19" s="14">
        <f>E.1项目运营期费用!G19</f>
        <v>0</v>
      </c>
      <c r="H19" s="14">
        <f>E.1项目运营期费用!H19*(1-'G.2进项增值税率-运营成本'!$C18)</f>
        <v>0</v>
      </c>
      <c r="I19" s="14">
        <f>E.1项目运营期费用!I19/(1+'G.2进项增值税率-运营成本'!$C18)</f>
        <v>0</v>
      </c>
      <c r="J19" s="14">
        <f>E.1项目运营期费用!J19/(1+'G.2进项增值税率-运营成本'!$C18)</f>
        <v>0</v>
      </c>
      <c r="K19" s="14">
        <f>E.1项目运营期费用!K19/(1+'G.2进项增值税率-运营成本'!$C18)</f>
        <v>0</v>
      </c>
      <c r="L19" s="14">
        <f>E.1项目运营期费用!L19/(1+'G.2进项增值税率-运营成本'!$C18)</f>
        <v>0</v>
      </c>
      <c r="M19" s="14">
        <f t="shared" si="0"/>
        <v>0</v>
      </c>
    </row>
    <row r="20" ht="33" customHeight="1" spans="1:13">
      <c r="A20" s="25"/>
      <c r="B20" s="13">
        <f>E.1项目运营期费用!B20</f>
        <v>17</v>
      </c>
      <c r="C20" s="24" t="str">
        <f>E.1项目运营期费用!C20</f>
        <v>场地责任险</v>
      </c>
      <c r="D20" s="24" t="str">
        <f>E.1项目运营期费用!D20</f>
        <v>按保额 × 保险费率（年费率 0.1%-0.3%）</v>
      </c>
      <c r="E20" s="14">
        <f>E.1项目运营期费用!E20</f>
        <v>0</v>
      </c>
      <c r="F20" s="14">
        <f>E.1项目运营期费用!F20</f>
        <v>0</v>
      </c>
      <c r="G20" s="14">
        <f>E.1项目运营期费用!G20</f>
        <v>0</v>
      </c>
      <c r="H20" s="14">
        <f>E.1项目运营期费用!H20*(1-'G.2进项增值税率-运营成本'!$C19)</f>
        <v>0</v>
      </c>
      <c r="I20" s="14">
        <f>E.1项目运营期费用!I20/(1+'G.2进项增值税率-运营成本'!$C19)</f>
        <v>0</v>
      </c>
      <c r="J20" s="14">
        <f>E.1项目运营期费用!J20/(1+'G.2进项增值税率-运营成本'!$C19)</f>
        <v>0</v>
      </c>
      <c r="K20" s="14">
        <f>E.1项目运营期费用!K20/(1+'G.2进项增值税率-运营成本'!$C19)</f>
        <v>0</v>
      </c>
      <c r="L20" s="14">
        <f>E.1项目运营期费用!L20/(1+'G.2进项增值税率-运营成本'!$C19)</f>
        <v>0</v>
      </c>
      <c r="M20" s="14">
        <f t="shared" si="0"/>
        <v>0</v>
      </c>
    </row>
    <row r="21" ht="33" customHeight="1" spans="1:13">
      <c r="A21" s="17"/>
      <c r="B21" s="13">
        <f>E.1项目运营期费用!B21</f>
        <v>18</v>
      </c>
      <c r="C21" s="24" t="str">
        <f>E.1项目运营期费用!C21</f>
        <v>安全演练与应急处置</v>
      </c>
      <c r="D21" s="24" t="str">
        <f>E.1项目运营期费用!D21</f>
        <v>按次数 × 单次演练成本（元 / 次）</v>
      </c>
      <c r="E21" s="14">
        <f>E.1项目运营期费用!E21</f>
        <v>0</v>
      </c>
      <c r="F21" s="14">
        <f>E.1项目运营期费用!F21</f>
        <v>0</v>
      </c>
      <c r="G21" s="14">
        <f>E.1项目运营期费用!G21</f>
        <v>0</v>
      </c>
      <c r="H21" s="14">
        <f>E.1项目运营期费用!H21*(1-'G.2进项增值税率-运营成本'!$C20)</f>
        <v>0</v>
      </c>
      <c r="I21" s="14">
        <f>E.1项目运营期费用!I21/(1+'G.2进项增值税率-运营成本'!$C20)</f>
        <v>0</v>
      </c>
      <c r="J21" s="14">
        <f>E.1项目运营期费用!J21/(1+'G.2进项增值税率-运营成本'!$C20)</f>
        <v>0</v>
      </c>
      <c r="K21" s="14">
        <f>E.1项目运营期费用!K21/(1+'G.2进项增值税率-运营成本'!$C20)</f>
        <v>0</v>
      </c>
      <c r="L21" s="14">
        <f>E.1项目运营期费用!L21/(1+'G.2进项增值税率-运营成本'!$C20)</f>
        <v>0</v>
      </c>
      <c r="M21" s="14">
        <f t="shared" si="0"/>
        <v>0</v>
      </c>
    </row>
    <row r="22" ht="33" customHeight="1" spans="1:13">
      <c r="A22" s="13" t="s">
        <v>269</v>
      </c>
      <c r="B22" s="13">
        <f>E.1项目运营期费用!B22</f>
        <v>19</v>
      </c>
      <c r="C22" s="24" t="str">
        <f>E.1项目运营期费用!C22</f>
        <v>第三方安全评估</v>
      </c>
      <c r="D22" s="24" t="str">
        <f>E.1项目运营期费用!D22</f>
        <v>按项目投资额 × 评估费率 （0.1%-0.3%）</v>
      </c>
      <c r="E22" s="14">
        <f>E.1项目运营期费用!E22</f>
        <v>0</v>
      </c>
      <c r="F22" s="14">
        <f>E.1项目运营期费用!F22</f>
        <v>0</v>
      </c>
      <c r="G22" s="14">
        <f>E.1项目运营期费用!G22</f>
        <v>0</v>
      </c>
      <c r="H22" s="14">
        <f>E.1项目运营期费用!H22*(1-'G.2进项增值税率-运营成本'!$C21)</f>
        <v>0</v>
      </c>
      <c r="I22" s="14">
        <f>E.1项目运营期费用!I22/(1+'G.2进项增值税率-运营成本'!$C21)</f>
        <v>0</v>
      </c>
      <c r="J22" s="14">
        <f>E.1项目运营期费用!J22/(1+'G.2进项增值税率-运营成本'!$C21)</f>
        <v>0</v>
      </c>
      <c r="K22" s="14">
        <f>E.1项目运营期费用!K22/(1+'G.2进项增值税率-运营成本'!$C21)</f>
        <v>0</v>
      </c>
      <c r="L22" s="14">
        <f>E.1项目运营期费用!L22/(1+'G.2进项增值税率-运营成本'!$C21)</f>
        <v>0</v>
      </c>
      <c r="M22" s="14">
        <f t="shared" si="0"/>
        <v>0</v>
      </c>
    </row>
    <row r="23" ht="33" customHeight="1" spans="1:13">
      <c r="A23" s="17"/>
      <c r="B23" s="13">
        <f>E.1项目运营期费用!B23</f>
        <v>20</v>
      </c>
      <c r="C23" s="24" t="str">
        <f>E.1项目运营期费用!C23</f>
        <v>不可预见支出</v>
      </c>
      <c r="D23" s="24" t="str">
        <f>E.1项目运营期费用!D23</f>
        <v>按年度总成本 × 计提比例 （5%-10%）</v>
      </c>
      <c r="E23" s="14">
        <f>E.1项目运营期费用!E23</f>
        <v>0</v>
      </c>
      <c r="F23" s="14">
        <f>E.1项目运营期费用!F23</f>
        <v>0</v>
      </c>
      <c r="G23" s="14">
        <f>E.1项目运营期费用!G23</f>
        <v>0</v>
      </c>
      <c r="H23" s="14">
        <f>E.1项目运营期费用!H23*(1-'G.2进项增值税率-运营成本'!$C22)</f>
        <v>0</v>
      </c>
      <c r="I23" s="14">
        <f>E.1项目运营期费用!I23/(1+'G.2进项增值税率-运营成本'!$C22)</f>
        <v>0</v>
      </c>
      <c r="J23" s="14">
        <f>E.1项目运营期费用!J23/(1+'G.2进项增值税率-运营成本'!$C22)</f>
        <v>0</v>
      </c>
      <c r="K23" s="14">
        <f>E.1项目运营期费用!K23/(1+'G.2进项增值税率-运营成本'!$C22)</f>
        <v>0</v>
      </c>
      <c r="L23" s="14">
        <f>E.1项目运营期费用!L23/(1+'G.2进项增值税率-运营成本'!$C22)</f>
        <v>0</v>
      </c>
      <c r="M23" s="14">
        <f t="shared" si="0"/>
        <v>0</v>
      </c>
    </row>
  </sheetData>
  <mergeCells count="14">
    <mergeCell ref="A1:M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theme="4" tint="-0.249977111117893"/>
  </sheetPr>
  <dimension ref="A1:AD15"/>
  <sheetViews>
    <sheetView tabSelected="1" workbookViewId="0">
      <pane xSplit="5" ySplit="3" topLeftCell="F4" activePane="bottomRight" state="frozen"/>
      <selection/>
      <selection pane="topRight"/>
      <selection pane="bottomLeft"/>
      <selection pane="bottomRight" activeCell="E8" sqref="E8"/>
    </sheetView>
  </sheetViews>
  <sheetFormatPr defaultColWidth="8.89090909090909" defaultRowHeight="14"/>
  <cols>
    <col min="1" max="1" width="8.78181818181818" style="1" customWidth="1"/>
    <col min="2" max="2" width="13.8909090909091" style="1" customWidth="1"/>
    <col min="3" max="3" width="23.7818181818182" style="1" customWidth="1"/>
    <col min="4" max="4" width="13.8909090909091" style="1" customWidth="1"/>
    <col min="5" max="5" width="15.5545454545455" style="1" customWidth="1"/>
    <col min="6" max="6" width="6.44545454545455" style="1" customWidth="1"/>
    <col min="7" max="7" width="12.5545454545455" style="1" customWidth="1"/>
    <col min="8" max="8" width="11.7818181818182" style="1" customWidth="1"/>
    <col min="9" max="9" width="13.1090909090909" style="1" customWidth="1"/>
    <col min="10" max="29" width="11.2181818181818" style="1" customWidth="1"/>
    <col min="30" max="30" width="84.8909090909091" style="1" customWidth="1"/>
  </cols>
  <sheetData>
    <row r="1" s="44" customFormat="1" ht="20" customHeight="1" spans="1:30">
      <c r="A1" s="85" t="s">
        <v>276</v>
      </c>
      <c r="B1" s="109"/>
      <c r="C1" s="109"/>
      <c r="D1" s="109"/>
      <c r="E1" s="109"/>
      <c r="F1" s="109"/>
      <c r="G1" s="109"/>
      <c r="H1" s="109"/>
      <c r="I1" s="109"/>
      <c r="J1" s="109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="44" customFormat="1" ht="16.5" customHeight="1" spans="1:30">
      <c r="A2" s="110" t="s">
        <v>1</v>
      </c>
      <c r="B2" s="110" t="s">
        <v>183</v>
      </c>
      <c r="C2" s="110" t="s">
        <v>277</v>
      </c>
      <c r="D2" s="110" t="s">
        <v>278</v>
      </c>
      <c r="E2" s="110" t="s">
        <v>279</v>
      </c>
      <c r="F2" s="111" t="s">
        <v>280</v>
      </c>
      <c r="G2" s="112"/>
      <c r="H2" s="112"/>
      <c r="I2" s="112"/>
      <c r="J2" s="11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="44" customFormat="1" ht="66" customHeight="1" spans="1:30">
      <c r="A3" s="8"/>
      <c r="B3" s="8"/>
      <c r="C3" s="69" t="s">
        <v>281</v>
      </c>
      <c r="D3" s="69" t="s">
        <v>282</v>
      </c>
      <c r="E3" s="69" t="s">
        <v>283</v>
      </c>
      <c r="F3" s="24">
        <v>2025</v>
      </c>
      <c r="G3" s="24">
        <v>2026</v>
      </c>
      <c r="H3" s="24">
        <v>2027</v>
      </c>
      <c r="I3" s="24">
        <v>2028</v>
      </c>
      <c r="J3" s="24">
        <v>2029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="44" customFormat="1" ht="16.5" customHeight="1" spans="1:30">
      <c r="A4" s="13" t="s">
        <v>284</v>
      </c>
      <c r="B4" s="8" t="s">
        <v>285</v>
      </c>
      <c r="C4" s="113">
        <f>E.4建设投资税后金额表!I4+E.4建设投资税后金额表!I9+E.4建设投资税后金额表!I13+E.4建设投资税后金额表!I15+E.4建设投资税后金额表!J4+E.4建设投资税后金额表!J9+E.4建设投资税后金额表!J13+E.4建设投资税后金额表!J15+c借款还本付息计划表!D47+c借款还本付息计划表!D46+c借款还本付息计划表!E47+c借款还本付息计划表!E46</f>
        <v>9403.84926592759</v>
      </c>
      <c r="D4" s="114">
        <f>1/B项目信息!$D$8*100%</f>
        <v>0.0454545454545455</v>
      </c>
      <c r="E4" s="104">
        <f>C4*(1-A财务假设!$D$12)*D4</f>
        <v>406.07530921051</v>
      </c>
      <c r="F4" s="104"/>
      <c r="G4" s="115"/>
      <c r="H4" s="113">
        <f>$C4-$E4*(H3-$G$3)</f>
        <v>8997.77395671708</v>
      </c>
      <c r="I4" s="113">
        <f>$C4-$E4*(I3-$G$3)</f>
        <v>8591.69864750658</v>
      </c>
      <c r="J4" s="113">
        <f>$C4-$E4*(J3-$G$3)</f>
        <v>8185.62333829607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="44" customFormat="1" ht="16.5" customHeight="1" spans="1:30">
      <c r="A5" s="13" t="s">
        <v>286</v>
      </c>
      <c r="B5" s="8" t="s">
        <v>285</v>
      </c>
      <c r="C5" s="113">
        <f>E.4建设投资税后金额表!K4+E.4建设投资税后金额表!K9+E.4建设投资税后金额表!K13+E.4建设投资税后金额表!K15+E.4建设投资税后金额表!L4+E.4建设投资税后金额表!L9+E.4建设投资税后金额表!L13+E.4建设投资税后金额表!L15+c借款还本付息计划表!F47+c借款还本付息计划表!F46+c借款还本付息计划表!G47+c借款还本付息计划表!G46</f>
        <v>12797.7562660129</v>
      </c>
      <c r="D5" s="114">
        <f>1/B项目信息!$D$14*100%</f>
        <v>0.05</v>
      </c>
      <c r="E5" s="104">
        <f>C5*(1-A财务假设!$D$12)*D5</f>
        <v>607.893422635611</v>
      </c>
      <c r="F5" s="104"/>
      <c r="G5" s="115"/>
      <c r="H5" s="113"/>
      <c r="I5" s="113"/>
      <c r="J5" s="113">
        <f>$C5-$E5*(J3-$I$3)</f>
        <v>12189.8628433772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="44" customFormat="1" ht="16.5" customHeight="1" spans="1:30">
      <c r="A6" s="8" t="s">
        <v>287</v>
      </c>
      <c r="B6" s="8" t="s">
        <v>285</v>
      </c>
      <c r="C6" s="70">
        <f>SUM(C4:C5)</f>
        <v>22201.6055319405</v>
      </c>
      <c r="D6" s="27" t="s">
        <v>161</v>
      </c>
      <c r="E6" s="70">
        <f>SUM(E4:E5)</f>
        <v>1013.96873184612</v>
      </c>
      <c r="F6" s="70">
        <f>SUM(F4:F5)</f>
        <v>0</v>
      </c>
      <c r="G6" s="70">
        <f>SUM(G4:G5)</f>
        <v>0</v>
      </c>
      <c r="H6" s="70">
        <f>SUM(H4:H5)</f>
        <v>8997.77395671708</v>
      </c>
      <c r="I6" s="70">
        <f>SUM(I4:I5)</f>
        <v>8591.69864750658</v>
      </c>
      <c r="J6" s="70">
        <f>SUM(J4:J5)</f>
        <v>20375.4861816733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ht="16.5" customHeight="1" spans="1:30">
      <c r="A7" s="13" t="s">
        <v>284</v>
      </c>
      <c r="B7" s="8" t="s">
        <v>285</v>
      </c>
      <c r="C7" s="61"/>
      <c r="D7" s="61"/>
      <c r="E7" s="61"/>
      <c r="F7" s="61"/>
      <c r="G7" s="116">
        <f>IF(G4&lt;&gt;"",$E4,0)</f>
        <v>0</v>
      </c>
      <c r="H7" s="116">
        <f>IF(H4&lt;&gt;"",$E4,0)</f>
        <v>406.07530921051</v>
      </c>
      <c r="I7" s="116">
        <f>IF(I4&lt;&gt;"",$E4,0)</f>
        <v>406.07530921051</v>
      </c>
      <c r="J7" s="116">
        <f>IF(J4&lt;&gt;"",$E4,0)</f>
        <v>406.07530921051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ht="16.5" customHeight="1" spans="1:30">
      <c r="A8" s="13" t="s">
        <v>286</v>
      </c>
      <c r="B8" s="8" t="s">
        <v>285</v>
      </c>
      <c r="C8" s="61"/>
      <c r="D8" s="61"/>
      <c r="E8" s="61"/>
      <c r="F8" s="61"/>
      <c r="G8" s="116">
        <f>IF(G5&lt;&gt;"",$E5,0)</f>
        <v>0</v>
      </c>
      <c r="H8" s="116">
        <f>IF(H5&lt;&gt;"",$E5,0)</f>
        <v>0</v>
      </c>
      <c r="I8" s="116">
        <f>IF(I5&lt;&gt;"",$E5,0)</f>
        <v>0</v>
      </c>
      <c r="J8" s="116">
        <f>IF(J5&lt;&gt;"",$E5,0)</f>
        <v>607.893422635611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ht="16.5" customHeight="1" spans="1:30">
      <c r="A9" s="8" t="s">
        <v>288</v>
      </c>
      <c r="B9" s="8" t="s">
        <v>285</v>
      </c>
      <c r="C9" s="61"/>
      <c r="D9" s="61"/>
      <c r="E9" s="61">
        <f>SUM(F9:AC9)</f>
        <v>1826.11935026714</v>
      </c>
      <c r="F9" s="61">
        <f>F7+F8</f>
        <v>0</v>
      </c>
      <c r="G9" s="61">
        <f>G7+G8</f>
        <v>0</v>
      </c>
      <c r="H9" s="61">
        <f>H7+H8</f>
        <v>406.07530921051</v>
      </c>
      <c r="I9" s="61">
        <f>I7+I8</f>
        <v>406.07530921051</v>
      </c>
      <c r="J9" s="61">
        <f>J7+J8</f>
        <v>1013.96873184612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1:29"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</row>
    <row r="15" spans="3:3">
      <c r="C15"/>
    </row>
  </sheetData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theme="4" tint="-0.249977111117893"/>
  </sheetPr>
  <dimension ref="A1:AD37"/>
  <sheetViews>
    <sheetView zoomScale="70" zoomScaleNormal="70" workbookViewId="0">
      <pane xSplit="5" ySplit="3" topLeftCell="F4" activePane="bottomRight" state="frozen"/>
      <selection/>
      <selection pane="topRight"/>
      <selection pane="bottomLeft"/>
      <selection pane="bottomRight" activeCell="F18" sqref="F18"/>
    </sheetView>
  </sheetViews>
  <sheetFormatPr defaultColWidth="8.89090909090909" defaultRowHeight="16.5"/>
  <cols>
    <col min="1" max="1" width="9.21818181818182" style="44" customWidth="1"/>
    <col min="2" max="2" width="21.6636363636364" style="44" customWidth="1"/>
    <col min="3" max="3" width="33" style="44" customWidth="1"/>
    <col min="4" max="4" width="14.7818181818182" style="44" customWidth="1"/>
    <col min="5" max="5" width="15.4454545454545" style="44" customWidth="1"/>
    <col min="6" max="7" width="6.55454545454545" style="44" customWidth="1"/>
    <col min="8" max="11" width="10" style="101" customWidth="1"/>
    <col min="12" max="15" width="12.2181818181818" style="101" customWidth="1"/>
    <col min="16" max="19" width="12.5545454545455" style="101" customWidth="1"/>
    <col min="20" max="23" width="14.8909090909091" style="101" customWidth="1"/>
    <col min="24" max="27" width="15.2181818181818" style="101" customWidth="1"/>
    <col min="28" max="29" width="17.5545454545455" style="101" customWidth="1"/>
    <col min="30" max="30" width="142.445454545455" style="44" customWidth="1"/>
    <col min="31" max="16384" width="8.89090909090909" style="44" customWidth="1"/>
  </cols>
  <sheetData>
    <row r="1" ht="22.5" customHeight="1" spans="1:30">
      <c r="A1" s="56" t="s">
        <v>289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4"/>
      <c r="Z1" s="107"/>
      <c r="AA1" s="107"/>
      <c r="AB1" s="107"/>
      <c r="AC1" s="107"/>
      <c r="AD1"/>
    </row>
    <row r="2" spans="1:30">
      <c r="A2" s="5" t="s">
        <v>1</v>
      </c>
      <c r="B2" s="5" t="s">
        <v>183</v>
      </c>
      <c r="C2" s="5" t="s">
        <v>277</v>
      </c>
      <c r="D2" s="5" t="s">
        <v>278</v>
      </c>
      <c r="E2" s="5" t="s">
        <v>279</v>
      </c>
      <c r="F2" s="5" t="s">
        <v>290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4"/>
      <c r="Z2" s="108"/>
      <c r="AA2" s="108"/>
      <c r="AB2" s="108"/>
      <c r="AC2" s="108"/>
      <c r="AD2"/>
    </row>
    <row r="3" ht="66" customHeight="1" spans="1:30">
      <c r="A3" s="8"/>
      <c r="B3" s="8"/>
      <c r="C3" s="34" t="s">
        <v>291</v>
      </c>
      <c r="D3" s="102" t="s">
        <v>282</v>
      </c>
      <c r="E3" s="34" t="s">
        <v>292</v>
      </c>
      <c r="F3" s="24">
        <v>2025</v>
      </c>
      <c r="G3" s="24">
        <v>2026</v>
      </c>
      <c r="H3" s="24">
        <v>2027</v>
      </c>
      <c r="I3" s="24">
        <v>2028</v>
      </c>
      <c r="J3" s="24">
        <v>2029</v>
      </c>
      <c r="K3" s="24">
        <v>2030</v>
      </c>
      <c r="L3" s="24">
        <v>2031</v>
      </c>
      <c r="M3" s="24">
        <v>2032</v>
      </c>
      <c r="N3" s="24">
        <v>2033</v>
      </c>
      <c r="O3" s="24">
        <v>2034</v>
      </c>
      <c r="P3" s="24">
        <v>2035</v>
      </c>
      <c r="Q3" s="24">
        <v>2036</v>
      </c>
      <c r="R3" s="24">
        <v>2037</v>
      </c>
      <c r="S3" s="24">
        <v>2038</v>
      </c>
      <c r="T3" s="24">
        <v>2039</v>
      </c>
      <c r="U3" s="24">
        <v>2040</v>
      </c>
      <c r="V3" s="24">
        <v>2041</v>
      </c>
      <c r="W3" s="24">
        <v>2042</v>
      </c>
      <c r="X3" s="24">
        <v>2043</v>
      </c>
      <c r="Y3" s="24">
        <v>2044</v>
      </c>
      <c r="Z3" s="24">
        <v>2045</v>
      </c>
      <c r="AA3" s="24">
        <v>2046</v>
      </c>
      <c r="AB3" s="24">
        <v>2047</v>
      </c>
      <c r="AC3" s="24">
        <v>2048</v>
      </c>
      <c r="AD3"/>
    </row>
    <row r="4" spans="1:30">
      <c r="A4" s="13" t="s">
        <v>284</v>
      </c>
      <c r="B4" s="103" t="s">
        <v>293</v>
      </c>
      <c r="C4" s="104">
        <f>C5+C9</f>
        <v>3141.50943396226</v>
      </c>
      <c r="D4" s="102" t="s">
        <v>161</v>
      </c>
      <c r="E4" s="70">
        <f>E5+E9</f>
        <v>142.795883361921</v>
      </c>
      <c r="F4" s="70"/>
      <c r="G4" s="70"/>
      <c r="H4" s="70">
        <f t="shared" ref="H4:AC4" si="0">H5+H9</f>
        <v>142.795883361921</v>
      </c>
      <c r="I4" s="70">
        <f t="shared" si="0"/>
        <v>142.795883361921</v>
      </c>
      <c r="J4" s="70">
        <f t="shared" si="0"/>
        <v>142.795883361921</v>
      </c>
      <c r="K4" s="70">
        <f t="shared" si="0"/>
        <v>142.795883361921</v>
      </c>
      <c r="L4" s="70">
        <f t="shared" si="0"/>
        <v>142.795883361921</v>
      </c>
      <c r="M4" s="70">
        <f t="shared" si="0"/>
        <v>142.795883361921</v>
      </c>
      <c r="N4" s="70">
        <f t="shared" si="0"/>
        <v>142.795883361921</v>
      </c>
      <c r="O4" s="70">
        <f t="shared" si="0"/>
        <v>142.795883361921</v>
      </c>
      <c r="P4" s="70">
        <f t="shared" si="0"/>
        <v>142.795883361921</v>
      </c>
      <c r="Q4" s="70">
        <f t="shared" si="0"/>
        <v>142.795883361921</v>
      </c>
      <c r="R4" s="70">
        <f t="shared" si="0"/>
        <v>142.795883361921</v>
      </c>
      <c r="S4" s="70">
        <f t="shared" si="0"/>
        <v>142.795883361921</v>
      </c>
      <c r="T4" s="70">
        <f t="shared" si="0"/>
        <v>142.795883361921</v>
      </c>
      <c r="U4" s="70">
        <f t="shared" si="0"/>
        <v>142.795883361921</v>
      </c>
      <c r="V4" s="70">
        <f t="shared" si="0"/>
        <v>142.795883361921</v>
      </c>
      <c r="W4" s="70">
        <f t="shared" si="0"/>
        <v>142.795883361921</v>
      </c>
      <c r="X4" s="70">
        <f t="shared" si="0"/>
        <v>142.795883361921</v>
      </c>
      <c r="Y4" s="70">
        <f t="shared" si="0"/>
        <v>142.795883361921</v>
      </c>
      <c r="Z4" s="70">
        <f t="shared" si="0"/>
        <v>142.795883361921</v>
      </c>
      <c r="AA4" s="70">
        <f t="shared" si="0"/>
        <v>142.795883361921</v>
      </c>
      <c r="AB4" s="70">
        <f t="shared" si="0"/>
        <v>142.795883361921</v>
      </c>
      <c r="AC4" s="70">
        <f t="shared" si="0"/>
        <v>142.795883361921</v>
      </c>
      <c r="AD4"/>
    </row>
    <row r="5" spans="1:30">
      <c r="A5" s="8">
        <v>1.1</v>
      </c>
      <c r="B5" s="8" t="s">
        <v>294</v>
      </c>
      <c r="C5" s="14">
        <f>SUM(C6:C8)</f>
        <v>3141.50943396226</v>
      </c>
      <c r="D5" s="105" t="s">
        <v>161</v>
      </c>
      <c r="E5" s="14">
        <f>SUM(E6:E8)</f>
        <v>142.795883361921</v>
      </c>
      <c r="F5" s="14"/>
      <c r="G5" s="14"/>
      <c r="H5" s="14">
        <f t="shared" ref="H5:AC5" si="1">SUM(H6:H8)</f>
        <v>142.795883361921</v>
      </c>
      <c r="I5" s="14">
        <f t="shared" si="1"/>
        <v>142.795883361921</v>
      </c>
      <c r="J5" s="14">
        <f t="shared" si="1"/>
        <v>142.795883361921</v>
      </c>
      <c r="K5" s="14">
        <f t="shared" si="1"/>
        <v>142.795883361921</v>
      </c>
      <c r="L5" s="14">
        <f t="shared" si="1"/>
        <v>142.795883361921</v>
      </c>
      <c r="M5" s="14">
        <f t="shared" si="1"/>
        <v>142.795883361921</v>
      </c>
      <c r="N5" s="14">
        <f t="shared" si="1"/>
        <v>142.795883361921</v>
      </c>
      <c r="O5" s="14">
        <f t="shared" si="1"/>
        <v>142.795883361921</v>
      </c>
      <c r="P5" s="14">
        <f t="shared" si="1"/>
        <v>142.795883361921</v>
      </c>
      <c r="Q5" s="14">
        <f t="shared" si="1"/>
        <v>142.795883361921</v>
      </c>
      <c r="R5" s="14">
        <f t="shared" si="1"/>
        <v>142.795883361921</v>
      </c>
      <c r="S5" s="14">
        <f t="shared" si="1"/>
        <v>142.795883361921</v>
      </c>
      <c r="T5" s="14">
        <f t="shared" si="1"/>
        <v>142.795883361921</v>
      </c>
      <c r="U5" s="14">
        <f t="shared" si="1"/>
        <v>142.795883361921</v>
      </c>
      <c r="V5" s="14">
        <f t="shared" si="1"/>
        <v>142.795883361921</v>
      </c>
      <c r="W5" s="14">
        <f t="shared" si="1"/>
        <v>142.795883361921</v>
      </c>
      <c r="X5" s="14">
        <f t="shared" si="1"/>
        <v>142.795883361921</v>
      </c>
      <c r="Y5" s="14">
        <f t="shared" si="1"/>
        <v>142.795883361921</v>
      </c>
      <c r="Z5" s="14">
        <f t="shared" si="1"/>
        <v>142.795883361921</v>
      </c>
      <c r="AA5" s="14">
        <f t="shared" si="1"/>
        <v>142.795883361921</v>
      </c>
      <c r="AB5" s="14">
        <f t="shared" si="1"/>
        <v>142.795883361921</v>
      </c>
      <c r="AC5" s="14">
        <f t="shared" si="1"/>
        <v>142.795883361921</v>
      </c>
      <c r="AD5"/>
    </row>
    <row r="6" spans="1:30">
      <c r="A6" s="8" t="s">
        <v>295</v>
      </c>
      <c r="B6" s="8" t="s">
        <v>296</v>
      </c>
      <c r="C6" s="37">
        <v>0</v>
      </c>
      <c r="D6" s="83">
        <f>$D$8</f>
        <v>0.0454545454545455</v>
      </c>
      <c r="E6" s="14">
        <f>C6*D6</f>
        <v>0</v>
      </c>
      <c r="F6" s="14"/>
      <c r="G6" s="14"/>
      <c r="H6" s="37">
        <f>$C6-$E6*(H$3-$F$3)</f>
        <v>0</v>
      </c>
      <c r="I6" s="37">
        <f>$C6-$E6*(I$3-$F$3)</f>
        <v>0</v>
      </c>
      <c r="J6" s="37">
        <f>$C6-$E6*(J$3-$F$3)</f>
        <v>0</v>
      </c>
      <c r="K6" s="37">
        <f>$C6-$E6*(K$3-$F$3)</f>
        <v>0</v>
      </c>
      <c r="L6" s="37">
        <f>$C6-$E6*(L$3-$F$3)</f>
        <v>0</v>
      </c>
      <c r="M6" s="37">
        <f>$C6-$E6*(M$3-$F$3)</f>
        <v>0</v>
      </c>
      <c r="N6" s="37">
        <f>$C6-$E6*(N$3-$F$3)</f>
        <v>0</v>
      </c>
      <c r="O6" s="37">
        <f>$C6-$E6*(O$3-$F$3)</f>
        <v>0</v>
      </c>
      <c r="P6" s="37">
        <f>$C6-$E6*(P$3-$F$3)</f>
        <v>0</v>
      </c>
      <c r="Q6" s="37">
        <f>$C6-$E6*(Q$3-$F$3)</f>
        <v>0</v>
      </c>
      <c r="R6" s="37">
        <f>$C6-$E6*(R$3-$F$3)</f>
        <v>0</v>
      </c>
      <c r="S6" s="37">
        <f>$C6-$E6*(S$3-$F$3)</f>
        <v>0</v>
      </c>
      <c r="T6" s="37">
        <f>$C6-$E6*(T$3-$F$3)</f>
        <v>0</v>
      </c>
      <c r="U6" s="37">
        <f>$C6-$E6*(U$3-$F$3)</f>
        <v>0</v>
      </c>
      <c r="V6" s="37">
        <f>$C6-$E6*(V$3-$F$3)</f>
        <v>0</v>
      </c>
      <c r="W6" s="37">
        <f>$C6-$E6*(W$3-$F$3)</f>
        <v>0</v>
      </c>
      <c r="X6" s="37">
        <f>$C6-$E6*(X$3-$F$3)</f>
        <v>0</v>
      </c>
      <c r="Y6" s="37">
        <f>$C6-$E6*(Y$3-$F$3)</f>
        <v>0</v>
      </c>
      <c r="Z6" s="37">
        <f>$C6-$E6*(Z$3-$F$3)</f>
        <v>0</v>
      </c>
      <c r="AA6" s="37">
        <f>$C6-$E6*(AA$3-$F$3)</f>
        <v>0</v>
      </c>
      <c r="AB6" s="37">
        <f>$C6-$E6*(AB$3-$F$3)</f>
        <v>0</v>
      </c>
      <c r="AC6" s="37">
        <f>$C6-$E6*(AC$3-$F$3)</f>
        <v>0</v>
      </c>
      <c r="AD6"/>
    </row>
    <row r="7" spans="1:30">
      <c r="A7" s="8" t="s">
        <v>297</v>
      </c>
      <c r="B7" s="8" t="s">
        <v>298</v>
      </c>
      <c r="C7" s="37">
        <v>0</v>
      </c>
      <c r="D7" s="83">
        <f>$D$8</f>
        <v>0.0454545454545455</v>
      </c>
      <c r="E7" s="14">
        <f>C7*D7</f>
        <v>0</v>
      </c>
      <c r="F7" s="14"/>
      <c r="G7" s="14"/>
      <c r="H7" s="37">
        <f>$C7-$E7*(H$3-$F$3)</f>
        <v>0</v>
      </c>
      <c r="I7" s="37">
        <f>$C7-$E7*(I$3-$F$3)</f>
        <v>0</v>
      </c>
      <c r="J7" s="37">
        <f>$C7-$E7*(J$3-$F$3)</f>
        <v>0</v>
      </c>
      <c r="K7" s="37">
        <f>$C7-$E7*(K$3-$F$3)</f>
        <v>0</v>
      </c>
      <c r="L7" s="37">
        <f>$C7-$E7*(L$3-$F$3)</f>
        <v>0</v>
      </c>
      <c r="M7" s="37">
        <f>$C7-$E7*(M$3-$F$3)</f>
        <v>0</v>
      </c>
      <c r="N7" s="37">
        <f>$C7-$E7*(N$3-$F$3)</f>
        <v>0</v>
      </c>
      <c r="O7" s="37">
        <f>$C7-$E7*(O$3-$F$3)</f>
        <v>0</v>
      </c>
      <c r="P7" s="37">
        <f>$C7-$E7*(P$3-$F$3)</f>
        <v>0</v>
      </c>
      <c r="Q7" s="37">
        <f>$C7-$E7*(Q$3-$F$3)</f>
        <v>0</v>
      </c>
      <c r="R7" s="37">
        <f>$C7-$E7*(R$3-$F$3)</f>
        <v>0</v>
      </c>
      <c r="S7" s="37">
        <f>$C7-$E7*(S$3-$F$3)</f>
        <v>0</v>
      </c>
      <c r="T7" s="37">
        <f>$C7-$E7*(T$3-$F$3)</f>
        <v>0</v>
      </c>
      <c r="U7" s="37">
        <f>$C7-$E7*(U$3-$F$3)</f>
        <v>0</v>
      </c>
      <c r="V7" s="37">
        <f>$C7-$E7*(V$3-$F$3)</f>
        <v>0</v>
      </c>
      <c r="W7" s="37">
        <f>$C7-$E7*(W$3-$F$3)</f>
        <v>0</v>
      </c>
      <c r="X7" s="37">
        <f>$C7-$E7*(X$3-$F$3)</f>
        <v>0</v>
      </c>
      <c r="Y7" s="37">
        <f>$C7-$E7*(Y$3-$F$3)</f>
        <v>0</v>
      </c>
      <c r="Z7" s="37">
        <f>$C7-$E7*(Z$3-$F$3)</f>
        <v>0</v>
      </c>
      <c r="AA7" s="37">
        <f>$C7-$E7*(AA$3-$F$3)</f>
        <v>0</v>
      </c>
      <c r="AB7" s="37">
        <f>$C7-$E7*(AB$3-$F$3)</f>
        <v>0</v>
      </c>
      <c r="AC7" s="37">
        <f>$C7-$E7*(AC$3-$F$3)</f>
        <v>0</v>
      </c>
      <c r="AD7"/>
    </row>
    <row r="8" spans="1:30">
      <c r="A8" s="8" t="s">
        <v>299</v>
      </c>
      <c r="B8" s="34" t="s">
        <v>300</v>
      </c>
      <c r="C8" s="75">
        <f>SUM(E.4建设投资税后金额表!I10:J10)</f>
        <v>3141.50943396226</v>
      </c>
      <c r="D8" s="83">
        <f>1/B项目信息!$D$8*100%</f>
        <v>0.0454545454545455</v>
      </c>
      <c r="E8" s="14">
        <f>C8*D8</f>
        <v>142.795883361921</v>
      </c>
      <c r="F8" s="14"/>
      <c r="G8" s="14"/>
      <c r="H8" s="37">
        <f>E8</f>
        <v>142.795883361921</v>
      </c>
      <c r="I8" s="37">
        <f t="shared" ref="I8:AC8" si="2">H8</f>
        <v>142.795883361921</v>
      </c>
      <c r="J8" s="37">
        <f t="shared" si="2"/>
        <v>142.795883361921</v>
      </c>
      <c r="K8" s="37">
        <f t="shared" si="2"/>
        <v>142.795883361921</v>
      </c>
      <c r="L8" s="37">
        <f t="shared" si="2"/>
        <v>142.795883361921</v>
      </c>
      <c r="M8" s="37">
        <f t="shared" si="2"/>
        <v>142.795883361921</v>
      </c>
      <c r="N8" s="37">
        <f t="shared" si="2"/>
        <v>142.795883361921</v>
      </c>
      <c r="O8" s="37">
        <f t="shared" si="2"/>
        <v>142.795883361921</v>
      </c>
      <c r="P8" s="37">
        <f t="shared" si="2"/>
        <v>142.795883361921</v>
      </c>
      <c r="Q8" s="37">
        <f t="shared" si="2"/>
        <v>142.795883361921</v>
      </c>
      <c r="R8" s="37">
        <f t="shared" si="2"/>
        <v>142.795883361921</v>
      </c>
      <c r="S8" s="37">
        <f t="shared" si="2"/>
        <v>142.795883361921</v>
      </c>
      <c r="T8" s="37">
        <f t="shared" si="2"/>
        <v>142.795883361921</v>
      </c>
      <c r="U8" s="37">
        <f t="shared" si="2"/>
        <v>142.795883361921</v>
      </c>
      <c r="V8" s="37">
        <f t="shared" si="2"/>
        <v>142.795883361921</v>
      </c>
      <c r="W8" s="37">
        <f t="shared" si="2"/>
        <v>142.795883361921</v>
      </c>
      <c r="X8" s="37">
        <f t="shared" si="2"/>
        <v>142.795883361921</v>
      </c>
      <c r="Y8" s="37">
        <f t="shared" si="2"/>
        <v>142.795883361921</v>
      </c>
      <c r="Z8" s="37">
        <f t="shared" si="2"/>
        <v>142.795883361921</v>
      </c>
      <c r="AA8" s="37">
        <f t="shared" si="2"/>
        <v>142.795883361921</v>
      </c>
      <c r="AB8" s="37">
        <f t="shared" si="2"/>
        <v>142.795883361921</v>
      </c>
      <c r="AC8" s="37">
        <f t="shared" si="2"/>
        <v>142.795883361921</v>
      </c>
      <c r="AD8"/>
    </row>
    <row r="9" spans="1:30">
      <c r="A9" s="8">
        <v>1.2</v>
      </c>
      <c r="B9" s="8" t="s">
        <v>301</v>
      </c>
      <c r="C9" s="14">
        <f>C10</f>
        <v>0</v>
      </c>
      <c r="D9" s="106" t="s">
        <v>161</v>
      </c>
      <c r="E9" s="14">
        <f>E10</f>
        <v>0</v>
      </c>
      <c r="F9" s="14"/>
      <c r="G9" s="14"/>
      <c r="H9" s="14">
        <f t="shared" ref="H9:AC9" si="3">H10</f>
        <v>0</v>
      </c>
      <c r="I9" s="14">
        <f t="shared" si="3"/>
        <v>0</v>
      </c>
      <c r="J9" s="14">
        <f t="shared" si="3"/>
        <v>0</v>
      </c>
      <c r="K9" s="14">
        <f t="shared" si="3"/>
        <v>0</v>
      </c>
      <c r="L9" s="14">
        <f t="shared" si="3"/>
        <v>0</v>
      </c>
      <c r="M9" s="14">
        <f t="shared" si="3"/>
        <v>0</v>
      </c>
      <c r="N9" s="14">
        <f t="shared" si="3"/>
        <v>0</v>
      </c>
      <c r="O9" s="14">
        <f t="shared" si="3"/>
        <v>0</v>
      </c>
      <c r="P9" s="14">
        <f t="shared" si="3"/>
        <v>0</v>
      </c>
      <c r="Q9" s="14">
        <f t="shared" si="3"/>
        <v>0</v>
      </c>
      <c r="R9" s="14">
        <f t="shared" si="3"/>
        <v>0</v>
      </c>
      <c r="S9" s="14">
        <f t="shared" si="3"/>
        <v>0</v>
      </c>
      <c r="T9" s="14">
        <f t="shared" si="3"/>
        <v>0</v>
      </c>
      <c r="U9" s="14">
        <f t="shared" si="3"/>
        <v>0</v>
      </c>
      <c r="V9" s="14">
        <f t="shared" si="3"/>
        <v>0</v>
      </c>
      <c r="W9" s="14">
        <f t="shared" si="3"/>
        <v>0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 t="shared" si="3"/>
        <v>0</v>
      </c>
      <c r="AC9" s="14">
        <f t="shared" si="3"/>
        <v>0</v>
      </c>
      <c r="AD9"/>
    </row>
    <row r="10" spans="1:30">
      <c r="A10" s="8" t="s">
        <v>189</v>
      </c>
      <c r="B10" s="8" t="s">
        <v>302</v>
      </c>
      <c r="C10" s="37">
        <v>0</v>
      </c>
      <c r="D10" s="83">
        <f>$D$8</f>
        <v>0.0454545454545455</v>
      </c>
      <c r="E10" s="14">
        <f>C10*D10</f>
        <v>0</v>
      </c>
      <c r="F10" s="14"/>
      <c r="G10" s="14"/>
      <c r="H10" s="37">
        <f>$C10-$E10*(H$3-$F$3)</f>
        <v>0</v>
      </c>
      <c r="I10" s="37">
        <f>$C10-$E10*(I$3-$F$3)</f>
        <v>0</v>
      </c>
      <c r="J10" s="37">
        <f>$C10-$E10*(J$3-$F$3)</f>
        <v>0</v>
      </c>
      <c r="K10" s="37">
        <f>$C10-$E10*(K$3-$F$3)</f>
        <v>0</v>
      </c>
      <c r="L10" s="37">
        <f>$C10-$E10*(L$3-$F$3)</f>
        <v>0</v>
      </c>
      <c r="M10" s="37">
        <f>$C10-$E10*(M$3-$F$3)</f>
        <v>0</v>
      </c>
      <c r="N10" s="37">
        <f>$C10-$E10*(N$3-$F$3)</f>
        <v>0</v>
      </c>
      <c r="O10" s="37">
        <f>$C10-$E10*(O$3-$F$3)</f>
        <v>0</v>
      </c>
      <c r="P10" s="37">
        <f>$C10-$E10*(P$3-$F$3)</f>
        <v>0</v>
      </c>
      <c r="Q10" s="37">
        <f>$C10-$E10*(Q$3-$F$3)</f>
        <v>0</v>
      </c>
      <c r="R10" s="37">
        <f>$C10-$E10*(R$3-$F$3)</f>
        <v>0</v>
      </c>
      <c r="S10" s="37">
        <f>$C10-$E10*(S$3-$F$3)</f>
        <v>0</v>
      </c>
      <c r="T10" s="37">
        <f>$C10-$E10*(T$3-$F$3)</f>
        <v>0</v>
      </c>
      <c r="U10" s="37">
        <f>$C10-$E10*(U$3-$F$3)</f>
        <v>0</v>
      </c>
      <c r="V10" s="37">
        <f>$C10-$E10*(V$3-$F$3)</f>
        <v>0</v>
      </c>
      <c r="W10" s="37">
        <f>$C10-$E10*(W$3-$F$3)</f>
        <v>0</v>
      </c>
      <c r="X10" s="37">
        <f>$C10-$E10*(X$3-$F$3)</f>
        <v>0</v>
      </c>
      <c r="Y10" s="37">
        <f>$C10-$E10*(Y$3-$F$3)</f>
        <v>0</v>
      </c>
      <c r="Z10" s="37">
        <f>$C10-$E10*(Z$3-$F$3)</f>
        <v>0</v>
      </c>
      <c r="AA10" s="37">
        <f>$C10-$E10*(AA$3-$F$3)</f>
        <v>0</v>
      </c>
      <c r="AB10" s="37">
        <f>$C10-$E10*(AB$3-$F$3)</f>
        <v>0</v>
      </c>
      <c r="AC10" s="37">
        <f>$C10-$E10*(AC$3-$F$3)</f>
        <v>0</v>
      </c>
      <c r="AD10"/>
    </row>
    <row r="11" spans="1:30">
      <c r="A11" s="13" t="s">
        <v>286</v>
      </c>
      <c r="B11" s="103" t="s">
        <v>303</v>
      </c>
      <c r="C11" s="14">
        <f>C12+C16</f>
        <v>1518.8679245283</v>
      </c>
      <c r="D11" s="38"/>
      <c r="E11" s="14">
        <f>E12+E16</f>
        <v>75.9433962264151</v>
      </c>
      <c r="F11" s="14"/>
      <c r="G11" s="14"/>
      <c r="H11" s="14">
        <f t="shared" ref="H11:AC11" si="4">H12+H16</f>
        <v>0</v>
      </c>
      <c r="I11" s="14">
        <f t="shared" si="4"/>
        <v>0</v>
      </c>
      <c r="J11" s="14">
        <f t="shared" si="4"/>
        <v>75.9433962264151</v>
      </c>
      <c r="K11" s="14">
        <f t="shared" si="4"/>
        <v>75.9433962264151</v>
      </c>
      <c r="L11" s="14">
        <f t="shared" si="4"/>
        <v>75.9433962264151</v>
      </c>
      <c r="M11" s="14">
        <f t="shared" si="4"/>
        <v>75.9433962264151</v>
      </c>
      <c r="N11" s="14">
        <f t="shared" si="4"/>
        <v>75.9433962264151</v>
      </c>
      <c r="O11" s="14">
        <f t="shared" si="4"/>
        <v>75.9433962264151</v>
      </c>
      <c r="P11" s="14">
        <f t="shared" si="4"/>
        <v>75.9433962264151</v>
      </c>
      <c r="Q11" s="14">
        <f t="shared" si="4"/>
        <v>75.9433962264151</v>
      </c>
      <c r="R11" s="14">
        <f t="shared" si="4"/>
        <v>75.9433962264151</v>
      </c>
      <c r="S11" s="14">
        <f t="shared" si="4"/>
        <v>75.9433962264151</v>
      </c>
      <c r="T11" s="14">
        <f t="shared" si="4"/>
        <v>75.9433962264151</v>
      </c>
      <c r="U11" s="14">
        <f t="shared" si="4"/>
        <v>75.9433962264151</v>
      </c>
      <c r="V11" s="14">
        <f t="shared" si="4"/>
        <v>75.9433962264151</v>
      </c>
      <c r="W11" s="14">
        <f t="shared" si="4"/>
        <v>75.9433962264151</v>
      </c>
      <c r="X11" s="14">
        <f t="shared" si="4"/>
        <v>75.9433962264151</v>
      </c>
      <c r="Y11" s="14">
        <f t="shared" si="4"/>
        <v>75.9433962264151</v>
      </c>
      <c r="Z11" s="14">
        <f t="shared" si="4"/>
        <v>75.9433962264151</v>
      </c>
      <c r="AA11" s="14">
        <f t="shared" si="4"/>
        <v>75.9433962264151</v>
      </c>
      <c r="AB11" s="14">
        <f t="shared" si="4"/>
        <v>75.9433962264151</v>
      </c>
      <c r="AC11" s="14">
        <f t="shared" si="4"/>
        <v>75.9433962264151</v>
      </c>
      <c r="AD11"/>
    </row>
    <row r="12" spans="1:30">
      <c r="A12" s="8">
        <v>2.1</v>
      </c>
      <c r="B12" s="8" t="s">
        <v>294</v>
      </c>
      <c r="C12" s="14">
        <f>SUM(C13:C15)</f>
        <v>1518.8679245283</v>
      </c>
      <c r="D12" s="38" t="s">
        <v>161</v>
      </c>
      <c r="E12" s="14">
        <f>SUM(E13:E15)</f>
        <v>75.9433962264151</v>
      </c>
      <c r="F12" s="14"/>
      <c r="G12" s="14"/>
      <c r="H12" s="14"/>
      <c r="I12" s="37"/>
      <c r="J12" s="37">
        <f t="shared" ref="J12:AC12" si="5">SUM(J13:J15)</f>
        <v>75.9433962264151</v>
      </c>
      <c r="K12" s="37">
        <f t="shared" si="5"/>
        <v>75.9433962264151</v>
      </c>
      <c r="L12" s="37">
        <f t="shared" si="5"/>
        <v>75.9433962264151</v>
      </c>
      <c r="M12" s="37">
        <f t="shared" si="5"/>
        <v>75.9433962264151</v>
      </c>
      <c r="N12" s="37">
        <f t="shared" si="5"/>
        <v>75.9433962264151</v>
      </c>
      <c r="O12" s="37">
        <f t="shared" si="5"/>
        <v>75.9433962264151</v>
      </c>
      <c r="P12" s="37">
        <f t="shared" si="5"/>
        <v>75.9433962264151</v>
      </c>
      <c r="Q12" s="37">
        <f t="shared" si="5"/>
        <v>75.9433962264151</v>
      </c>
      <c r="R12" s="37">
        <f t="shared" si="5"/>
        <v>75.9433962264151</v>
      </c>
      <c r="S12" s="37">
        <f t="shared" si="5"/>
        <v>75.9433962264151</v>
      </c>
      <c r="T12" s="37">
        <f t="shared" si="5"/>
        <v>75.9433962264151</v>
      </c>
      <c r="U12" s="37">
        <f t="shared" si="5"/>
        <v>75.9433962264151</v>
      </c>
      <c r="V12" s="37">
        <f t="shared" si="5"/>
        <v>75.9433962264151</v>
      </c>
      <c r="W12" s="37">
        <f t="shared" si="5"/>
        <v>75.9433962264151</v>
      </c>
      <c r="X12" s="37">
        <f t="shared" si="5"/>
        <v>75.9433962264151</v>
      </c>
      <c r="Y12" s="37">
        <f t="shared" si="5"/>
        <v>75.9433962264151</v>
      </c>
      <c r="Z12" s="37">
        <f t="shared" si="5"/>
        <v>75.9433962264151</v>
      </c>
      <c r="AA12" s="37">
        <f t="shared" si="5"/>
        <v>75.9433962264151</v>
      </c>
      <c r="AB12" s="37">
        <f t="shared" si="5"/>
        <v>75.9433962264151</v>
      </c>
      <c r="AC12" s="37">
        <f t="shared" si="5"/>
        <v>75.9433962264151</v>
      </c>
      <c r="AD12"/>
    </row>
    <row r="13" spans="1:30">
      <c r="A13" s="8" t="s">
        <v>149</v>
      </c>
      <c r="B13" s="8" t="s">
        <v>296</v>
      </c>
      <c r="C13" s="37">
        <v>0</v>
      </c>
      <c r="D13" s="83">
        <f>$D$15</f>
        <v>0.05</v>
      </c>
      <c r="E13" s="14">
        <f>C13*D13</f>
        <v>0</v>
      </c>
      <c r="F13" s="14"/>
      <c r="G13" s="14"/>
      <c r="H13" s="14"/>
      <c r="I13" s="37"/>
      <c r="J13" s="37">
        <f>$C13-$E13*(J$3-$I$3)</f>
        <v>0</v>
      </c>
      <c r="K13" s="37">
        <f>$C13-$E13*(K$3-$I$3)</f>
        <v>0</v>
      </c>
      <c r="L13" s="37">
        <f>$C13-$E13*(L$3-$I$3)</f>
        <v>0</v>
      </c>
      <c r="M13" s="37">
        <f>$C13-$E13*(M$3-$I$3)</f>
        <v>0</v>
      </c>
      <c r="N13" s="37">
        <f>$C13-$E13*(N$3-$I$3)</f>
        <v>0</v>
      </c>
      <c r="O13" s="37">
        <f>$C13-$E13*(O$3-$I$3)</f>
        <v>0</v>
      </c>
      <c r="P13" s="37">
        <f>$C13-$E13*(P$3-$I$3)</f>
        <v>0</v>
      </c>
      <c r="Q13" s="37">
        <f>$C13-$E13*(Q$3-$I$3)</f>
        <v>0</v>
      </c>
      <c r="R13" s="37">
        <f>$C13-$E13*(R$3-$I$3)</f>
        <v>0</v>
      </c>
      <c r="S13" s="37">
        <f>$C13-$E13*(S$3-$I$3)</f>
        <v>0</v>
      </c>
      <c r="T13" s="37">
        <f>$C13-$E13*(T$3-$I$3)</f>
        <v>0</v>
      </c>
      <c r="U13" s="37">
        <f>$C13-$E13*(U$3-$I$3)</f>
        <v>0</v>
      </c>
      <c r="V13" s="37">
        <f>$C13-$E13*(V$3-$I$3)</f>
        <v>0</v>
      </c>
      <c r="W13" s="37">
        <f>$C13-$E13*(W$3-$I$3)</f>
        <v>0</v>
      </c>
      <c r="X13" s="37">
        <f>$C13-$E13*(X$3-$I$3)</f>
        <v>0</v>
      </c>
      <c r="Y13" s="37">
        <f>$C13-$E13*(Y$3-$I$3)</f>
        <v>0</v>
      </c>
      <c r="Z13" s="37">
        <f>$C13-$E13*(Z$3-$I$3)</f>
        <v>0</v>
      </c>
      <c r="AA13" s="37">
        <f>$C13-$E13*(AA$3-$I$3)</f>
        <v>0</v>
      </c>
      <c r="AB13" s="37">
        <f>$C13-$E13*(AB$3-$I$3)</f>
        <v>0</v>
      </c>
      <c r="AC13" s="37">
        <f>$C13-$E13*(AC$3-$I$3)</f>
        <v>0</v>
      </c>
      <c r="AD13"/>
    </row>
    <row r="14" spans="1:30">
      <c r="A14" s="8" t="s">
        <v>151</v>
      </c>
      <c r="B14" s="8" t="s">
        <v>298</v>
      </c>
      <c r="C14" s="37">
        <v>0</v>
      </c>
      <c r="D14" s="83">
        <f>$D$15</f>
        <v>0.05</v>
      </c>
      <c r="E14" s="14">
        <f>C14*D14</f>
        <v>0</v>
      </c>
      <c r="F14" s="14"/>
      <c r="G14" s="14"/>
      <c r="H14" s="14"/>
      <c r="I14" s="37"/>
      <c r="J14" s="37">
        <f>$C14-$E14*(J$3-$I$3)</f>
        <v>0</v>
      </c>
      <c r="K14" s="37">
        <f>$C14-$E14*(K$3-$I$3)</f>
        <v>0</v>
      </c>
      <c r="L14" s="37">
        <f>$C14-$E14*(L$3-$I$3)</f>
        <v>0</v>
      </c>
      <c r="M14" s="37">
        <f>$C14-$E14*(M$3-$I$3)</f>
        <v>0</v>
      </c>
      <c r="N14" s="37">
        <f>$C14-$E14*(N$3-$I$3)</f>
        <v>0</v>
      </c>
      <c r="O14" s="37">
        <f>$C14-$E14*(O$3-$I$3)</f>
        <v>0</v>
      </c>
      <c r="P14" s="37">
        <f>$C14-$E14*(P$3-$I$3)</f>
        <v>0</v>
      </c>
      <c r="Q14" s="37">
        <f>$C14-$E14*(Q$3-$I$3)</f>
        <v>0</v>
      </c>
      <c r="R14" s="37">
        <f>$C14-$E14*(R$3-$I$3)</f>
        <v>0</v>
      </c>
      <c r="S14" s="37">
        <f>$C14-$E14*(S$3-$I$3)</f>
        <v>0</v>
      </c>
      <c r="T14" s="37">
        <f>$C14-$E14*(T$3-$I$3)</f>
        <v>0</v>
      </c>
      <c r="U14" s="37">
        <f>$C14-$E14*(U$3-$I$3)</f>
        <v>0</v>
      </c>
      <c r="V14" s="37">
        <f>$C14-$E14*(V$3-$I$3)</f>
        <v>0</v>
      </c>
      <c r="W14" s="37">
        <f>$C14-$E14*(W$3-$I$3)</f>
        <v>0</v>
      </c>
      <c r="X14" s="37">
        <f>$C14-$E14*(X$3-$I$3)</f>
        <v>0</v>
      </c>
      <c r="Y14" s="37">
        <f>$C14-$E14*(Y$3-$I$3)</f>
        <v>0</v>
      </c>
      <c r="Z14" s="37">
        <f>$C14-$E14*(Z$3-$I$3)</f>
        <v>0</v>
      </c>
      <c r="AA14" s="37">
        <f>$C14-$E14*(AA$3-$I$3)</f>
        <v>0</v>
      </c>
      <c r="AB14" s="37">
        <f>$C14-$E14*(AB$3-$I$3)</f>
        <v>0</v>
      </c>
      <c r="AC14" s="37">
        <f>$C14-$E14*(AC$3-$I$3)</f>
        <v>0</v>
      </c>
      <c r="AD14"/>
    </row>
    <row r="15" spans="1:30">
      <c r="A15" s="8" t="s">
        <v>153</v>
      </c>
      <c r="B15" s="34" t="s">
        <v>300</v>
      </c>
      <c r="C15" s="37">
        <f>SUM(E.4建设投资税后金额表!K10:L10)</f>
        <v>1518.8679245283</v>
      </c>
      <c r="D15" s="83">
        <f>1/B项目信息!$D$14*100%</f>
        <v>0.05</v>
      </c>
      <c r="E15" s="14">
        <f>C15*D15</f>
        <v>75.9433962264151</v>
      </c>
      <c r="F15" s="14"/>
      <c r="G15" s="14"/>
      <c r="H15" s="14"/>
      <c r="I15" s="37"/>
      <c r="J15" s="37">
        <f>E15</f>
        <v>75.9433962264151</v>
      </c>
      <c r="K15" s="37">
        <f t="shared" ref="K15:AC15" si="6">J15</f>
        <v>75.9433962264151</v>
      </c>
      <c r="L15" s="37">
        <f t="shared" si="6"/>
        <v>75.9433962264151</v>
      </c>
      <c r="M15" s="37">
        <f t="shared" si="6"/>
        <v>75.9433962264151</v>
      </c>
      <c r="N15" s="37">
        <f t="shared" si="6"/>
        <v>75.9433962264151</v>
      </c>
      <c r="O15" s="37">
        <f t="shared" si="6"/>
        <v>75.9433962264151</v>
      </c>
      <c r="P15" s="37">
        <f t="shared" si="6"/>
        <v>75.9433962264151</v>
      </c>
      <c r="Q15" s="37">
        <f t="shared" si="6"/>
        <v>75.9433962264151</v>
      </c>
      <c r="R15" s="37">
        <f t="shared" si="6"/>
        <v>75.9433962264151</v>
      </c>
      <c r="S15" s="37">
        <f t="shared" si="6"/>
        <v>75.9433962264151</v>
      </c>
      <c r="T15" s="37">
        <f t="shared" si="6"/>
        <v>75.9433962264151</v>
      </c>
      <c r="U15" s="37">
        <f t="shared" si="6"/>
        <v>75.9433962264151</v>
      </c>
      <c r="V15" s="37">
        <f t="shared" si="6"/>
        <v>75.9433962264151</v>
      </c>
      <c r="W15" s="37">
        <f t="shared" si="6"/>
        <v>75.9433962264151</v>
      </c>
      <c r="X15" s="37">
        <f t="shared" si="6"/>
        <v>75.9433962264151</v>
      </c>
      <c r="Y15" s="37">
        <f t="shared" si="6"/>
        <v>75.9433962264151</v>
      </c>
      <c r="Z15" s="37">
        <f t="shared" si="6"/>
        <v>75.9433962264151</v>
      </c>
      <c r="AA15" s="37">
        <f t="shared" si="6"/>
        <v>75.9433962264151</v>
      </c>
      <c r="AB15" s="37">
        <f t="shared" si="6"/>
        <v>75.9433962264151</v>
      </c>
      <c r="AC15" s="37">
        <f t="shared" si="6"/>
        <v>75.9433962264151</v>
      </c>
      <c r="AD15"/>
    </row>
    <row r="16" spans="1:30">
      <c r="A16" s="8">
        <v>2.2</v>
      </c>
      <c r="B16" s="8" t="s">
        <v>301</v>
      </c>
      <c r="C16" s="14">
        <f>C17</f>
        <v>0</v>
      </c>
      <c r="D16" s="83"/>
      <c r="E16" s="14">
        <f>E17</f>
        <v>0</v>
      </c>
      <c r="F16" s="14"/>
      <c r="G16" s="14"/>
      <c r="H16" s="14"/>
      <c r="I16" s="14"/>
      <c r="J16" s="14">
        <f t="shared" ref="J16:AC16" si="7">J17</f>
        <v>0</v>
      </c>
      <c r="K16" s="14">
        <f t="shared" si="7"/>
        <v>0</v>
      </c>
      <c r="L16" s="14">
        <f t="shared" si="7"/>
        <v>0</v>
      </c>
      <c r="M16" s="14">
        <f t="shared" si="7"/>
        <v>0</v>
      </c>
      <c r="N16" s="14">
        <f t="shared" si="7"/>
        <v>0</v>
      </c>
      <c r="O16" s="14">
        <f t="shared" si="7"/>
        <v>0</v>
      </c>
      <c r="P16" s="14">
        <f t="shared" si="7"/>
        <v>0</v>
      </c>
      <c r="Q16" s="14">
        <f t="shared" si="7"/>
        <v>0</v>
      </c>
      <c r="R16" s="14">
        <f t="shared" si="7"/>
        <v>0</v>
      </c>
      <c r="S16" s="14">
        <f t="shared" si="7"/>
        <v>0</v>
      </c>
      <c r="T16" s="14">
        <f t="shared" si="7"/>
        <v>0</v>
      </c>
      <c r="U16" s="14">
        <f t="shared" si="7"/>
        <v>0</v>
      </c>
      <c r="V16" s="14">
        <f t="shared" si="7"/>
        <v>0</v>
      </c>
      <c r="W16" s="14">
        <f t="shared" si="7"/>
        <v>0</v>
      </c>
      <c r="X16" s="14">
        <f t="shared" si="7"/>
        <v>0</v>
      </c>
      <c r="Y16" s="14">
        <f t="shared" si="7"/>
        <v>0</v>
      </c>
      <c r="Z16" s="14">
        <f t="shared" si="7"/>
        <v>0</v>
      </c>
      <c r="AA16" s="14">
        <f t="shared" si="7"/>
        <v>0</v>
      </c>
      <c r="AB16" s="14">
        <f t="shared" si="7"/>
        <v>0</v>
      </c>
      <c r="AC16" s="14">
        <f t="shared" si="7"/>
        <v>0</v>
      </c>
      <c r="AD16"/>
    </row>
    <row r="17" spans="1:30">
      <c r="A17" s="8" t="s">
        <v>156</v>
      </c>
      <c r="B17" s="8" t="s">
        <v>302</v>
      </c>
      <c r="C17" s="37">
        <v>0</v>
      </c>
      <c r="D17" s="83">
        <f>$D$15</f>
        <v>0.05</v>
      </c>
      <c r="E17" s="14">
        <f>C17*D17</f>
        <v>0</v>
      </c>
      <c r="F17" s="14"/>
      <c r="G17" s="14"/>
      <c r="H17" s="14"/>
      <c r="I17" s="37"/>
      <c r="J17" s="37">
        <f>$C$17-$E$17*(J3-$H$3)</f>
        <v>0</v>
      </c>
      <c r="K17" s="37">
        <f>$C$17-$E$17*(K3-$H$3)</f>
        <v>0</v>
      </c>
      <c r="L17" s="37">
        <f>$C$17-$E$17*(L3-$H$3)</f>
        <v>0</v>
      </c>
      <c r="M17" s="37">
        <f>$C$17-$E$17*(M3-$H$3)</f>
        <v>0</v>
      </c>
      <c r="N17" s="37">
        <f>$C$17-$E$17*(N3-$H$3)</f>
        <v>0</v>
      </c>
      <c r="O17" s="37">
        <f>$C$17-$E$17*(O3-$H$3)</f>
        <v>0</v>
      </c>
      <c r="P17" s="37">
        <f>$C$17-$E$17*(P3-$H$3)</f>
        <v>0</v>
      </c>
      <c r="Q17" s="37">
        <f>$C$17-$E$17*(Q3-$H$3)</f>
        <v>0</v>
      </c>
      <c r="R17" s="37">
        <f>$C$17-$E$17*(R3-$H$3)</f>
        <v>0</v>
      </c>
      <c r="S17" s="37">
        <f>$C$17-$E$17*(S3-$H$3)</f>
        <v>0</v>
      </c>
      <c r="T17" s="37">
        <f>$C$17-$E$17*(T3-$H$3)</f>
        <v>0</v>
      </c>
      <c r="U17" s="37">
        <f>$C$17-$E$17*(U3-$H$3)</f>
        <v>0</v>
      </c>
      <c r="V17" s="37">
        <f>$C$17-$E$17*(V3-$H$3)</f>
        <v>0</v>
      </c>
      <c r="W17" s="37">
        <f>$C$17-$E$17*(W3-$H$3)</f>
        <v>0</v>
      </c>
      <c r="X17" s="37">
        <f>$C$17-$E$17*(X3-$H$3)</f>
        <v>0</v>
      </c>
      <c r="Y17" s="37">
        <f>$C$17-$E$17*(Y3-$H$3)</f>
        <v>0</v>
      </c>
      <c r="Z17" s="37">
        <f>$C$17-$E$17*(Z3-$H$3)</f>
        <v>0</v>
      </c>
      <c r="AA17" s="37">
        <f>$C$17-$E$17*(AA3-$H$3)</f>
        <v>0</v>
      </c>
      <c r="AB17" s="37">
        <f>$C$17-$E$17*(AB3-$H$3)</f>
        <v>0</v>
      </c>
      <c r="AC17" s="37">
        <f>$C$17-$E$17*(AC3-$H$3)</f>
        <v>0</v>
      </c>
      <c r="AD17"/>
    </row>
    <row r="18" spans="1:30">
      <c r="A18" s="8" t="s">
        <v>288</v>
      </c>
      <c r="B18" s="4"/>
      <c r="C18" s="14">
        <f>C4+C11</f>
        <v>4660.37735849057</v>
      </c>
      <c r="D18" s="38" t="s">
        <v>161</v>
      </c>
      <c r="E18" s="14">
        <f>E4+E11</f>
        <v>218.739279588336</v>
      </c>
      <c r="F18" s="14">
        <f>F4+F11</f>
        <v>0</v>
      </c>
      <c r="G18" s="14"/>
      <c r="H18" s="14">
        <f t="shared" ref="H18:AC18" si="8">H4+H11</f>
        <v>142.795883361921</v>
      </c>
      <c r="I18" s="14">
        <f t="shared" si="8"/>
        <v>142.795883361921</v>
      </c>
      <c r="J18" s="14">
        <f t="shared" si="8"/>
        <v>218.739279588336</v>
      </c>
      <c r="K18" s="14">
        <f t="shared" si="8"/>
        <v>218.739279588336</v>
      </c>
      <c r="L18" s="14">
        <f t="shared" si="8"/>
        <v>218.739279588336</v>
      </c>
      <c r="M18" s="14">
        <f t="shared" si="8"/>
        <v>218.739279588336</v>
      </c>
      <c r="N18" s="14">
        <f t="shared" si="8"/>
        <v>218.739279588336</v>
      </c>
      <c r="O18" s="14">
        <f t="shared" si="8"/>
        <v>218.739279588336</v>
      </c>
      <c r="P18" s="14">
        <f t="shared" si="8"/>
        <v>218.739279588336</v>
      </c>
      <c r="Q18" s="14">
        <f t="shared" si="8"/>
        <v>218.739279588336</v>
      </c>
      <c r="R18" s="14">
        <f t="shared" si="8"/>
        <v>218.739279588336</v>
      </c>
      <c r="S18" s="14">
        <f t="shared" si="8"/>
        <v>218.739279588336</v>
      </c>
      <c r="T18" s="14">
        <f t="shared" si="8"/>
        <v>218.739279588336</v>
      </c>
      <c r="U18" s="14">
        <f t="shared" si="8"/>
        <v>218.739279588336</v>
      </c>
      <c r="V18" s="14">
        <f t="shared" si="8"/>
        <v>218.739279588336</v>
      </c>
      <c r="W18" s="14">
        <f t="shared" si="8"/>
        <v>218.739279588336</v>
      </c>
      <c r="X18" s="14">
        <f t="shared" si="8"/>
        <v>218.739279588336</v>
      </c>
      <c r="Y18" s="14">
        <f t="shared" si="8"/>
        <v>218.739279588336</v>
      </c>
      <c r="Z18" s="14">
        <f t="shared" si="8"/>
        <v>218.739279588336</v>
      </c>
      <c r="AA18" s="14">
        <f t="shared" si="8"/>
        <v>218.739279588336</v>
      </c>
      <c r="AB18" s="14">
        <f t="shared" si="8"/>
        <v>218.739279588336</v>
      </c>
      <c r="AC18" s="14">
        <f t="shared" si="8"/>
        <v>218.739279588336</v>
      </c>
      <c r="AD18"/>
    </row>
    <row r="19" spans="1:30">
      <c r="A19" s="13" t="s">
        <v>284</v>
      </c>
      <c r="B19" s="103" t="s">
        <v>293</v>
      </c>
      <c r="C19" s="104"/>
      <c r="D19" s="102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/>
    </row>
    <row r="20" spans="1:30">
      <c r="A20" s="8">
        <v>1.1</v>
      </c>
      <c r="B20" s="8" t="s">
        <v>294</v>
      </c>
      <c r="C20" s="75">
        <f t="shared" ref="C20:C32" si="9">C5</f>
        <v>3141.50943396226</v>
      </c>
      <c r="D20" s="105" t="str">
        <f t="shared" ref="D20:D32" si="10">D5</f>
        <v>/</v>
      </c>
      <c r="E20" s="14">
        <f t="shared" ref="E20:E32" si="11">E5</f>
        <v>142.795883361921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/>
    </row>
    <row r="21" spans="1:30">
      <c r="A21" s="8" t="s">
        <v>295</v>
      </c>
      <c r="B21" s="8" t="s">
        <v>296</v>
      </c>
      <c r="C21" s="75">
        <f t="shared" si="9"/>
        <v>0</v>
      </c>
      <c r="D21" s="105">
        <f t="shared" si="10"/>
        <v>0.0454545454545455</v>
      </c>
      <c r="E21" s="14">
        <f t="shared" si="11"/>
        <v>0</v>
      </c>
      <c r="F21" s="14"/>
      <c r="G21" s="14"/>
      <c r="H21" s="37">
        <f>$C21-$E21*(H$3-$G$3)</f>
        <v>0</v>
      </c>
      <c r="I21" s="37">
        <f>$C21-$E21*(I$3-$G$3)</f>
        <v>0</v>
      </c>
      <c r="J21" s="37">
        <f>$C21-$E21*(J$3-$G$3)</f>
        <v>0</v>
      </c>
      <c r="K21" s="37">
        <f>$C21-$E21*(K$3-$G$3)</f>
        <v>0</v>
      </c>
      <c r="L21" s="37">
        <f>$C21-$E21*(L$3-$G$3)</f>
        <v>0</v>
      </c>
      <c r="M21" s="37">
        <f>$C21-$E21*(M$3-$G$3)</f>
        <v>0</v>
      </c>
      <c r="N21" s="37">
        <f>$C21-$E21*(N$3-$G$3)</f>
        <v>0</v>
      </c>
      <c r="O21" s="37">
        <f>$C21-$E21*(O$3-$G$3)</f>
        <v>0</v>
      </c>
      <c r="P21" s="37">
        <f>$C21-$E21*(P$3-$G$3)</f>
        <v>0</v>
      </c>
      <c r="Q21" s="37">
        <f>$C21-$E21*(Q$3-$G$3)</f>
        <v>0</v>
      </c>
      <c r="R21" s="37">
        <f>$C21-$E21*(R$3-$G$3)</f>
        <v>0</v>
      </c>
      <c r="S21" s="37">
        <f>$C21-$E21*(S$3-$G$3)</f>
        <v>0</v>
      </c>
      <c r="T21" s="37">
        <f>$C21-$E21*(T$3-$G$3)</f>
        <v>0</v>
      </c>
      <c r="U21" s="37">
        <f>$C21-$E21*(U$3-$G$3)</f>
        <v>0</v>
      </c>
      <c r="V21" s="37">
        <f>$C21-$E21*(V$3-$G$3)</f>
        <v>0</v>
      </c>
      <c r="W21" s="37">
        <f>$C21-$E21*(W$3-$G$3)</f>
        <v>0</v>
      </c>
      <c r="X21" s="37">
        <f>$C21-$E21*(X$3-$G$3)</f>
        <v>0</v>
      </c>
      <c r="Y21" s="37">
        <f>$C21-$E21*(Y$3-$G$3)</f>
        <v>0</v>
      </c>
      <c r="Z21" s="37">
        <f>$C21-$E21*(Z$3-$G$3)</f>
        <v>0</v>
      </c>
      <c r="AA21" s="37">
        <f>$C21-$E21*(AA$3-$G$3)</f>
        <v>0</v>
      </c>
      <c r="AB21" s="37">
        <f>$C21-$E21*(AB$3-$G$3)</f>
        <v>0</v>
      </c>
      <c r="AC21" s="37">
        <f>$C21-$E21*(AC$3-$G$3)</f>
        <v>0</v>
      </c>
      <c r="AD21"/>
    </row>
    <row r="22" spans="1:30">
      <c r="A22" s="8" t="s">
        <v>297</v>
      </c>
      <c r="B22" s="8" t="s">
        <v>298</v>
      </c>
      <c r="C22" s="75">
        <f t="shared" si="9"/>
        <v>0</v>
      </c>
      <c r="D22" s="105">
        <f t="shared" si="10"/>
        <v>0.0454545454545455</v>
      </c>
      <c r="E22" s="14">
        <f t="shared" si="11"/>
        <v>0</v>
      </c>
      <c r="F22" s="14"/>
      <c r="G22" s="14"/>
      <c r="H22" s="37">
        <f>$C22-$E22*(H$3-$G$3)</f>
        <v>0</v>
      </c>
      <c r="I22" s="37">
        <f>$C22-$E22*(I$3-$G$3)</f>
        <v>0</v>
      </c>
      <c r="J22" s="37">
        <f>$C22-$E22*(J$3-$G$3)</f>
        <v>0</v>
      </c>
      <c r="K22" s="37">
        <f>$C22-$E22*(K$3-$G$3)</f>
        <v>0</v>
      </c>
      <c r="L22" s="37">
        <f>$C22-$E22*(L$3-$G$3)</f>
        <v>0</v>
      </c>
      <c r="M22" s="37">
        <f>$C22-$E22*(M$3-$G$3)</f>
        <v>0</v>
      </c>
      <c r="N22" s="37">
        <f>$C22-$E22*(N$3-$G$3)</f>
        <v>0</v>
      </c>
      <c r="O22" s="37">
        <f>$C22-$E22*(O$3-$G$3)</f>
        <v>0</v>
      </c>
      <c r="P22" s="37">
        <f>$C22-$E22*(P$3-$G$3)</f>
        <v>0</v>
      </c>
      <c r="Q22" s="37">
        <f>$C22-$E22*(Q$3-$G$3)</f>
        <v>0</v>
      </c>
      <c r="R22" s="37">
        <f>$C22-$E22*(R$3-$G$3)</f>
        <v>0</v>
      </c>
      <c r="S22" s="37">
        <f>$C22-$E22*(S$3-$G$3)</f>
        <v>0</v>
      </c>
      <c r="T22" s="37">
        <f>$C22-$E22*(T$3-$G$3)</f>
        <v>0</v>
      </c>
      <c r="U22" s="37">
        <f>$C22-$E22*(U$3-$G$3)</f>
        <v>0</v>
      </c>
      <c r="V22" s="37">
        <f>$C22-$E22*(V$3-$G$3)</f>
        <v>0</v>
      </c>
      <c r="W22" s="37">
        <f>$C22-$E22*(W$3-$G$3)</f>
        <v>0</v>
      </c>
      <c r="X22" s="37">
        <f>$C22-$E22*(X$3-$G$3)</f>
        <v>0</v>
      </c>
      <c r="Y22" s="37">
        <f>$C22-$E22*(Y$3-$G$3)</f>
        <v>0</v>
      </c>
      <c r="Z22" s="37">
        <f>$C22-$E22*(Z$3-$G$3)</f>
        <v>0</v>
      </c>
      <c r="AA22" s="37">
        <f>$C22-$E22*(AA$3-$G$3)</f>
        <v>0</v>
      </c>
      <c r="AB22" s="37">
        <f>$C22-$E22*(AB$3-$G$3)</f>
        <v>0</v>
      </c>
      <c r="AC22" s="37">
        <f>$C22-$E22*(AC$3-$G$3)</f>
        <v>0</v>
      </c>
      <c r="AD22"/>
    </row>
    <row r="23" spans="1:30">
      <c r="A23" s="8" t="s">
        <v>299</v>
      </c>
      <c r="B23" s="34" t="s">
        <v>300</v>
      </c>
      <c r="C23" s="75">
        <f t="shared" si="9"/>
        <v>3141.50943396226</v>
      </c>
      <c r="D23" s="105">
        <f t="shared" si="10"/>
        <v>0.0454545454545455</v>
      </c>
      <c r="E23" s="14">
        <f t="shared" si="11"/>
        <v>142.795883361921</v>
      </c>
      <c r="F23" s="14"/>
      <c r="G23" s="14"/>
      <c r="H23" s="37">
        <f>$C23-$E23*(H$3-$G$3)</f>
        <v>2998.71355060034</v>
      </c>
      <c r="I23" s="37">
        <f>$C23-$E23*(I$3-$G$3)</f>
        <v>2855.91766723842</v>
      </c>
      <c r="J23" s="37">
        <f>$C23-$E23*(J$3-$G$3)</f>
        <v>2713.1217838765</v>
      </c>
      <c r="K23" s="37">
        <f>$C23-$E23*(K$3-$G$3)</f>
        <v>2570.32590051458</v>
      </c>
      <c r="L23" s="37">
        <f>$C23-$E23*(L$3-$G$3)</f>
        <v>2427.53001715266</v>
      </c>
      <c r="M23" s="37">
        <f>$C23-$E23*(M$3-$G$3)</f>
        <v>2284.73413379074</v>
      </c>
      <c r="N23" s="37">
        <f>$C23-$E23*(N$3-$G$3)</f>
        <v>2141.93825042882</v>
      </c>
      <c r="O23" s="37">
        <f>$C23-$E23*(O$3-$G$3)</f>
        <v>1999.1423670669</v>
      </c>
      <c r="P23" s="37">
        <f>$C23-$E23*(P$3-$G$3)</f>
        <v>1856.34648370497</v>
      </c>
      <c r="Q23" s="37">
        <f>$C23-$E23*(Q$3-$G$3)</f>
        <v>1713.55060034305</v>
      </c>
      <c r="R23" s="37">
        <f>$C23-$E23*(R$3-$G$3)</f>
        <v>1570.75471698113</v>
      </c>
      <c r="S23" s="37">
        <f>$C23-$E23*(S$3-$G$3)</f>
        <v>1427.95883361921</v>
      </c>
      <c r="T23" s="37">
        <f>$C23-$E23*(T$3-$G$3)</f>
        <v>1285.16295025729</v>
      </c>
      <c r="U23" s="37">
        <f>$C23-$E23*(U$3-$G$3)</f>
        <v>1142.36706689537</v>
      </c>
      <c r="V23" s="37">
        <f>$C23-$E23*(V$3-$G$3)</f>
        <v>999.571183533447</v>
      </c>
      <c r="W23" s="37">
        <f>$C23-$E23*(W$3-$G$3)</f>
        <v>856.775300171526</v>
      </c>
      <c r="X23" s="37">
        <f>$C23-$E23*(X$3-$G$3)</f>
        <v>713.979416809605</v>
      </c>
      <c r="Y23" s="37">
        <f>$C23-$E23*(Y$3-$G$3)</f>
        <v>571.183533447684</v>
      </c>
      <c r="Z23" s="37">
        <f>$C23-$E23*(Z$3-$G$3)</f>
        <v>428.387650085763</v>
      </c>
      <c r="AA23" s="37">
        <f>$C23-$E23*(AA$3-$G$3)</f>
        <v>285.591766723842</v>
      </c>
      <c r="AB23" s="37">
        <f>$C23-$E23*(AB$3-$G$3)</f>
        <v>142.795883361921</v>
      </c>
      <c r="AC23" s="37">
        <f>$C23-$E23*(AC$3-$G$3)</f>
        <v>0</v>
      </c>
      <c r="AD23"/>
    </row>
    <row r="24" spans="1:30">
      <c r="A24" s="8">
        <v>1.2</v>
      </c>
      <c r="B24" s="8" t="s">
        <v>301</v>
      </c>
      <c r="C24" s="75">
        <f t="shared" si="9"/>
        <v>0</v>
      </c>
      <c r="D24" s="105" t="str">
        <f t="shared" si="10"/>
        <v>/</v>
      </c>
      <c r="E24" s="14">
        <f t="shared" si="11"/>
        <v>0</v>
      </c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/>
    </row>
    <row r="25" spans="1:30">
      <c r="A25" s="8" t="s">
        <v>189</v>
      </c>
      <c r="B25" s="8" t="s">
        <v>302</v>
      </c>
      <c r="C25" s="75">
        <f t="shared" si="9"/>
        <v>0</v>
      </c>
      <c r="D25" s="105">
        <f t="shared" si="10"/>
        <v>0.0454545454545455</v>
      </c>
      <c r="E25" s="14">
        <f t="shared" si="11"/>
        <v>0</v>
      </c>
      <c r="F25" s="14"/>
      <c r="G25" s="14"/>
      <c r="H25" s="37">
        <f>$C25-$E25*(H$3-$G$3)</f>
        <v>0</v>
      </c>
      <c r="I25" s="37">
        <f>$C25-$E25*(I$3-$G$3)</f>
        <v>0</v>
      </c>
      <c r="J25" s="37">
        <f>$C25-$E25*(J$3-$G$3)</f>
        <v>0</v>
      </c>
      <c r="K25" s="37">
        <f>$C25-$E25*(K$3-$G$3)</f>
        <v>0</v>
      </c>
      <c r="L25" s="37">
        <f>$C25-$E25*(L$3-$G$3)</f>
        <v>0</v>
      </c>
      <c r="M25" s="37">
        <f>$C25-$E25*(M$3-$G$3)</f>
        <v>0</v>
      </c>
      <c r="N25" s="37">
        <f>$C25-$E25*(N$3-$G$3)</f>
        <v>0</v>
      </c>
      <c r="O25" s="37">
        <f>$C25-$E25*(O$3-$G$3)</f>
        <v>0</v>
      </c>
      <c r="P25" s="37">
        <f>$C25-$E25*(P$3-$G$3)</f>
        <v>0</v>
      </c>
      <c r="Q25" s="37">
        <f>$C25-$E25*(Q$3-$G$3)</f>
        <v>0</v>
      </c>
      <c r="R25" s="37">
        <f>$C25-$E25*(R$3-$G$3)</f>
        <v>0</v>
      </c>
      <c r="S25" s="37">
        <f>$C25-$E25*(S$3-$G$3)</f>
        <v>0</v>
      </c>
      <c r="T25" s="37">
        <f>$C25-$E25*(T$3-$G$3)</f>
        <v>0</v>
      </c>
      <c r="U25" s="37">
        <f>$C25-$E25*(U$3-$G$3)</f>
        <v>0</v>
      </c>
      <c r="V25" s="37">
        <f>$C25-$E25*(V$3-$G$3)</f>
        <v>0</v>
      </c>
      <c r="W25" s="37">
        <f>$C25-$E25*(W$3-$G$3)</f>
        <v>0</v>
      </c>
      <c r="X25" s="37">
        <f>$C25-$E25*(X$3-$G$3)</f>
        <v>0</v>
      </c>
      <c r="Y25" s="37">
        <f>$C25-$E25*(Y$3-$G$3)</f>
        <v>0</v>
      </c>
      <c r="Z25" s="37">
        <f>$C25-$E25*(Z$3-$G$3)</f>
        <v>0</v>
      </c>
      <c r="AA25" s="37">
        <f>$C25-$E25*(AA$3-$G$3)</f>
        <v>0</v>
      </c>
      <c r="AB25" s="37">
        <f>$C25-$E25*(AB$3-$G$3)</f>
        <v>0</v>
      </c>
      <c r="AC25" s="37">
        <f>$C25-$E25*(AC$3-$G$3)</f>
        <v>0</v>
      </c>
      <c r="AD25"/>
    </row>
    <row r="26" spans="1:30">
      <c r="A26" s="13" t="s">
        <v>286</v>
      </c>
      <c r="B26" s="103" t="s">
        <v>303</v>
      </c>
      <c r="C26" s="75">
        <f t="shared" si="9"/>
        <v>1518.8679245283</v>
      </c>
      <c r="D26" s="105">
        <f t="shared" si="10"/>
        <v>0</v>
      </c>
      <c r="E26" s="14">
        <f t="shared" si="11"/>
        <v>75.9433962264151</v>
      </c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/>
    </row>
    <row r="27" spans="1:30">
      <c r="A27" s="8">
        <v>2.1</v>
      </c>
      <c r="B27" s="8" t="s">
        <v>294</v>
      </c>
      <c r="C27" s="75">
        <f t="shared" si="9"/>
        <v>1518.8679245283</v>
      </c>
      <c r="D27" s="105" t="str">
        <f t="shared" si="10"/>
        <v>/</v>
      </c>
      <c r="E27" s="14">
        <f t="shared" si="11"/>
        <v>75.9433962264151</v>
      </c>
      <c r="F27" s="14"/>
      <c r="G27" s="14"/>
      <c r="H27" s="14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/>
    </row>
    <row r="28" spans="1:30">
      <c r="A28" s="8" t="s">
        <v>149</v>
      </c>
      <c r="B28" s="8" t="s">
        <v>296</v>
      </c>
      <c r="C28" s="75">
        <f t="shared" si="9"/>
        <v>0</v>
      </c>
      <c r="D28" s="105">
        <f t="shared" si="10"/>
        <v>0.05</v>
      </c>
      <c r="E28" s="14">
        <f t="shared" si="11"/>
        <v>0</v>
      </c>
      <c r="F28" s="14"/>
      <c r="G28" s="14"/>
      <c r="H28" s="14">
        <v>0</v>
      </c>
      <c r="I28" s="37">
        <v>0</v>
      </c>
      <c r="J28" s="37">
        <f>$C28-$E28*(J$3-$I$3)</f>
        <v>0</v>
      </c>
      <c r="K28" s="37">
        <f>$C28-$E28*(K$3-$I$3)</f>
        <v>0</v>
      </c>
      <c r="L28" s="37">
        <f>$C28-$E28*(L$3-$I$3)</f>
        <v>0</v>
      </c>
      <c r="M28" s="37">
        <f>$C28-$E28*(M$3-$I$3)</f>
        <v>0</v>
      </c>
      <c r="N28" s="37">
        <f>$C28-$E28*(N$3-$I$3)</f>
        <v>0</v>
      </c>
      <c r="O28" s="37">
        <f>$C28-$E28*(O$3-$I$3)</f>
        <v>0</v>
      </c>
      <c r="P28" s="37">
        <f>$C28-$E28*(P$3-$I$3)</f>
        <v>0</v>
      </c>
      <c r="Q28" s="37">
        <f>$C28-$E28*(Q$3-$I$3)</f>
        <v>0</v>
      </c>
      <c r="R28" s="37">
        <f>$C28-$E28*(R$3-$I$3)</f>
        <v>0</v>
      </c>
      <c r="S28" s="37">
        <f>$C28-$E28*(S$3-$I$3)</f>
        <v>0</v>
      </c>
      <c r="T28" s="37">
        <f>$C28-$E28*(T$3-$I$3)</f>
        <v>0</v>
      </c>
      <c r="U28" s="37">
        <f>$C28-$E28*(U$3-$I$3)</f>
        <v>0</v>
      </c>
      <c r="V28" s="37">
        <f>$C28-$E28*(V$3-$I$3)</f>
        <v>0</v>
      </c>
      <c r="W28" s="37">
        <f>$C28-$E28*(W$3-$I$3)</f>
        <v>0</v>
      </c>
      <c r="X28" s="37">
        <f>$C28-$E28*(X$3-$I$3)</f>
        <v>0</v>
      </c>
      <c r="Y28" s="37">
        <f>$C28-$E28*(Y$3-$I$3)</f>
        <v>0</v>
      </c>
      <c r="Z28" s="37">
        <f>$C28-$E28*(Z$3-$I$3)</f>
        <v>0</v>
      </c>
      <c r="AA28" s="37">
        <f>$C28-$E28*(AA$3-$I$3)</f>
        <v>0</v>
      </c>
      <c r="AB28" s="37">
        <f>$C28-$E28*(AB$3-$I$3)</f>
        <v>0</v>
      </c>
      <c r="AC28" s="37">
        <f>$C28-$E28*(AC$3-$I$3)</f>
        <v>0</v>
      </c>
      <c r="AD28"/>
    </row>
    <row r="29" spans="1:30">
      <c r="A29" s="8" t="s">
        <v>151</v>
      </c>
      <c r="B29" s="8" t="s">
        <v>298</v>
      </c>
      <c r="C29" s="75">
        <f t="shared" si="9"/>
        <v>0</v>
      </c>
      <c r="D29" s="105">
        <f t="shared" si="10"/>
        <v>0.05</v>
      </c>
      <c r="E29" s="14">
        <f t="shared" si="11"/>
        <v>0</v>
      </c>
      <c r="F29" s="14"/>
      <c r="G29" s="14"/>
      <c r="H29" s="14">
        <v>0</v>
      </c>
      <c r="I29" s="37">
        <v>0</v>
      </c>
      <c r="J29" s="37">
        <f>$C29-$E29*(J$3-$I$3)</f>
        <v>0</v>
      </c>
      <c r="K29" s="37">
        <f>$C29-$E29*(K$3-$I$3)</f>
        <v>0</v>
      </c>
      <c r="L29" s="37">
        <f>$C29-$E29*(L$3-$I$3)</f>
        <v>0</v>
      </c>
      <c r="M29" s="37">
        <f>$C29-$E29*(M$3-$I$3)</f>
        <v>0</v>
      </c>
      <c r="N29" s="37">
        <f>$C29-$E29*(N$3-$I$3)</f>
        <v>0</v>
      </c>
      <c r="O29" s="37">
        <f>$C29-$E29*(O$3-$I$3)</f>
        <v>0</v>
      </c>
      <c r="P29" s="37">
        <f>$C29-$E29*(P$3-$I$3)</f>
        <v>0</v>
      </c>
      <c r="Q29" s="37">
        <f>$C29-$E29*(Q$3-$I$3)</f>
        <v>0</v>
      </c>
      <c r="R29" s="37">
        <f>$C29-$E29*(R$3-$I$3)</f>
        <v>0</v>
      </c>
      <c r="S29" s="37">
        <f>$C29-$E29*(S$3-$I$3)</f>
        <v>0</v>
      </c>
      <c r="T29" s="37">
        <f>$C29-$E29*(T$3-$I$3)</f>
        <v>0</v>
      </c>
      <c r="U29" s="37">
        <f>$C29-$E29*(U$3-$I$3)</f>
        <v>0</v>
      </c>
      <c r="V29" s="37">
        <f>$C29-$E29*(V$3-$I$3)</f>
        <v>0</v>
      </c>
      <c r="W29" s="37">
        <f>$C29-$E29*(W$3-$I$3)</f>
        <v>0</v>
      </c>
      <c r="X29" s="37">
        <f>$C29-$E29*(X$3-$I$3)</f>
        <v>0</v>
      </c>
      <c r="Y29" s="37">
        <f>$C29-$E29*(Y$3-$I$3)</f>
        <v>0</v>
      </c>
      <c r="Z29" s="37">
        <f>$C29-$E29*(Z$3-$I$3)</f>
        <v>0</v>
      </c>
      <c r="AA29" s="37">
        <f>$C29-$E29*(AA$3-$I$3)</f>
        <v>0</v>
      </c>
      <c r="AB29" s="37">
        <f>$C29-$E29*(AB$3-$I$3)</f>
        <v>0</v>
      </c>
      <c r="AC29" s="37">
        <f>$C29-$E29*(AC$3-$I$3)</f>
        <v>0</v>
      </c>
      <c r="AD29"/>
    </row>
    <row r="30" spans="1:30">
      <c r="A30" s="8" t="s">
        <v>153</v>
      </c>
      <c r="B30" s="34" t="s">
        <v>300</v>
      </c>
      <c r="C30" s="75">
        <f t="shared" si="9"/>
        <v>1518.8679245283</v>
      </c>
      <c r="D30" s="105">
        <f t="shared" si="10"/>
        <v>0.05</v>
      </c>
      <c r="E30" s="14">
        <f t="shared" si="11"/>
        <v>75.9433962264151</v>
      </c>
      <c r="F30" s="14"/>
      <c r="G30" s="14"/>
      <c r="H30" s="37"/>
      <c r="I30" s="37"/>
      <c r="J30" s="37">
        <f>$C30-$E30*(J$3-$I$3)</f>
        <v>1442.92452830189</v>
      </c>
      <c r="K30" s="37">
        <f>$C30-$E30*(K$3-$I$3)</f>
        <v>1366.98113207547</v>
      </c>
      <c r="L30" s="37">
        <f>$C30-$E30*(L$3-$I$3)</f>
        <v>1291.03773584906</v>
      </c>
      <c r="M30" s="37">
        <f>$C30-$E30*(M$3-$I$3)</f>
        <v>1215.09433962264</v>
      </c>
      <c r="N30" s="37">
        <f>$C30-$E30*(N$3-$I$3)</f>
        <v>1139.15094339623</v>
      </c>
      <c r="O30" s="37">
        <f>$C30-$E30*(O$3-$I$3)</f>
        <v>1063.20754716981</v>
      </c>
      <c r="P30" s="37">
        <f>$C30-$E30*(P$3-$I$3)</f>
        <v>987.264150943396</v>
      </c>
      <c r="Q30" s="37">
        <f>$C30-$E30*(Q$3-$I$3)</f>
        <v>911.320754716981</v>
      </c>
      <c r="R30" s="37">
        <f>$C30-$E30*(R$3-$I$3)</f>
        <v>835.377358490566</v>
      </c>
      <c r="S30" s="37">
        <f>$C30-$E30*(S$3-$I$3)</f>
        <v>759.433962264151</v>
      </c>
      <c r="T30" s="37">
        <f>$C30-$E30*(T$3-$I$3)</f>
        <v>683.490566037736</v>
      </c>
      <c r="U30" s="37">
        <f>$C30-$E30*(U$3-$I$3)</f>
        <v>607.547169811321</v>
      </c>
      <c r="V30" s="37">
        <f>$C30-$E30*(V$3-$I$3)</f>
        <v>531.603773584906</v>
      </c>
      <c r="W30" s="37">
        <f>$C30-$E30*(W$3-$I$3)</f>
        <v>455.66037735849</v>
      </c>
      <c r="X30" s="37">
        <f>$C30-$E30*(X$3-$I$3)</f>
        <v>379.716981132075</v>
      </c>
      <c r="Y30" s="37">
        <f>$C30-$E30*(Y$3-$I$3)</f>
        <v>303.77358490566</v>
      </c>
      <c r="Z30" s="37">
        <f>$C30-$E30*(Z$3-$I$3)</f>
        <v>227.830188679245</v>
      </c>
      <c r="AA30" s="37">
        <f>$C30-$E30*(AA$3-$I$3)</f>
        <v>151.88679245283</v>
      </c>
      <c r="AB30" s="37">
        <f>$C30-$E30*(AB$3-$I$3)</f>
        <v>75.943396226415</v>
      </c>
      <c r="AC30" s="37">
        <f>$C30-$E30*(AC$3-$I$3)</f>
        <v>0</v>
      </c>
      <c r="AD30"/>
    </row>
    <row r="31" spans="1:30">
      <c r="A31" s="8">
        <v>2.2</v>
      </c>
      <c r="B31" s="8" t="s">
        <v>301</v>
      </c>
      <c r="C31" s="75">
        <f t="shared" si="9"/>
        <v>0</v>
      </c>
      <c r="D31" s="105">
        <f t="shared" si="10"/>
        <v>0</v>
      </c>
      <c r="E31" s="14">
        <f t="shared" si="11"/>
        <v>0</v>
      </c>
      <c r="F31" s="14"/>
      <c r="G31" s="14"/>
      <c r="H31" s="14">
        <f>H32</f>
        <v>0</v>
      </c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/>
    </row>
    <row r="32" spans="1:30">
      <c r="A32" s="8" t="s">
        <v>156</v>
      </c>
      <c r="B32" s="8" t="s">
        <v>302</v>
      </c>
      <c r="C32" s="75">
        <f t="shared" si="9"/>
        <v>0</v>
      </c>
      <c r="D32" s="105">
        <f t="shared" si="10"/>
        <v>0.05</v>
      </c>
      <c r="E32" s="14">
        <f t="shared" si="11"/>
        <v>0</v>
      </c>
      <c r="F32" s="14"/>
      <c r="G32" s="14"/>
      <c r="H32" s="37">
        <f>$C32-$E32*(H$3-$G$3)</f>
        <v>0</v>
      </c>
      <c r="I32" s="37">
        <f>$C32-$E32*(I$3-$G$3)</f>
        <v>0</v>
      </c>
      <c r="J32" s="37">
        <f>$C32-$E32*(J$3-$G$3)</f>
        <v>0</v>
      </c>
      <c r="K32" s="37">
        <f>$C32-$E32*(K$3-$G$3)</f>
        <v>0</v>
      </c>
      <c r="L32" s="37">
        <f>$C32-$E32*(L$3-$G$3)</f>
        <v>0</v>
      </c>
      <c r="M32" s="37">
        <f>$C32-$E32*(M$3-$G$3)</f>
        <v>0</v>
      </c>
      <c r="N32" s="37">
        <f>$C32-$E32*(N$3-$G$3)</f>
        <v>0</v>
      </c>
      <c r="O32" s="37">
        <f>$C32-$E32*(O$3-$G$3)</f>
        <v>0</v>
      </c>
      <c r="P32" s="37">
        <f>$C32-$E32*(P$3-$G$3)</f>
        <v>0</v>
      </c>
      <c r="Q32" s="37">
        <f>$C32-$E32*(Q$3-$G$3)</f>
        <v>0</v>
      </c>
      <c r="R32" s="37">
        <f>$C32-$E32*(R$3-$G$3)</f>
        <v>0</v>
      </c>
      <c r="S32" s="37">
        <f>$C32-$E32*(S$3-$G$3)</f>
        <v>0</v>
      </c>
      <c r="T32" s="37">
        <f>$C32-$E32*(T$3-$G$3)</f>
        <v>0</v>
      </c>
      <c r="U32" s="37">
        <f>$C32-$E32*(U$3-$G$3)</f>
        <v>0</v>
      </c>
      <c r="V32" s="37">
        <f>$C32-$E32*(V$3-$G$3)</f>
        <v>0</v>
      </c>
      <c r="W32" s="37">
        <f>$C32-$E32*(W$3-$G$3)</f>
        <v>0</v>
      </c>
      <c r="X32" s="37">
        <f>$C32-$E32*(X$3-$G$3)</f>
        <v>0</v>
      </c>
      <c r="Y32" s="37">
        <f>$C32-$E32*(Y$3-$G$3)</f>
        <v>0</v>
      </c>
      <c r="Z32" s="37">
        <f>$C32-$E32*(Z$3-$G$3)</f>
        <v>0</v>
      </c>
      <c r="AA32" s="37">
        <f>$C32-$E32*(AA$3-$G$3)</f>
        <v>0</v>
      </c>
      <c r="AB32" s="37">
        <f>$C32-$E32*(AB$3-$G$3)</f>
        <v>0</v>
      </c>
      <c r="AC32" s="37">
        <f>$C32-$E32*(AC$3-$G$3)</f>
        <v>0</v>
      </c>
      <c r="AD32"/>
    </row>
    <row r="33" spans="1:30">
      <c r="A33" s="8" t="s">
        <v>287</v>
      </c>
      <c r="B33" s="4"/>
      <c r="C33" s="14"/>
      <c r="D33" s="38"/>
      <c r="E33" s="14"/>
      <c r="F33" s="14"/>
      <c r="G33" s="14"/>
      <c r="H33" s="14">
        <f t="shared" ref="H33:AC33" si="12">SUM(SUM(H21:H23)+H25+SUM(H28:H30)+H32)</f>
        <v>2998.71355060034</v>
      </c>
      <c r="I33" s="14">
        <f t="shared" si="12"/>
        <v>2855.91766723842</v>
      </c>
      <c r="J33" s="14">
        <f t="shared" si="12"/>
        <v>4156.04631217839</v>
      </c>
      <c r="K33" s="14">
        <f t="shared" si="12"/>
        <v>3937.30703259005</v>
      </c>
      <c r="L33" s="14">
        <f t="shared" si="12"/>
        <v>3718.56775300172</v>
      </c>
      <c r="M33" s="14">
        <f t="shared" si="12"/>
        <v>3499.82847341338</v>
      </c>
      <c r="N33" s="14">
        <f t="shared" si="12"/>
        <v>3281.08919382504</v>
      </c>
      <c r="O33" s="14">
        <f t="shared" si="12"/>
        <v>3062.34991423671</v>
      </c>
      <c r="P33" s="14">
        <f t="shared" si="12"/>
        <v>2843.61063464837</v>
      </c>
      <c r="Q33" s="14">
        <f t="shared" si="12"/>
        <v>2624.87135506003</v>
      </c>
      <c r="R33" s="14">
        <f t="shared" si="12"/>
        <v>2406.1320754717</v>
      </c>
      <c r="S33" s="14">
        <f t="shared" si="12"/>
        <v>2187.39279588336</v>
      </c>
      <c r="T33" s="14">
        <f t="shared" si="12"/>
        <v>1968.65351629503</v>
      </c>
      <c r="U33" s="14">
        <f t="shared" si="12"/>
        <v>1749.91423670669</v>
      </c>
      <c r="V33" s="14">
        <f t="shared" si="12"/>
        <v>1531.17495711835</v>
      </c>
      <c r="W33" s="14">
        <f t="shared" si="12"/>
        <v>1312.43567753002</v>
      </c>
      <c r="X33" s="14">
        <f t="shared" si="12"/>
        <v>1093.69639794168</v>
      </c>
      <c r="Y33" s="14">
        <f t="shared" si="12"/>
        <v>874.957118353344</v>
      </c>
      <c r="Z33" s="14">
        <f t="shared" si="12"/>
        <v>656.217838765008</v>
      </c>
      <c r="AA33" s="14">
        <f t="shared" si="12"/>
        <v>437.478559176672</v>
      </c>
      <c r="AB33" s="14">
        <f t="shared" si="12"/>
        <v>218.739279588336</v>
      </c>
      <c r="AC33" s="14">
        <f t="shared" si="12"/>
        <v>0</v>
      </c>
      <c r="AD33"/>
    </row>
    <row r="34" spans="30:30">
      <c r="AD34"/>
    </row>
    <row r="35" spans="30:30">
      <c r="AD35"/>
    </row>
    <row r="36" spans="30:30">
      <c r="AD36"/>
    </row>
    <row r="37" spans="30:30">
      <c r="AD37"/>
    </row>
  </sheetData>
  <mergeCells count="4">
    <mergeCell ref="A1:Y1"/>
    <mergeCell ref="F2:Y2"/>
    <mergeCell ref="A18:B18"/>
    <mergeCell ref="A33:B33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tabColor rgb="FF0070C0"/>
  </sheetPr>
  <dimension ref="A1:U20"/>
  <sheetViews>
    <sheetView topLeftCell="E1" workbookViewId="0">
      <selection activeCell="L2" sqref="L2"/>
    </sheetView>
  </sheetViews>
  <sheetFormatPr defaultColWidth="8.89090909090909" defaultRowHeight="28.05" customHeight="1"/>
  <cols>
    <col min="2" max="2" width="18.3363636363636" style="1" customWidth="1"/>
    <col min="3" max="3" width="14.1090909090909" style="1" customWidth="1"/>
    <col min="4" max="4" width="9.55454545454545" style="1" customWidth="1"/>
    <col min="5" max="5" width="15.5545454545455" style="1" customWidth="1"/>
    <col min="6" max="6" width="11.8909090909091" style="1" customWidth="1"/>
    <col min="8" max="8" width="9.89090909090909" style="1" customWidth="1"/>
    <col min="9" max="9" width="10.3363636363636" style="1" customWidth="1"/>
    <col min="10" max="10" width="11.7818181818182" style="1" customWidth="1"/>
    <col min="11" max="12" width="10.4454545454545" style="1" customWidth="1"/>
  </cols>
  <sheetData>
    <row r="1" s="44" customFormat="1" ht="20" customHeight="1" spans="1:21">
      <c r="A1" s="94" t="s">
        <v>304</v>
      </c>
      <c r="M1"/>
      <c r="N1"/>
      <c r="O1"/>
      <c r="P1"/>
      <c r="Q1"/>
      <c r="R1"/>
      <c r="S1"/>
      <c r="T1"/>
      <c r="U1"/>
    </row>
    <row r="2" s="44" customFormat="1" ht="52.05" customHeight="1" spans="1:21">
      <c r="A2" s="20" t="s">
        <v>1</v>
      </c>
      <c r="B2" s="20" t="s">
        <v>165</v>
      </c>
      <c r="C2" s="20" t="s">
        <v>305</v>
      </c>
      <c r="D2" s="26">
        <v>2025</v>
      </c>
      <c r="E2" s="26">
        <v>2026</v>
      </c>
      <c r="F2" s="26">
        <v>2027</v>
      </c>
      <c r="G2" s="26">
        <v>2028</v>
      </c>
      <c r="H2" s="20" t="s">
        <v>306</v>
      </c>
      <c r="I2" s="98" t="s">
        <v>307</v>
      </c>
      <c r="J2" s="98" t="s">
        <v>308</v>
      </c>
      <c r="K2" s="98" t="s">
        <v>309</v>
      </c>
      <c r="L2" s="98" t="s">
        <v>310</v>
      </c>
      <c r="M2"/>
      <c r="N2"/>
      <c r="O2"/>
      <c r="P2"/>
      <c r="Q2"/>
      <c r="R2"/>
      <c r="S2"/>
      <c r="T2"/>
      <c r="U2"/>
    </row>
    <row r="3" s="44" customFormat="1" ht="16.5" customHeight="1" spans="1:21">
      <c r="A3" s="8" t="s">
        <v>89</v>
      </c>
      <c r="B3" s="8" t="s">
        <v>167</v>
      </c>
      <c r="C3" s="14">
        <f>C4+C8</f>
        <v>24474.93</v>
      </c>
      <c r="D3" s="14">
        <f>D4+D8</f>
        <v>1767.4395</v>
      </c>
      <c r="E3" s="14">
        <f>E4+E8</f>
        <v>10015.4905</v>
      </c>
      <c r="F3" s="14">
        <f>F4+F8</f>
        <v>12212</v>
      </c>
      <c r="G3" s="14">
        <f>G4+G8</f>
        <v>480</v>
      </c>
      <c r="H3" s="8" t="str">
        <f>'G.1进项增值税率-建设投资'!E3</f>
        <v>/</v>
      </c>
      <c r="I3" s="9">
        <f>I4+I8</f>
        <v>1601.75337376934</v>
      </c>
      <c r="J3" s="9">
        <f>J4+J8</f>
        <v>9076.6024513596</v>
      </c>
      <c r="K3" s="9">
        <f>K4+K8</f>
        <v>11154.3473432179</v>
      </c>
      <c r="L3" s="9">
        <f>L4+L8</f>
        <v>432.572866769506</v>
      </c>
      <c r="M3"/>
      <c r="N3"/>
      <c r="O3"/>
      <c r="P3"/>
      <c r="Q3"/>
      <c r="R3"/>
      <c r="S3"/>
      <c r="T3"/>
      <c r="U3"/>
    </row>
    <row r="4" s="44" customFormat="1" ht="16.5" customHeight="1" spans="1:21">
      <c r="A4" s="95">
        <v>1</v>
      </c>
      <c r="B4" s="95" t="s">
        <v>168</v>
      </c>
      <c r="C4" s="96">
        <f>SUM(C5:C7)</f>
        <v>19534.93</v>
      </c>
      <c r="D4" s="96">
        <f>SUM(D5:D7)</f>
        <v>1267.9395</v>
      </c>
      <c r="E4" s="96">
        <f>SUM(E5:E7)</f>
        <v>7184.9905</v>
      </c>
      <c r="F4" s="96">
        <f>SUM(F5:F7)</f>
        <v>10602</v>
      </c>
      <c r="G4" s="96">
        <f>SUM(G5:G7)</f>
        <v>480</v>
      </c>
      <c r="H4" s="95" t="str">
        <f>'G.1进项增值税率-建设投资'!E4</f>
        <v>/</v>
      </c>
      <c r="I4" s="99">
        <f>SUM(I5:I7)</f>
        <v>1130.526958675</v>
      </c>
      <c r="J4" s="99">
        <f>SUM(J5:J7)</f>
        <v>6406.31943249168</v>
      </c>
      <c r="K4" s="99">
        <f>SUM(K5:K7)</f>
        <v>9635.47941868962</v>
      </c>
      <c r="L4" s="99">
        <f>SUM(L5:L7)</f>
        <v>432.572866769506</v>
      </c>
      <c r="M4"/>
      <c r="N4"/>
      <c r="O4"/>
      <c r="P4"/>
      <c r="Q4"/>
      <c r="R4"/>
      <c r="S4"/>
      <c r="T4"/>
      <c r="U4"/>
    </row>
    <row r="5" s="44" customFormat="1" ht="16.5" customHeight="1" spans="1:21">
      <c r="A5" s="8">
        <v>1.1</v>
      </c>
      <c r="B5" s="13" t="s">
        <v>169</v>
      </c>
      <c r="C5" s="14">
        <f>'G.1进项增值税率-建设投资'!D5</f>
        <v>9772</v>
      </c>
      <c r="D5" s="33">
        <f>D.3建设投资分年计划表!E5</f>
        <v>260.4</v>
      </c>
      <c r="E5" s="33">
        <f>D.3建设投资分年计划表!F5</f>
        <v>1475.6</v>
      </c>
      <c r="F5" s="33">
        <f>D.3建设投资分年计划表!G5</f>
        <v>7796</v>
      </c>
      <c r="G5" s="33">
        <f>D.3建设投资分年计划表!H5</f>
        <v>240</v>
      </c>
      <c r="H5" s="97">
        <f>'G.1进项增值税率-建设投资'!$E$5</f>
        <v>0.09</v>
      </c>
      <c r="I5" s="33">
        <f>D5/(1+'G.1进项增值税率-建设投资'!$E5)</f>
        <v>238.899082568807</v>
      </c>
      <c r="J5" s="33">
        <f>E5/(1+'G.1进项增值税率-建设投资'!$E5)</f>
        <v>1353.76146788991</v>
      </c>
      <c r="K5" s="33">
        <f>F5/(1+'G.1进项增值税率-建设投资'!$E5)</f>
        <v>7152.29357798165</v>
      </c>
      <c r="L5" s="33">
        <f>G5/(1+'G.1进项增值税率-建设投资'!$E5)</f>
        <v>220.183486238532</v>
      </c>
      <c r="M5"/>
      <c r="N5"/>
      <c r="O5"/>
      <c r="P5"/>
      <c r="Q5"/>
      <c r="R5"/>
      <c r="S5"/>
      <c r="T5"/>
      <c r="U5"/>
    </row>
    <row r="6" s="44" customFormat="1" ht="16.5" customHeight="1" spans="1:21">
      <c r="A6" s="8">
        <v>1.2</v>
      </c>
      <c r="B6" s="13" t="s">
        <v>171</v>
      </c>
      <c r="C6" s="14">
        <f>'G.1进项增值税率-建设投资'!D6</f>
        <v>9762.93</v>
      </c>
      <c r="D6" s="33">
        <f>D.3建设投资分年计划表!E6</f>
        <v>1007.5395</v>
      </c>
      <c r="E6" s="33">
        <f>D.3建设投资分年计划表!F6</f>
        <v>5709.3905</v>
      </c>
      <c r="F6" s="33">
        <f>D.3建设投资分年计划表!G6</f>
        <v>2806</v>
      </c>
      <c r="G6" s="33">
        <f>D.3建设投资分年计划表!H6</f>
        <v>240</v>
      </c>
      <c r="H6" s="97">
        <f>'G.1进项增值税率-建设投资'!$E$6</f>
        <v>0.13</v>
      </c>
      <c r="I6" s="33">
        <f>D6/(1+'G.1进项增值税率-建设投资'!$E6)</f>
        <v>891.627876106195</v>
      </c>
      <c r="J6" s="33">
        <f>E6/(1+'G.1进项增值税率-建设投资'!$E6)</f>
        <v>5052.55796460177</v>
      </c>
      <c r="K6" s="33">
        <f>F6/(1+'G.1进项增值税率-建设投资'!$E6)</f>
        <v>2483.18584070796</v>
      </c>
      <c r="L6" s="33">
        <f>G6/(1+'G.1进项增值税率-建设投资'!$E6)</f>
        <v>212.389380530973</v>
      </c>
      <c r="M6"/>
      <c r="N6"/>
      <c r="O6"/>
      <c r="P6"/>
      <c r="Q6"/>
      <c r="R6"/>
      <c r="S6"/>
      <c r="T6"/>
      <c r="U6"/>
    </row>
    <row r="7" s="44" customFormat="1" ht="16.5" customHeight="1" spans="1:21">
      <c r="A7" s="8">
        <v>1.3</v>
      </c>
      <c r="B7" s="13" t="s">
        <v>172</v>
      </c>
      <c r="C7" s="14">
        <f>'G.1进项增值税率-建设投资'!D7</f>
        <v>0</v>
      </c>
      <c r="D7" s="33">
        <f>D.3建设投资分年计划表!E7</f>
        <v>0</v>
      </c>
      <c r="E7" s="33">
        <f>D.3建设投资分年计划表!F7</f>
        <v>0</v>
      </c>
      <c r="F7" s="33">
        <f>D.3建设投资分年计划表!G7</f>
        <v>0</v>
      </c>
      <c r="G7" s="33">
        <f>D.3建设投资分年计划表!H7</f>
        <v>0</v>
      </c>
      <c r="H7" s="97">
        <f>'G.1进项增值税率-建设投资'!$E$7</f>
        <v>0.09</v>
      </c>
      <c r="I7" s="33">
        <f>D7/(1+'G.1进项增值税率-建设投资'!$E7)</f>
        <v>0</v>
      </c>
      <c r="J7" s="33">
        <f>E7/(1+'G.1进项增值税率-建设投资'!$E7)</f>
        <v>0</v>
      </c>
      <c r="K7" s="33">
        <f>F7/(1+'G.1进项增值税率-建设投资'!$E7)</f>
        <v>0</v>
      </c>
      <c r="L7" s="33">
        <f>G7/(1+'G.1进项增值税率-建设投资'!$E7)</f>
        <v>0</v>
      </c>
      <c r="M7"/>
      <c r="N7"/>
      <c r="O7"/>
      <c r="P7"/>
      <c r="Q7"/>
      <c r="R7"/>
      <c r="S7"/>
      <c r="T7"/>
      <c r="U7"/>
    </row>
    <row r="8" s="44" customFormat="1" ht="16.5" customHeight="1" spans="1:21">
      <c r="A8" s="95">
        <v>2</v>
      </c>
      <c r="B8" s="95" t="s">
        <v>174</v>
      </c>
      <c r="C8" s="96">
        <f>SUM(C9:C12)</f>
        <v>4940</v>
      </c>
      <c r="D8" s="96">
        <f>SUM(D9:D12)</f>
        <v>499.5</v>
      </c>
      <c r="E8" s="96">
        <f>SUM(E9:E12)</f>
        <v>2830.5</v>
      </c>
      <c r="F8" s="96">
        <f>SUM(F9:F12)</f>
        <v>1610</v>
      </c>
      <c r="G8" s="96">
        <f>SUM(G9:G12)</f>
        <v>0</v>
      </c>
      <c r="H8" s="95" t="str">
        <f>'G.1进项增值税率-建设投资'!E8</f>
        <v>/</v>
      </c>
      <c r="I8" s="99">
        <f>SUM(I9:I12)</f>
        <v>471.22641509434</v>
      </c>
      <c r="J8" s="99">
        <f>SUM(J9:J12)</f>
        <v>2670.28301886792</v>
      </c>
      <c r="K8" s="99">
        <f>SUM(K9:K12)</f>
        <v>1518.8679245283</v>
      </c>
      <c r="L8" s="99">
        <f>SUM(L9:L12)</f>
        <v>0</v>
      </c>
      <c r="M8"/>
      <c r="N8"/>
      <c r="O8"/>
      <c r="P8"/>
      <c r="Q8"/>
      <c r="R8"/>
      <c r="S8"/>
      <c r="T8"/>
      <c r="U8"/>
    </row>
    <row r="9" s="44" customFormat="1" ht="16.5" customHeight="1" spans="1:21">
      <c r="A9" s="8">
        <v>2.1</v>
      </c>
      <c r="B9" s="13" t="s">
        <v>175</v>
      </c>
      <c r="C9" s="14">
        <f>'G.1进项增值税率-建设投资'!D9</f>
        <v>0</v>
      </c>
      <c r="D9" s="33">
        <f>D.3建设投资分年计划表!E9</f>
        <v>0</v>
      </c>
      <c r="E9" s="33">
        <f>D.3建设投资分年计划表!F9</f>
        <v>0</v>
      </c>
      <c r="F9" s="33">
        <f>D.3建设投资分年计划表!G9</f>
        <v>0</v>
      </c>
      <c r="G9" s="33">
        <f>D.3建设投资分年计划表!H9</f>
        <v>0</v>
      </c>
      <c r="H9" s="97">
        <f>'G.1进项增值税率-建设投资'!$E$9</f>
        <v>0.13</v>
      </c>
      <c r="I9" s="33">
        <f>D9/(1+'G.1进项增值税率-建设投资'!$E9)</f>
        <v>0</v>
      </c>
      <c r="J9" s="33">
        <f>E9/(1+'G.1进项增值税率-建设投资'!$E9)</f>
        <v>0</v>
      </c>
      <c r="K9" s="33">
        <f>F9/(1+'G.1进项增值税率-建设投资'!$E9)</f>
        <v>0</v>
      </c>
      <c r="L9" s="33">
        <f>G9/(1+'G.1进项增值税率-建设投资'!$E9)</f>
        <v>0</v>
      </c>
      <c r="M9"/>
      <c r="N9"/>
      <c r="O9"/>
      <c r="P9"/>
      <c r="Q9"/>
      <c r="R9"/>
      <c r="S9"/>
      <c r="T9"/>
      <c r="U9"/>
    </row>
    <row r="10" s="44" customFormat="1" ht="16.5" customHeight="1" spans="1:21">
      <c r="A10" s="8">
        <v>2.2</v>
      </c>
      <c r="B10" s="13" t="s">
        <v>177</v>
      </c>
      <c r="C10" s="14">
        <f>'G.1进项增值税率-建设投资'!D10</f>
        <v>4940</v>
      </c>
      <c r="D10" s="33">
        <f>D.3建设投资分年计划表!E10</f>
        <v>499.5</v>
      </c>
      <c r="E10" s="33">
        <f>D.3建设投资分年计划表!F10</f>
        <v>2830.5</v>
      </c>
      <c r="F10" s="33">
        <f>D.3建设投资分年计划表!G10</f>
        <v>1610</v>
      </c>
      <c r="G10" s="33">
        <f>D.3建设投资分年计划表!H10</f>
        <v>0</v>
      </c>
      <c r="H10" s="97">
        <f>'G.1进项增值税率-建设投资'!$E$10</f>
        <v>0.06</v>
      </c>
      <c r="I10" s="33">
        <f>D10/(1+'G.1进项增值税率-建设投资'!$E10)</f>
        <v>471.22641509434</v>
      </c>
      <c r="J10" s="33">
        <f>E10/(1+'G.1进项增值税率-建设投资'!$E10)</f>
        <v>2670.28301886792</v>
      </c>
      <c r="K10" s="33">
        <f>F10/(1+'G.1进项增值税率-建设投资'!$E10)</f>
        <v>1518.8679245283</v>
      </c>
      <c r="L10" s="33">
        <f>G10/(1+'G.1进项增值税率-建设投资'!$E10)</f>
        <v>0</v>
      </c>
      <c r="M10"/>
      <c r="N10"/>
      <c r="O10"/>
      <c r="P10"/>
      <c r="Q10"/>
      <c r="R10"/>
      <c r="S10"/>
      <c r="T10"/>
      <c r="U10"/>
    </row>
    <row r="11" s="44" customFormat="1" ht="16.5" customHeight="1" spans="1:21">
      <c r="A11" s="8">
        <v>2.3</v>
      </c>
      <c r="B11" s="13" t="s">
        <v>178</v>
      </c>
      <c r="C11" s="14">
        <f>'G.1进项增值税率-建设投资'!D11</f>
        <v>0</v>
      </c>
      <c r="D11" s="33">
        <f>D.3建设投资分年计划表!E11</f>
        <v>0</v>
      </c>
      <c r="E11" s="33">
        <f>D.3建设投资分年计划表!F11</f>
        <v>0</v>
      </c>
      <c r="F11" s="33">
        <f>D.3建设投资分年计划表!G11</f>
        <v>0</v>
      </c>
      <c r="G11" s="33">
        <f>D.3建设投资分年计划表!H11</f>
        <v>0</v>
      </c>
      <c r="H11" s="97">
        <f>'G.1进项增值税率-建设投资'!$E$11</f>
        <v>0.13</v>
      </c>
      <c r="I11" s="33">
        <f>D11/(1+'G.1进项增值税率-建设投资'!$E11)</f>
        <v>0</v>
      </c>
      <c r="J11" s="33">
        <f>E11/(1+'G.1进项增值税率-建设投资'!$E11)</f>
        <v>0</v>
      </c>
      <c r="K11" s="33">
        <f>F11/(1+'G.1进项增值税率-建设投资'!$E11)</f>
        <v>0</v>
      </c>
      <c r="L11" s="33">
        <f>G11/(1+'G.1进项增值税率-建设投资'!$E11)</f>
        <v>0</v>
      </c>
      <c r="M11"/>
      <c r="N11"/>
      <c r="O11"/>
      <c r="P11"/>
      <c r="Q11"/>
      <c r="R11"/>
      <c r="S11"/>
      <c r="T11"/>
      <c r="U11"/>
    </row>
    <row r="12" s="44" customFormat="1" ht="16.5" customHeight="1" spans="1:21">
      <c r="A12" s="8">
        <v>2.4</v>
      </c>
      <c r="B12" s="13" t="s">
        <v>179</v>
      </c>
      <c r="C12" s="14">
        <f>'G.1进项增值税率-建设投资'!D12</f>
        <v>0</v>
      </c>
      <c r="D12" s="33">
        <f>D.3建设投资分年计划表!E12</f>
        <v>0</v>
      </c>
      <c r="E12" s="33">
        <f>D.3建设投资分年计划表!F12</f>
        <v>0</v>
      </c>
      <c r="F12" s="33">
        <f>D.3建设投资分年计划表!G12</f>
        <v>0</v>
      </c>
      <c r="G12" s="33">
        <f>D.3建设投资分年计划表!H12</f>
        <v>0</v>
      </c>
      <c r="H12" s="97">
        <f>'G.1进项增值税率-建设投资'!$E$12</f>
        <v>0.06</v>
      </c>
      <c r="I12" s="33">
        <f>D12/(1+'G.1进项增值税率-建设投资'!$E12)</f>
        <v>0</v>
      </c>
      <c r="J12" s="33">
        <f>E12/(1+'G.1进项增值税率-建设投资'!$E12)</f>
        <v>0</v>
      </c>
      <c r="K12" s="33">
        <f>F12/(1+'G.1进项增值税率-建设投资'!$E12)</f>
        <v>0</v>
      </c>
      <c r="L12" s="33">
        <f>G12/(1+'G.1进项增值税率-建设投资'!$E12)</f>
        <v>0</v>
      </c>
      <c r="M12"/>
      <c r="N12"/>
      <c r="O12"/>
      <c r="P12"/>
      <c r="Q12"/>
      <c r="R12"/>
      <c r="S12"/>
      <c r="T12"/>
      <c r="U12"/>
    </row>
    <row r="13" s="44" customFormat="1" ht="16.5" customHeight="1" spans="1:21">
      <c r="A13" s="95" t="s">
        <v>112</v>
      </c>
      <c r="B13" s="95" t="s">
        <v>113</v>
      </c>
      <c r="C13" s="96">
        <f>SUM(C14:C14)</f>
        <v>2408.1821113962</v>
      </c>
      <c r="D13" s="96">
        <f>SUM(D14:D14)</f>
        <v>173.905142399796</v>
      </c>
      <c r="E13" s="96">
        <f>SUM(E14:E14)</f>
        <v>985.462473598845</v>
      </c>
      <c r="F13" s="96">
        <f>SUM(F14:F14)</f>
        <v>1201.58545680704</v>
      </c>
      <c r="G13" s="96">
        <f>SUM(G14:G14)</f>
        <v>47.2290385905159</v>
      </c>
      <c r="H13" s="95" t="str">
        <f>'G.1进项增值税率-建设投资'!E13</f>
        <v>/</v>
      </c>
      <c r="I13" s="99">
        <f>SUM(I14:I14)</f>
        <v>164.061455094147</v>
      </c>
      <c r="J13" s="99">
        <f>SUM(J14:J14)</f>
        <v>929.681578866835</v>
      </c>
      <c r="K13" s="99">
        <f>SUM(K14:K14)</f>
        <v>1133.57118566702</v>
      </c>
      <c r="L13" s="99">
        <f>SUM(L14:L14)</f>
        <v>44.5556967835056</v>
      </c>
      <c r="M13"/>
      <c r="N13"/>
      <c r="O13"/>
      <c r="P13"/>
      <c r="Q13"/>
      <c r="R13"/>
      <c r="S13"/>
      <c r="T13"/>
      <c r="U13"/>
    </row>
    <row r="14" s="44" customFormat="1" ht="16.5" customHeight="1" spans="1:21">
      <c r="A14" s="8">
        <v>1</v>
      </c>
      <c r="B14" s="8" t="s">
        <v>180</v>
      </c>
      <c r="C14" s="14">
        <f>'G.1进项增值税率-建设投资'!D14</f>
        <v>2408.1821113962</v>
      </c>
      <c r="D14" s="33">
        <f>D.3建设投资分年计划表!E14</f>
        <v>173.905142399796</v>
      </c>
      <c r="E14" s="33">
        <f>D.3建设投资分年计划表!F14</f>
        <v>985.462473598845</v>
      </c>
      <c r="F14" s="33">
        <f>D.3建设投资分年计划表!G14</f>
        <v>1201.58545680704</v>
      </c>
      <c r="G14" s="33">
        <f>D.3建设投资分年计划表!H14</f>
        <v>47.2290385905159</v>
      </c>
      <c r="H14" s="97">
        <f>'G.1进项增值税率-建设投资'!$E$14</f>
        <v>0.06</v>
      </c>
      <c r="I14" s="33">
        <f>D14/(1+'G.1进项增值税率-建设投资'!$E14)</f>
        <v>164.061455094147</v>
      </c>
      <c r="J14" s="33">
        <f>E14/(1+'G.1进项增值税率-建设投资'!$E14)</f>
        <v>929.681578866835</v>
      </c>
      <c r="K14" s="33">
        <f>F14/(1+'G.1进项增值税率-建设投资'!$E14)</f>
        <v>1133.57118566702</v>
      </c>
      <c r="L14" s="33">
        <f>G14/(1+'G.1进项增值税率-建设投资'!$E14)</f>
        <v>44.5556967835056</v>
      </c>
      <c r="M14"/>
      <c r="N14"/>
      <c r="O14"/>
      <c r="P14"/>
      <c r="Q14"/>
      <c r="R14"/>
      <c r="S14"/>
      <c r="T14"/>
      <c r="U14"/>
    </row>
    <row r="15" s="44" customFormat="1" ht="16.5" customHeight="1" spans="1:21">
      <c r="A15" s="95" t="s">
        <v>136</v>
      </c>
      <c r="B15" s="95" t="s">
        <v>137</v>
      </c>
      <c r="C15" s="96">
        <f>C16</f>
        <v>1344.15560556981</v>
      </c>
      <c r="D15" s="96">
        <f>D16</f>
        <v>97.0672321199898</v>
      </c>
      <c r="E15" s="96">
        <f>E16</f>
        <v>550.047648679942</v>
      </c>
      <c r="F15" s="96">
        <f>F16</f>
        <v>670.679272840352</v>
      </c>
      <c r="G15" s="96">
        <f>G16</f>
        <v>26.3614519295258</v>
      </c>
      <c r="H15" s="95" t="str">
        <f>'G.1进项增值税率-建设投资'!E15</f>
        <v>/</v>
      </c>
      <c r="I15" s="99">
        <f>I16</f>
        <v>97.0672321199898</v>
      </c>
      <c r="J15" s="99">
        <f>J16</f>
        <v>550.047648679942</v>
      </c>
      <c r="K15" s="99">
        <f>K16</f>
        <v>670.679272840352</v>
      </c>
      <c r="L15" s="99">
        <f>L16</f>
        <v>26.3614519295258</v>
      </c>
      <c r="M15"/>
      <c r="N15"/>
      <c r="O15"/>
      <c r="P15"/>
      <c r="Q15"/>
      <c r="R15"/>
      <c r="S15"/>
      <c r="T15"/>
      <c r="U15"/>
    </row>
    <row r="16" s="44" customFormat="1" ht="16.5" customHeight="1" spans="1:21">
      <c r="A16" s="8">
        <v>1</v>
      </c>
      <c r="B16" s="13" t="s">
        <v>138</v>
      </c>
      <c r="C16" s="14">
        <f>'G.1进项增值税率-建设投资'!D16</f>
        <v>1344.15560556981</v>
      </c>
      <c r="D16" s="33">
        <f>D.3建设投资分年计划表!E16</f>
        <v>97.0672321199898</v>
      </c>
      <c r="E16" s="33">
        <f>D.3建设投资分年计划表!F16</f>
        <v>550.047648679942</v>
      </c>
      <c r="F16" s="33">
        <f>D.3建设投资分年计划表!G16</f>
        <v>670.679272840352</v>
      </c>
      <c r="G16" s="33">
        <f>D.3建设投资分年计划表!H16</f>
        <v>26.3614519295258</v>
      </c>
      <c r="H16" s="97">
        <f>'G.1进项增值税率-建设投资'!$E$16</f>
        <v>0</v>
      </c>
      <c r="I16" s="33">
        <f>D16/(1+'G.1进项增值税率-建设投资'!$E16)</f>
        <v>97.0672321199898</v>
      </c>
      <c r="J16" s="33">
        <f>E16/(1+'G.1进项增值税率-建设投资'!$E16)</f>
        <v>550.047648679942</v>
      </c>
      <c r="K16" s="33">
        <f>F16/(1+'G.1进项增值税率-建设投资'!$E16)</f>
        <v>670.679272840352</v>
      </c>
      <c r="L16" s="33">
        <f>G16/(1+'G.1进项增值税率-建设投资'!$E16)</f>
        <v>26.3614519295258</v>
      </c>
      <c r="M16"/>
      <c r="N16"/>
      <c r="O16"/>
      <c r="P16"/>
      <c r="Q16"/>
      <c r="R16"/>
      <c r="S16"/>
      <c r="T16"/>
      <c r="U16"/>
    </row>
    <row r="17" s="44" customFormat="1" ht="16.5" customHeight="1" spans="1:21">
      <c r="A17" s="8"/>
      <c r="B17" s="8" t="s">
        <v>80</v>
      </c>
      <c r="C17" s="14">
        <f>C3+C13+C15</f>
        <v>28227.267716966</v>
      </c>
      <c r="D17" s="14">
        <f>D3+D13+D15</f>
        <v>2038.41187451979</v>
      </c>
      <c r="E17" s="14">
        <f>E3+E13+E15</f>
        <v>11551.0006222788</v>
      </c>
      <c r="F17" s="14">
        <f>F3+F13+F15</f>
        <v>14084.2647296474</v>
      </c>
      <c r="G17" s="14">
        <f>G3+G13+G15</f>
        <v>553.590490520042</v>
      </c>
      <c r="H17" s="14" t="s">
        <v>161</v>
      </c>
      <c r="I17" s="14">
        <f>I3+I13+I15</f>
        <v>1862.88206098348</v>
      </c>
      <c r="J17" s="14">
        <f>J3+J13+J15</f>
        <v>10556.3316789064</v>
      </c>
      <c r="K17" s="14">
        <f>K3+K13+K15</f>
        <v>12958.5978017253</v>
      </c>
      <c r="L17" s="14">
        <f>L3+L13+L15</f>
        <v>503.490015482537</v>
      </c>
      <c r="M17"/>
      <c r="N17"/>
      <c r="O17"/>
      <c r="P17"/>
      <c r="Q17"/>
      <c r="R17"/>
      <c r="S17"/>
      <c r="T17"/>
      <c r="U17"/>
    </row>
    <row r="19" ht="14" customHeight="1" spans="9:10">
      <c r="I19"/>
      <c r="J19" s="100"/>
    </row>
    <row r="20" ht="14" customHeight="1" spans="9:10">
      <c r="I20"/>
      <c r="J20" s="100"/>
    </row>
  </sheetData>
  <mergeCells count="1">
    <mergeCell ref="A1:L1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FFFF00"/>
  </sheetPr>
  <dimension ref="A1:AA26"/>
  <sheetViews>
    <sheetView workbookViewId="0">
      <pane xSplit="3" ySplit="2" topLeftCell="D16" activePane="bottomRight" state="frozen"/>
      <selection/>
      <selection pane="topRight"/>
      <selection pane="bottomLeft"/>
      <selection pane="bottomRight" activeCell="D25" sqref="D25"/>
    </sheetView>
  </sheetViews>
  <sheetFormatPr defaultColWidth="8.89090909090909" defaultRowHeight="28.05" customHeight="1"/>
  <cols>
    <col min="1" max="1" width="8.89090909090909" style="44" customWidth="1"/>
    <col min="2" max="2" width="13" style="44" customWidth="1"/>
    <col min="3" max="3" width="12.8909090909091" style="44" customWidth="1"/>
    <col min="4" max="4" width="6.44545454545455" style="44" customWidth="1"/>
    <col min="5" max="8" width="9.89090909090909" style="44" customWidth="1"/>
    <col min="9" max="16384" width="8.89090909090909" style="44" customWidth="1"/>
  </cols>
  <sheetData>
    <row r="1" customHeight="1" spans="1:27">
      <c r="A1" s="85" t="s">
        <v>311</v>
      </c>
      <c r="B1" s="85"/>
      <c r="C1" s="85"/>
      <c r="D1" s="85"/>
      <c r="E1" s="85"/>
      <c r="F1" s="85"/>
      <c r="G1" s="85"/>
      <c r="H1" s="85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customHeight="1" spans="1:27">
      <c r="A2" s="57" t="s">
        <v>1</v>
      </c>
      <c r="B2" s="57" t="s">
        <v>312</v>
      </c>
      <c r="C2" s="5" t="s">
        <v>313</v>
      </c>
      <c r="D2" s="57">
        <v>2025</v>
      </c>
      <c r="E2" s="57">
        <v>2026</v>
      </c>
      <c r="F2" s="57">
        <v>2027</v>
      </c>
      <c r="G2" s="57">
        <v>2028</v>
      </c>
      <c r="H2" s="57">
        <v>2029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customHeight="1" spans="1:27">
      <c r="A3" s="86">
        <v>1</v>
      </c>
      <c r="B3" s="86" t="str">
        <f>F.1项目单项收入信息!B3</f>
        <v>气象收入</v>
      </c>
      <c r="C3" s="8" t="s">
        <v>314</v>
      </c>
      <c r="D3" s="59">
        <f>F.1项目单项收入信息!H3</f>
        <v>0</v>
      </c>
      <c r="E3" s="59">
        <f>F.1项目单项收入信息!I3</f>
        <v>0</v>
      </c>
      <c r="F3" s="59">
        <f>F.1项目单项收入信息!J3</f>
        <v>0</v>
      </c>
      <c r="G3" s="59">
        <f>F.1项目单项收入信息!K3</f>
        <v>0</v>
      </c>
      <c r="H3" s="59">
        <f>F.1项目单项收入信息!L3</f>
        <v>0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customHeight="1" spans="1:27">
      <c r="A4" s="87"/>
      <c r="B4" s="87"/>
      <c r="C4" s="8" t="s">
        <v>315</v>
      </c>
      <c r="D4" s="88">
        <f>D3/(1+G.3销项增值税率!$C$3)</f>
        <v>0</v>
      </c>
      <c r="E4" s="88">
        <f>E3/(1+G.3销项增值税率!$C$3)</f>
        <v>0</v>
      </c>
      <c r="F4" s="88">
        <f>F3/(1+G.3销项增值税率!$C$3)</f>
        <v>0</v>
      </c>
      <c r="G4" s="88">
        <f>G3/(1+G.3销项增值税率!$C$3)</f>
        <v>0</v>
      </c>
      <c r="H4" s="88">
        <f>H3/(1+G.3销项增值税率!$C$3)</f>
        <v>0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customHeight="1" spans="1:27">
      <c r="A5" s="86">
        <v>2</v>
      </c>
      <c r="B5" s="86" t="str">
        <f>F.1项目单项收入信息!B7</f>
        <v>低空物流收入</v>
      </c>
      <c r="C5" s="8" t="s">
        <v>314</v>
      </c>
      <c r="D5" s="59">
        <f>F.1项目单项收入信息!H5</f>
        <v>0</v>
      </c>
      <c r="E5" s="59">
        <f>F.1项目单项收入信息!I5</f>
        <v>0</v>
      </c>
      <c r="F5" s="59">
        <f>F.1项目单项收入信息!J5</f>
        <v>0</v>
      </c>
      <c r="G5" s="59">
        <f>F.1项目单项收入信息!K5</f>
        <v>0</v>
      </c>
      <c r="H5" s="59">
        <f>F.1项目单项收入信息!L5</f>
        <v>0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customHeight="1" spans="1:27">
      <c r="A6" s="87"/>
      <c r="B6" s="87"/>
      <c r="C6" s="8" t="s">
        <v>315</v>
      </c>
      <c r="D6" s="89">
        <f>D5/(1+G.3销项增值税率!$C$4)</f>
        <v>0</v>
      </c>
      <c r="E6" s="89">
        <f>E5/(1+G.3销项增值税率!$C$4)</f>
        <v>0</v>
      </c>
      <c r="F6" s="89">
        <f>F5/(1+G.3销项增值税率!$C$4)</f>
        <v>0</v>
      </c>
      <c r="G6" s="89">
        <f>G5/(1+G.3销项增值税率!$C$4)</f>
        <v>0</v>
      </c>
      <c r="H6" s="89">
        <f>H5/(1+G.3销项增值税率!$C$4)</f>
        <v>0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customHeight="1" spans="1:27">
      <c r="A7" s="86">
        <v>3</v>
      </c>
      <c r="B7" s="86" t="str">
        <f>F.1项目单项收入信息!B7</f>
        <v>低空物流收入</v>
      </c>
      <c r="C7" s="8" t="s">
        <v>314</v>
      </c>
      <c r="D7" s="59">
        <f>F.1项目单项收入信息!H7</f>
        <v>0</v>
      </c>
      <c r="E7" s="59">
        <f>F.1项目单项收入信息!I7</f>
        <v>0</v>
      </c>
      <c r="F7" s="59">
        <f>F.1项目单项收入信息!J7</f>
        <v>0</v>
      </c>
      <c r="G7" s="59">
        <f>F.1项目单项收入信息!K7</f>
        <v>0</v>
      </c>
      <c r="H7" s="59">
        <f>F.1项目单项收入信息!L7</f>
        <v>0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customHeight="1" spans="1:27">
      <c r="A8" s="87"/>
      <c r="B8" s="87"/>
      <c r="C8" s="8" t="s">
        <v>315</v>
      </c>
      <c r="D8" s="89">
        <f>D7/(1+G.3销项增值税率!$C$5)</f>
        <v>0</v>
      </c>
      <c r="E8" s="89">
        <f>E7/(1+G.3销项增值税率!$C$5)</f>
        <v>0</v>
      </c>
      <c r="F8" s="89">
        <f>F7/(1+G.3销项增值税率!$C$5)</f>
        <v>0</v>
      </c>
      <c r="G8" s="89">
        <f>G7/(1+G.3销项增值税率!$C$5)</f>
        <v>0</v>
      </c>
      <c r="H8" s="89">
        <f>H7/(1+G.3销项增值税率!$C$5)</f>
        <v>0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customHeight="1" spans="1:27">
      <c r="A9" s="86">
        <v>4</v>
      </c>
      <c r="B9" s="86" t="str">
        <f>F.1项目单项收入信息!B9</f>
        <v>低空出行收入</v>
      </c>
      <c r="C9" s="8" t="s">
        <v>314</v>
      </c>
      <c r="D9" s="59">
        <f>F.1项目单项收入信息!H9</f>
        <v>0</v>
      </c>
      <c r="E9" s="59">
        <f>F.1项目单项收入信息!I9</f>
        <v>0</v>
      </c>
      <c r="F9" s="59">
        <f>F.1项目单项收入信息!J9</f>
        <v>0</v>
      </c>
      <c r="G9" s="59">
        <f>F.1项目单项收入信息!K9</f>
        <v>0</v>
      </c>
      <c r="H9" s="59">
        <f>F.1项目单项收入信息!L9</f>
        <v>0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customHeight="1" spans="1:27">
      <c r="A10" s="87"/>
      <c r="B10" s="87"/>
      <c r="C10" s="8" t="s">
        <v>315</v>
      </c>
      <c r="D10" s="88">
        <f>D9/(1+G.3销项增值税率!$C$3)</f>
        <v>0</v>
      </c>
      <c r="E10" s="88">
        <f>E9/(1+G.3销项增值税率!$C$3)</f>
        <v>0</v>
      </c>
      <c r="F10" s="88">
        <f>F9/(1+G.3销项增值税率!$C$3)</f>
        <v>0</v>
      </c>
      <c r="G10" s="88">
        <f>G9/(1+G.3销项增值税率!$C$3)</f>
        <v>0</v>
      </c>
      <c r="H10" s="88">
        <f>H9/(1+G.3销项增值税率!$C$3)</f>
        <v>0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customHeight="1" spans="1:27">
      <c r="A11" s="86">
        <v>5</v>
      </c>
      <c r="B11" s="86" t="str">
        <f>F.1项目单项收入信息!B11</f>
        <v>广告位收入</v>
      </c>
      <c r="C11" s="8" t="s">
        <v>314</v>
      </c>
      <c r="D11" s="59">
        <f>F.1项目单项收入信息!H11</f>
        <v>0</v>
      </c>
      <c r="E11" s="59">
        <f>F.1项目单项收入信息!I11</f>
        <v>0</v>
      </c>
      <c r="F11" s="59">
        <f>F.1项目单项收入信息!J11</f>
        <v>0</v>
      </c>
      <c r="G11" s="59">
        <f>F.1项目单项收入信息!K11</f>
        <v>0</v>
      </c>
      <c r="H11" s="59">
        <f>F.1项目单项收入信息!L11</f>
        <v>0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customHeight="1" spans="1:27">
      <c r="A12" s="87"/>
      <c r="B12" s="87"/>
      <c r="C12" s="8" t="s">
        <v>315</v>
      </c>
      <c r="D12" s="89">
        <f>D11/(1+G.3销项增值税率!$C$4)</f>
        <v>0</v>
      </c>
      <c r="E12" s="89">
        <f>E11/(1+G.3销项增值税率!$C$4)</f>
        <v>0</v>
      </c>
      <c r="F12" s="89">
        <f>F11/(1+G.3销项增值税率!$C$4)</f>
        <v>0</v>
      </c>
      <c r="G12" s="89">
        <f>G11/(1+G.3销项增值税率!$C$4)</f>
        <v>0</v>
      </c>
      <c r="H12" s="89">
        <f>H11/(1+G.3销项增值税率!$C$4)</f>
        <v>0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customHeight="1" spans="1:27">
      <c r="A13" s="86">
        <v>6</v>
      </c>
      <c r="B13" s="86" t="str">
        <f>F.1项目单项收入信息!B13</f>
        <v>停车位收入</v>
      </c>
      <c r="C13" s="8" t="s">
        <v>314</v>
      </c>
      <c r="D13" s="59">
        <f>F.1项目单项收入信息!H13</f>
        <v>0</v>
      </c>
      <c r="E13" s="59">
        <f>F.1项目单项收入信息!I13</f>
        <v>0</v>
      </c>
      <c r="F13" s="59">
        <f>F.1项目单项收入信息!J13</f>
        <v>0</v>
      </c>
      <c r="G13" s="59">
        <f>F.1项目单项收入信息!K13</f>
        <v>0</v>
      </c>
      <c r="H13" s="59">
        <f>F.1项目单项收入信息!L13</f>
        <v>0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customHeight="1" spans="1:27">
      <c r="A14" s="87"/>
      <c r="B14" s="87"/>
      <c r="C14" s="8" t="s">
        <v>315</v>
      </c>
      <c r="D14" s="89">
        <f>D13/(1+G.3销项增值税率!$C$5)</f>
        <v>0</v>
      </c>
      <c r="E14" s="89">
        <f>E13/(1+G.3销项增值税率!$C$5)</f>
        <v>0</v>
      </c>
      <c r="F14" s="89">
        <f>F13/(1+G.3销项增值税率!$C$5)</f>
        <v>0</v>
      </c>
      <c r="G14" s="89">
        <f>G13/(1+G.3销项增值税率!$C$5)</f>
        <v>0</v>
      </c>
      <c r="H14" s="89">
        <f>H13/(1+G.3销项增值税率!$C$5)</f>
        <v>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customHeight="1" spans="1:27">
      <c r="A15" s="86">
        <v>7</v>
      </c>
      <c r="B15" s="86" t="str">
        <f>F.1项目单项收入信息!B15</f>
        <v>商铺租赁收入</v>
      </c>
      <c r="C15" s="8" t="s">
        <v>314</v>
      </c>
      <c r="D15" s="59">
        <f>F.1项目单项收入信息!H15</f>
        <v>0</v>
      </c>
      <c r="E15" s="59">
        <f>F.1项目单项收入信息!I15</f>
        <v>0</v>
      </c>
      <c r="F15" s="59">
        <f>F.1项目单项收入信息!J15</f>
        <v>0</v>
      </c>
      <c r="G15" s="59">
        <f>F.1项目单项收入信息!K15</f>
        <v>0</v>
      </c>
      <c r="H15" s="59">
        <f>F.1项目单项收入信息!L15</f>
        <v>0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customHeight="1" spans="1:27">
      <c r="A16" s="87"/>
      <c r="B16" s="87"/>
      <c r="C16" s="8" t="s">
        <v>315</v>
      </c>
      <c r="D16" s="88">
        <f>D15/(1+G.3销项增值税率!$C$3)</f>
        <v>0</v>
      </c>
      <c r="E16" s="88">
        <f>E15/(1+G.3销项增值税率!$C$3)</f>
        <v>0</v>
      </c>
      <c r="F16" s="88">
        <f>F15/(1+G.3销项增值税率!$C$3)</f>
        <v>0</v>
      </c>
      <c r="G16" s="88">
        <f>G15/(1+G.3销项增值税率!$C$3)</f>
        <v>0</v>
      </c>
      <c r="H16" s="88">
        <f>H15/(1+G.3销项增值税率!$C$3)</f>
        <v>0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customHeight="1" spans="1:27">
      <c r="A17" s="86">
        <v>8</v>
      </c>
      <c r="B17" s="86" t="str">
        <f>F.1项目单项收入信息!B17</f>
        <v>政务服务收入</v>
      </c>
      <c r="C17" s="8" t="s">
        <v>314</v>
      </c>
      <c r="D17" s="59">
        <f>F.1项目单项收入信息!H17</f>
        <v>0</v>
      </c>
      <c r="E17" s="59">
        <f>F.1项目单项收入信息!I17</f>
        <v>0</v>
      </c>
      <c r="F17" s="59">
        <f>F.1项目单项收入信息!J17</f>
        <v>0</v>
      </c>
      <c r="G17" s="59">
        <f>F.1项目单项收入信息!K17</f>
        <v>0</v>
      </c>
      <c r="H17" s="59">
        <f>F.1项目单项收入信息!L17</f>
        <v>0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customHeight="1" spans="1:27">
      <c r="A18" s="87"/>
      <c r="B18" s="87"/>
      <c r="C18" s="8" t="s">
        <v>315</v>
      </c>
      <c r="D18" s="89">
        <f>D17/(1+G.3销项增值税率!$C$4)</f>
        <v>0</v>
      </c>
      <c r="E18" s="89">
        <f>E17/(1+G.3销项增值税率!$C$4)</f>
        <v>0</v>
      </c>
      <c r="F18" s="89">
        <f>F17/(1+G.3销项增值税率!$C$4)</f>
        <v>0</v>
      </c>
      <c r="G18" s="89">
        <f>G17/(1+G.3销项增值税率!$C$4)</f>
        <v>0</v>
      </c>
      <c r="H18" s="89">
        <f>H17/(1+G.3销项增值税率!$C$4)</f>
        <v>0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customHeight="1" spans="1:27">
      <c r="A19" s="86">
        <v>9</v>
      </c>
      <c r="B19" s="86" t="str">
        <f>F.1项目单项收入信息!B19</f>
        <v>数据收入</v>
      </c>
      <c r="C19" s="8" t="s">
        <v>314</v>
      </c>
      <c r="D19" s="59">
        <f>F.1项目单项收入信息!H19</f>
        <v>0</v>
      </c>
      <c r="E19" s="59">
        <f>F.1项目单项收入信息!I19</f>
        <v>0</v>
      </c>
      <c r="F19" s="59">
        <f>F.1项目单项收入信息!J19</f>
        <v>0</v>
      </c>
      <c r="G19" s="59">
        <f>F.1项目单项收入信息!K19</f>
        <v>0</v>
      </c>
      <c r="H19" s="59">
        <f>F.1项目单项收入信息!L19</f>
        <v>0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customHeight="1" spans="1:27">
      <c r="A20" s="87"/>
      <c r="B20" s="87"/>
      <c r="C20" s="8" t="s">
        <v>315</v>
      </c>
      <c r="D20" s="89">
        <f>D19/(1+G.3销项增值税率!$C$5)</f>
        <v>0</v>
      </c>
      <c r="E20" s="89">
        <f>E19/(1+G.3销项增值税率!$C$5)</f>
        <v>0</v>
      </c>
      <c r="F20" s="89">
        <f>F19/(1+G.3销项增值税率!$C$5)</f>
        <v>0</v>
      </c>
      <c r="G20" s="89">
        <f>G19/(1+G.3销项增值税率!$C$5)</f>
        <v>0</v>
      </c>
      <c r="H20" s="89">
        <f>H19/(1+G.3销项增值税率!$C$5)</f>
        <v>0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customHeight="1" spans="1:27">
      <c r="A21" s="86">
        <v>10</v>
      </c>
      <c r="B21" s="86" t="str">
        <f>F.1项目单项收入信息!B21</f>
        <v>产学研收入</v>
      </c>
      <c r="C21" s="8" t="s">
        <v>314</v>
      </c>
      <c r="D21" s="59">
        <f>F.1项目单项收入信息!H21</f>
        <v>0</v>
      </c>
      <c r="E21" s="59">
        <f>F.1项目单项收入信息!I21</f>
        <v>0</v>
      </c>
      <c r="F21" s="59">
        <f>F.1项目单项收入信息!J21</f>
        <v>0</v>
      </c>
      <c r="G21" s="59">
        <f>F.1项目单项收入信息!K21</f>
        <v>0</v>
      </c>
      <c r="H21" s="59">
        <f>F.1项目单项收入信息!L21</f>
        <v>0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customHeight="1" spans="1:27">
      <c r="A22" s="87"/>
      <c r="B22" s="87"/>
      <c r="C22" s="8" t="s">
        <v>315</v>
      </c>
      <c r="D22" s="88">
        <f>D21/(1+G.3销项增值税率!$C$3)</f>
        <v>0</v>
      </c>
      <c r="E22" s="88">
        <f>E21/(1+G.3销项增值税率!$C$3)</f>
        <v>0</v>
      </c>
      <c r="F22" s="88">
        <f>F21/(1+G.3销项增值税率!$C$3)</f>
        <v>0</v>
      </c>
      <c r="G22" s="88">
        <f>G21/(1+G.3销项增值税率!$C$3)</f>
        <v>0</v>
      </c>
      <c r="H22" s="88">
        <f>H21/(1+G.3销项增值税率!$C$3)</f>
        <v>0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customHeight="1" spans="1:27">
      <c r="A23" s="13">
        <v>4</v>
      </c>
      <c r="B23" s="90" t="s">
        <v>316</v>
      </c>
      <c r="C23" s="91"/>
      <c r="D23" s="37">
        <v>0</v>
      </c>
      <c r="E23" s="37">
        <v>0</v>
      </c>
      <c r="F23" s="37">
        <v>0</v>
      </c>
      <c r="G23" s="37">
        <v>0</v>
      </c>
      <c r="H23" s="37">
        <v>0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customHeight="1" spans="1:27">
      <c r="A24" s="13">
        <v>5</v>
      </c>
      <c r="B24" s="90" t="s">
        <v>317</v>
      </c>
      <c r="C24" s="91"/>
      <c r="D24" s="37">
        <f>SUM(D3,D7,D5,D9,D11,D13,D15,D17,D19,D21)</f>
        <v>0</v>
      </c>
      <c r="E24" s="37">
        <f>SUM(E3,E7,E5,E9,E11,E13,E15,E17,E19,E21)</f>
        <v>0</v>
      </c>
      <c r="F24" s="37">
        <f>SUM(F3,F7,F5,F9,F11,F13,F15,F17,F19,F21)</f>
        <v>0</v>
      </c>
      <c r="G24" s="37">
        <f>SUM(G3,G7,G5,G9,G11,G13,G15,G17,G19,G21)</f>
        <v>0</v>
      </c>
      <c r="H24" s="37">
        <f>SUM(H3,H7,H5,H9,H11,H13,H15,H17,H19,H21)</f>
        <v>0</v>
      </c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customHeight="1" spans="1:27">
      <c r="A25" s="13">
        <v>6</v>
      </c>
      <c r="B25" s="92" t="s">
        <v>318</v>
      </c>
      <c r="C25" s="93"/>
      <c r="D25" s="37">
        <f>SUM(D4,D8,D6,D10,D12,D14,D16,D18,D20,D22)</f>
        <v>0</v>
      </c>
      <c r="E25" s="37">
        <f>SUM(E4,E8,E6,E10,E12,E14,E16,E18,E20,E22)</f>
        <v>0</v>
      </c>
      <c r="F25" s="37">
        <f>SUM(F4,F8,F6,F10,F12,F14,F16,F18,F20,F22)</f>
        <v>0</v>
      </c>
      <c r="G25" s="37">
        <f>SUM(G4,G8,G6,G10,G12,G14,G16,G18,G20,G22)</f>
        <v>0</v>
      </c>
      <c r="H25" s="37">
        <f>SUM(H4,H8,H6,H10,H12,H14,H16,H18,H20,H22)</f>
        <v>0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customHeight="1" spans="9:12">
      <c r="I26"/>
      <c r="J26"/>
      <c r="K26"/>
      <c r="L26"/>
    </row>
  </sheetData>
  <autoFilter xmlns:etc="http://www.wps.cn/officeDocument/2017/etCustomData" ref="A2:H25" etc:filterBottomFollowUsedRange="0">
    <extLst/>
  </autoFilter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rgb="FFFFFF00"/>
  </sheetPr>
  <dimension ref="A1:AH44"/>
  <sheetViews>
    <sheetView zoomScale="85" zoomScaleNormal="85" workbookViewId="0">
      <selection activeCell="I22" sqref="I22"/>
    </sheetView>
  </sheetViews>
  <sheetFormatPr defaultColWidth="8.89090909090909" defaultRowHeight="28.05" customHeight="1"/>
  <cols>
    <col min="1" max="1" width="6" style="1" customWidth="1"/>
    <col min="2" max="2" width="12.4454545454545" style="1" customWidth="1"/>
    <col min="3" max="3" width="21.3363636363636" style="1" customWidth="1"/>
    <col min="4" max="4" width="26" style="1" customWidth="1"/>
    <col min="5" max="5" width="21.6636363636364" style="1" customWidth="1"/>
    <col min="6" max="6" width="17.1090909090909" style="1" customWidth="1"/>
    <col min="7" max="7" width="10.2181818181818" style="1" customWidth="1"/>
    <col min="8" max="8" width="14.7818181818182" style="1" customWidth="1"/>
    <col min="9" max="9" width="12.4454545454545" style="1" customWidth="1"/>
    <col min="10" max="31" width="9.89090909090909" style="1" customWidth="1"/>
    <col min="32" max="32" width="9.55454545454545" style="1" customWidth="1"/>
    <col min="33" max="33" width="11.7818181818182" style="1" customWidth="1"/>
    <col min="34" max="34" width="13.8909090909091" style="1" customWidth="1"/>
  </cols>
  <sheetData>
    <row r="1" ht="20" customHeight="1" spans="1:32">
      <c r="A1" s="71" t="s">
        <v>319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/>
      <c r="N1"/>
      <c r="AF1"/>
    </row>
    <row r="2" ht="16.5" customHeight="1" spans="1:14">
      <c r="A2" s="5" t="s">
        <v>1</v>
      </c>
      <c r="B2" s="5" t="s">
        <v>312</v>
      </c>
      <c r="C2" s="5" t="s">
        <v>86</v>
      </c>
      <c r="D2" s="5" t="s">
        <v>320</v>
      </c>
      <c r="E2" s="5" t="s">
        <v>223</v>
      </c>
      <c r="F2" s="5" t="s">
        <v>321</v>
      </c>
      <c r="G2" s="5" t="s">
        <v>322</v>
      </c>
      <c r="H2" s="32">
        <v>2025</v>
      </c>
      <c r="I2" s="32">
        <v>2026</v>
      </c>
      <c r="J2" s="32">
        <v>2027</v>
      </c>
      <c r="K2" s="32">
        <v>2028</v>
      </c>
      <c r="L2" s="32">
        <v>2029</v>
      </c>
      <c r="M2"/>
      <c r="N2"/>
    </row>
    <row r="3" ht="21.45" customHeight="1" spans="1:14">
      <c r="A3" s="13">
        <v>1</v>
      </c>
      <c r="B3" s="13" t="s">
        <v>323</v>
      </c>
      <c r="C3" s="13">
        <v>1</v>
      </c>
      <c r="D3" s="37"/>
      <c r="E3" s="79">
        <f>A财务假设!D20</f>
        <v>0</v>
      </c>
      <c r="F3" s="80" t="s">
        <v>324</v>
      </c>
      <c r="G3" s="10">
        <v>0</v>
      </c>
      <c r="H3" s="37">
        <f>SUM(J26:J28)*(1+$E3)</f>
        <v>0</v>
      </c>
      <c r="I3" s="37">
        <f>SUM(K26:K28)*(1+$E3)</f>
        <v>0</v>
      </c>
      <c r="J3" s="37">
        <f>SUM(L26:L28)*(1+$E3)</f>
        <v>0</v>
      </c>
      <c r="K3" s="37">
        <f>SUM(M26:M28)*(1+$E3)</f>
        <v>0</v>
      </c>
      <c r="L3" s="37">
        <f>SUM(N26:N28)*(1+$E3)</f>
        <v>0</v>
      </c>
      <c r="M3"/>
      <c r="N3"/>
    </row>
    <row r="4" ht="21.45" customHeight="1" spans="1:14">
      <c r="A4" s="17"/>
      <c r="B4" s="17"/>
      <c r="C4" s="8" t="s">
        <v>325</v>
      </c>
      <c r="D4" s="3"/>
      <c r="E4" s="3"/>
      <c r="F4" s="3"/>
      <c r="G4" s="4"/>
      <c r="H4" s="81"/>
      <c r="I4" s="81"/>
      <c r="J4" s="81"/>
      <c r="K4" s="81"/>
      <c r="L4" s="81"/>
      <c r="M4"/>
      <c r="N4"/>
    </row>
    <row r="5" ht="21.45" customHeight="1" spans="1:14">
      <c r="A5" s="13">
        <v>2</v>
      </c>
      <c r="B5" s="13" t="s">
        <v>326</v>
      </c>
      <c r="C5" s="13">
        <v>1</v>
      </c>
      <c r="D5" s="37"/>
      <c r="E5" s="14"/>
      <c r="F5" s="80" t="s">
        <v>324</v>
      </c>
      <c r="G5" s="10">
        <v>0</v>
      </c>
      <c r="H5" s="37">
        <f>SUM(J29:J32)*(1+$E3)</f>
        <v>0</v>
      </c>
      <c r="I5" s="37">
        <f>SUM(K29:K32)*(1+$E3)</f>
        <v>0</v>
      </c>
      <c r="J5" s="37">
        <f>SUM(L29:L32)*(1+$E3)</f>
        <v>0</v>
      </c>
      <c r="K5" s="37">
        <f>SUM(M29:M32)*(1+$E3)</f>
        <v>0</v>
      </c>
      <c r="L5" s="37">
        <f>SUM(N29:N32)*(1+$E3)</f>
        <v>0</v>
      </c>
      <c r="M5"/>
      <c r="N5"/>
    </row>
    <row r="6" ht="21.45" customHeight="1" spans="1:14">
      <c r="A6" s="17"/>
      <c r="B6" s="17"/>
      <c r="C6" s="8" t="s">
        <v>325</v>
      </c>
      <c r="D6" s="3"/>
      <c r="E6" s="3"/>
      <c r="F6" s="3"/>
      <c r="G6" s="4"/>
      <c r="H6" s="81"/>
      <c r="I6" s="81"/>
      <c r="J6" s="81"/>
      <c r="K6" s="81"/>
      <c r="L6" s="81"/>
      <c r="M6"/>
      <c r="N6"/>
    </row>
    <row r="7" ht="21.45" customHeight="1" spans="1:14">
      <c r="A7" s="13">
        <v>3</v>
      </c>
      <c r="B7" s="13" t="s">
        <v>327</v>
      </c>
      <c r="C7" s="13">
        <v>1</v>
      </c>
      <c r="D7" s="37"/>
      <c r="E7" s="14"/>
      <c r="F7" s="80" t="s">
        <v>328</v>
      </c>
      <c r="G7" s="67">
        <v>0.02</v>
      </c>
      <c r="H7" s="37">
        <f>J33*(1+$E3)</f>
        <v>0</v>
      </c>
      <c r="I7" s="37">
        <f>K33*(1+$E3)</f>
        <v>0</v>
      </c>
      <c r="J7" s="37">
        <f>L33*(1+$E3)</f>
        <v>0</v>
      </c>
      <c r="K7" s="37">
        <f>M33*(1+$E3)</f>
        <v>0</v>
      </c>
      <c r="L7" s="37">
        <f>N33*(1+$E3)</f>
        <v>0</v>
      </c>
      <c r="M7"/>
      <c r="N7"/>
    </row>
    <row r="8" ht="21.45" customHeight="1" spans="1:14">
      <c r="A8" s="17"/>
      <c r="B8" s="17"/>
      <c r="C8" s="8" t="s">
        <v>325</v>
      </c>
      <c r="D8" s="3"/>
      <c r="E8" s="3"/>
      <c r="F8" s="3"/>
      <c r="G8" s="4"/>
      <c r="H8" s="81"/>
      <c r="I8" s="81"/>
      <c r="J8" s="81"/>
      <c r="K8" s="81"/>
      <c r="L8" s="81"/>
      <c r="M8"/>
      <c r="N8"/>
    </row>
    <row r="9" ht="21.45" customHeight="1" spans="1:14">
      <c r="A9" s="13">
        <v>4</v>
      </c>
      <c r="B9" s="13" t="s">
        <v>329</v>
      </c>
      <c r="C9" s="13">
        <v>1</v>
      </c>
      <c r="D9" s="37"/>
      <c r="E9" s="14"/>
      <c r="F9" s="80" t="s">
        <v>324</v>
      </c>
      <c r="G9" s="10">
        <v>0</v>
      </c>
      <c r="H9" s="37">
        <f>J34*(1+$E3)</f>
        <v>0</v>
      </c>
      <c r="I9" s="37">
        <f>K34*(1+$E3)</f>
        <v>0</v>
      </c>
      <c r="J9" s="37">
        <f>L34*(1+$E3)</f>
        <v>0</v>
      </c>
      <c r="K9" s="37">
        <f>M34*(1+$E3)</f>
        <v>0</v>
      </c>
      <c r="L9" s="37">
        <f>N34*(1+$E3)</f>
        <v>0</v>
      </c>
      <c r="M9"/>
      <c r="N9"/>
    </row>
    <row r="10" ht="21.45" customHeight="1" spans="1:14">
      <c r="A10" s="17"/>
      <c r="B10" s="17"/>
      <c r="C10" s="8" t="s">
        <v>325</v>
      </c>
      <c r="D10" s="3"/>
      <c r="E10" s="3"/>
      <c r="F10" s="3"/>
      <c r="G10" s="4"/>
      <c r="H10" s="81"/>
      <c r="I10" s="81"/>
      <c r="J10" s="81"/>
      <c r="K10" s="81"/>
      <c r="L10" s="81"/>
      <c r="M10"/>
      <c r="N10"/>
    </row>
    <row r="11" ht="21.45" customHeight="1" spans="1:14">
      <c r="A11" s="13">
        <v>5</v>
      </c>
      <c r="B11" s="13" t="s">
        <v>330</v>
      </c>
      <c r="C11" s="13">
        <v>1</v>
      </c>
      <c r="D11" s="37"/>
      <c r="E11" s="14"/>
      <c r="F11" s="80" t="s">
        <v>324</v>
      </c>
      <c r="G11" s="10">
        <v>0</v>
      </c>
      <c r="H11" s="37">
        <f>J35*(1+$E3)</f>
        <v>0</v>
      </c>
      <c r="I11" s="37">
        <f>K35*(1+$E3)</f>
        <v>0</v>
      </c>
      <c r="J11" s="37">
        <f>L35*(1+$E3)</f>
        <v>0</v>
      </c>
      <c r="K11" s="37">
        <f>M35*(1+$E3)</f>
        <v>0</v>
      </c>
      <c r="L11" s="37">
        <f>N35*(1+$E3)</f>
        <v>0</v>
      </c>
      <c r="M11"/>
      <c r="N11"/>
    </row>
    <row r="12" ht="21.45" customHeight="1" spans="1:14">
      <c r="A12" s="17"/>
      <c r="B12" s="17"/>
      <c r="C12" s="8" t="s">
        <v>325</v>
      </c>
      <c r="D12" s="3"/>
      <c r="E12" s="3"/>
      <c r="F12" s="3"/>
      <c r="G12" s="4"/>
      <c r="H12" s="81"/>
      <c r="I12" s="81"/>
      <c r="J12" s="81"/>
      <c r="K12" s="81"/>
      <c r="L12" s="81"/>
      <c r="M12"/>
      <c r="N12"/>
    </row>
    <row r="13" ht="21.45" customHeight="1" spans="1:14">
      <c r="A13" s="13">
        <v>6</v>
      </c>
      <c r="B13" s="13" t="s">
        <v>331</v>
      </c>
      <c r="C13" s="13">
        <v>1</v>
      </c>
      <c r="D13" s="37"/>
      <c r="E13" s="14"/>
      <c r="F13" s="80" t="s">
        <v>328</v>
      </c>
      <c r="G13" s="67">
        <v>0.02</v>
      </c>
      <c r="H13" s="37">
        <f>J36*(1+$E3)</f>
        <v>0</v>
      </c>
      <c r="I13" s="37">
        <f>K36*(1+$E3)</f>
        <v>0</v>
      </c>
      <c r="J13" s="37">
        <f>L36*(1+$E3)</f>
        <v>0</v>
      </c>
      <c r="K13" s="37">
        <f>M36*(1+$E3)</f>
        <v>0</v>
      </c>
      <c r="L13" s="37">
        <f>N36*(1+$E3)</f>
        <v>0</v>
      </c>
      <c r="M13"/>
      <c r="N13"/>
    </row>
    <row r="14" ht="21.45" customHeight="1" spans="1:14">
      <c r="A14" s="17"/>
      <c r="B14" s="17"/>
      <c r="C14" s="8" t="s">
        <v>325</v>
      </c>
      <c r="D14" s="3"/>
      <c r="E14" s="3"/>
      <c r="F14" s="3"/>
      <c r="G14" s="4"/>
      <c r="H14" s="81"/>
      <c r="I14" s="81"/>
      <c r="J14" s="81"/>
      <c r="K14" s="81"/>
      <c r="L14" s="81"/>
      <c r="M14"/>
      <c r="N14"/>
    </row>
    <row r="15" ht="21.45" customHeight="1" spans="1:14">
      <c r="A15" s="13">
        <v>7</v>
      </c>
      <c r="B15" s="13" t="s">
        <v>332</v>
      </c>
      <c r="C15" s="13">
        <v>1</v>
      </c>
      <c r="D15" s="37"/>
      <c r="E15" s="14"/>
      <c r="F15" s="80" t="s">
        <v>324</v>
      </c>
      <c r="G15" s="10">
        <v>0</v>
      </c>
      <c r="H15" s="82">
        <f>J37*(1+$E3)</f>
        <v>0</v>
      </c>
      <c r="I15" s="82">
        <f>K37*(1+$E3)</f>
        <v>0</v>
      </c>
      <c r="J15" s="82">
        <f>L37*(1+$E3)</f>
        <v>0</v>
      </c>
      <c r="K15" s="82">
        <f>M37*(1+$E3)</f>
        <v>0</v>
      </c>
      <c r="L15" s="82">
        <f>N37*(1+$E3)</f>
        <v>0</v>
      </c>
      <c r="M15"/>
      <c r="N15"/>
    </row>
    <row r="16" ht="21.45" customHeight="1" spans="1:14">
      <c r="A16" s="17"/>
      <c r="B16" s="17"/>
      <c r="C16" s="8" t="s">
        <v>325</v>
      </c>
      <c r="D16" s="3"/>
      <c r="E16" s="3"/>
      <c r="F16" s="3"/>
      <c r="G16" s="4"/>
      <c r="H16" s="81"/>
      <c r="I16" s="81"/>
      <c r="J16" s="81"/>
      <c r="K16" s="81"/>
      <c r="L16" s="81"/>
      <c r="M16"/>
      <c r="N16"/>
    </row>
    <row r="17" ht="21.45" customHeight="1" spans="1:14">
      <c r="A17" s="13">
        <v>8</v>
      </c>
      <c r="B17" s="13" t="s">
        <v>333</v>
      </c>
      <c r="C17" s="13">
        <v>1</v>
      </c>
      <c r="D17" s="37"/>
      <c r="E17" s="14"/>
      <c r="F17" s="80" t="s">
        <v>324</v>
      </c>
      <c r="G17" s="10">
        <v>0</v>
      </c>
      <c r="H17" s="82">
        <f>J38*(1+$E3)</f>
        <v>0</v>
      </c>
      <c r="I17" s="82">
        <f>K38*(1+$E3)</f>
        <v>0</v>
      </c>
      <c r="J17" s="82">
        <f>L38*(1+$E3)</f>
        <v>0</v>
      </c>
      <c r="K17" s="82">
        <f>M38*(1+$E3)</f>
        <v>0</v>
      </c>
      <c r="L17" s="82">
        <f>N38*(1+$E3)</f>
        <v>0</v>
      </c>
      <c r="M17"/>
      <c r="N17"/>
    </row>
    <row r="18" ht="21.45" customHeight="1" spans="1:14">
      <c r="A18" s="17"/>
      <c r="B18" s="17"/>
      <c r="C18" s="8" t="s">
        <v>325</v>
      </c>
      <c r="D18" s="3"/>
      <c r="E18" s="3"/>
      <c r="F18" s="3"/>
      <c r="G18" s="4"/>
      <c r="H18" s="81"/>
      <c r="I18" s="81"/>
      <c r="J18" s="81"/>
      <c r="K18" s="81"/>
      <c r="L18" s="81"/>
      <c r="M18"/>
      <c r="N18"/>
    </row>
    <row r="19" ht="21.45" customHeight="1" spans="1:14">
      <c r="A19" s="13">
        <v>9</v>
      </c>
      <c r="B19" s="13" t="s">
        <v>334</v>
      </c>
      <c r="C19" s="13">
        <v>1</v>
      </c>
      <c r="D19" s="37"/>
      <c r="E19" s="14"/>
      <c r="F19" s="80" t="s">
        <v>324</v>
      </c>
      <c r="G19" s="10">
        <v>0</v>
      </c>
      <c r="H19" s="82">
        <f>SUM(J39:J40)*(1+$E3)</f>
        <v>0</v>
      </c>
      <c r="I19" s="82">
        <f>SUM(K39:K40)*(1+$E3)</f>
        <v>0</v>
      </c>
      <c r="J19" s="82">
        <f>SUM(L39:L40)*(1+$E3)</f>
        <v>0</v>
      </c>
      <c r="K19" s="82">
        <f>SUM(M39:M40)*(1+$E3)</f>
        <v>0</v>
      </c>
      <c r="L19" s="82">
        <f>SUM(N39:N40)*(1+$E3)</f>
        <v>0</v>
      </c>
      <c r="M19"/>
      <c r="N19"/>
    </row>
    <row r="20" ht="21.45" customHeight="1" spans="1:14">
      <c r="A20" s="17"/>
      <c r="B20" s="17"/>
      <c r="C20" s="8" t="s">
        <v>325</v>
      </c>
      <c r="D20" s="3"/>
      <c r="E20" s="3"/>
      <c r="F20" s="3"/>
      <c r="G20" s="4"/>
      <c r="H20" s="81"/>
      <c r="I20" s="81"/>
      <c r="J20" s="81"/>
      <c r="K20" s="81"/>
      <c r="L20" s="81"/>
      <c r="M20"/>
      <c r="N20"/>
    </row>
    <row r="21" ht="21.45" customHeight="1" spans="1:14">
      <c r="A21" s="13">
        <v>10</v>
      </c>
      <c r="B21" s="13" t="s">
        <v>335</v>
      </c>
      <c r="C21" s="13">
        <v>1</v>
      </c>
      <c r="D21" s="37"/>
      <c r="E21" s="14"/>
      <c r="F21" s="80" t="s">
        <v>328</v>
      </c>
      <c r="G21" s="67">
        <v>0.02</v>
      </c>
      <c r="H21" s="82">
        <f>J41*(1+$E3)</f>
        <v>0</v>
      </c>
      <c r="I21" s="82">
        <f>K41*(1+$E3)</f>
        <v>0</v>
      </c>
      <c r="J21" s="82">
        <f>L41*(1+$E3)</f>
        <v>0</v>
      </c>
      <c r="K21" s="82">
        <f>M41*(1+$E3)</f>
        <v>0</v>
      </c>
      <c r="L21" s="82">
        <f>N41*(1+$E3)</f>
        <v>0</v>
      </c>
      <c r="M21"/>
      <c r="N21"/>
    </row>
    <row r="22" ht="21.45" customHeight="1" spans="1:14">
      <c r="A22" s="17"/>
      <c r="B22" s="17"/>
      <c r="C22" s="8" t="s">
        <v>325</v>
      </c>
      <c r="D22" s="3"/>
      <c r="E22" s="3"/>
      <c r="F22" s="3"/>
      <c r="G22" s="4"/>
      <c r="H22" s="81"/>
      <c r="I22" s="83"/>
      <c r="J22" s="83"/>
      <c r="K22" s="83"/>
      <c r="L22" s="83"/>
      <c r="M22"/>
      <c r="N22"/>
    </row>
    <row r="23" ht="16.5" customHeight="1" spans="1:14">
      <c r="A23" s="8" t="s">
        <v>336</v>
      </c>
      <c r="B23" s="8"/>
      <c r="C23" s="8"/>
      <c r="D23" s="8"/>
      <c r="E23" s="8"/>
      <c r="F23" s="8"/>
      <c r="G23" s="8"/>
      <c r="H23" s="8"/>
      <c r="I23" s="38"/>
      <c r="J23" s="38"/>
      <c r="K23" s="8"/>
      <c r="L23" s="38"/>
      <c r="M23"/>
      <c r="N23"/>
    </row>
    <row r="24" s="78" customFormat="1" ht="43.95" customHeight="1" spans="1:3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="78" customFormat="1" ht="15" customHeight="1" spans="1:3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="78" customFormat="1" ht="28.95" customHeight="1" spans="1:3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="78" customFormat="1" ht="28.95" customHeight="1" spans="1:3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8" s="78" customFormat="1" ht="28.95" customHeight="1" spans="1:3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</row>
    <row r="29" s="78" customFormat="1" ht="28.95" customHeight="1" spans="1:3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="78" customFormat="1" ht="28.95" customHeight="1" spans="1:3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="78" customFormat="1" ht="28.95" customHeight="1" spans="1:3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</row>
    <row r="32" s="78" customFormat="1" ht="28.95" customHeight="1" spans="1:3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</row>
    <row r="33" s="78" customFormat="1" ht="28.95" customHeight="1" spans="1:3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</row>
    <row r="34" s="78" customFormat="1" ht="28.95" customHeight="1" spans="1:3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</row>
    <row r="35" s="78" customFormat="1" ht="28.95" customHeight="1" spans="1:3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</row>
    <row r="36" s="78" customFormat="1" ht="28.95" customHeight="1" spans="1:3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="78" customFormat="1" ht="28.95" customHeight="1" spans="1:3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="78" customFormat="1" ht="28.95" customHeight="1" spans="1:3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="78" customFormat="1" ht="28.95" customHeight="1" spans="1:3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="78" customFormat="1" ht="28.95" customHeight="1" spans="1:3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="78" customFormat="1" ht="28.95" customHeight="1" spans="1:3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="78" customFormat="1" ht="28.95" customHeight="1" spans="1:3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3" s="78" customFormat="1" ht="15" customHeight="1" spans="1:3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</row>
    <row r="44" s="78" customFormat="1" ht="15" customHeight="1" spans="1:3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 s="84"/>
    </row>
  </sheetData>
  <mergeCells count="31">
    <mergeCell ref="A1:L1"/>
    <mergeCell ref="C4:G4"/>
    <mergeCell ref="C6:G6"/>
    <mergeCell ref="C8:G8"/>
    <mergeCell ref="C10:G10"/>
    <mergeCell ref="C12:G12"/>
    <mergeCell ref="C14:G14"/>
    <mergeCell ref="C16:G16"/>
    <mergeCell ref="C18:G18"/>
    <mergeCell ref="C20:G20"/>
    <mergeCell ref="C22:G2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</mergeCells>
  <dataValidations count="2">
    <dataValidation type="list" allowBlank="1" showInputMessage="1" showErrorMessage="1" sqref="F3 F9 F15">
      <formula1>"不增长,每2年增长,每3年增长,每5年增长,自定义增长"</formula1>
    </dataValidation>
    <dataValidation type="list" allowBlank="1" showInputMessage="1" showErrorMessage="1" sqref="F5 F7 F11 F13 F17 F19 F21">
      <formula1>"不增长,每年增长,每2年增长,每3年增长,每5年增长,自定义增长"</formula1>
    </dataValidation>
  </dataValidations>
  <pageMargins left="0.75" right="0.75" top="1" bottom="1" header="0.5" footer="0.5"/>
  <pageSetup paperSize="9" orientation="portrait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tabColor rgb="FFFFFF00"/>
  </sheetPr>
  <dimension ref="A1:H31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B30" sqref="B30"/>
    </sheetView>
  </sheetViews>
  <sheetFormatPr defaultColWidth="8.89090909090909" defaultRowHeight="14" outlineLevelCol="7"/>
  <cols>
    <col min="1" max="1" width="13.1090909090909" style="1" customWidth="1"/>
    <col min="2" max="2" width="33.2181818181818" style="1" customWidth="1"/>
    <col min="3" max="3" width="25.7818181818182" style="1" customWidth="1"/>
    <col min="4" max="4" width="14.7818181818182" style="1" customWidth="1"/>
    <col min="5" max="5" width="13.8909090909091" style="1" customWidth="1"/>
    <col min="6" max="6" width="14.7818181818182" style="1" customWidth="1"/>
    <col min="7" max="7" width="17.1090909090909" style="1" customWidth="1"/>
    <col min="8" max="8" width="14.7818181818182" style="1" customWidth="1"/>
  </cols>
  <sheetData>
    <row r="1" ht="20" customHeight="1" spans="1:8">
      <c r="A1" s="71" t="s">
        <v>337</v>
      </c>
      <c r="B1" s="3"/>
      <c r="C1" s="3"/>
      <c r="D1" s="3"/>
      <c r="E1" s="3"/>
      <c r="F1" s="3"/>
      <c r="G1" s="3"/>
      <c r="H1" s="3"/>
    </row>
    <row r="2" ht="16.5" customHeight="1" spans="1:8">
      <c r="A2" s="5" t="s">
        <v>1</v>
      </c>
      <c r="B2" s="5" t="s">
        <v>143</v>
      </c>
      <c r="C2" s="5" t="s">
        <v>338</v>
      </c>
      <c r="D2" s="32" t="s">
        <v>339</v>
      </c>
      <c r="E2" s="32" t="s">
        <v>340</v>
      </c>
      <c r="F2" s="32" t="s">
        <v>341</v>
      </c>
      <c r="G2" s="32" t="s">
        <v>342</v>
      </c>
      <c r="H2" s="32" t="s">
        <v>343</v>
      </c>
    </row>
    <row r="3" ht="33" customHeight="1" spans="1:8">
      <c r="A3" s="8"/>
      <c r="B3" s="8"/>
      <c r="C3" s="34" t="s">
        <v>344</v>
      </c>
      <c r="D3" s="38">
        <f>'G.1进项增值税率-建设投资'!F17</f>
        <v>2589.55182668377</v>
      </c>
      <c r="E3" s="72">
        <f>IF(D29=0,ABS(D25-D4-D3),0)</f>
        <v>2589.55182668377</v>
      </c>
      <c r="F3" s="72">
        <f>IF(E29=0,ABS(E25-E4-E3),0)</f>
        <v>2589.55182668377</v>
      </c>
      <c r="G3" s="72">
        <f>IF(F29=0,ABS(F25-F4-F3),0)</f>
        <v>2589.55182668377</v>
      </c>
      <c r="H3" s="38">
        <f>IF(G29=0,ABS(G25-G4-G3),0)</f>
        <v>2589.55182668377</v>
      </c>
    </row>
    <row r="4" ht="16.5" customHeight="1" spans="1:8">
      <c r="A4" s="8">
        <v>1</v>
      </c>
      <c r="B4" s="8" t="s">
        <v>345</v>
      </c>
      <c r="C4" s="8"/>
      <c r="D4" s="14">
        <f>SUM(D5:D24)</f>
        <v>0</v>
      </c>
      <c r="E4" s="14">
        <f>SUM(E5:E24)</f>
        <v>0</v>
      </c>
      <c r="F4" s="14">
        <f>SUM(F5:F24)</f>
        <v>0</v>
      </c>
      <c r="G4" s="14">
        <f>SUM(G5:G24)</f>
        <v>0</v>
      </c>
      <c r="H4" s="14">
        <f>SUM(H5:H24)</f>
        <v>0</v>
      </c>
    </row>
    <row r="5" ht="16.5" customHeight="1" spans="1:8">
      <c r="A5" s="8"/>
      <c r="B5" s="73" t="s">
        <v>226</v>
      </c>
      <c r="C5" s="8"/>
      <c r="D5" s="74">
        <f>E.1项目运营期费用!H4*'G.2进项增值税率-运营成本'!$C3/(1+'G.2进项增值税率-运营成本'!$C3)</f>
        <v>0</v>
      </c>
      <c r="E5" s="75">
        <f>E.1项目运营期费用!I4*'G.2进项增值税率-运营成本'!$C3/(1+'G.2进项增值税率-运营成本'!$C3)</f>
        <v>0</v>
      </c>
      <c r="F5" s="75">
        <f>E.1项目运营期费用!J4*'G.2进项增值税率-运营成本'!$C3/(1+'G.2进项增值税率-运营成本'!$C3)</f>
        <v>0</v>
      </c>
      <c r="G5" s="75">
        <f>E.1项目运营期费用!K4*'G.2进项增值税率-运营成本'!$C3/(1+'G.2进项增值税率-运营成本'!$C3)</f>
        <v>0</v>
      </c>
      <c r="H5" s="75">
        <f>E.1项目运营期费用!L4*'G.2进项增值税率-运营成本'!$C3/(1+'G.2进项增值税率-运营成本'!$C3)</f>
        <v>0</v>
      </c>
    </row>
    <row r="6" ht="29" customHeight="1" spans="1:8">
      <c r="A6" s="8"/>
      <c r="B6" s="76" t="s">
        <v>228</v>
      </c>
      <c r="C6" s="8"/>
      <c r="D6" s="74">
        <f>E.1项目运营期费用!H5*'G.2进项增值税率-运营成本'!$C4/(1+'G.2进项增值税率-运营成本'!$C4)</f>
        <v>0</v>
      </c>
      <c r="E6" s="75">
        <f>E.1项目运营期费用!I5*'G.2进项增值税率-运营成本'!$C4/(1+'G.2进项增值税率-运营成本'!$C4)</f>
        <v>0</v>
      </c>
      <c r="F6" s="75">
        <f>E.1项目运营期费用!J5*'G.2进项增值税率-运营成本'!$C4/(1+'G.2进项增值税率-运营成本'!$C4)</f>
        <v>0</v>
      </c>
      <c r="G6" s="75">
        <f>E.1项目运营期费用!K5*'G.2进项增值税率-运营成本'!$C4/(1+'G.2进项增值税率-运营成本'!$C4)</f>
        <v>0</v>
      </c>
      <c r="H6" s="75">
        <f>E.1项目运营期费用!L5*'G.2进项增值税率-运营成本'!$C4/(1+'G.2进项增值税率-运营成本'!$C4)</f>
        <v>0</v>
      </c>
    </row>
    <row r="7" ht="16.5" customHeight="1" spans="1:8">
      <c r="A7" s="8"/>
      <c r="B7" s="73" t="s">
        <v>230</v>
      </c>
      <c r="C7" s="8"/>
      <c r="D7" s="74">
        <f>E.1项目运营期费用!H6*'G.2进项增值税率-运营成本'!$C5/(1+'G.2进项增值税率-运营成本'!$C5)</f>
        <v>0</v>
      </c>
      <c r="E7" s="75">
        <f>E.1项目运营期费用!I6*'G.2进项增值税率-运营成本'!$C5/(1+'G.2进项增值税率-运营成本'!$C5)</f>
        <v>0</v>
      </c>
      <c r="F7" s="75">
        <f>E.1项目运营期费用!J6*'G.2进项增值税率-运营成本'!$C5/(1+'G.2进项增值税率-运营成本'!$C5)</f>
        <v>0</v>
      </c>
      <c r="G7" s="75">
        <f>E.1项目运营期费用!K6*'G.2进项增值税率-运营成本'!$C5/(1+'G.2进项增值税率-运营成本'!$C5)</f>
        <v>0</v>
      </c>
      <c r="H7" s="75">
        <f>E.1项目运营期费用!L6*'G.2进项增值税率-运营成本'!$C5/(1+'G.2进项增值税率-运营成本'!$C5)</f>
        <v>0</v>
      </c>
    </row>
    <row r="8" ht="16.5" customHeight="1" spans="1:8">
      <c r="A8" s="8"/>
      <c r="B8" s="73" t="s">
        <v>232</v>
      </c>
      <c r="C8" s="8"/>
      <c r="D8" s="74">
        <f>E.1项目运营期费用!H7*'G.2进项增值税率-运营成本'!$C6/(1+'G.2进项增值税率-运营成本'!$C6)</f>
        <v>0</v>
      </c>
      <c r="E8" s="75">
        <f>E.1项目运营期费用!I7*'G.2进项增值税率-运营成本'!$C6/(1+'G.2进项增值税率-运营成本'!$C6)</f>
        <v>0</v>
      </c>
      <c r="F8" s="75">
        <f>E.1项目运营期费用!J7*'G.2进项增值税率-运营成本'!$C6/(1+'G.2进项增值税率-运营成本'!$C6)</f>
        <v>0</v>
      </c>
      <c r="G8" s="75">
        <f>E.1项目运营期费用!K7*'G.2进项增值税率-运营成本'!$C6/(1+'G.2进项增值税率-运营成本'!$C6)</f>
        <v>0</v>
      </c>
      <c r="H8" s="75">
        <f>E.1项目运营期费用!L7*'G.2进项增值税率-运营成本'!$C6/(1+'G.2进项增值税率-运营成本'!$C6)</f>
        <v>0</v>
      </c>
    </row>
    <row r="9" ht="16.5" customHeight="1" spans="1:8">
      <c r="A9" s="8"/>
      <c r="B9" s="73" t="s">
        <v>235</v>
      </c>
      <c r="C9" s="8"/>
      <c r="D9" s="74">
        <f>E.1项目运营期费用!H8*'G.2进项增值税率-运营成本'!$C7/(1+'G.2进项增值税率-运营成本'!$C7)</f>
        <v>0</v>
      </c>
      <c r="E9" s="75">
        <f>E.1项目运营期费用!I8*'G.2进项增值税率-运营成本'!$C7/(1+'G.2进项增值税率-运营成本'!$C7)</f>
        <v>0</v>
      </c>
      <c r="F9" s="75">
        <f>E.1项目运营期费用!J8*'G.2进项增值税率-运营成本'!$C7/(1+'G.2进项增值税率-运营成本'!$C7)</f>
        <v>0</v>
      </c>
      <c r="G9" s="75">
        <f>E.1项目运营期费用!K8*'G.2进项增值税率-运营成本'!$C7/(1+'G.2进项增值税率-运营成本'!$C7)</f>
        <v>0</v>
      </c>
      <c r="H9" s="75">
        <f>E.1项目运营期费用!L8*'G.2进项增值税率-运营成本'!$C7/(1+'G.2进项增值税率-运营成本'!$C7)</f>
        <v>0</v>
      </c>
    </row>
    <row r="10" ht="16.5" customHeight="1" spans="1:8">
      <c r="A10" s="8"/>
      <c r="B10" s="73" t="s">
        <v>237</v>
      </c>
      <c r="C10" s="8"/>
      <c r="D10" s="74">
        <f>E.1项目运营期费用!H9*'G.2进项增值税率-运营成本'!$C8/(1+'G.2进项增值税率-运营成本'!$C8)</f>
        <v>0</v>
      </c>
      <c r="E10" s="75">
        <f>E.1项目运营期费用!I9*'G.2进项增值税率-运营成本'!$C8/(1+'G.2进项增值税率-运营成本'!$C8)</f>
        <v>0</v>
      </c>
      <c r="F10" s="75">
        <f>E.1项目运营期费用!J9*'G.2进项增值税率-运营成本'!$C8/(1+'G.2进项增值税率-运营成本'!$C8)</f>
        <v>0</v>
      </c>
      <c r="G10" s="75">
        <f>E.1项目运营期费用!K9*'G.2进项增值税率-运营成本'!$C8/(1+'G.2进项增值税率-运营成本'!$C8)</f>
        <v>0</v>
      </c>
      <c r="H10" s="75">
        <f>E.1项目运营期费用!L9*'G.2进项增值税率-运营成本'!$C8/(1+'G.2进项增值税率-运营成本'!$C8)</f>
        <v>0</v>
      </c>
    </row>
    <row r="11" ht="16.5" customHeight="1" spans="1:8">
      <c r="A11" s="8"/>
      <c r="B11" s="73" t="s">
        <v>239</v>
      </c>
      <c r="C11" s="8"/>
      <c r="D11" s="74">
        <f>E.1项目运营期费用!H10*'G.2进项增值税率-运营成本'!$C9/(1+'G.2进项增值税率-运营成本'!$C9)</f>
        <v>0</v>
      </c>
      <c r="E11" s="75">
        <f>E.1项目运营期费用!I10*'G.2进项增值税率-运营成本'!$C9/(1+'G.2进项增值税率-运营成本'!$C9)</f>
        <v>0</v>
      </c>
      <c r="F11" s="75">
        <f>E.1项目运营期费用!J10*'G.2进项增值税率-运营成本'!$C9/(1+'G.2进项增值税率-运营成本'!$C9)</f>
        <v>0</v>
      </c>
      <c r="G11" s="75">
        <f>E.1项目运营期费用!K10*'G.2进项增值税率-运营成本'!$C9/(1+'G.2进项增值税率-运营成本'!$C9)</f>
        <v>0</v>
      </c>
      <c r="H11" s="75">
        <f>E.1项目运营期费用!L10*'G.2进项增值税率-运营成本'!$C9/(1+'G.2进项增值税率-运营成本'!$C9)</f>
        <v>0</v>
      </c>
    </row>
    <row r="12" ht="16.5" customHeight="1" spans="1:8">
      <c r="A12" s="8"/>
      <c r="B12" s="73" t="s">
        <v>242</v>
      </c>
      <c r="C12" s="8"/>
      <c r="D12" s="74">
        <f>E.1项目运营期费用!H11*'G.2进项增值税率-运营成本'!$C10/(1+'G.2进项增值税率-运营成本'!$C10)</f>
        <v>0</v>
      </c>
      <c r="E12" s="75">
        <f>E.1项目运营期费用!I11*'G.2进项增值税率-运营成本'!$C10/(1+'G.2进项增值税率-运营成本'!$C10)</f>
        <v>0</v>
      </c>
      <c r="F12" s="75">
        <f>E.1项目运营期费用!J11*'G.2进项增值税率-运营成本'!$C10/(1+'G.2进项增值税率-运营成本'!$C10)</f>
        <v>0</v>
      </c>
      <c r="G12" s="75">
        <f>E.1项目运营期费用!K11*'G.2进项增值税率-运营成本'!$C10/(1+'G.2进项增值税率-运营成本'!$C10)</f>
        <v>0</v>
      </c>
      <c r="H12" s="75">
        <f>E.1项目运营期费用!L11*'G.2进项增值税率-运营成本'!$C10/(1+'G.2进项增值税率-运营成本'!$C10)</f>
        <v>0</v>
      </c>
    </row>
    <row r="13" ht="16.5" customHeight="1" spans="1:8">
      <c r="A13" s="8"/>
      <c r="B13" s="73" t="s">
        <v>245</v>
      </c>
      <c r="C13" s="8"/>
      <c r="D13" s="74">
        <f>E.1项目运营期费用!H12*'G.2进项增值税率-运营成本'!$C11/(1+'G.2进项增值税率-运营成本'!$C11)</f>
        <v>0</v>
      </c>
      <c r="E13" s="75">
        <f>E.1项目运营期费用!I12*'G.2进项增值税率-运营成本'!$C11/(1+'G.2进项增值税率-运营成本'!$C11)</f>
        <v>0</v>
      </c>
      <c r="F13" s="75">
        <f>E.1项目运营期费用!J12*'G.2进项增值税率-运营成本'!$C11/(1+'G.2进项增值税率-运营成本'!$C11)</f>
        <v>0</v>
      </c>
      <c r="G13" s="75">
        <f>E.1项目运营期费用!K12*'G.2进项增值税率-运营成本'!$C11/(1+'G.2进项增值税率-运营成本'!$C11)</f>
        <v>0</v>
      </c>
      <c r="H13" s="75">
        <f>E.1项目运营期费用!L12*'G.2进项增值税率-运营成本'!$C11/(1+'G.2进项增值税率-运营成本'!$C11)</f>
        <v>0</v>
      </c>
    </row>
    <row r="14" ht="16.5" customHeight="1" spans="1:8">
      <c r="A14" s="8"/>
      <c r="B14" s="73" t="s">
        <v>247</v>
      </c>
      <c r="C14" s="8"/>
      <c r="D14" s="74">
        <f>E.1项目运营期费用!H13*'G.2进项增值税率-运营成本'!$C12/(1+'G.2进项增值税率-运营成本'!$C12)</f>
        <v>0</v>
      </c>
      <c r="E14" s="75">
        <f>E.1项目运营期费用!I13*'G.2进项增值税率-运营成本'!$C12/(1+'G.2进项增值税率-运营成本'!$C12)</f>
        <v>0</v>
      </c>
      <c r="F14" s="75">
        <f>E.1项目运营期费用!J13*'G.2进项增值税率-运营成本'!$C12/(1+'G.2进项增值税率-运营成本'!$C12)</f>
        <v>0</v>
      </c>
      <c r="G14" s="75">
        <f>E.1项目运营期费用!K13*'G.2进项增值税率-运营成本'!$C12/(1+'G.2进项增值税率-运营成本'!$C12)</f>
        <v>0</v>
      </c>
      <c r="H14" s="75">
        <f>E.1项目运营期费用!L13*'G.2进项增值税率-运营成本'!$C12/(1+'G.2进项增值税率-运营成本'!$C12)</f>
        <v>0</v>
      </c>
    </row>
    <row r="15" ht="16.5" customHeight="1" spans="1:8">
      <c r="A15" s="8"/>
      <c r="B15" s="73" t="s">
        <v>250</v>
      </c>
      <c r="C15" s="8"/>
      <c r="D15" s="74">
        <f>E.1项目运营期费用!H14*'G.2进项增值税率-运营成本'!$C13/(1+'G.2进项增值税率-运营成本'!$C13)</f>
        <v>0</v>
      </c>
      <c r="E15" s="75">
        <f>E.1项目运营期费用!I14*'G.2进项增值税率-运营成本'!$C13/(1+'G.2进项增值税率-运营成本'!$C13)</f>
        <v>0</v>
      </c>
      <c r="F15" s="75">
        <f>E.1项目运营期费用!J14*'G.2进项增值税率-运营成本'!$C13/(1+'G.2进项增值税率-运营成本'!$C13)</f>
        <v>0</v>
      </c>
      <c r="G15" s="75">
        <f>E.1项目运营期费用!K14*'G.2进项增值税率-运营成本'!$C13/(1+'G.2进项增值税率-运营成本'!$C13)</f>
        <v>0</v>
      </c>
      <c r="H15" s="75">
        <f>E.1项目运营期费用!L14*'G.2进项增值税率-运营成本'!$C13/(1+'G.2进项增值税率-运营成本'!$C13)</f>
        <v>0</v>
      </c>
    </row>
    <row r="16" ht="16.5" customHeight="1" spans="1:8">
      <c r="A16" s="8"/>
      <c r="B16" s="73" t="s">
        <v>253</v>
      </c>
      <c r="C16" s="8"/>
      <c r="D16" s="74">
        <f>E.1项目运营期费用!H15*'G.2进项增值税率-运营成本'!$C14/(1+'G.2进项增值税率-运营成本'!$C14)</f>
        <v>0</v>
      </c>
      <c r="E16" s="75">
        <f>E.1项目运营期费用!I15*'G.2进项增值税率-运营成本'!$C14/(1+'G.2进项增值税率-运营成本'!$C14)</f>
        <v>0</v>
      </c>
      <c r="F16" s="75">
        <f>E.1项目运营期费用!J15*'G.2进项增值税率-运营成本'!$C14/(1+'G.2进项增值税率-运营成本'!$C14)</f>
        <v>0</v>
      </c>
      <c r="G16" s="75">
        <f>E.1项目运营期费用!K15*'G.2进项增值税率-运营成本'!$C14/(1+'G.2进项增值税率-运营成本'!$C14)</f>
        <v>0</v>
      </c>
      <c r="H16" s="75">
        <f>E.1项目运营期费用!L15*'G.2进项增值税率-运营成本'!$C14/(1+'G.2进项增值税率-运营成本'!$C14)</f>
        <v>0</v>
      </c>
    </row>
    <row r="17" ht="16.5" customHeight="1" spans="1:8">
      <c r="A17" s="8"/>
      <c r="B17" s="73" t="s">
        <v>256</v>
      </c>
      <c r="C17" s="8"/>
      <c r="D17" s="74">
        <f>E.1项目运营期费用!H16*'G.2进项增值税率-运营成本'!$C15/(1+'G.2进项增值税率-运营成本'!$C15)</f>
        <v>0</v>
      </c>
      <c r="E17" s="75">
        <f>E.1项目运营期费用!I16*'G.2进项增值税率-运营成本'!$C15/(1+'G.2进项增值税率-运营成本'!$C15)</f>
        <v>0</v>
      </c>
      <c r="F17" s="75">
        <f>E.1项目运营期费用!J16*'G.2进项增值税率-运营成本'!$C15/(1+'G.2进项增值税率-运营成本'!$C15)</f>
        <v>0</v>
      </c>
      <c r="G17" s="75">
        <f>E.1项目运营期费用!K16*'G.2进项增值税率-运营成本'!$C15/(1+'G.2进项增值税率-运营成本'!$C15)</f>
        <v>0</v>
      </c>
      <c r="H17" s="75">
        <f>E.1项目运营期费用!L16*'G.2进项增值税率-运营成本'!$C15/(1+'G.2进项增值税率-运营成本'!$C15)</f>
        <v>0</v>
      </c>
    </row>
    <row r="18" ht="16.5" customHeight="1" spans="1:8">
      <c r="A18" s="8"/>
      <c r="B18" s="73" t="s">
        <v>258</v>
      </c>
      <c r="C18" s="8"/>
      <c r="D18" s="74">
        <f>E.1项目运营期费用!H17*'G.2进项增值税率-运营成本'!$C16/(1+'G.2进项增值税率-运营成本'!$C16)</f>
        <v>0</v>
      </c>
      <c r="E18" s="75">
        <f>E.1项目运营期费用!I17*'G.2进项增值税率-运营成本'!$C16/(1+'G.2进项增值税率-运营成本'!$C16)</f>
        <v>0</v>
      </c>
      <c r="F18" s="75">
        <f>E.1项目运营期费用!J17*'G.2进项增值税率-运营成本'!$C16/(1+'G.2进项增值税率-运营成本'!$C16)</f>
        <v>0</v>
      </c>
      <c r="G18" s="75">
        <f>E.1项目运营期费用!K17*'G.2进项增值税率-运营成本'!$C16/(1+'G.2进项增值税率-运营成本'!$C16)</f>
        <v>0</v>
      </c>
      <c r="H18" s="75">
        <f>E.1项目运营期费用!L17*'G.2进项增值税率-运营成本'!$C16/(1+'G.2进项增值税率-运营成本'!$C16)</f>
        <v>0</v>
      </c>
    </row>
    <row r="19" ht="16.5" customHeight="1" spans="1:8">
      <c r="A19" s="8"/>
      <c r="B19" s="73" t="s">
        <v>260</v>
      </c>
      <c r="C19" s="8"/>
      <c r="D19" s="74">
        <f>E.1项目运营期费用!H18*'G.2进项增值税率-运营成本'!$C17/(1+'G.2进项增值税率-运营成本'!$C17)</f>
        <v>0</v>
      </c>
      <c r="E19" s="75">
        <f>E.1项目运营期费用!I18*'G.2进项增值税率-运营成本'!$C17/(1+'G.2进项增值税率-运营成本'!$C17)</f>
        <v>0</v>
      </c>
      <c r="F19" s="75">
        <f>E.1项目运营期费用!J18*'G.2进项增值税率-运营成本'!$C17/(1+'G.2进项增值税率-运营成本'!$C17)</f>
        <v>0</v>
      </c>
      <c r="G19" s="75">
        <f>E.1项目运营期费用!K18*'G.2进项增值税率-运营成本'!$C17/(1+'G.2进项增值税率-运营成本'!$C17)</f>
        <v>0</v>
      </c>
      <c r="H19" s="75">
        <f>E.1项目运营期费用!L18*'G.2进项增值税率-运营成本'!$C17/(1+'G.2进项增值税率-运营成本'!$C17)</f>
        <v>0</v>
      </c>
    </row>
    <row r="20" ht="16.5" customHeight="1" spans="1:8">
      <c r="A20" s="8"/>
      <c r="B20" s="73" t="s">
        <v>263</v>
      </c>
      <c r="C20" s="8"/>
      <c r="D20" s="74">
        <f>E.1项目运营期费用!H19*'G.2进项增值税率-运营成本'!$C18/(1+'G.2进项增值税率-运营成本'!$C18)</f>
        <v>0</v>
      </c>
      <c r="E20" s="75">
        <f>E.1项目运营期费用!I19*'G.2进项增值税率-运营成本'!$C18/(1+'G.2进项增值税率-运营成本'!$C18)</f>
        <v>0</v>
      </c>
      <c r="F20" s="75">
        <f>E.1项目运营期费用!J19*'G.2进项增值税率-运营成本'!$C18/(1+'G.2进项增值税率-运营成本'!$C18)</f>
        <v>0</v>
      </c>
      <c r="G20" s="75">
        <f>E.1项目运营期费用!K19*'G.2进项增值税率-运营成本'!$C18/(1+'G.2进项增值税率-运营成本'!$C18)</f>
        <v>0</v>
      </c>
      <c r="H20" s="75">
        <f>E.1项目运营期费用!L19*'G.2进项增值税率-运营成本'!$C18/(1+'G.2进项增值税率-运营成本'!$C18)</f>
        <v>0</v>
      </c>
    </row>
    <row r="21" ht="16.5" customHeight="1" spans="1:8">
      <c r="A21" s="8"/>
      <c r="B21" s="73" t="s">
        <v>265</v>
      </c>
      <c r="C21" s="8"/>
      <c r="D21" s="74">
        <f>E.1项目运营期费用!H20*'G.2进项增值税率-运营成本'!$C19/(1+'G.2进项增值税率-运营成本'!$C19)</f>
        <v>0</v>
      </c>
      <c r="E21" s="75">
        <f>E.1项目运营期费用!I20*'G.2进项增值税率-运营成本'!$C19/(1+'G.2进项增值税率-运营成本'!$C19)</f>
        <v>0</v>
      </c>
      <c r="F21" s="75">
        <f>E.1项目运营期费用!J20*'G.2进项增值税率-运营成本'!$C19/(1+'G.2进项增值税率-运营成本'!$C19)</f>
        <v>0</v>
      </c>
      <c r="G21" s="75">
        <f>E.1项目运营期费用!K20*'G.2进项增值税率-运营成本'!$C19/(1+'G.2进项增值税率-运营成本'!$C19)</f>
        <v>0</v>
      </c>
      <c r="H21" s="75">
        <f>E.1项目运营期费用!L20*'G.2进项增值税率-运营成本'!$C19/(1+'G.2进项增值税率-运营成本'!$C19)</f>
        <v>0</v>
      </c>
    </row>
    <row r="22" ht="16.5" customHeight="1" spans="1:8">
      <c r="A22" s="8"/>
      <c r="B22" s="73" t="s">
        <v>267</v>
      </c>
      <c r="C22" s="8"/>
      <c r="D22" s="74">
        <f>E.1项目运营期费用!H21*'G.2进项增值税率-运营成本'!$C20/(1+'G.2进项增值税率-运营成本'!$C20)</f>
        <v>0</v>
      </c>
      <c r="E22" s="75">
        <f>E.1项目运营期费用!I21*'G.2进项增值税率-运营成本'!$C20/(1+'G.2进项增值税率-运营成本'!$C20)</f>
        <v>0</v>
      </c>
      <c r="F22" s="75">
        <f>E.1项目运营期费用!J21*'G.2进项增值税率-运营成本'!$C20/(1+'G.2进项增值税率-运营成本'!$C20)</f>
        <v>0</v>
      </c>
      <c r="G22" s="75">
        <f>E.1项目运营期费用!K21*'G.2进项增值税率-运营成本'!$C20/(1+'G.2进项增值税率-运营成本'!$C20)</f>
        <v>0</v>
      </c>
      <c r="H22" s="75">
        <f>E.1项目运营期费用!L21*'G.2进项增值税率-运营成本'!$C20/(1+'G.2进项增值税率-运营成本'!$C20)</f>
        <v>0</v>
      </c>
    </row>
    <row r="23" ht="16.5" customHeight="1" spans="1:8">
      <c r="A23" s="8"/>
      <c r="B23" s="73" t="s">
        <v>270</v>
      </c>
      <c r="C23" s="8"/>
      <c r="D23" s="74">
        <f>E.1项目运营期费用!H22*'G.2进项增值税率-运营成本'!$C21/(1+'G.2进项增值税率-运营成本'!$C21)</f>
        <v>0</v>
      </c>
      <c r="E23" s="75">
        <f>E.1项目运营期费用!I22*'G.2进项增值税率-运营成本'!$C21/(1+'G.2进项增值税率-运营成本'!$C21)</f>
        <v>0</v>
      </c>
      <c r="F23" s="75">
        <f>E.1项目运营期费用!J22*'G.2进项增值税率-运营成本'!$C21/(1+'G.2进项增值税率-运营成本'!$C21)</f>
        <v>0</v>
      </c>
      <c r="G23" s="75">
        <f>E.1项目运营期费用!K22*'G.2进项增值税率-运营成本'!$C21/(1+'G.2进项增值税率-运营成本'!$C21)</f>
        <v>0</v>
      </c>
      <c r="H23" s="75">
        <f>E.1项目运营期费用!L22*'G.2进项增值税率-运营成本'!$C21/(1+'G.2进项增值税率-运营成本'!$C21)</f>
        <v>0</v>
      </c>
    </row>
    <row r="24" ht="16.5" customHeight="1" spans="1:8">
      <c r="A24" s="8"/>
      <c r="B24" s="73" t="s">
        <v>272</v>
      </c>
      <c r="C24" s="8"/>
      <c r="D24" s="74">
        <f>E.1项目运营期费用!H23*'G.2进项增值税率-运营成本'!$C22/(1+'G.2进项增值税率-运营成本'!$C22)</f>
        <v>0</v>
      </c>
      <c r="E24" s="75">
        <f>E.1项目运营期费用!I23*'G.2进项增值税率-运营成本'!$C22/(1+'G.2进项增值税率-运营成本'!$C22)</f>
        <v>0</v>
      </c>
      <c r="F24" s="75">
        <f>E.1项目运营期费用!J23*'G.2进项增值税率-运营成本'!$C22/(1+'G.2进项增值税率-运营成本'!$C22)</f>
        <v>0</v>
      </c>
      <c r="G24" s="75">
        <f>E.1项目运营期费用!K23*'G.2进项增值税率-运营成本'!$C22/(1+'G.2进项增值税率-运营成本'!$C22)</f>
        <v>0</v>
      </c>
      <c r="H24" s="75">
        <f>E.1项目运营期费用!L23*'G.2进项增值税率-运营成本'!$C22/(1+'G.2进项增值税率-运营成本'!$C22)</f>
        <v>0</v>
      </c>
    </row>
    <row r="25" ht="16.5" customHeight="1" spans="1:8">
      <c r="A25" s="8">
        <v>2</v>
      </c>
      <c r="B25" s="8" t="s">
        <v>346</v>
      </c>
      <c r="C25" s="8"/>
      <c r="D25" s="39">
        <f>SUM(D26:D28)</f>
        <v>0</v>
      </c>
      <c r="E25" s="39">
        <f>SUM(E26:E28)</f>
        <v>0</v>
      </c>
      <c r="F25" s="39">
        <f>SUM(F26:F28)</f>
        <v>0</v>
      </c>
      <c r="G25" s="39">
        <f>SUM(G26:G28)</f>
        <v>0</v>
      </c>
      <c r="H25" s="39">
        <f>SUM(H26:H28)</f>
        <v>0</v>
      </c>
    </row>
    <row r="26" ht="16.5" customHeight="1" spans="1:8">
      <c r="A26" s="8"/>
      <c r="B26" s="73" t="s">
        <v>347</v>
      </c>
      <c r="C26" s="8"/>
      <c r="D26" s="77">
        <f>F项目收入!D3*G.3销项增值税率!$C3/(1+G.3销项增值税率!$C3)</f>
        <v>0</v>
      </c>
      <c r="E26" s="37">
        <f>F项目收入!E3*G.3销项增值税率!$C3/(1+G.3销项增值税率!$C3)</f>
        <v>0</v>
      </c>
      <c r="F26" s="37">
        <f>F项目收入!F3*G.3销项增值税率!$C3/(1+G.3销项增值税率!$C3)</f>
        <v>0</v>
      </c>
      <c r="G26" s="37">
        <f>F项目收入!G3*G.3销项增值税率!$C3/(1+G.3销项增值税率!$C3)</f>
        <v>0</v>
      </c>
      <c r="H26" s="37">
        <f>F项目收入!H3*G.3销项增值税率!$C3/(1+G.3销项增值税率!$C3)</f>
        <v>0</v>
      </c>
    </row>
    <row r="27" ht="16.5" customHeight="1" spans="1:8">
      <c r="A27" s="8"/>
      <c r="B27" s="73" t="s">
        <v>348</v>
      </c>
      <c r="C27" s="8"/>
      <c r="D27" s="77">
        <f>F项目收入!D5*G.3销项增值税率!$C4/(1+G.3销项增值税率!$C4)</f>
        <v>0</v>
      </c>
      <c r="E27" s="37">
        <f>F项目收入!E5*G.3销项增值税率!$C4/(1+G.3销项增值税率!$C4)</f>
        <v>0</v>
      </c>
      <c r="F27" s="37">
        <f>F项目收入!F5*G.3销项增值税率!$C4/(1+G.3销项增值税率!$C4)</f>
        <v>0</v>
      </c>
      <c r="G27" s="37">
        <f>F项目收入!G5*G.3销项增值税率!$C4/(1+G.3销项增值税率!$C4)</f>
        <v>0</v>
      </c>
      <c r="H27" s="37">
        <f>F项目收入!H5*G.3销项增值税率!$C4/(1+G.3销项增值税率!$C4)</f>
        <v>0</v>
      </c>
    </row>
    <row r="28" ht="16.5" customHeight="1" spans="1:8">
      <c r="A28" s="8"/>
      <c r="B28" s="73" t="s">
        <v>349</v>
      </c>
      <c r="C28" s="8"/>
      <c r="D28" s="77">
        <f>F项目收入!D7*G.3销项增值税率!$C5/(1+G.3销项增值税率!$C5)</f>
        <v>0</v>
      </c>
      <c r="E28" s="37">
        <f>F项目收入!E7*G.3销项增值税率!$C5/(1+G.3销项增值税率!$C5)</f>
        <v>0</v>
      </c>
      <c r="F28" s="37">
        <f>F项目收入!F7*G.3销项增值税率!$C5/(1+G.3销项增值税率!$C5)</f>
        <v>0</v>
      </c>
      <c r="G28" s="37">
        <f>F项目收入!G7*G.3销项增值税率!$C5/(1+G.3销项增值税率!$C5)</f>
        <v>0</v>
      </c>
      <c r="H28" s="37">
        <f>F项目收入!H7*G.3销项增值税率!$C5/(1+G.3销项增值税率!$C5)</f>
        <v>0</v>
      </c>
    </row>
    <row r="29" ht="16.5" customHeight="1" spans="1:8">
      <c r="A29" s="8">
        <v>3</v>
      </c>
      <c r="B29" s="34" t="s">
        <v>350</v>
      </c>
      <c r="C29" s="8"/>
      <c r="D29" s="34">
        <v>0</v>
      </c>
      <c r="E29" s="39">
        <f>MAX(E25-E4-E3,0)</f>
        <v>0</v>
      </c>
      <c r="F29" s="39">
        <f>MAX(F25-F4-F3,0)</f>
        <v>0</v>
      </c>
      <c r="G29" s="39">
        <f>MAX(G25-G4-G3,0)</f>
        <v>0</v>
      </c>
      <c r="H29" s="39">
        <f>MAX(H25-H4-H3,0)</f>
        <v>0</v>
      </c>
    </row>
    <row r="30" ht="16.5" customHeight="1" spans="1:8">
      <c r="A30" s="8">
        <v>4</v>
      </c>
      <c r="B30" s="34" t="s">
        <v>351</v>
      </c>
      <c r="C30" s="8"/>
      <c r="D30" s="34">
        <v>0</v>
      </c>
      <c r="E30" s="39">
        <f>E29*(A财务假设!$D$6+A财务假设!$D$7+A财务假设!$D$8)</f>
        <v>0</v>
      </c>
      <c r="F30" s="39">
        <f>F29*(A财务假设!$D$6+A财务假设!$D$7+A财务假设!$D$8)</f>
        <v>0</v>
      </c>
      <c r="G30" s="39">
        <f>G29*(A财务假设!$D$6+A财务假设!$D$7+A财务假设!$D$8)</f>
        <v>0</v>
      </c>
      <c r="H30" s="39">
        <f>H29*(A财务假设!$D$6+A财务假设!$D$7+A财务假设!$D$8)</f>
        <v>0</v>
      </c>
    </row>
    <row r="31" ht="16.5" customHeight="1" spans="1:8">
      <c r="A31" s="8"/>
      <c r="B31" s="8" t="s">
        <v>80</v>
      </c>
      <c r="C31" s="8"/>
      <c r="D31" s="34">
        <v>0</v>
      </c>
      <c r="E31" s="39">
        <f>E30+E29</f>
        <v>0</v>
      </c>
      <c r="F31" s="39">
        <f>F30+F29</f>
        <v>0</v>
      </c>
      <c r="G31" s="39">
        <f>G30+G29</f>
        <v>0</v>
      </c>
      <c r="H31" s="39">
        <f>H30+H29</f>
        <v>0</v>
      </c>
    </row>
  </sheetData>
  <mergeCells count="1">
    <mergeCell ref="A1:H1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rgb="FFFFFF00"/>
  </sheetPr>
  <dimension ref="A1:I17"/>
  <sheetViews>
    <sheetView workbookViewId="0">
      <selection activeCell="I11" sqref="I11"/>
    </sheetView>
  </sheetViews>
  <sheetFormatPr defaultColWidth="8.89090909090909" defaultRowHeight="28.05" customHeight="1"/>
  <cols>
    <col min="1" max="1" width="8.89090909090909" style="44" customWidth="1"/>
    <col min="2" max="2" width="17.6636363636364" style="44" customWidth="1"/>
    <col min="3" max="3" width="37.5545454545455" style="44" customWidth="1"/>
    <col min="4" max="4" width="15.1090909090909" style="44" customWidth="1"/>
    <col min="5" max="5" width="10.4454545454545" style="44" customWidth="1"/>
    <col min="6" max="6" width="14.8909090909091" style="44" customWidth="1"/>
    <col min="7" max="16384" width="8.89090909090909" style="44" customWidth="1"/>
  </cols>
  <sheetData>
    <row r="1" ht="20" customHeight="1" spans="1:9">
      <c r="A1" s="36" t="s">
        <v>352</v>
      </c>
      <c r="B1" s="3"/>
      <c r="C1" s="3"/>
      <c r="D1" s="3"/>
      <c r="E1" s="3"/>
      <c r="F1" s="4"/>
      <c r="G1"/>
      <c r="H1"/>
      <c r="I1"/>
    </row>
    <row r="2" ht="16.5" customHeight="1" spans="1:9">
      <c r="A2" s="5" t="s">
        <v>1</v>
      </c>
      <c r="B2" s="5" t="s">
        <v>165</v>
      </c>
      <c r="C2" s="5" t="s">
        <v>166</v>
      </c>
      <c r="D2" s="5" t="s">
        <v>353</v>
      </c>
      <c r="E2" s="5" t="s">
        <v>306</v>
      </c>
      <c r="F2" s="5" t="s">
        <v>354</v>
      </c>
      <c r="G2"/>
      <c r="H2"/>
      <c r="I2"/>
    </row>
    <row r="3" ht="16.5" customHeight="1" spans="1:9">
      <c r="A3" s="8" t="s">
        <v>89</v>
      </c>
      <c r="B3" s="8" t="s">
        <v>167</v>
      </c>
      <c r="C3" s="8"/>
      <c r="D3" s="37">
        <f>D.3建设投资分年计划表!D3</f>
        <v>24474.93</v>
      </c>
      <c r="E3" s="8" t="s">
        <v>161</v>
      </c>
      <c r="F3" s="14">
        <f>F4+F8</f>
        <v>2445.0609</v>
      </c>
      <c r="G3"/>
      <c r="H3"/>
      <c r="I3"/>
    </row>
    <row r="4" ht="16.5" customHeight="1" spans="1:9">
      <c r="A4" s="8">
        <v>1</v>
      </c>
      <c r="B4" s="8" t="s">
        <v>355</v>
      </c>
      <c r="C4" s="8"/>
      <c r="D4" s="37">
        <f>D.3建设投资分年计划表!D4</f>
        <v>19534.93</v>
      </c>
      <c r="E4" s="8" t="s">
        <v>161</v>
      </c>
      <c r="F4" s="14">
        <f>SUM(F5:F7)</f>
        <v>2148.6609</v>
      </c>
      <c r="G4"/>
      <c r="H4"/>
      <c r="I4"/>
    </row>
    <row r="5" ht="112.95" customHeight="1" spans="1:9">
      <c r="A5" s="8">
        <v>1.1</v>
      </c>
      <c r="B5" s="13" t="s">
        <v>169</v>
      </c>
      <c r="C5" s="69" t="s">
        <v>170</v>
      </c>
      <c r="D5" s="37">
        <f>D.3建设投资分年计划表!D5</f>
        <v>9772</v>
      </c>
      <c r="E5" s="67">
        <v>0.09</v>
      </c>
      <c r="F5" s="70">
        <f>D5*E5</f>
        <v>879.48</v>
      </c>
      <c r="G5"/>
      <c r="H5"/>
      <c r="I5"/>
    </row>
    <row r="6" ht="16.5" customHeight="1" spans="1:6">
      <c r="A6" s="8">
        <v>1.2</v>
      </c>
      <c r="B6" s="13" t="s">
        <v>171</v>
      </c>
      <c r="C6" s="8"/>
      <c r="D6" s="37">
        <f>D.3建设投资分年计划表!D6</f>
        <v>9762.93</v>
      </c>
      <c r="E6" s="67">
        <v>0.13</v>
      </c>
      <c r="F6" s="14">
        <f>D6*E6</f>
        <v>1269.1809</v>
      </c>
    </row>
    <row r="7" ht="64.05" customHeight="1" spans="1:6">
      <c r="A7" s="8">
        <v>1.3</v>
      </c>
      <c r="B7" s="13" t="s">
        <v>172</v>
      </c>
      <c r="C7" s="69" t="s">
        <v>173</v>
      </c>
      <c r="D7" s="37">
        <f>D.3建设投资分年计划表!D7</f>
        <v>0</v>
      </c>
      <c r="E7" s="67">
        <v>0.09</v>
      </c>
      <c r="F7" s="14">
        <f>D7*E7</f>
        <v>0</v>
      </c>
    </row>
    <row r="8" ht="16.5" customHeight="1" spans="1:6">
      <c r="A8" s="8">
        <v>2</v>
      </c>
      <c r="B8" s="8" t="s">
        <v>174</v>
      </c>
      <c r="C8" s="8"/>
      <c r="D8" s="37">
        <f>D.3建设投资分年计划表!D8</f>
        <v>4940</v>
      </c>
      <c r="E8" s="8" t="s">
        <v>161</v>
      </c>
      <c r="F8" s="14">
        <f>SUM(F9:F12)</f>
        <v>296.4</v>
      </c>
    </row>
    <row r="9" ht="16.5" customHeight="1" spans="1:6">
      <c r="A9" s="8">
        <v>2.1</v>
      </c>
      <c r="B9" s="13" t="s">
        <v>175</v>
      </c>
      <c r="C9" s="8" t="s">
        <v>176</v>
      </c>
      <c r="D9" s="37">
        <f>D.3建设投资分年计划表!D9</f>
        <v>0</v>
      </c>
      <c r="E9" s="67">
        <v>0.13</v>
      </c>
      <c r="F9" s="14">
        <f>D9*E9</f>
        <v>0</v>
      </c>
    </row>
    <row r="10" ht="16.5" customHeight="1" spans="1:6">
      <c r="A10" s="8">
        <v>2.2</v>
      </c>
      <c r="B10" s="13" t="s">
        <v>177</v>
      </c>
      <c r="C10" s="8"/>
      <c r="D10" s="37">
        <f>D.3建设投资分年计划表!D10</f>
        <v>4940</v>
      </c>
      <c r="E10" s="67">
        <v>0.06</v>
      </c>
      <c r="F10" s="14">
        <f>D10*E10</f>
        <v>296.4</v>
      </c>
    </row>
    <row r="11" ht="16.5" customHeight="1" spans="1:6">
      <c r="A11" s="8">
        <v>2.3</v>
      </c>
      <c r="B11" s="13" t="s">
        <v>178</v>
      </c>
      <c r="C11" s="8"/>
      <c r="D11" s="37">
        <f>D.3建设投资分年计划表!D11</f>
        <v>0</v>
      </c>
      <c r="E11" s="67">
        <v>0.13</v>
      </c>
      <c r="F11" s="14">
        <f>D11*E11</f>
        <v>0</v>
      </c>
    </row>
    <row r="12" ht="16.5" customHeight="1" spans="1:6">
      <c r="A12" s="8">
        <v>2.4</v>
      </c>
      <c r="B12" s="13" t="s">
        <v>179</v>
      </c>
      <c r="C12" s="8"/>
      <c r="D12" s="37">
        <f>D.3建设投资分年计划表!D12</f>
        <v>0</v>
      </c>
      <c r="E12" s="67">
        <v>0.06</v>
      </c>
      <c r="F12" s="14">
        <f>D12*E12</f>
        <v>0</v>
      </c>
    </row>
    <row r="13" ht="16.5" customHeight="1" spans="1:6">
      <c r="A13" s="8" t="s">
        <v>112</v>
      </c>
      <c r="B13" s="8" t="s">
        <v>113</v>
      </c>
      <c r="C13" s="8"/>
      <c r="D13" s="37">
        <f>D.3建设投资分年计划表!D13</f>
        <v>2408.1821113962</v>
      </c>
      <c r="E13" s="8" t="s">
        <v>161</v>
      </c>
      <c r="F13" s="14">
        <f>SUM(F14:F14)</f>
        <v>144.490926683772</v>
      </c>
    </row>
    <row r="14" ht="16.5" customHeight="1" spans="1:6">
      <c r="A14" s="8">
        <v>1</v>
      </c>
      <c r="B14" s="13" t="s">
        <v>180</v>
      </c>
      <c r="C14" s="8"/>
      <c r="D14" s="37">
        <f>D.3建设投资分年计划表!D14</f>
        <v>2408.1821113962</v>
      </c>
      <c r="E14" s="67">
        <v>0.06</v>
      </c>
      <c r="F14" s="14">
        <f>D14*E14</f>
        <v>144.490926683772</v>
      </c>
    </row>
    <row r="15" ht="16.5" customHeight="1" spans="1:6">
      <c r="A15" s="8" t="s">
        <v>136</v>
      </c>
      <c r="B15" s="8" t="s">
        <v>137</v>
      </c>
      <c r="C15" s="8"/>
      <c r="D15" s="37">
        <f>D.3建设投资分年计划表!D15</f>
        <v>1344.15560556981</v>
      </c>
      <c r="E15" s="8" t="s">
        <v>161</v>
      </c>
      <c r="F15" s="14">
        <f>F16</f>
        <v>0</v>
      </c>
    </row>
    <row r="16" ht="16.5" customHeight="1" spans="1:6">
      <c r="A16" s="8">
        <v>1</v>
      </c>
      <c r="B16" s="8" t="s">
        <v>138</v>
      </c>
      <c r="C16" s="8"/>
      <c r="D16" s="37">
        <f>D.3建设投资分年计划表!D16</f>
        <v>1344.15560556981</v>
      </c>
      <c r="E16" s="67">
        <v>0</v>
      </c>
      <c r="F16" s="14">
        <f>D16*E16</f>
        <v>0</v>
      </c>
    </row>
    <row r="17" ht="16.5" customHeight="1" spans="1:6">
      <c r="A17" s="8"/>
      <c r="B17" s="8" t="s">
        <v>356</v>
      </c>
      <c r="C17" s="4"/>
      <c r="D17" s="8"/>
      <c r="E17" s="8"/>
      <c r="F17" s="14">
        <f>F3+F13+F15</f>
        <v>2589.55182668377</v>
      </c>
    </row>
  </sheetData>
  <mergeCells count="2">
    <mergeCell ref="A1:F1"/>
    <mergeCell ref="B17:C17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tabColor rgb="FFFFFF00"/>
  </sheetPr>
  <dimension ref="A1:D22"/>
  <sheetViews>
    <sheetView zoomScale="70" zoomScaleNormal="70" workbookViewId="0">
      <selection activeCell="D11" sqref="D11"/>
    </sheetView>
  </sheetViews>
  <sheetFormatPr defaultColWidth="8.89090909090909" defaultRowHeight="28.05" customHeight="1" outlineLevelCol="3"/>
  <cols>
    <col min="2" max="2" width="67.5545454545454" style="1" customWidth="1"/>
    <col min="3" max="3" width="20.3363636363636" style="1" customWidth="1"/>
    <col min="4" max="4" width="14.3363636363636" style="1" customWidth="1"/>
  </cols>
  <sheetData>
    <row r="1" ht="31.8" customHeight="1" spans="1:4">
      <c r="A1" s="66" t="s">
        <v>357</v>
      </c>
      <c r="B1" s="3"/>
      <c r="C1" s="4"/>
      <c r="D1" s="28" t="s">
        <v>358</v>
      </c>
    </row>
    <row r="2" ht="16.5" customHeight="1" spans="1:3">
      <c r="A2" s="5" t="s">
        <v>1</v>
      </c>
      <c r="B2" s="5" t="s">
        <v>143</v>
      </c>
      <c r="C2" s="5" t="s">
        <v>306</v>
      </c>
    </row>
    <row r="3" ht="16.5" customHeight="1" spans="1:3">
      <c r="A3" s="13">
        <f>E.1项目运营期费用!B4</f>
        <v>1</v>
      </c>
      <c r="B3" s="13" t="str">
        <f>E.1项目运营期费用!C4</f>
        <v>场地租金</v>
      </c>
      <c r="C3" s="67">
        <v>0.09</v>
      </c>
    </row>
    <row r="4" ht="27.6" customHeight="1" spans="1:3">
      <c r="A4" s="13">
        <f>E.1项目运营期费用!B5</f>
        <v>2</v>
      </c>
      <c r="B4" s="13" t="str">
        <f>E.1项目运营期费用!C5</f>
        <v>场地日常维护（停机坪/起降场/交通枢纽/飞行营地/指挥中心等）</v>
      </c>
      <c r="C4" s="67">
        <v>0.06</v>
      </c>
    </row>
    <row r="5" ht="16.5" customHeight="1" spans="1:3">
      <c r="A5" s="13">
        <f>E.1项目运营期费用!B6</f>
        <v>3</v>
      </c>
      <c r="B5" s="13" t="str">
        <f>E.1项目运营期费用!C6</f>
        <v>消防设施年检</v>
      </c>
      <c r="C5" s="67">
        <v>0.06</v>
      </c>
    </row>
    <row r="6" ht="16.5" customHeight="1" spans="1:3">
      <c r="A6" s="13">
        <f>E.1项目运营期费用!B7</f>
        <v>4</v>
      </c>
      <c r="B6" s="13" t="str">
        <f>E.1项目运营期费用!C7</f>
        <v>防鸟措施（驱鸟器维护）</v>
      </c>
      <c r="C6" s="67">
        <v>0.06</v>
      </c>
    </row>
    <row r="7" ht="16.5" customHeight="1" spans="1:3">
      <c r="A7" s="13">
        <f>E.1项目运营期费用!B8</f>
        <v>5</v>
      </c>
      <c r="B7" s="13" t="str">
        <f>E.1项目运营期费用!C8</f>
        <v>飞行器能耗</v>
      </c>
      <c r="C7" s="67">
        <v>0.13</v>
      </c>
    </row>
    <row r="8" ht="16.5" customHeight="1" spans="1:3">
      <c r="A8" s="13">
        <f>E.1项目运营期费用!B9</f>
        <v>6</v>
      </c>
      <c r="B8" s="13" t="str">
        <f>E.1项目运营期费用!C9</f>
        <v>核心设备电力能耗</v>
      </c>
      <c r="C8" s="67">
        <v>0.13</v>
      </c>
    </row>
    <row r="9" ht="16.5" customHeight="1" spans="1:4">
      <c r="A9" s="13">
        <f>E.1项目运营期费用!B10</f>
        <v>7</v>
      </c>
      <c r="B9" s="13" t="str">
        <f>E.1项目运营期费用!C10</f>
        <v>水电能耗</v>
      </c>
      <c r="C9" s="67">
        <v>0.09</v>
      </c>
      <c r="D9" s="68"/>
    </row>
    <row r="10" ht="16.5" customHeight="1" spans="1:3">
      <c r="A10" s="13">
        <f>E.1项目运营期费用!B11</f>
        <v>8</v>
      </c>
      <c r="B10" s="13" t="str">
        <f>E.1项目运营期费用!C11</f>
        <v>网络通信费用</v>
      </c>
      <c r="C10" s="67">
        <v>0.09</v>
      </c>
    </row>
    <row r="11" ht="16.5" customHeight="1" spans="1:3">
      <c r="A11" s="13">
        <f>E.1项目运营期费用!B12</f>
        <v>9</v>
      </c>
      <c r="B11" s="13" t="str">
        <f>E.1项目运营期费用!C12</f>
        <v>硬件设备维护</v>
      </c>
      <c r="C11" s="67">
        <v>0.13</v>
      </c>
    </row>
    <row r="12" ht="16.5" customHeight="1" spans="1:3">
      <c r="A12" s="13">
        <f>E.1项目运营期费用!B13</f>
        <v>10</v>
      </c>
      <c r="B12" s="13" t="str">
        <f>E.1项目运营期费用!C13</f>
        <v>备品备件储备</v>
      </c>
      <c r="C12" s="67">
        <v>0.13</v>
      </c>
    </row>
    <row r="13" ht="16.5" customHeight="1" spans="1:3">
      <c r="A13" s="13">
        <f>E.1项目运营期费用!B14</f>
        <v>11</v>
      </c>
      <c r="B13" s="13" t="str">
        <f>E.1项目运营期费用!C14</f>
        <v>软件维护</v>
      </c>
      <c r="C13" s="67">
        <v>0.06</v>
      </c>
    </row>
    <row r="14" ht="16.5" customHeight="1" spans="1:3">
      <c r="A14" s="13">
        <f>E.1项目运营期费用!B15</f>
        <v>12</v>
      </c>
      <c r="B14" s="13" t="str">
        <f>E.1项目运营期费用!C15</f>
        <v>营销及活动</v>
      </c>
      <c r="C14" s="67">
        <v>0.06</v>
      </c>
    </row>
    <row r="15" ht="16.5" customHeight="1" spans="1:3">
      <c r="A15" s="13">
        <f>E.1项目运营期费用!B16</f>
        <v>13</v>
      </c>
      <c r="B15" s="13" t="str">
        <f>E.1项目运营期费用!C16</f>
        <v>人员薪酬</v>
      </c>
      <c r="C15" s="67">
        <v>0</v>
      </c>
    </row>
    <row r="16" ht="16.5" customHeight="1" spans="1:3">
      <c r="A16" s="13">
        <f>E.1项目运营期费用!B17</f>
        <v>14</v>
      </c>
      <c r="B16" s="13" t="str">
        <f>E.1项目运营期费用!C17</f>
        <v>培训与资质认证</v>
      </c>
      <c r="C16" s="67">
        <v>0.06</v>
      </c>
    </row>
    <row r="17" ht="16.5" customHeight="1" spans="1:3">
      <c r="A17" s="13">
        <f>E.1项目运营期费用!B18</f>
        <v>15</v>
      </c>
      <c r="B17" s="13" t="str">
        <f>E.1项目运营期费用!C18</f>
        <v>办公与行政支出</v>
      </c>
      <c r="C17" s="67">
        <v>0.13</v>
      </c>
    </row>
    <row r="18" ht="16.5" customHeight="1" spans="1:3">
      <c r="A18" s="13">
        <f>E.1项目运营期费用!B19</f>
        <v>16</v>
      </c>
      <c r="B18" s="13" t="str">
        <f>E.1项目运营期费用!C19</f>
        <v>空域使用审批费</v>
      </c>
      <c r="C18" s="67">
        <v>0</v>
      </c>
    </row>
    <row r="19" ht="16.5" customHeight="1" spans="1:3">
      <c r="A19" s="13">
        <f>E.1项目运营期费用!B20</f>
        <v>17</v>
      </c>
      <c r="B19" s="13" t="str">
        <f>E.1项目运营期费用!C20</f>
        <v>场地责任险</v>
      </c>
      <c r="C19" s="67">
        <v>0.06</v>
      </c>
    </row>
    <row r="20" ht="16.5" customHeight="1" spans="1:3">
      <c r="A20" s="13">
        <f>E.1项目运营期费用!B21</f>
        <v>18</v>
      </c>
      <c r="B20" s="13" t="str">
        <f>E.1项目运营期费用!C21</f>
        <v>安全演练与应急处置</v>
      </c>
      <c r="C20" s="67">
        <v>0.06</v>
      </c>
    </row>
    <row r="21" ht="16.5" customHeight="1" spans="1:3">
      <c r="A21" s="13">
        <f>E.1项目运营期费用!B22</f>
        <v>19</v>
      </c>
      <c r="B21" s="13" t="str">
        <f>E.1项目运营期费用!C22</f>
        <v>第三方安全评估</v>
      </c>
      <c r="C21" s="67">
        <v>0.06</v>
      </c>
    </row>
    <row r="22" ht="16.5" customHeight="1" spans="1:3">
      <c r="A22" s="13">
        <f>E.1项目运营期费用!B23</f>
        <v>20</v>
      </c>
      <c r="B22" s="13" t="str">
        <f>E.1项目运营期费用!C23</f>
        <v>不可预见支出</v>
      </c>
      <c r="C22" s="67">
        <v>0</v>
      </c>
    </row>
  </sheetData>
  <mergeCells count="1">
    <mergeCell ref="A1:C1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rgb="FFFFFF00"/>
  </sheetPr>
  <dimension ref="A1:D12"/>
  <sheetViews>
    <sheetView workbookViewId="0">
      <selection activeCell="I14" sqref="I14"/>
    </sheetView>
  </sheetViews>
  <sheetFormatPr defaultColWidth="8.89090909090909" defaultRowHeight="28.05" customHeight="1" outlineLevelCol="3"/>
  <cols>
    <col min="2" max="2" width="27.4454545454545" style="1" customWidth="1"/>
    <col min="3" max="3" width="14.7818181818182" style="1" customWidth="1"/>
  </cols>
  <sheetData>
    <row r="1" ht="20" customHeight="1" spans="1:4">
      <c r="A1" s="66" t="s">
        <v>359</v>
      </c>
      <c r="B1" s="3"/>
      <c r="C1" s="4"/>
      <c r="D1" s="28" t="s">
        <v>360</v>
      </c>
    </row>
    <row r="2" ht="16.5" customHeight="1" spans="1:3">
      <c r="A2" s="5" t="s">
        <v>1</v>
      </c>
      <c r="B2" s="5" t="s">
        <v>312</v>
      </c>
      <c r="C2" s="5" t="s">
        <v>306</v>
      </c>
    </row>
    <row r="3" ht="16.5" customHeight="1" spans="1:3">
      <c r="A3" s="13">
        <v>1</v>
      </c>
      <c r="B3" s="13" t="s">
        <v>361</v>
      </c>
      <c r="C3" s="67">
        <v>0.06</v>
      </c>
    </row>
    <row r="4" ht="16.5" customHeight="1" spans="1:3">
      <c r="A4" s="13">
        <v>2</v>
      </c>
      <c r="B4" s="13" t="s">
        <v>326</v>
      </c>
      <c r="C4" s="67">
        <v>0.06</v>
      </c>
    </row>
    <row r="5" ht="16.5" customHeight="1" spans="1:3">
      <c r="A5" s="13">
        <v>3</v>
      </c>
      <c r="B5" s="13" t="s">
        <v>327</v>
      </c>
      <c r="C5" s="67">
        <v>0.06</v>
      </c>
    </row>
    <row r="6" ht="16.5" customHeight="1" spans="1:3">
      <c r="A6" s="13">
        <v>4</v>
      </c>
      <c r="B6" s="13" t="s">
        <v>329</v>
      </c>
      <c r="C6" s="67">
        <v>0.06</v>
      </c>
    </row>
    <row r="7" ht="16.5" customHeight="1" spans="1:3">
      <c r="A7" s="13">
        <v>5</v>
      </c>
      <c r="B7" s="13" t="s">
        <v>330</v>
      </c>
      <c r="C7" s="67">
        <v>0.06</v>
      </c>
    </row>
    <row r="8" ht="16.5" customHeight="1" spans="1:3">
      <c r="A8" s="13">
        <v>6</v>
      </c>
      <c r="B8" s="13" t="s">
        <v>331</v>
      </c>
      <c r="C8" s="67">
        <v>0.09</v>
      </c>
    </row>
    <row r="9" ht="16.5" customHeight="1" spans="1:3">
      <c r="A9" s="13">
        <v>7</v>
      </c>
      <c r="B9" s="13" t="s">
        <v>332</v>
      </c>
      <c r="C9" s="67">
        <v>0.09</v>
      </c>
    </row>
    <row r="10" ht="16.5" customHeight="1" spans="1:3">
      <c r="A10" s="13">
        <v>8</v>
      </c>
      <c r="B10" s="13" t="s">
        <v>333</v>
      </c>
      <c r="C10" s="67">
        <v>0.06</v>
      </c>
    </row>
    <row r="11" ht="16.5" customHeight="1" spans="1:3">
      <c r="A11" s="13">
        <v>9</v>
      </c>
      <c r="B11" s="13" t="s">
        <v>334</v>
      </c>
      <c r="C11" s="67">
        <v>0.06</v>
      </c>
    </row>
    <row r="12" ht="16.5" customHeight="1" spans="1:3">
      <c r="A12" s="13">
        <v>10</v>
      </c>
      <c r="B12" s="13" t="s">
        <v>362</v>
      </c>
      <c r="C12" s="67">
        <v>0.06</v>
      </c>
    </row>
  </sheetData>
  <mergeCells count="1">
    <mergeCell ref="A1:C1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FFC000"/>
  </sheetPr>
  <dimension ref="A1:AA31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J5" sqref="J5"/>
    </sheetView>
  </sheetViews>
  <sheetFormatPr defaultColWidth="8.89090909090909" defaultRowHeight="28.05" customHeight="1"/>
  <cols>
    <col min="2" max="2" width="36.7818181818182" style="1" customWidth="1"/>
    <col min="3" max="3" width="14.2181818181818" style="1" customWidth="1"/>
    <col min="4" max="4" width="13.1090909090909" style="1" customWidth="1"/>
    <col min="5" max="7" width="11.8909090909091" style="1" customWidth="1"/>
    <col min="8" max="8" width="13" style="1" customWidth="1"/>
    <col min="9" max="27" width="14.0181818181818" style="1" customWidth="1"/>
  </cols>
  <sheetData>
    <row r="1" ht="22.5" customHeight="1" spans="1:8">
      <c r="A1" s="56" t="s">
        <v>363</v>
      </c>
      <c r="B1" s="3"/>
      <c r="C1" s="3"/>
      <c r="D1" s="3"/>
      <c r="E1" s="3"/>
      <c r="F1" s="3"/>
      <c r="G1" s="3"/>
      <c r="H1" s="4"/>
    </row>
    <row r="2" ht="16.5" customHeight="1" spans="1:27">
      <c r="A2" s="57" t="s">
        <v>1</v>
      </c>
      <c r="B2" s="57" t="s">
        <v>183</v>
      </c>
      <c r="C2" s="57" t="s">
        <v>80</v>
      </c>
      <c r="D2" s="57">
        <v>2025</v>
      </c>
      <c r="E2" s="57">
        <v>2026</v>
      </c>
      <c r="F2" s="57">
        <v>2027</v>
      </c>
      <c r="G2" s="57">
        <v>2028</v>
      </c>
      <c r="H2" s="57">
        <v>2029</v>
      </c>
      <c r="I2" s="57">
        <v>2030</v>
      </c>
      <c r="J2" s="57">
        <v>2031</v>
      </c>
      <c r="K2" s="57">
        <v>2032</v>
      </c>
      <c r="L2" s="57">
        <v>2033</v>
      </c>
      <c r="M2" s="57">
        <v>2034</v>
      </c>
      <c r="N2" s="57">
        <v>2035</v>
      </c>
      <c r="O2" s="57">
        <v>2036</v>
      </c>
      <c r="P2" s="57">
        <v>2037</v>
      </c>
      <c r="Q2" s="57">
        <v>2038</v>
      </c>
      <c r="R2" s="57">
        <v>2039</v>
      </c>
      <c r="S2" s="57">
        <v>2040</v>
      </c>
      <c r="T2" s="57">
        <v>2041</v>
      </c>
      <c r="U2" s="57">
        <v>2042</v>
      </c>
      <c r="V2" s="57">
        <v>2043</v>
      </c>
      <c r="W2" s="57">
        <v>2044</v>
      </c>
      <c r="X2" s="57">
        <v>2045</v>
      </c>
      <c r="Y2" s="57">
        <v>2046</v>
      </c>
      <c r="Z2" s="57">
        <v>2047</v>
      </c>
      <c r="AA2" s="57">
        <v>2048</v>
      </c>
    </row>
    <row r="3" ht="16.5" customHeight="1" spans="1:27">
      <c r="A3" s="58">
        <v>1</v>
      </c>
      <c r="B3" s="58" t="s">
        <v>364</v>
      </c>
      <c r="C3" s="59">
        <f t="shared" ref="C3:C23" si="0">(SUM(D3:AA3))</f>
        <v>1110.08283826369</v>
      </c>
      <c r="D3" s="59">
        <f t="shared" ref="D3:AA3" si="1">SUM(D4:D7)</f>
        <v>0</v>
      </c>
      <c r="E3" s="59">
        <f t="shared" si="1"/>
        <v>0</v>
      </c>
      <c r="F3" s="59">
        <f t="shared" si="1"/>
        <v>0</v>
      </c>
      <c r="G3" s="59">
        <f t="shared" si="1"/>
        <v>0</v>
      </c>
      <c r="H3" s="59">
        <f t="shared" si="1"/>
        <v>0</v>
      </c>
      <c r="I3" s="59">
        <f t="shared" si="1"/>
        <v>0</v>
      </c>
      <c r="J3" s="59">
        <f t="shared" si="1"/>
        <v>0</v>
      </c>
      <c r="K3" s="59">
        <f t="shared" si="1"/>
        <v>0</v>
      </c>
      <c r="L3" s="59">
        <f t="shared" si="1"/>
        <v>0</v>
      </c>
      <c r="M3" s="59">
        <f t="shared" si="1"/>
        <v>0</v>
      </c>
      <c r="N3" s="59">
        <f t="shared" si="1"/>
        <v>0</v>
      </c>
      <c r="O3" s="59">
        <f t="shared" si="1"/>
        <v>0</v>
      </c>
      <c r="P3" s="59">
        <f t="shared" si="1"/>
        <v>0</v>
      </c>
      <c r="Q3" s="59">
        <f t="shared" si="1"/>
        <v>0</v>
      </c>
      <c r="R3" s="59">
        <f t="shared" si="1"/>
        <v>0</v>
      </c>
      <c r="S3" s="59">
        <f t="shared" si="1"/>
        <v>0</v>
      </c>
      <c r="T3" s="59">
        <f t="shared" si="1"/>
        <v>0</v>
      </c>
      <c r="U3" s="59">
        <f t="shared" si="1"/>
        <v>0</v>
      </c>
      <c r="V3" s="59">
        <f t="shared" si="1"/>
        <v>0</v>
      </c>
      <c r="W3" s="59">
        <f t="shared" si="1"/>
        <v>0</v>
      </c>
      <c r="X3" s="59">
        <f t="shared" si="1"/>
        <v>0</v>
      </c>
      <c r="Y3" s="59">
        <f t="shared" si="1"/>
        <v>0</v>
      </c>
      <c r="Z3" s="59">
        <f t="shared" si="1"/>
        <v>0</v>
      </c>
      <c r="AA3" s="59">
        <f t="shared" si="1"/>
        <v>1110.08283826369</v>
      </c>
    </row>
    <row r="4" ht="16.5" customHeight="1" spans="1:27">
      <c r="A4" s="58">
        <v>1.1</v>
      </c>
      <c r="B4" s="58" t="s">
        <v>365</v>
      </c>
      <c r="C4" s="59">
        <f t="shared" si="0"/>
        <v>0</v>
      </c>
      <c r="D4" s="59">
        <f>(F项目收入!D25)</f>
        <v>0</v>
      </c>
      <c r="E4" s="59">
        <f>(F项目收入!E25)</f>
        <v>0</v>
      </c>
      <c r="F4" s="59">
        <f>(F项目收入!F25)</f>
        <v>0</v>
      </c>
      <c r="G4" s="59">
        <f>(F项目收入!G25)</f>
        <v>0</v>
      </c>
      <c r="H4" s="59">
        <f>(F项目收入!H25)</f>
        <v>0</v>
      </c>
      <c r="I4" s="59">
        <f>(F项目收入!I25)</f>
        <v>0</v>
      </c>
      <c r="J4" s="59">
        <f>(F项目收入!J25)</f>
        <v>0</v>
      </c>
      <c r="K4" s="59">
        <f>(F项目收入!K25)</f>
        <v>0</v>
      </c>
      <c r="L4" s="59">
        <f>(F项目收入!L25)</f>
        <v>0</v>
      </c>
      <c r="M4" s="59">
        <f>(F项目收入!M25)</f>
        <v>0</v>
      </c>
      <c r="N4" s="59">
        <f>(F项目收入!N25)</f>
        <v>0</v>
      </c>
      <c r="O4" s="59">
        <f>(F项目收入!O25)</f>
        <v>0</v>
      </c>
      <c r="P4" s="59">
        <f>(F项目收入!P25)</f>
        <v>0</v>
      </c>
      <c r="Q4" s="59">
        <f>(F项目收入!Q25)</f>
        <v>0</v>
      </c>
      <c r="R4" s="59">
        <f>(F项目收入!R25)</f>
        <v>0</v>
      </c>
      <c r="S4" s="59">
        <f>(F项目收入!S25)</f>
        <v>0</v>
      </c>
      <c r="T4" s="59">
        <f>(F项目收入!T25)</f>
        <v>0</v>
      </c>
      <c r="U4" s="59">
        <f>(F项目收入!U25)</f>
        <v>0</v>
      </c>
      <c r="V4" s="59">
        <f>(F项目收入!V25)</f>
        <v>0</v>
      </c>
      <c r="W4" s="59">
        <f>(F项目收入!W25)</f>
        <v>0</v>
      </c>
      <c r="X4" s="59">
        <f>(F项目收入!X25)</f>
        <v>0</v>
      </c>
      <c r="Y4" s="59">
        <f>(F项目收入!Y25)</f>
        <v>0</v>
      </c>
      <c r="Z4" s="59">
        <f>(F项目收入!Z25)</f>
        <v>0</v>
      </c>
      <c r="AA4" s="59">
        <f>F项目收入!AA25</f>
        <v>0</v>
      </c>
    </row>
    <row r="5" ht="16.5" customHeight="1" spans="1:27">
      <c r="A5" s="58">
        <v>1.2</v>
      </c>
      <c r="B5" s="58" t="s">
        <v>316</v>
      </c>
      <c r="C5" s="59">
        <f t="shared" si="0"/>
        <v>0</v>
      </c>
      <c r="D5" s="59">
        <f>(F项目收入!D23)</f>
        <v>0</v>
      </c>
      <c r="E5" s="59">
        <f>(F项目收入!E23)</f>
        <v>0</v>
      </c>
      <c r="F5" s="59">
        <f>(F项目收入!F23)</f>
        <v>0</v>
      </c>
      <c r="G5" s="59">
        <f>(F项目收入!G23)</f>
        <v>0</v>
      </c>
      <c r="H5" s="59">
        <f>(F项目收入!H23)</f>
        <v>0</v>
      </c>
      <c r="I5" s="59">
        <f>(F项目收入!I23)</f>
        <v>0</v>
      </c>
      <c r="J5" s="59">
        <f>(F项目收入!J23)</f>
        <v>0</v>
      </c>
      <c r="K5" s="59">
        <f>(F项目收入!K23)</f>
        <v>0</v>
      </c>
      <c r="L5" s="59">
        <f>(F项目收入!L23)</f>
        <v>0</v>
      </c>
      <c r="M5" s="59">
        <f>(F项目收入!M23)</f>
        <v>0</v>
      </c>
      <c r="N5" s="59">
        <f>(F项目收入!N23)</f>
        <v>0</v>
      </c>
      <c r="O5" s="59">
        <f>(F项目收入!O23)</f>
        <v>0</v>
      </c>
      <c r="P5" s="59">
        <f>(F项目收入!P23)</f>
        <v>0</v>
      </c>
      <c r="Q5" s="59">
        <f>(F项目收入!Q23)</f>
        <v>0</v>
      </c>
      <c r="R5" s="59">
        <f>(F项目收入!R23)</f>
        <v>0</v>
      </c>
      <c r="S5" s="59">
        <f>(F项目收入!S23)</f>
        <v>0</v>
      </c>
      <c r="T5" s="59">
        <f>(F项目收入!T23)</f>
        <v>0</v>
      </c>
      <c r="U5" s="59">
        <f>(F项目收入!U23)</f>
        <v>0</v>
      </c>
      <c r="V5" s="59">
        <f>(F项目收入!V23)</f>
        <v>0</v>
      </c>
      <c r="W5" s="59">
        <f>(F项目收入!W23)</f>
        <v>0</v>
      </c>
      <c r="X5" s="59">
        <f>(F项目收入!X23)</f>
        <v>0</v>
      </c>
      <c r="Y5" s="59">
        <f>(F项目收入!Y23)</f>
        <v>0</v>
      </c>
      <c r="Z5" s="59">
        <f>(F项目收入!Z23)</f>
        <v>0</v>
      </c>
      <c r="AA5" s="59">
        <v>0</v>
      </c>
    </row>
    <row r="6" ht="16.5" customHeight="1" spans="1:27">
      <c r="A6" s="58">
        <v>1.3</v>
      </c>
      <c r="B6" s="58" t="s">
        <v>366</v>
      </c>
      <c r="C6" s="59">
        <f t="shared" si="0"/>
        <v>1110.08027659702</v>
      </c>
      <c r="D6" s="59" t="s">
        <v>161</v>
      </c>
      <c r="E6" s="59" t="s">
        <v>161</v>
      </c>
      <c r="F6" s="59" t="s">
        <v>161</v>
      </c>
      <c r="G6" s="59" t="s">
        <v>161</v>
      </c>
      <c r="H6" s="59" t="s">
        <v>161</v>
      </c>
      <c r="I6" s="59" t="s">
        <v>161</v>
      </c>
      <c r="J6" s="59" t="s">
        <v>161</v>
      </c>
      <c r="K6" s="59" t="s">
        <v>161</v>
      </c>
      <c r="L6" s="59" t="s">
        <v>161</v>
      </c>
      <c r="M6" s="59" t="s">
        <v>161</v>
      </c>
      <c r="N6" s="59" t="s">
        <v>161</v>
      </c>
      <c r="O6" s="59" t="s">
        <v>161</v>
      </c>
      <c r="P6" s="59" t="s">
        <v>161</v>
      </c>
      <c r="Q6" s="59" t="s">
        <v>161</v>
      </c>
      <c r="R6" s="59" t="s">
        <v>161</v>
      </c>
      <c r="S6" s="59" t="s">
        <v>161</v>
      </c>
      <c r="T6" s="59" t="s">
        <v>161</v>
      </c>
      <c r="U6" s="59" t="s">
        <v>161</v>
      </c>
      <c r="V6" s="59" t="s">
        <v>161</v>
      </c>
      <c r="W6" s="59" t="s">
        <v>161</v>
      </c>
      <c r="X6" s="59" t="s">
        <v>161</v>
      </c>
      <c r="Y6" s="59" t="s">
        <v>161</v>
      </c>
      <c r="Z6" s="59" t="s">
        <v>161</v>
      </c>
      <c r="AA6" s="59">
        <f>E.2固定资产折旧费估算表!C6*A财务假设!$D$12</f>
        <v>1110.08027659702</v>
      </c>
    </row>
    <row r="7" ht="16.5" customHeight="1" spans="1:27">
      <c r="A7" s="58">
        <v>1.4</v>
      </c>
      <c r="B7" s="58" t="s">
        <v>367</v>
      </c>
      <c r="C7" s="59">
        <f t="shared" si="0"/>
        <v>0.00256166666666667</v>
      </c>
      <c r="D7" s="59" t="s">
        <v>161</v>
      </c>
      <c r="E7" s="59" t="s">
        <v>161</v>
      </c>
      <c r="F7" s="59" t="s">
        <v>161</v>
      </c>
      <c r="G7" s="59" t="s">
        <v>161</v>
      </c>
      <c r="H7" s="59" t="s">
        <v>161</v>
      </c>
      <c r="I7" s="59" t="s">
        <v>161</v>
      </c>
      <c r="J7" s="59" t="s">
        <v>161</v>
      </c>
      <c r="K7" s="59" t="s">
        <v>161</v>
      </c>
      <c r="L7" s="59" t="s">
        <v>161</v>
      </c>
      <c r="M7" s="59" t="s">
        <v>161</v>
      </c>
      <c r="N7" s="59" t="s">
        <v>161</v>
      </c>
      <c r="O7" s="59" t="s">
        <v>161</v>
      </c>
      <c r="P7" s="59" t="s">
        <v>161</v>
      </c>
      <c r="Q7" s="59" t="s">
        <v>161</v>
      </c>
      <c r="R7" s="59" t="s">
        <v>161</v>
      </c>
      <c r="S7" s="59" t="s">
        <v>161</v>
      </c>
      <c r="T7" s="59" t="s">
        <v>161</v>
      </c>
      <c r="U7" s="59" t="s">
        <v>161</v>
      </c>
      <c r="V7" s="59" t="s">
        <v>161</v>
      </c>
      <c r="W7" s="59" t="s">
        <v>161</v>
      </c>
      <c r="X7" s="59" t="s">
        <v>161</v>
      </c>
      <c r="Y7" s="59" t="s">
        <v>161</v>
      </c>
      <c r="Z7" s="59" t="s">
        <v>161</v>
      </c>
      <c r="AA7" s="59">
        <f>D.4流动资金估算表!I13</f>
        <v>0.00256166666666667</v>
      </c>
    </row>
    <row r="8" ht="16.5" customHeight="1" spans="1:27">
      <c r="A8" s="58">
        <v>2</v>
      </c>
      <c r="B8" s="58" t="s">
        <v>368</v>
      </c>
      <c r="C8" s="59">
        <f t="shared" si="0"/>
        <v>25881.3576169644</v>
      </c>
      <c r="D8" s="59">
        <f t="shared" ref="D8:AA8" si="2">SUM(D9:D14)</f>
        <v>1862.88206098348</v>
      </c>
      <c r="E8" s="59">
        <f t="shared" si="2"/>
        <v>10556.3316789064</v>
      </c>
      <c r="F8" s="59">
        <f t="shared" si="2"/>
        <v>12958.5978017253</v>
      </c>
      <c r="G8" s="59">
        <f t="shared" si="2"/>
        <v>503.514670199204</v>
      </c>
      <c r="H8" s="59">
        <f t="shared" si="2"/>
        <v>0.03140515</v>
      </c>
      <c r="I8" s="59">
        <f t="shared" si="2"/>
        <v>0</v>
      </c>
      <c r="J8" s="59">
        <f t="shared" si="2"/>
        <v>0</v>
      </c>
      <c r="K8" s="59">
        <f t="shared" si="2"/>
        <v>0</v>
      </c>
      <c r="L8" s="59">
        <f t="shared" si="2"/>
        <v>0</v>
      </c>
      <c r="M8" s="59">
        <f t="shared" si="2"/>
        <v>0</v>
      </c>
      <c r="N8" s="59">
        <f t="shared" si="2"/>
        <v>0</v>
      </c>
      <c r="O8" s="59">
        <f t="shared" si="2"/>
        <v>0</v>
      </c>
      <c r="P8" s="59">
        <f t="shared" si="2"/>
        <v>0</v>
      </c>
      <c r="Q8" s="59">
        <f t="shared" si="2"/>
        <v>0</v>
      </c>
      <c r="R8" s="59">
        <f t="shared" si="2"/>
        <v>0</v>
      </c>
      <c r="S8" s="59">
        <f t="shared" si="2"/>
        <v>0</v>
      </c>
      <c r="T8" s="59">
        <f t="shared" si="2"/>
        <v>0</v>
      </c>
      <c r="U8" s="59">
        <f t="shared" si="2"/>
        <v>0</v>
      </c>
      <c r="V8" s="59">
        <f t="shared" si="2"/>
        <v>0</v>
      </c>
      <c r="W8" s="59">
        <f t="shared" si="2"/>
        <v>0</v>
      </c>
      <c r="X8" s="59">
        <f t="shared" si="2"/>
        <v>0</v>
      </c>
      <c r="Y8" s="59">
        <f t="shared" si="2"/>
        <v>0</v>
      </c>
      <c r="Z8" s="59">
        <f t="shared" si="2"/>
        <v>0</v>
      </c>
      <c r="AA8" s="59">
        <f t="shared" si="2"/>
        <v>0</v>
      </c>
    </row>
    <row r="9" ht="16.5" customHeight="1" spans="1:27">
      <c r="A9" s="58">
        <v>2.1</v>
      </c>
      <c r="B9" s="58" t="s">
        <v>145</v>
      </c>
      <c r="C9" s="59">
        <f t="shared" si="0"/>
        <v>25881.3015570977</v>
      </c>
      <c r="D9" s="59">
        <f>(E.4建设投资税后金额表!I17)</f>
        <v>1862.88206098348</v>
      </c>
      <c r="E9" s="59">
        <f>(E.4建设投资税后金额表!J17)</f>
        <v>10556.3316789064</v>
      </c>
      <c r="F9" s="59">
        <f>(E.4建设投资税后金额表!K17)</f>
        <v>12958.5978017253</v>
      </c>
      <c r="G9" s="59">
        <f>(E.4建设投资税后金额表!L17)</f>
        <v>503.490015482537</v>
      </c>
      <c r="H9" s="59">
        <f>(E.4建设投资税后金额表!M17)</f>
        <v>0</v>
      </c>
      <c r="I9" s="59">
        <f>(E.4建设投资税后金额表!N17)</f>
        <v>0</v>
      </c>
      <c r="J9" s="59">
        <f>(E.4建设投资税后金额表!O17)</f>
        <v>0</v>
      </c>
      <c r="K9" s="59">
        <f>(E.4建设投资税后金额表!P17)</f>
        <v>0</v>
      </c>
      <c r="L9" s="59">
        <f>(E.4建设投资税后金额表!Q17)</f>
        <v>0</v>
      </c>
      <c r="M9" s="59">
        <f>(E.4建设投资税后金额表!R17)</f>
        <v>0</v>
      </c>
      <c r="N9" s="59">
        <f>(E.4建设投资税后金额表!S17)</f>
        <v>0</v>
      </c>
      <c r="O9" s="59">
        <f>(E.4建设投资税后金额表!T17)</f>
        <v>0</v>
      </c>
      <c r="P9" s="59">
        <f>(E.4建设投资税后金额表!U17)</f>
        <v>0</v>
      </c>
      <c r="Q9" s="59">
        <f>(E.4建设投资税后金额表!V17)</f>
        <v>0</v>
      </c>
      <c r="R9" s="59">
        <f>(E.4建设投资税后金额表!W17)</f>
        <v>0</v>
      </c>
      <c r="S9" s="59">
        <f>(E.4建设投资税后金额表!X17)</f>
        <v>0</v>
      </c>
      <c r="T9" s="59">
        <f>(E.4建设投资税后金额表!Y17)</f>
        <v>0</v>
      </c>
      <c r="U9" s="59">
        <f>(E.4建设投资税后金额表!Z17)</f>
        <v>0</v>
      </c>
      <c r="V9" s="59">
        <f>(E.4建设投资税后金额表!AA17)</f>
        <v>0</v>
      </c>
      <c r="W9" s="59">
        <f>(E.4建设投资税后金额表!AB17)</f>
        <v>0</v>
      </c>
      <c r="X9" s="59">
        <f>(E.4建设投资税后金额表!AC17)</f>
        <v>0</v>
      </c>
      <c r="Y9" s="59">
        <f>(E.4建设投资税后金额表!AD17)</f>
        <v>0</v>
      </c>
      <c r="Z9" s="59">
        <f>(E.4建设投资税后金额表!AE17)</f>
        <v>0</v>
      </c>
      <c r="AA9" s="59">
        <f>E.4建设投资税后金额表!AF17</f>
        <v>0</v>
      </c>
    </row>
    <row r="10" ht="16.5" customHeight="1" spans="1:27">
      <c r="A10" s="58">
        <v>2.2</v>
      </c>
      <c r="B10" s="58" t="s">
        <v>146</v>
      </c>
      <c r="C10" s="59">
        <f t="shared" si="0"/>
        <v>0.00256166666666667</v>
      </c>
      <c r="D10" s="59">
        <f>D.2项目总投资使用计划与资金筹措表!D6</f>
        <v>0</v>
      </c>
      <c r="E10" s="59">
        <f>D.2项目总投资使用计划与资金筹措表!E6</f>
        <v>0</v>
      </c>
      <c r="F10" s="59">
        <f>D.2项目总投资使用计划与资金筹措表!F6</f>
        <v>0</v>
      </c>
      <c r="G10" s="59">
        <f>D.2项目总投资使用计划与资金筹措表!G6</f>
        <v>0.00189651666666667</v>
      </c>
      <c r="H10" s="59">
        <f>D.2项目总投资使用计划与资金筹措表!H6</f>
        <v>0.000665150000000004</v>
      </c>
      <c r="I10" s="59">
        <f>D.2项目总投资使用计划与资金筹措表!I6</f>
        <v>0</v>
      </c>
      <c r="J10" s="59">
        <f>D.2项目总投资使用计划与资金筹措表!J6</f>
        <v>0</v>
      </c>
      <c r="K10" s="59">
        <f>D.2项目总投资使用计划与资金筹措表!K6</f>
        <v>0</v>
      </c>
      <c r="L10" s="59">
        <f>D.2项目总投资使用计划与资金筹措表!L6</f>
        <v>0</v>
      </c>
      <c r="M10" s="59">
        <f>D.2项目总投资使用计划与资金筹措表!M6</f>
        <v>0</v>
      </c>
      <c r="N10" s="59">
        <f>D.2项目总投资使用计划与资金筹措表!N6</f>
        <v>0</v>
      </c>
      <c r="O10" s="59">
        <f>D.2项目总投资使用计划与资金筹措表!O6</f>
        <v>0</v>
      </c>
      <c r="P10" s="59">
        <f>D.2项目总投资使用计划与资金筹措表!P6</f>
        <v>0</v>
      </c>
      <c r="Q10" s="59">
        <f>D.2项目总投资使用计划与资金筹措表!Q6</f>
        <v>0</v>
      </c>
      <c r="R10" s="59">
        <f>D.2项目总投资使用计划与资金筹措表!R6</f>
        <v>0</v>
      </c>
      <c r="S10" s="59">
        <f>D.2项目总投资使用计划与资金筹措表!S6</f>
        <v>0</v>
      </c>
      <c r="T10" s="59">
        <f>D.2项目总投资使用计划与资金筹措表!T6</f>
        <v>0</v>
      </c>
      <c r="U10" s="59">
        <f>D.2项目总投资使用计划与资金筹措表!U6</f>
        <v>0</v>
      </c>
      <c r="V10" s="59">
        <f>D.2项目总投资使用计划与资金筹措表!V6</f>
        <v>0</v>
      </c>
      <c r="W10" s="59">
        <f>D.2项目总投资使用计划与资金筹措表!W6</f>
        <v>0</v>
      </c>
      <c r="X10" s="59">
        <f>D.2项目总投资使用计划与资金筹措表!X6</f>
        <v>0</v>
      </c>
      <c r="Y10" s="59">
        <f>D.2项目总投资使用计划与资金筹措表!Y6</f>
        <v>0</v>
      </c>
      <c r="Z10" s="59">
        <f>D.2项目总投资使用计划与资金筹措表!Z6</f>
        <v>0</v>
      </c>
      <c r="AA10" s="59">
        <f>D.2项目总投资使用计划与资金筹措表!AA6</f>
        <v>0</v>
      </c>
    </row>
    <row r="11" ht="16.5" customHeight="1" spans="1:27">
      <c r="A11" s="58">
        <v>2.3</v>
      </c>
      <c r="B11" s="58" t="s">
        <v>369</v>
      </c>
      <c r="C11" s="59">
        <f t="shared" si="0"/>
        <v>0.0534982</v>
      </c>
      <c r="D11" s="59">
        <f>E总成本费用估算表!C11</f>
        <v>0</v>
      </c>
      <c r="E11" s="59">
        <f>E总成本费用估算表!D11</f>
        <v>0</v>
      </c>
      <c r="F11" s="59">
        <f>E总成本费用估算表!E11</f>
        <v>0</v>
      </c>
      <c r="G11" s="59">
        <f>E总成本费用估算表!F11</f>
        <v>0.0227582</v>
      </c>
      <c r="H11" s="59">
        <f>E总成本费用估算表!G11</f>
        <v>0.03074</v>
      </c>
      <c r="I11" s="59">
        <f>E总成本费用估算表!H11</f>
        <v>0</v>
      </c>
      <c r="J11" s="59">
        <f>E总成本费用估算表!I11</f>
        <v>0</v>
      </c>
      <c r="K11" s="59">
        <f>E总成本费用估算表!J11</f>
        <v>0</v>
      </c>
      <c r="L11" s="59">
        <f>E总成本费用估算表!K11</f>
        <v>0</v>
      </c>
      <c r="M11" s="59">
        <f>E总成本费用估算表!L11</f>
        <v>0</v>
      </c>
      <c r="N11" s="59">
        <f>E总成本费用估算表!M11</f>
        <v>0</v>
      </c>
      <c r="O11" s="59">
        <f>E总成本费用估算表!N11</f>
        <v>0</v>
      </c>
      <c r="P11" s="59">
        <f>E总成本费用估算表!O11</f>
        <v>0</v>
      </c>
      <c r="Q11" s="59">
        <f>E总成本费用估算表!P11</f>
        <v>0</v>
      </c>
      <c r="R11" s="59">
        <f>E总成本费用估算表!Q11</f>
        <v>0</v>
      </c>
      <c r="S11" s="59">
        <f>E总成本费用估算表!R11</f>
        <v>0</v>
      </c>
      <c r="T11" s="59">
        <f>E总成本费用估算表!S11</f>
        <v>0</v>
      </c>
      <c r="U11" s="59">
        <f>E总成本费用估算表!T11</f>
        <v>0</v>
      </c>
      <c r="V11" s="59">
        <f>E总成本费用估算表!U11</f>
        <v>0</v>
      </c>
      <c r="W11" s="59">
        <f>E总成本费用估算表!V11</f>
        <v>0</v>
      </c>
      <c r="X11" s="59">
        <f>E总成本费用估算表!W11</f>
        <v>0</v>
      </c>
      <c r="Y11" s="59">
        <f>E总成本费用估算表!X11</f>
        <v>0</v>
      </c>
      <c r="Z11" s="59">
        <f>E总成本费用估算表!Y11</f>
        <v>0</v>
      </c>
      <c r="AA11" s="59">
        <f>E总成本费用估算表!Z11</f>
        <v>0</v>
      </c>
    </row>
    <row r="12" ht="16.5" customHeight="1" spans="1:27">
      <c r="A12" s="58">
        <v>2.4</v>
      </c>
      <c r="B12" s="58" t="s">
        <v>370</v>
      </c>
      <c r="C12" s="59">
        <f t="shared" si="0"/>
        <v>0</v>
      </c>
      <c r="D12" s="59">
        <f>(G.税金及附加测算表!D30)</f>
        <v>0</v>
      </c>
      <c r="E12" s="59">
        <f>(G.税金及附加测算表!E30)</f>
        <v>0</v>
      </c>
      <c r="F12" s="59">
        <f>(G.税金及附加测算表!F30)</f>
        <v>0</v>
      </c>
      <c r="G12" s="59">
        <f>(G.税金及附加测算表!G30)</f>
        <v>0</v>
      </c>
      <c r="H12" s="59">
        <f>(G.税金及附加测算表!H30)</f>
        <v>0</v>
      </c>
      <c r="I12" s="59">
        <f>(G.税金及附加测算表!I30)</f>
        <v>0</v>
      </c>
      <c r="J12" s="59">
        <f>(G.税金及附加测算表!J30)</f>
        <v>0</v>
      </c>
      <c r="K12" s="59">
        <f>(G.税金及附加测算表!K30)</f>
        <v>0</v>
      </c>
      <c r="L12" s="59">
        <f>(G.税金及附加测算表!L30)</f>
        <v>0</v>
      </c>
      <c r="M12" s="59">
        <f>(G.税金及附加测算表!M30)</f>
        <v>0</v>
      </c>
      <c r="N12" s="59">
        <f>(G.税金及附加测算表!N30)</f>
        <v>0</v>
      </c>
      <c r="O12" s="59">
        <f>(G.税金及附加测算表!O30)</f>
        <v>0</v>
      </c>
      <c r="P12" s="59">
        <f>(G.税金及附加测算表!P30)</f>
        <v>0</v>
      </c>
      <c r="Q12" s="59">
        <f>(G.税金及附加测算表!Q30)</f>
        <v>0</v>
      </c>
      <c r="R12" s="59">
        <f>(G.税金及附加测算表!R30)</f>
        <v>0</v>
      </c>
      <c r="S12" s="59">
        <f>(G.税金及附加测算表!S30)</f>
        <v>0</v>
      </c>
      <c r="T12" s="59">
        <f>(G.税金及附加测算表!T30)</f>
        <v>0</v>
      </c>
      <c r="U12" s="59">
        <f>(G.税金及附加测算表!U30)</f>
        <v>0</v>
      </c>
      <c r="V12" s="59">
        <f>(G.税金及附加测算表!V30)</f>
        <v>0</v>
      </c>
      <c r="W12" s="59">
        <f>(G.税金及附加测算表!W30)</f>
        <v>0</v>
      </c>
      <c r="X12" s="59">
        <f>(G.税金及附加测算表!X30)</f>
        <v>0</v>
      </c>
      <c r="Y12" s="59">
        <f>(G.税金及附加测算表!Y30)</f>
        <v>0</v>
      </c>
      <c r="Z12" s="59">
        <f>(G.税金及附加测算表!Z30)</f>
        <v>0</v>
      </c>
      <c r="AA12" s="59">
        <f>G.税金及附加测算表!AA30</f>
        <v>0</v>
      </c>
    </row>
    <row r="13" ht="16.5" customHeight="1" spans="1:27">
      <c r="A13" s="58">
        <v>2.5</v>
      </c>
      <c r="B13" s="58" t="s">
        <v>371</v>
      </c>
      <c r="C13" s="59">
        <f t="shared" si="0"/>
        <v>0</v>
      </c>
      <c r="D13" s="59">
        <f>(G.税金及附加测算表!D29)</f>
        <v>0</v>
      </c>
      <c r="E13" s="59">
        <f>(G.税金及附加测算表!E29)</f>
        <v>0</v>
      </c>
      <c r="F13" s="59">
        <f>(G.税金及附加测算表!F29)</f>
        <v>0</v>
      </c>
      <c r="G13" s="59">
        <f>(G.税金及附加测算表!G29)</f>
        <v>0</v>
      </c>
      <c r="H13" s="59">
        <f>(G.税金及附加测算表!H29)</f>
        <v>0</v>
      </c>
      <c r="I13" s="59">
        <f>(G.税金及附加测算表!I29)</f>
        <v>0</v>
      </c>
      <c r="J13" s="59">
        <f>(G.税金及附加测算表!J29)</f>
        <v>0</v>
      </c>
      <c r="K13" s="59">
        <f>(G.税金及附加测算表!K29)</f>
        <v>0</v>
      </c>
      <c r="L13" s="59">
        <f>(G.税金及附加测算表!L29)</f>
        <v>0</v>
      </c>
      <c r="M13" s="59">
        <f>(G.税金及附加测算表!M29)</f>
        <v>0</v>
      </c>
      <c r="N13" s="59">
        <f>(G.税金及附加测算表!N29)</f>
        <v>0</v>
      </c>
      <c r="O13" s="59">
        <f>(G.税金及附加测算表!O29)</f>
        <v>0</v>
      </c>
      <c r="P13" s="59">
        <f>(G.税金及附加测算表!P29)</f>
        <v>0</v>
      </c>
      <c r="Q13" s="59">
        <f>(G.税金及附加测算表!Q29)</f>
        <v>0</v>
      </c>
      <c r="R13" s="59">
        <f>(G.税金及附加测算表!R29)</f>
        <v>0</v>
      </c>
      <c r="S13" s="59">
        <f>(G.税金及附加测算表!S29)</f>
        <v>0</v>
      </c>
      <c r="T13" s="59">
        <f>(G.税金及附加测算表!T29)</f>
        <v>0</v>
      </c>
      <c r="U13" s="59">
        <f>(G.税金及附加测算表!U29)</f>
        <v>0</v>
      </c>
      <c r="V13" s="59">
        <f>(G.税金及附加测算表!V29)</f>
        <v>0</v>
      </c>
      <c r="W13" s="59">
        <f>(G.税金及附加测算表!W29)</f>
        <v>0</v>
      </c>
      <c r="X13" s="59">
        <f>(G.税金及附加测算表!X29)</f>
        <v>0</v>
      </c>
      <c r="Y13" s="59">
        <f>(G.税金及附加测算表!Y29)</f>
        <v>0</v>
      </c>
      <c r="Z13" s="59">
        <f>(G.税金及附加测算表!Z29)</f>
        <v>0</v>
      </c>
      <c r="AA13" s="59">
        <f>G.税金及附加测算表!AA29</f>
        <v>0</v>
      </c>
    </row>
    <row r="14" ht="16.5" customHeight="1" spans="1:27">
      <c r="A14" s="58">
        <v>2.6</v>
      </c>
      <c r="B14" s="58" t="s">
        <v>372</v>
      </c>
      <c r="C14" s="59">
        <f t="shared" si="0"/>
        <v>0</v>
      </c>
      <c r="D14" s="59">
        <v>0</v>
      </c>
      <c r="E14" s="59">
        <v>0</v>
      </c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59">
        <v>0</v>
      </c>
      <c r="O14" s="59">
        <v>0</v>
      </c>
      <c r="P14" s="59">
        <v>0</v>
      </c>
      <c r="Q14" s="59">
        <v>0</v>
      </c>
      <c r="R14" s="59">
        <v>0</v>
      </c>
      <c r="S14" s="59">
        <v>0</v>
      </c>
      <c r="T14" s="59">
        <v>0</v>
      </c>
      <c r="U14" s="59">
        <v>0</v>
      </c>
      <c r="V14" s="59">
        <v>0</v>
      </c>
      <c r="W14" s="59">
        <v>0</v>
      </c>
      <c r="X14" s="59">
        <v>0</v>
      </c>
      <c r="Y14" s="59">
        <v>0</v>
      </c>
      <c r="Z14" s="59">
        <v>0</v>
      </c>
      <c r="AA14" s="59">
        <v>0</v>
      </c>
    </row>
    <row r="15" ht="16.5" customHeight="1" spans="1:27">
      <c r="A15" s="58">
        <v>3</v>
      </c>
      <c r="B15" s="58" t="s">
        <v>373</v>
      </c>
      <c r="C15" s="59">
        <f t="shared" si="0"/>
        <v>-24771.2747787007</v>
      </c>
      <c r="D15" s="59">
        <f t="shared" ref="D15:AA15" si="3">D3-D8</f>
        <v>-1862.88206098348</v>
      </c>
      <c r="E15" s="59">
        <f t="shared" si="3"/>
        <v>-10556.3316789064</v>
      </c>
      <c r="F15" s="59">
        <f t="shared" si="3"/>
        <v>-12958.5978017253</v>
      </c>
      <c r="G15" s="59">
        <f t="shared" si="3"/>
        <v>-503.514670199204</v>
      </c>
      <c r="H15" s="59">
        <f t="shared" si="3"/>
        <v>-0.03140515</v>
      </c>
      <c r="I15" s="59">
        <f t="shared" si="3"/>
        <v>0</v>
      </c>
      <c r="J15" s="59">
        <f t="shared" si="3"/>
        <v>0</v>
      </c>
      <c r="K15" s="59">
        <f t="shared" si="3"/>
        <v>0</v>
      </c>
      <c r="L15" s="59">
        <f t="shared" si="3"/>
        <v>0</v>
      </c>
      <c r="M15" s="59">
        <f t="shared" si="3"/>
        <v>0</v>
      </c>
      <c r="N15" s="59">
        <f t="shared" si="3"/>
        <v>0</v>
      </c>
      <c r="O15" s="59">
        <f t="shared" si="3"/>
        <v>0</v>
      </c>
      <c r="P15" s="59">
        <f t="shared" si="3"/>
        <v>0</v>
      </c>
      <c r="Q15" s="59">
        <f t="shared" si="3"/>
        <v>0</v>
      </c>
      <c r="R15" s="59">
        <f t="shared" si="3"/>
        <v>0</v>
      </c>
      <c r="S15" s="59">
        <f t="shared" si="3"/>
        <v>0</v>
      </c>
      <c r="T15" s="59">
        <f t="shared" si="3"/>
        <v>0</v>
      </c>
      <c r="U15" s="59">
        <f t="shared" si="3"/>
        <v>0</v>
      </c>
      <c r="V15" s="59">
        <f t="shared" si="3"/>
        <v>0</v>
      </c>
      <c r="W15" s="59">
        <f t="shared" si="3"/>
        <v>0</v>
      </c>
      <c r="X15" s="59">
        <f t="shared" si="3"/>
        <v>0</v>
      </c>
      <c r="Y15" s="59">
        <f t="shared" si="3"/>
        <v>0</v>
      </c>
      <c r="Z15" s="59">
        <f t="shared" si="3"/>
        <v>0</v>
      </c>
      <c r="AA15" s="59">
        <f t="shared" si="3"/>
        <v>1110.08283826369</v>
      </c>
    </row>
    <row r="16" ht="16.5" customHeight="1" spans="1:27">
      <c r="A16" s="58">
        <v>4</v>
      </c>
      <c r="B16" s="58" t="s">
        <v>374</v>
      </c>
      <c r="C16" s="59">
        <f t="shared" si="0"/>
        <v>-582058.303055325</v>
      </c>
      <c r="D16" s="59">
        <f>D15</f>
        <v>-1862.88206098348</v>
      </c>
      <c r="E16" s="59">
        <f t="shared" ref="E16:AA16" si="4">E15+D16</f>
        <v>-12419.2137398899</v>
      </c>
      <c r="F16" s="59">
        <f t="shared" si="4"/>
        <v>-25377.8115416151</v>
      </c>
      <c r="G16" s="59">
        <f t="shared" si="4"/>
        <v>-25881.3262118143</v>
      </c>
      <c r="H16" s="59">
        <f t="shared" si="4"/>
        <v>-25881.3576169643</v>
      </c>
      <c r="I16" s="59">
        <f t="shared" si="4"/>
        <v>-25881.3576169643</v>
      </c>
      <c r="J16" s="59">
        <f t="shared" si="4"/>
        <v>-25881.3576169643</v>
      </c>
      <c r="K16" s="59">
        <f t="shared" si="4"/>
        <v>-25881.3576169643</v>
      </c>
      <c r="L16" s="59">
        <f t="shared" si="4"/>
        <v>-25881.3576169643</v>
      </c>
      <c r="M16" s="59">
        <f t="shared" si="4"/>
        <v>-25881.3576169643</v>
      </c>
      <c r="N16" s="59">
        <f t="shared" si="4"/>
        <v>-25881.3576169643</v>
      </c>
      <c r="O16" s="59">
        <f t="shared" si="4"/>
        <v>-25881.3576169643</v>
      </c>
      <c r="P16" s="59">
        <f t="shared" si="4"/>
        <v>-25881.3576169643</v>
      </c>
      <c r="Q16" s="59">
        <f t="shared" si="4"/>
        <v>-25881.3576169643</v>
      </c>
      <c r="R16" s="59">
        <f t="shared" si="4"/>
        <v>-25881.3576169643</v>
      </c>
      <c r="S16" s="59">
        <f t="shared" si="4"/>
        <v>-25881.3576169643</v>
      </c>
      <c r="T16" s="59">
        <f t="shared" si="4"/>
        <v>-25881.3576169643</v>
      </c>
      <c r="U16" s="59">
        <f t="shared" si="4"/>
        <v>-25881.3576169643</v>
      </c>
      <c r="V16" s="59">
        <f t="shared" si="4"/>
        <v>-25881.3576169643</v>
      </c>
      <c r="W16" s="59">
        <f t="shared" si="4"/>
        <v>-25881.3576169643</v>
      </c>
      <c r="X16" s="59">
        <f t="shared" si="4"/>
        <v>-25881.3576169643</v>
      </c>
      <c r="Y16" s="59">
        <f t="shared" si="4"/>
        <v>-25881.3576169643</v>
      </c>
      <c r="Z16" s="59">
        <f t="shared" si="4"/>
        <v>-25881.3576169643</v>
      </c>
      <c r="AA16" s="59">
        <f t="shared" si="4"/>
        <v>-24771.2747787006</v>
      </c>
    </row>
    <row r="17" s="35" customFormat="1" ht="16.5" customHeight="1" spans="1:27">
      <c r="A17" s="58">
        <v>5</v>
      </c>
      <c r="B17" s="58" t="s">
        <v>375</v>
      </c>
      <c r="C17" s="59">
        <f t="shared" si="0"/>
        <v>-337.455640361496</v>
      </c>
      <c r="D17" s="59">
        <f>'b利润与利润分配表（损益和利润分配表）'!D25*A财务假设!$D$9</f>
        <v>2.32963333333333</v>
      </c>
      <c r="E17" s="59">
        <f>'b利润与利润分配表（损益和利润分配表）'!E25*A财务假设!$D$9</f>
        <v>29.2066066666667</v>
      </c>
      <c r="F17" s="59">
        <f>'b利润与利润分配表（损益和利润分配表）'!F25*A财务假设!$D$9</f>
        <v>-52.3041848097744</v>
      </c>
      <c r="G17" s="59">
        <f>'b利润与利润分配表（损益和利润分配表）'!G25*A财务假设!$D$9</f>
        <v>-8.50300769310775</v>
      </c>
      <c r="H17" s="59">
        <f>'b利润与利润分配表（损益和利润分配表）'!H25*A财务假设!$D$9</f>
        <v>-308.184687858614</v>
      </c>
      <c r="I17" s="59">
        <f>'b利润与利润分配表（损益和利润分配表）'!I25*A财务假设!$D$9</f>
        <v>0</v>
      </c>
      <c r="J17" s="59">
        <f>'b利润与利润分配表（损益和利润分配表）'!J25*A财务假设!$D$9</f>
        <v>0</v>
      </c>
      <c r="K17" s="59">
        <f>'b利润与利润分配表（损益和利润分配表）'!K25*A财务假设!$D$9</f>
        <v>0</v>
      </c>
      <c r="L17" s="59">
        <f>'b利润与利润分配表（损益和利润分配表）'!L25*A财务假设!$D$9</f>
        <v>0</v>
      </c>
      <c r="M17" s="59">
        <f>'b利润与利润分配表（损益和利润分配表）'!M25*A财务假设!$D$9</f>
        <v>0</v>
      </c>
      <c r="N17" s="59">
        <f>'b利润与利润分配表（损益和利润分配表）'!N25*A财务假设!$D$9</f>
        <v>0</v>
      </c>
      <c r="O17" s="59">
        <f>'b利润与利润分配表（损益和利润分配表）'!O25*A财务假设!$D$9</f>
        <v>0</v>
      </c>
      <c r="P17" s="59">
        <f>'b利润与利润分配表（损益和利润分配表）'!P25*A财务假设!$D$9</f>
        <v>0</v>
      </c>
      <c r="Q17" s="59">
        <f>'b利润与利润分配表（损益和利润分配表）'!Q25*A财务假设!$D$9</f>
        <v>0</v>
      </c>
      <c r="R17" s="59">
        <f>'b利润与利润分配表（损益和利润分配表）'!R25*A财务假设!$D$9</f>
        <v>0</v>
      </c>
      <c r="S17" s="59">
        <f>'b利润与利润分配表（损益和利润分配表）'!S25*A财务假设!$D$9</f>
        <v>0</v>
      </c>
      <c r="T17" s="59">
        <f>'b利润与利润分配表（损益和利润分配表）'!T25*A财务假设!$D$9</f>
        <v>0</v>
      </c>
      <c r="U17" s="59">
        <f>'b利润与利润分配表（损益和利润分配表）'!U25*A财务假设!$D$9</f>
        <v>0</v>
      </c>
      <c r="V17" s="59">
        <f>'b利润与利润分配表（损益和利润分配表）'!V25*A财务假设!$D$9</f>
        <v>0</v>
      </c>
      <c r="W17" s="59">
        <f>'b利润与利润分配表（损益和利润分配表）'!W25*A财务假设!$D$9</f>
        <v>0</v>
      </c>
      <c r="X17" s="59">
        <f>'b利润与利润分配表（损益和利润分配表）'!X25*A财务假设!$D$9</f>
        <v>0</v>
      </c>
      <c r="Y17" s="59">
        <f>'b利润与利润分配表（损益和利润分配表）'!Y25*A财务假设!$D$9</f>
        <v>0</v>
      </c>
      <c r="Z17" s="59">
        <f>'b利润与利润分配表（损益和利润分配表）'!Z25*A财务假设!$D$9</f>
        <v>0</v>
      </c>
      <c r="AA17" s="59">
        <f>'b利润与利润分配表（损益和利润分配表）'!AA25*A财务假设!$D$9</f>
        <v>0</v>
      </c>
    </row>
    <row r="18" ht="16.5" customHeight="1" spans="1:27">
      <c r="A18" s="58">
        <v>6</v>
      </c>
      <c r="B18" s="58" t="s">
        <v>376</v>
      </c>
      <c r="C18" s="59">
        <f t="shared" si="0"/>
        <v>-24433.8191383391</v>
      </c>
      <c r="D18" s="59">
        <f t="shared" ref="D18:AA18" si="5">D15-D17</f>
        <v>-1865.21169431681</v>
      </c>
      <c r="E18" s="59">
        <f t="shared" si="5"/>
        <v>-10585.538285573</v>
      </c>
      <c r="F18" s="59">
        <f t="shared" si="5"/>
        <v>-12906.2936169155</v>
      </c>
      <c r="G18" s="59">
        <f t="shared" si="5"/>
        <v>-495.011662506096</v>
      </c>
      <c r="H18" s="59">
        <f t="shared" si="5"/>
        <v>308.153282708614</v>
      </c>
      <c r="I18" s="59">
        <f t="shared" si="5"/>
        <v>0</v>
      </c>
      <c r="J18" s="59">
        <f t="shared" si="5"/>
        <v>0</v>
      </c>
      <c r="K18" s="59">
        <f t="shared" si="5"/>
        <v>0</v>
      </c>
      <c r="L18" s="59">
        <f t="shared" si="5"/>
        <v>0</v>
      </c>
      <c r="M18" s="59">
        <f t="shared" si="5"/>
        <v>0</v>
      </c>
      <c r="N18" s="59">
        <f t="shared" si="5"/>
        <v>0</v>
      </c>
      <c r="O18" s="59">
        <f t="shared" si="5"/>
        <v>0</v>
      </c>
      <c r="P18" s="59">
        <f t="shared" si="5"/>
        <v>0</v>
      </c>
      <c r="Q18" s="59">
        <f t="shared" si="5"/>
        <v>0</v>
      </c>
      <c r="R18" s="59">
        <f t="shared" si="5"/>
        <v>0</v>
      </c>
      <c r="S18" s="59">
        <f t="shared" si="5"/>
        <v>0</v>
      </c>
      <c r="T18" s="59">
        <f t="shared" si="5"/>
        <v>0</v>
      </c>
      <c r="U18" s="59">
        <f t="shared" si="5"/>
        <v>0</v>
      </c>
      <c r="V18" s="59">
        <f t="shared" si="5"/>
        <v>0</v>
      </c>
      <c r="W18" s="59">
        <f t="shared" si="5"/>
        <v>0</v>
      </c>
      <c r="X18" s="59">
        <f t="shared" si="5"/>
        <v>0</v>
      </c>
      <c r="Y18" s="59">
        <f t="shared" si="5"/>
        <v>0</v>
      </c>
      <c r="Z18" s="59">
        <f t="shared" si="5"/>
        <v>0</v>
      </c>
      <c r="AA18" s="59">
        <f t="shared" si="5"/>
        <v>1110.08283826369</v>
      </c>
    </row>
    <row r="19" ht="16.5" customHeight="1" spans="1:27">
      <c r="A19" s="58">
        <v>7</v>
      </c>
      <c r="B19" s="58" t="s">
        <v>377</v>
      </c>
      <c r="C19" s="59">
        <f t="shared" si="0"/>
        <v>-575293.017224118</v>
      </c>
      <c r="D19" s="59">
        <f>D18</f>
        <v>-1865.21169431681</v>
      </c>
      <c r="E19" s="59">
        <f t="shared" ref="E19:AA19" si="6">E18+D19</f>
        <v>-12450.7499798899</v>
      </c>
      <c r="F19" s="59">
        <f t="shared" si="6"/>
        <v>-25357.0435968054</v>
      </c>
      <c r="G19" s="59">
        <f t="shared" si="6"/>
        <v>-25852.0552593115</v>
      </c>
      <c r="H19" s="59">
        <f t="shared" si="6"/>
        <v>-25543.9019766029</v>
      </c>
      <c r="I19" s="59">
        <f t="shared" si="6"/>
        <v>-25543.9019766029</v>
      </c>
      <c r="J19" s="59">
        <f t="shared" si="6"/>
        <v>-25543.9019766029</v>
      </c>
      <c r="K19" s="59">
        <f t="shared" si="6"/>
        <v>-25543.9019766029</v>
      </c>
      <c r="L19" s="59">
        <f t="shared" si="6"/>
        <v>-25543.9019766029</v>
      </c>
      <c r="M19" s="59">
        <f t="shared" si="6"/>
        <v>-25543.9019766029</v>
      </c>
      <c r="N19" s="59">
        <f t="shared" si="6"/>
        <v>-25543.9019766029</v>
      </c>
      <c r="O19" s="59">
        <f t="shared" si="6"/>
        <v>-25543.9019766029</v>
      </c>
      <c r="P19" s="59">
        <f t="shared" si="6"/>
        <v>-25543.9019766029</v>
      </c>
      <c r="Q19" s="59">
        <f t="shared" si="6"/>
        <v>-25543.9019766029</v>
      </c>
      <c r="R19" s="59">
        <f t="shared" si="6"/>
        <v>-25543.9019766029</v>
      </c>
      <c r="S19" s="59">
        <f t="shared" si="6"/>
        <v>-25543.9019766029</v>
      </c>
      <c r="T19" s="59">
        <f t="shared" si="6"/>
        <v>-25543.9019766029</v>
      </c>
      <c r="U19" s="59">
        <f t="shared" si="6"/>
        <v>-25543.9019766029</v>
      </c>
      <c r="V19" s="59">
        <f t="shared" si="6"/>
        <v>-25543.9019766029</v>
      </c>
      <c r="W19" s="59">
        <f t="shared" si="6"/>
        <v>-25543.9019766029</v>
      </c>
      <c r="X19" s="59">
        <f t="shared" si="6"/>
        <v>-25543.9019766029</v>
      </c>
      <c r="Y19" s="59">
        <f t="shared" si="6"/>
        <v>-25543.9019766029</v>
      </c>
      <c r="Z19" s="59">
        <f t="shared" si="6"/>
        <v>-25543.9019766029</v>
      </c>
      <c r="AA19" s="59">
        <f t="shared" si="6"/>
        <v>-24433.8191383392</v>
      </c>
    </row>
    <row r="20" ht="16.5" customHeight="1" spans="1:27">
      <c r="A20" s="58">
        <v>8</v>
      </c>
      <c r="B20" s="58" t="s">
        <v>378</v>
      </c>
      <c r="C20" s="59">
        <f t="shared" si="0"/>
        <v>-24224.8143843176</v>
      </c>
      <c r="D20" s="59">
        <f>D15/(1+A财务假设!$D$14)^(D2-$D$2)</f>
        <v>-1862.88206098348</v>
      </c>
      <c r="E20" s="59">
        <f>E15/(1+A财务假设!$D$14)^(E2-$D$2)</f>
        <v>-10248.8657076761</v>
      </c>
      <c r="F20" s="59">
        <f>F15/(1+A财务假设!$D$14)^(F2-$D$2)</f>
        <v>-12214.7212760159</v>
      </c>
      <c r="G20" s="59">
        <f>G15/(1+A财务假设!$D$14)^(G2-$D$2)</f>
        <v>-460.787250794758</v>
      </c>
      <c r="H20" s="59">
        <f>H15/(1+A财务假设!$D$14)^(H2-$D$2)</f>
        <v>-0.0279030690128494</v>
      </c>
      <c r="I20" s="59">
        <f>I15/(1+A财务假设!$D$14)^(I2-$D$2)</f>
        <v>0</v>
      </c>
      <c r="J20" s="59">
        <f>J15/(1+A财务假设!$D$14)^(J2-$D$2)</f>
        <v>0</v>
      </c>
      <c r="K20" s="59">
        <f>K15/(1+A财务假设!$D$14)^(K2-$D$2)</f>
        <v>0</v>
      </c>
      <c r="L20" s="59">
        <f>L15/(1+A财务假设!$D$14)^(L2-$D$2)</f>
        <v>0</v>
      </c>
      <c r="M20" s="59">
        <f>M15/(1+A财务假设!$D$14)^(M2-$D$2)</f>
        <v>0</v>
      </c>
      <c r="N20" s="59">
        <f>N15/(1+A财务假设!$D$14)^(N2-$D$2)</f>
        <v>0</v>
      </c>
      <c r="O20" s="59">
        <f>O15/(1+A财务假设!$D$14)^(O2-$D$2)</f>
        <v>0</v>
      </c>
      <c r="P20" s="59">
        <f>P15/(1+A财务假设!$D$14)^(P2-$D$2)</f>
        <v>0</v>
      </c>
      <c r="Q20" s="59">
        <f>Q15/(1+A财务假设!$D$14)^(Q2-$D$2)</f>
        <v>0</v>
      </c>
      <c r="R20" s="59">
        <f>R15/(1+A财务假设!$D$14)^(R2-$D$2)</f>
        <v>0</v>
      </c>
      <c r="S20" s="59">
        <f>S15/(1+A财务假设!$D$14)^(S2-$D$2)</f>
        <v>0</v>
      </c>
      <c r="T20" s="59">
        <f>T15/(1+A财务假设!$D$14)^(T2-$D$2)</f>
        <v>0</v>
      </c>
      <c r="U20" s="59">
        <f>U15/(1+A财务假设!$D$14)^(U2-$D$2)</f>
        <v>0</v>
      </c>
      <c r="V20" s="59">
        <f>V15/(1+A财务假设!$D$14)^(V2-$D$2)</f>
        <v>0</v>
      </c>
      <c r="W20" s="59">
        <f>W15/(1+A财务假设!$D$14)^(W2-$D$2)</f>
        <v>0</v>
      </c>
      <c r="X20" s="59">
        <f>X15/(1+A财务假设!$D$14)^(X2-$D$2)</f>
        <v>0</v>
      </c>
      <c r="Y20" s="59">
        <f>Y15/(1+A财务假设!$D$14)^(Y2-$D$2)</f>
        <v>0</v>
      </c>
      <c r="Z20" s="59">
        <f>Z15/(1+A财务假设!$D$14)^(Z2-$D$2)</f>
        <v>0</v>
      </c>
      <c r="AA20" s="59">
        <f>AA15/(1+A财务假设!$D$14)^(AA2-$D$2)</f>
        <v>562.469814221626</v>
      </c>
    </row>
    <row r="21" ht="16.5" customHeight="1" spans="1:27">
      <c r="A21" s="58">
        <v>9</v>
      </c>
      <c r="B21" s="58" t="s">
        <v>379</v>
      </c>
      <c r="C21" s="59">
        <f t="shared" si="0"/>
        <v>-558271.569326353</v>
      </c>
      <c r="D21" s="59">
        <f>D20</f>
        <v>-1862.88206098348</v>
      </c>
      <c r="E21" s="59">
        <f t="shared" ref="E21:AA21" si="7">E20+D21</f>
        <v>-12111.7477686596</v>
      </c>
      <c r="F21" s="59">
        <f t="shared" si="7"/>
        <v>-24326.4690446755</v>
      </c>
      <c r="G21" s="59">
        <f t="shared" si="7"/>
        <v>-24787.2562954703</v>
      </c>
      <c r="H21" s="59">
        <f t="shared" si="7"/>
        <v>-24787.2841985393</v>
      </c>
      <c r="I21" s="59">
        <f t="shared" si="7"/>
        <v>-24787.2841985393</v>
      </c>
      <c r="J21" s="59">
        <f t="shared" si="7"/>
        <v>-24787.2841985393</v>
      </c>
      <c r="K21" s="59">
        <f t="shared" si="7"/>
        <v>-24787.2841985393</v>
      </c>
      <c r="L21" s="59">
        <f t="shared" si="7"/>
        <v>-24787.2841985393</v>
      </c>
      <c r="M21" s="59">
        <f t="shared" si="7"/>
        <v>-24787.2841985393</v>
      </c>
      <c r="N21" s="59">
        <f t="shared" si="7"/>
        <v>-24787.2841985393</v>
      </c>
      <c r="O21" s="59">
        <f t="shared" si="7"/>
        <v>-24787.2841985393</v>
      </c>
      <c r="P21" s="59">
        <f t="shared" si="7"/>
        <v>-24787.2841985393</v>
      </c>
      <c r="Q21" s="59">
        <f t="shared" si="7"/>
        <v>-24787.2841985393</v>
      </c>
      <c r="R21" s="59">
        <f t="shared" si="7"/>
        <v>-24787.2841985393</v>
      </c>
      <c r="S21" s="59">
        <f t="shared" si="7"/>
        <v>-24787.2841985393</v>
      </c>
      <c r="T21" s="59">
        <f t="shared" si="7"/>
        <v>-24787.2841985393</v>
      </c>
      <c r="U21" s="59">
        <f t="shared" si="7"/>
        <v>-24787.2841985393</v>
      </c>
      <c r="V21" s="59">
        <f t="shared" si="7"/>
        <v>-24787.2841985393</v>
      </c>
      <c r="W21" s="59">
        <f t="shared" si="7"/>
        <v>-24787.2841985393</v>
      </c>
      <c r="X21" s="59">
        <f t="shared" si="7"/>
        <v>-24787.2841985393</v>
      </c>
      <c r="Y21" s="59">
        <f t="shared" si="7"/>
        <v>-24787.2841985393</v>
      </c>
      <c r="Z21" s="59">
        <f t="shared" si="7"/>
        <v>-24787.2841985393</v>
      </c>
      <c r="AA21" s="59">
        <f t="shared" si="7"/>
        <v>-24224.8143843176</v>
      </c>
    </row>
    <row r="22" ht="16.5" customHeight="1" spans="1:27">
      <c r="A22" s="58">
        <v>10</v>
      </c>
      <c r="B22" s="58" t="s">
        <v>380</v>
      </c>
      <c r="C22" s="59">
        <f t="shared" si="0"/>
        <v>-23924.5986757233</v>
      </c>
      <c r="D22" s="59">
        <f>D18/(1+A财务假设!$D$14)^(D2-$D$2)</f>
        <v>-1865.21169431681</v>
      </c>
      <c r="E22" s="59">
        <f>E18/(1+A财务假设!$D$14)^(E2-$D$2)</f>
        <v>-10277.2216364787</v>
      </c>
      <c r="F22" s="59">
        <f>F18/(1+A财务假设!$D$14)^(F2-$D$2)</f>
        <v>-12165.4195653837</v>
      </c>
      <c r="G22" s="59">
        <f>G18/(1+A财务假设!$D$14)^(G2-$D$2)</f>
        <v>-453.005794224995</v>
      </c>
      <c r="H22" s="59">
        <f>H18/(1+A财务假设!$D$14)^(H2-$D$2)</f>
        <v>273.790200459305</v>
      </c>
      <c r="I22" s="59">
        <f>I18/(1+A财务假设!$D$14)^(I2-$D$2)</f>
        <v>0</v>
      </c>
      <c r="J22" s="59">
        <f>J18/(1+A财务假设!$D$14)^(J2-$D$2)</f>
        <v>0</v>
      </c>
      <c r="K22" s="59">
        <f>K18/(1+A财务假设!$D$14)^(K2-$D$2)</f>
        <v>0</v>
      </c>
      <c r="L22" s="59">
        <f>L18/(1+A财务假设!$D$14)^(L2-$D$2)</f>
        <v>0</v>
      </c>
      <c r="M22" s="59">
        <f>M18/(1+A财务假设!$D$14)^(M2-$D$2)</f>
        <v>0</v>
      </c>
      <c r="N22" s="59">
        <f>N18/(1+A财务假设!$D$14)^(N2-$D$2)</f>
        <v>0</v>
      </c>
      <c r="O22" s="59">
        <f>O18/(1+A财务假设!$D$14)^(O2-$D$2)</f>
        <v>0</v>
      </c>
      <c r="P22" s="59">
        <f>P18/(1+A财务假设!$D$14)^(P2-$D$2)</f>
        <v>0</v>
      </c>
      <c r="Q22" s="59">
        <f>Q18/(1+A财务假设!$D$14)^(Q2-$D$2)</f>
        <v>0</v>
      </c>
      <c r="R22" s="59">
        <f>R18/(1+A财务假设!$D$14)^(R2-$D$2)</f>
        <v>0</v>
      </c>
      <c r="S22" s="59">
        <f>S18/(1+A财务假设!$D$14)^(S2-$D$2)</f>
        <v>0</v>
      </c>
      <c r="T22" s="59">
        <f>T18/(1+A财务假设!$D$14)^(T2-$D$2)</f>
        <v>0</v>
      </c>
      <c r="U22" s="59">
        <f>U18/(1+A财务假设!$D$14)^(U2-$D$2)</f>
        <v>0</v>
      </c>
      <c r="V22" s="59">
        <f>V18/(1+A财务假设!$D$14)^(V2-$D$2)</f>
        <v>0</v>
      </c>
      <c r="W22" s="59">
        <f>W18/(1+A财务假设!$D$14)^(W2-$D$2)</f>
        <v>0</v>
      </c>
      <c r="X22" s="59">
        <f>X18/(1+A财务假设!$D$14)^(X2-$D$2)</f>
        <v>0</v>
      </c>
      <c r="Y22" s="59">
        <f>Y18/(1+A财务假设!$D$14)^(Y2-$D$2)</f>
        <v>0</v>
      </c>
      <c r="Z22" s="59">
        <f>Z18/(1+A财务假设!$D$14)^(Z2-$D$2)</f>
        <v>0</v>
      </c>
      <c r="AA22" s="59">
        <f>AA18/(1+A财务假设!$D$14)^(AA2-$D$2)</f>
        <v>562.469814221626</v>
      </c>
    </row>
    <row r="23" ht="16.5" customHeight="1" spans="1:27">
      <c r="A23" s="58">
        <v>11</v>
      </c>
      <c r="B23" s="58" t="s">
        <v>381</v>
      </c>
      <c r="C23" s="59">
        <f t="shared" si="0"/>
        <v>-552255.25659637</v>
      </c>
      <c r="D23" s="59">
        <f>D22</f>
        <v>-1865.21169431681</v>
      </c>
      <c r="E23" s="59">
        <f t="shared" ref="E23:AA23" si="8">E22+D23</f>
        <v>-12142.4333307955</v>
      </c>
      <c r="F23" s="59">
        <f t="shared" si="8"/>
        <v>-24307.8528961791</v>
      </c>
      <c r="G23" s="59">
        <f t="shared" si="8"/>
        <v>-24760.8586904041</v>
      </c>
      <c r="H23" s="59">
        <f t="shared" si="8"/>
        <v>-24487.0684899448</v>
      </c>
      <c r="I23" s="59">
        <f t="shared" si="8"/>
        <v>-24487.0684899448</v>
      </c>
      <c r="J23" s="59">
        <f t="shared" si="8"/>
        <v>-24487.0684899448</v>
      </c>
      <c r="K23" s="59">
        <f t="shared" si="8"/>
        <v>-24487.0684899448</v>
      </c>
      <c r="L23" s="59">
        <f t="shared" si="8"/>
        <v>-24487.0684899448</v>
      </c>
      <c r="M23" s="59">
        <f t="shared" si="8"/>
        <v>-24487.0684899448</v>
      </c>
      <c r="N23" s="59">
        <f t="shared" si="8"/>
        <v>-24487.0684899448</v>
      </c>
      <c r="O23" s="59">
        <f t="shared" si="8"/>
        <v>-24487.0684899448</v>
      </c>
      <c r="P23" s="59">
        <f t="shared" si="8"/>
        <v>-24487.0684899448</v>
      </c>
      <c r="Q23" s="59">
        <f t="shared" si="8"/>
        <v>-24487.0684899448</v>
      </c>
      <c r="R23" s="59">
        <f t="shared" si="8"/>
        <v>-24487.0684899448</v>
      </c>
      <c r="S23" s="59">
        <f t="shared" si="8"/>
        <v>-24487.0684899448</v>
      </c>
      <c r="T23" s="59">
        <f t="shared" si="8"/>
        <v>-24487.0684899448</v>
      </c>
      <c r="U23" s="59">
        <f t="shared" si="8"/>
        <v>-24487.0684899448</v>
      </c>
      <c r="V23" s="59">
        <f t="shared" si="8"/>
        <v>-24487.0684899448</v>
      </c>
      <c r="W23" s="59">
        <f t="shared" si="8"/>
        <v>-24487.0684899448</v>
      </c>
      <c r="X23" s="59">
        <f t="shared" si="8"/>
        <v>-24487.0684899448</v>
      </c>
      <c r="Y23" s="59">
        <f t="shared" si="8"/>
        <v>-24487.0684899448</v>
      </c>
      <c r="Z23" s="59">
        <f t="shared" si="8"/>
        <v>-24487.0684899448</v>
      </c>
      <c r="AA23" s="59">
        <f t="shared" si="8"/>
        <v>-23924.5986757232</v>
      </c>
    </row>
    <row r="24" ht="37.95" customHeight="1" spans="1:27">
      <c r="A24" s="8" t="s">
        <v>382</v>
      </c>
      <c r="B24" s="60" t="s">
        <v>383</v>
      </c>
      <c r="C24" s="8"/>
      <c r="D24" s="54" t="e">
        <f>(IRR(D15:AA15))</f>
        <v>#NUM!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4"/>
    </row>
    <row r="25" ht="34.95" customHeight="1" spans="1:27">
      <c r="A25" s="8" t="s">
        <v>384</v>
      </c>
      <c r="B25" s="60" t="s">
        <v>385</v>
      </c>
      <c r="C25" s="8"/>
      <c r="D25" s="54" t="e">
        <f>(IRR(D18:AA18))</f>
        <v>#NUM!</v>
      </c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4"/>
    </row>
    <row r="26" ht="34.05" customHeight="1" spans="1:27">
      <c r="A26" s="8" t="s">
        <v>386</v>
      </c>
      <c r="B26" s="60" t="s">
        <v>387</v>
      </c>
      <c r="C26" s="61" t="s">
        <v>388</v>
      </c>
      <c r="D26" s="62">
        <f>(NPV(A财务假设!$D$3,D15:AA15))</f>
        <v>-22613.2677200618</v>
      </c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4"/>
    </row>
    <row r="27" ht="34.05" customHeight="1" spans="1:27">
      <c r="A27" s="8" t="s">
        <v>389</v>
      </c>
      <c r="B27" s="60" t="s">
        <v>390</v>
      </c>
      <c r="C27" s="61" t="s">
        <v>388</v>
      </c>
      <c r="D27" s="62">
        <f>(NPV(A财务假设!$D$4,D18:AA18))</f>
        <v>-23227.7657045856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4"/>
    </row>
    <row r="28" ht="37.05" customHeight="1" spans="1:8">
      <c r="A28" s="8" t="s">
        <v>391</v>
      </c>
      <c r="B28" s="60" t="s">
        <v>392</v>
      </c>
      <c r="C28" s="63" t="e">
        <f>#REF!+#REF!/#REF!-$D$2</f>
        <v>#REF!</v>
      </c>
      <c r="D28" s="64" t="s">
        <v>393</v>
      </c>
      <c r="E28" s="3"/>
      <c r="F28" s="3"/>
      <c r="G28" s="3"/>
      <c r="H28" s="38"/>
    </row>
    <row r="29" ht="37.05" customHeight="1" spans="1:8">
      <c r="A29" s="8" t="s">
        <v>394</v>
      </c>
      <c r="B29" s="60" t="s">
        <v>395</v>
      </c>
      <c r="C29" s="63" t="e">
        <f>#REF!+#REF!/#REF!-$D$2</f>
        <v>#REF!</v>
      </c>
      <c r="D29" s="65" t="s">
        <v>396</v>
      </c>
      <c r="E29" s="3"/>
      <c r="F29" s="3"/>
      <c r="G29" s="3"/>
      <c r="H29" s="8"/>
    </row>
    <row r="30" ht="34.05" customHeight="1" spans="1:8">
      <c r="A30" s="8" t="s">
        <v>397</v>
      </c>
      <c r="B30" s="60" t="s">
        <v>398</v>
      </c>
      <c r="C30" s="63" t="e">
        <f>#REF!+#REF!/#REF!-$D$2</f>
        <v>#REF!</v>
      </c>
      <c r="D30" s="65" t="s">
        <v>399</v>
      </c>
      <c r="E30" s="3"/>
      <c r="F30" s="3"/>
      <c r="G30" s="3"/>
      <c r="H30" s="8"/>
    </row>
    <row r="31" ht="34.95" customHeight="1" spans="1:8">
      <c r="A31" s="8" t="s">
        <v>400</v>
      </c>
      <c r="B31" s="60" t="s">
        <v>401</v>
      </c>
      <c r="C31" s="63" t="e">
        <f>#REF!+#REF!/#REF!-$D$2</f>
        <v>#REF!</v>
      </c>
      <c r="D31" s="65" t="s">
        <v>402</v>
      </c>
      <c r="E31" s="3"/>
      <c r="F31" s="3"/>
      <c r="G31" s="3"/>
      <c r="H31" s="8"/>
    </row>
  </sheetData>
  <mergeCells count="9">
    <mergeCell ref="A1:H1"/>
    <mergeCell ref="D24:AA24"/>
    <mergeCell ref="D25:AA25"/>
    <mergeCell ref="D26:AA26"/>
    <mergeCell ref="D27:AA27"/>
    <mergeCell ref="D28:G28"/>
    <mergeCell ref="D29:G29"/>
    <mergeCell ref="D30:G30"/>
    <mergeCell ref="D31:G31"/>
  </mergeCells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tabColor rgb="FFFFC000"/>
  </sheetPr>
  <dimension ref="A1:AA23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X1" sqref="X$1:AA$1048576"/>
    </sheetView>
  </sheetViews>
  <sheetFormatPr defaultColWidth="8.89090909090909" defaultRowHeight="28.05" customHeight="1"/>
  <cols>
    <col min="2" max="2" width="29.6636363636364" style="1" customWidth="1"/>
    <col min="3" max="3" width="17.1090909090909" style="1" customWidth="1"/>
    <col min="4" max="6" width="11.5545454545455" style="1" customWidth="1"/>
    <col min="7" max="7" width="10.5545454545455" style="1" customWidth="1"/>
    <col min="8" max="8" width="11.8909090909091" style="1" customWidth="1"/>
    <col min="24" max="27" width="11.6818181818182" style="1" customWidth="1"/>
  </cols>
  <sheetData>
    <row r="1" customHeight="1" spans="1:8">
      <c r="A1" s="52" t="s">
        <v>403</v>
      </c>
      <c r="B1" s="3"/>
      <c r="C1" s="3"/>
      <c r="D1" s="3"/>
      <c r="E1" s="3"/>
      <c r="F1" s="3"/>
      <c r="G1" s="3"/>
      <c r="H1" s="53"/>
    </row>
    <row r="2" customHeight="1" spans="1:27">
      <c r="A2" s="5" t="s">
        <v>1</v>
      </c>
      <c r="B2" s="5" t="s">
        <v>183</v>
      </c>
      <c r="C2" s="5" t="s">
        <v>80</v>
      </c>
      <c r="D2" s="32">
        <v>2025</v>
      </c>
      <c r="E2" s="32">
        <v>2026</v>
      </c>
      <c r="F2" s="32">
        <v>2027</v>
      </c>
      <c r="G2" s="32">
        <v>2028</v>
      </c>
      <c r="H2" s="32">
        <v>2029</v>
      </c>
      <c r="I2" s="32">
        <v>2030</v>
      </c>
      <c r="J2" s="32">
        <v>2031</v>
      </c>
      <c r="K2" s="32">
        <v>2032</v>
      </c>
      <c r="L2" s="32">
        <v>2033</v>
      </c>
      <c r="M2" s="32">
        <v>2034</v>
      </c>
      <c r="N2" s="32">
        <v>2035</v>
      </c>
      <c r="O2" s="32">
        <v>2036</v>
      </c>
      <c r="P2" s="32">
        <v>2037</v>
      </c>
      <c r="Q2" s="32">
        <v>2038</v>
      </c>
      <c r="R2" s="32">
        <v>2039</v>
      </c>
      <c r="S2" s="32">
        <v>2040</v>
      </c>
      <c r="T2" s="32">
        <v>2041</v>
      </c>
      <c r="U2" s="32">
        <v>2042</v>
      </c>
      <c r="V2" s="32">
        <v>2043</v>
      </c>
      <c r="W2" s="32">
        <v>2044</v>
      </c>
      <c r="X2" s="32">
        <v>2045</v>
      </c>
      <c r="Y2" s="32">
        <v>2046</v>
      </c>
      <c r="Z2" s="32">
        <v>2047</v>
      </c>
      <c r="AA2" s="32">
        <v>2048</v>
      </c>
    </row>
    <row r="3" customHeight="1" spans="1:27">
      <c r="A3" s="8">
        <v>1</v>
      </c>
      <c r="B3" s="8" t="s">
        <v>364</v>
      </c>
      <c r="C3" s="14">
        <f t="shared" ref="C3:C17" si="0">(SUM(D3:AA3))</f>
        <v>1110.08283826369</v>
      </c>
      <c r="D3" s="14">
        <f t="shared" ref="D3:AA3" si="1">SUM(D4:D7)</f>
        <v>0</v>
      </c>
      <c r="E3" s="14">
        <f t="shared" si="1"/>
        <v>0</v>
      </c>
      <c r="F3" s="14">
        <f t="shared" si="1"/>
        <v>0</v>
      </c>
      <c r="G3" s="14">
        <f t="shared" si="1"/>
        <v>0</v>
      </c>
      <c r="H3" s="14">
        <f t="shared" si="1"/>
        <v>0</v>
      </c>
      <c r="I3" s="14">
        <f t="shared" si="1"/>
        <v>0</v>
      </c>
      <c r="J3" s="14">
        <f t="shared" si="1"/>
        <v>0</v>
      </c>
      <c r="K3" s="14">
        <f t="shared" si="1"/>
        <v>0</v>
      </c>
      <c r="L3" s="14">
        <f t="shared" si="1"/>
        <v>0</v>
      </c>
      <c r="M3" s="14">
        <f t="shared" si="1"/>
        <v>0</v>
      </c>
      <c r="N3" s="14">
        <f t="shared" si="1"/>
        <v>0</v>
      </c>
      <c r="O3" s="14">
        <f t="shared" si="1"/>
        <v>0</v>
      </c>
      <c r="P3" s="14">
        <f t="shared" si="1"/>
        <v>0</v>
      </c>
      <c r="Q3" s="14">
        <f t="shared" si="1"/>
        <v>0</v>
      </c>
      <c r="R3" s="14">
        <f t="shared" si="1"/>
        <v>0</v>
      </c>
      <c r="S3" s="14">
        <f t="shared" si="1"/>
        <v>0</v>
      </c>
      <c r="T3" s="14">
        <f t="shared" si="1"/>
        <v>0</v>
      </c>
      <c r="U3" s="14">
        <f t="shared" si="1"/>
        <v>0</v>
      </c>
      <c r="V3" s="14">
        <f t="shared" si="1"/>
        <v>0</v>
      </c>
      <c r="W3" s="14">
        <f t="shared" si="1"/>
        <v>0</v>
      </c>
      <c r="X3" s="14">
        <f t="shared" si="1"/>
        <v>0</v>
      </c>
      <c r="Y3" s="14">
        <f t="shared" si="1"/>
        <v>0</v>
      </c>
      <c r="Z3" s="14">
        <f t="shared" si="1"/>
        <v>0</v>
      </c>
      <c r="AA3" s="14">
        <f t="shared" si="1"/>
        <v>1110.08283826369</v>
      </c>
    </row>
    <row r="4" customHeight="1" spans="1:27">
      <c r="A4" s="8">
        <v>1.1</v>
      </c>
      <c r="B4" s="8" t="s">
        <v>365</v>
      </c>
      <c r="C4" s="14">
        <f t="shared" si="0"/>
        <v>0</v>
      </c>
      <c r="D4" s="14">
        <f>(F项目收入!D25)</f>
        <v>0</v>
      </c>
      <c r="E4" s="14">
        <f>(F项目收入!E25)</f>
        <v>0</v>
      </c>
      <c r="F4" s="14">
        <f>(F项目收入!F25)</f>
        <v>0</v>
      </c>
      <c r="G4" s="14">
        <f>(F项目收入!G25)</f>
        <v>0</v>
      </c>
      <c r="H4" s="14">
        <f>(F项目收入!H25)</f>
        <v>0</v>
      </c>
      <c r="I4" s="14">
        <f>(F项目收入!I25)</f>
        <v>0</v>
      </c>
      <c r="J4" s="14">
        <f>(F项目收入!J25)</f>
        <v>0</v>
      </c>
      <c r="K4" s="14">
        <f>(F项目收入!K25)</f>
        <v>0</v>
      </c>
      <c r="L4" s="14">
        <f>(F项目收入!L25)</f>
        <v>0</v>
      </c>
      <c r="M4" s="14">
        <f>(F项目收入!M25)</f>
        <v>0</v>
      </c>
      <c r="N4" s="14">
        <f>(F项目收入!N25)</f>
        <v>0</v>
      </c>
      <c r="O4" s="14">
        <f>(F项目收入!O25)</f>
        <v>0</v>
      </c>
      <c r="P4" s="14">
        <f>(F项目收入!P25)</f>
        <v>0</v>
      </c>
      <c r="Q4" s="14">
        <f>(F项目收入!Q25)</f>
        <v>0</v>
      </c>
      <c r="R4" s="14">
        <f>(F项目收入!R25)</f>
        <v>0</v>
      </c>
      <c r="S4" s="14">
        <f>(F项目收入!S25)</f>
        <v>0</v>
      </c>
      <c r="T4" s="14">
        <f>(F项目收入!T25)</f>
        <v>0</v>
      </c>
      <c r="U4" s="14">
        <f>(F项目收入!U25)</f>
        <v>0</v>
      </c>
      <c r="V4" s="14">
        <f>(F项目收入!V25)</f>
        <v>0</v>
      </c>
      <c r="W4" s="14">
        <f>(F项目收入!W25)</f>
        <v>0</v>
      </c>
      <c r="X4" s="14">
        <f>(F项目收入!X25)</f>
        <v>0</v>
      </c>
      <c r="Y4" s="14">
        <f>(F项目收入!Y25)</f>
        <v>0</v>
      </c>
      <c r="Z4" s="14">
        <f>(F项目收入!Z25)</f>
        <v>0</v>
      </c>
      <c r="AA4" s="14">
        <f>F项目收入!AA25</f>
        <v>0</v>
      </c>
    </row>
    <row r="5" customHeight="1" spans="1:27">
      <c r="A5" s="8">
        <v>1.2</v>
      </c>
      <c r="B5" s="8" t="s">
        <v>316</v>
      </c>
      <c r="C5" s="14">
        <f t="shared" si="0"/>
        <v>0</v>
      </c>
      <c r="D5" s="14">
        <f>(F项目收入!D23)</f>
        <v>0</v>
      </c>
      <c r="E5" s="14">
        <f>(F项目收入!E23)</f>
        <v>0</v>
      </c>
      <c r="F5" s="14">
        <f>(F项目收入!F23)</f>
        <v>0</v>
      </c>
      <c r="G5" s="14">
        <f>(F项目收入!G23)</f>
        <v>0</v>
      </c>
      <c r="H5" s="14">
        <f>(F项目收入!H23)</f>
        <v>0</v>
      </c>
      <c r="I5" s="14">
        <f>(F项目收入!I23)</f>
        <v>0</v>
      </c>
      <c r="J5" s="14">
        <f>(F项目收入!J23)</f>
        <v>0</v>
      </c>
      <c r="K5" s="14">
        <f>(F项目收入!K23)</f>
        <v>0</v>
      </c>
      <c r="L5" s="14">
        <f>(F项目收入!L23)</f>
        <v>0</v>
      </c>
      <c r="M5" s="14">
        <f>(F项目收入!M23)</f>
        <v>0</v>
      </c>
      <c r="N5" s="14">
        <f>(F项目收入!N23)</f>
        <v>0</v>
      </c>
      <c r="O5" s="14">
        <f>(F项目收入!O23)</f>
        <v>0</v>
      </c>
      <c r="P5" s="14">
        <f>(F项目收入!P23)</f>
        <v>0</v>
      </c>
      <c r="Q5" s="14">
        <f>(F项目收入!Q23)</f>
        <v>0</v>
      </c>
      <c r="R5" s="14">
        <f>(F项目收入!R23)</f>
        <v>0</v>
      </c>
      <c r="S5" s="14">
        <f>(F项目收入!S23)</f>
        <v>0</v>
      </c>
      <c r="T5" s="14">
        <f>(F项目收入!T23)</f>
        <v>0</v>
      </c>
      <c r="U5" s="14">
        <f>(F项目收入!U23)</f>
        <v>0</v>
      </c>
      <c r="V5" s="14">
        <f>(F项目收入!V23)</f>
        <v>0</v>
      </c>
      <c r="W5" s="14">
        <f>(F项目收入!W23)</f>
        <v>0</v>
      </c>
      <c r="X5" s="14">
        <f>(F项目收入!X23)</f>
        <v>0</v>
      </c>
      <c r="Y5" s="14">
        <f>(F项目收入!Y23)</f>
        <v>0</v>
      </c>
      <c r="Z5" s="14">
        <f>(F项目收入!Z23)</f>
        <v>0</v>
      </c>
      <c r="AA5" s="14">
        <v>0</v>
      </c>
    </row>
    <row r="6" customHeight="1" spans="1:27">
      <c r="A6" s="8">
        <v>1.3</v>
      </c>
      <c r="B6" s="8" t="s">
        <v>366</v>
      </c>
      <c r="C6" s="14">
        <f t="shared" si="0"/>
        <v>1110.08027659702</v>
      </c>
      <c r="D6" s="14" t="s">
        <v>161</v>
      </c>
      <c r="E6" s="14" t="s">
        <v>161</v>
      </c>
      <c r="F6" s="14" t="s">
        <v>161</v>
      </c>
      <c r="G6" s="14" t="s">
        <v>161</v>
      </c>
      <c r="H6" s="14" t="s">
        <v>161</v>
      </c>
      <c r="I6" s="14" t="s">
        <v>161</v>
      </c>
      <c r="J6" s="14" t="s">
        <v>161</v>
      </c>
      <c r="K6" s="14" t="s">
        <v>161</v>
      </c>
      <c r="L6" s="14" t="s">
        <v>161</v>
      </c>
      <c r="M6" s="14" t="s">
        <v>161</v>
      </c>
      <c r="N6" s="14" t="s">
        <v>161</v>
      </c>
      <c r="O6" s="14" t="s">
        <v>161</v>
      </c>
      <c r="P6" s="14" t="s">
        <v>161</v>
      </c>
      <c r="Q6" s="14" t="s">
        <v>161</v>
      </c>
      <c r="R6" s="14" t="s">
        <v>161</v>
      </c>
      <c r="S6" s="14" t="s">
        <v>161</v>
      </c>
      <c r="T6" s="14" t="s">
        <v>161</v>
      </c>
      <c r="U6" s="14" t="s">
        <v>161</v>
      </c>
      <c r="V6" s="14" t="s">
        <v>161</v>
      </c>
      <c r="W6" s="14" t="s">
        <v>161</v>
      </c>
      <c r="X6" s="14" t="s">
        <v>161</v>
      </c>
      <c r="Y6" s="14" t="s">
        <v>161</v>
      </c>
      <c r="Z6" s="14" t="s">
        <v>161</v>
      </c>
      <c r="AA6" s="14">
        <f>E.2固定资产折旧费估算表!C6*A财务假设!$D$12</f>
        <v>1110.08027659702</v>
      </c>
    </row>
    <row r="7" customHeight="1" spans="1:27">
      <c r="A7" s="8">
        <v>1.4</v>
      </c>
      <c r="B7" s="8" t="s">
        <v>367</v>
      </c>
      <c r="C7" s="14">
        <f t="shared" si="0"/>
        <v>0.00256166666666667</v>
      </c>
      <c r="D7" s="14" t="s">
        <v>161</v>
      </c>
      <c r="E7" s="14" t="s">
        <v>161</v>
      </c>
      <c r="F7" s="14" t="s">
        <v>161</v>
      </c>
      <c r="G7" s="14" t="s">
        <v>161</v>
      </c>
      <c r="H7" s="14" t="s">
        <v>161</v>
      </c>
      <c r="I7" s="14" t="s">
        <v>161</v>
      </c>
      <c r="J7" s="14" t="s">
        <v>161</v>
      </c>
      <c r="K7" s="14" t="s">
        <v>161</v>
      </c>
      <c r="L7" s="14" t="s">
        <v>161</v>
      </c>
      <c r="M7" s="14" t="s">
        <v>161</v>
      </c>
      <c r="N7" s="14" t="s">
        <v>161</v>
      </c>
      <c r="O7" s="14" t="s">
        <v>161</v>
      </c>
      <c r="P7" s="14" t="s">
        <v>161</v>
      </c>
      <c r="Q7" s="14" t="s">
        <v>161</v>
      </c>
      <c r="R7" s="14" t="s">
        <v>161</v>
      </c>
      <c r="S7" s="14" t="s">
        <v>161</v>
      </c>
      <c r="T7" s="14" t="s">
        <v>161</v>
      </c>
      <c r="U7" s="14" t="s">
        <v>161</v>
      </c>
      <c r="V7" s="14" t="s">
        <v>161</v>
      </c>
      <c r="W7" s="14" t="s">
        <v>161</v>
      </c>
      <c r="X7" s="14" t="s">
        <v>161</v>
      </c>
      <c r="Y7" s="14" t="s">
        <v>161</v>
      </c>
      <c r="Z7" s="14" t="s">
        <v>161</v>
      </c>
      <c r="AA7" s="14">
        <f>D.4流动资金估算表!I13</f>
        <v>0.00256166666666667</v>
      </c>
    </row>
    <row r="8" customHeight="1" spans="1:27">
      <c r="A8" s="8">
        <v>2</v>
      </c>
      <c r="B8" s="8" t="s">
        <v>368</v>
      </c>
      <c r="C8" s="14">
        <f t="shared" si="0"/>
        <v>40708.8910223129</v>
      </c>
      <c r="D8" s="14">
        <f t="shared" ref="D8:AA8" si="2">SUM(D9:D16)</f>
        <v>1.0152</v>
      </c>
      <c r="E8" s="14">
        <f t="shared" si="2"/>
        <v>104.753494445454</v>
      </c>
      <c r="F8" s="14">
        <f t="shared" si="2"/>
        <v>5992.56591388072</v>
      </c>
      <c r="G8" s="14">
        <f t="shared" si="2"/>
        <v>-5996.81025656329</v>
      </c>
      <c r="H8" s="14">
        <f t="shared" si="2"/>
        <v>617.86214515</v>
      </c>
      <c r="I8" s="14">
        <f t="shared" si="2"/>
        <v>617.83074</v>
      </c>
      <c r="J8" s="14">
        <f t="shared" si="2"/>
        <v>617.83074</v>
      </c>
      <c r="K8" s="14">
        <f t="shared" si="2"/>
        <v>617.83074</v>
      </c>
      <c r="L8" s="14">
        <f t="shared" si="2"/>
        <v>617.83074</v>
      </c>
      <c r="M8" s="14">
        <f t="shared" si="2"/>
        <v>617.83074</v>
      </c>
      <c r="N8" s="14">
        <f t="shared" si="2"/>
        <v>617.83074</v>
      </c>
      <c r="O8" s="14">
        <f t="shared" si="2"/>
        <v>617.83074</v>
      </c>
      <c r="P8" s="14">
        <f t="shared" si="2"/>
        <v>617.83074</v>
      </c>
      <c r="Q8" s="14">
        <f t="shared" si="2"/>
        <v>617.83074</v>
      </c>
      <c r="R8" s="14">
        <f t="shared" si="2"/>
        <v>617.83074</v>
      </c>
      <c r="S8" s="14">
        <f t="shared" si="2"/>
        <v>617.83074</v>
      </c>
      <c r="T8" s="14">
        <f t="shared" si="2"/>
        <v>617.83074</v>
      </c>
      <c r="U8" s="14">
        <f t="shared" si="2"/>
        <v>617.83074</v>
      </c>
      <c r="V8" s="14">
        <f t="shared" si="2"/>
        <v>617.83074</v>
      </c>
      <c r="W8" s="14">
        <f t="shared" si="2"/>
        <v>617.83074</v>
      </c>
      <c r="X8" s="14">
        <f t="shared" si="2"/>
        <v>1792.88949</v>
      </c>
      <c r="Y8" s="14">
        <f t="shared" si="2"/>
        <v>12183.4989945</v>
      </c>
      <c r="Z8" s="14">
        <f t="shared" si="2"/>
        <v>9052.6344591</v>
      </c>
      <c r="AA8" s="14">
        <f t="shared" si="2"/>
        <v>7693.0204818</v>
      </c>
    </row>
    <row r="9" customHeight="1" spans="1:27">
      <c r="A9" s="8">
        <v>2.1</v>
      </c>
      <c r="B9" s="8" t="s">
        <v>148</v>
      </c>
      <c r="C9" s="14">
        <f t="shared" si="0"/>
        <v>-680.283275887118</v>
      </c>
      <c r="D9" s="14">
        <f>D.2项目总投资使用计划与资金筹措表!D8</f>
        <v>0</v>
      </c>
      <c r="E9" s="14">
        <f>D.2项目总投资使用计划与资金筹措表!E8</f>
        <v>68.8284889454536</v>
      </c>
      <c r="F9" s="14">
        <f>D.2项目总投资使用计划与资金筹措表!F8</f>
        <v>5712.41326298072</v>
      </c>
      <c r="G9" s="14">
        <f>D.2项目总投资使用计划与资金筹措表!G8</f>
        <v>-6461.52569296329</v>
      </c>
      <c r="H9" s="14">
        <f>D.2项目总投资使用计划与资金筹措表!H8</f>
        <v>0.000665150000000004</v>
      </c>
      <c r="I9" s="14">
        <f>D.2项目总投资使用计划与资金筹措表!I8</f>
        <v>0</v>
      </c>
      <c r="J9" s="14">
        <f>D.2项目总投资使用计划与资金筹措表!J8</f>
        <v>0</v>
      </c>
      <c r="K9" s="14">
        <f>D.2项目总投资使用计划与资金筹措表!K8</f>
        <v>0</v>
      </c>
      <c r="L9" s="14">
        <f>D.2项目总投资使用计划与资金筹措表!L8</f>
        <v>0</v>
      </c>
      <c r="M9" s="14">
        <f>D.2项目总投资使用计划与资金筹措表!M8</f>
        <v>0</v>
      </c>
      <c r="N9" s="14">
        <f>D.2项目总投资使用计划与资金筹措表!N8</f>
        <v>0</v>
      </c>
      <c r="O9" s="14">
        <f>D.2项目总投资使用计划与资金筹措表!O8</f>
        <v>0</v>
      </c>
      <c r="P9" s="14">
        <f>D.2项目总投资使用计划与资金筹措表!P8</f>
        <v>0</v>
      </c>
      <c r="Q9" s="14">
        <f>D.2项目总投资使用计划与资金筹措表!Q8</f>
        <v>0</v>
      </c>
      <c r="R9" s="14">
        <f>D.2项目总投资使用计划与资金筹措表!R8</f>
        <v>0</v>
      </c>
      <c r="S9" s="14">
        <f>D.2项目总投资使用计划与资金筹措表!S8</f>
        <v>0</v>
      </c>
      <c r="T9" s="14">
        <f>D.2项目总投资使用计划与资金筹措表!T8</f>
        <v>0</v>
      </c>
      <c r="U9" s="14">
        <f>D.2项目总投资使用计划与资金筹措表!U8</f>
        <v>0</v>
      </c>
      <c r="V9" s="14">
        <f>D.2项目总投资使用计划与资金筹措表!V8</f>
        <v>0</v>
      </c>
      <c r="W9" s="14">
        <f>D.2项目总投资使用计划与资金筹措表!W8</f>
        <v>0</v>
      </c>
      <c r="X9" s="14">
        <f>D.2项目总投资使用计划与资金筹措表!X8</f>
        <v>0</v>
      </c>
      <c r="Y9" s="14">
        <f>D.2项目总投资使用计划与资金筹措表!Y8</f>
        <v>0</v>
      </c>
      <c r="Z9" s="14">
        <f>D.2项目总投资使用计划与资金筹措表!Z8</f>
        <v>0</v>
      </c>
      <c r="AA9" s="14">
        <f>D.2项目总投资使用计划与资金筹措表!AA8</f>
        <v>0</v>
      </c>
    </row>
    <row r="10" customHeight="1" spans="1:27">
      <c r="A10" s="8">
        <v>2.2</v>
      </c>
      <c r="B10" s="8" t="s">
        <v>404</v>
      </c>
      <c r="C10" s="14">
        <f t="shared" si="0"/>
        <v>29000</v>
      </c>
      <c r="D10" s="14">
        <f>(c借款还本付息计划表!D42)</f>
        <v>0</v>
      </c>
      <c r="E10" s="14">
        <f>(c借款还本付息计划表!E42)</f>
        <v>0</v>
      </c>
      <c r="F10" s="14">
        <f>(c借款还本付息计划表!F42)</f>
        <v>0</v>
      </c>
      <c r="G10" s="14">
        <f>(c借款还本付息计划表!G42)</f>
        <v>0</v>
      </c>
      <c r="H10" s="14">
        <f>(c借款还本付息计划表!H42)</f>
        <v>0</v>
      </c>
      <c r="I10" s="14">
        <f>(c借款还本付息计划表!I42)</f>
        <v>0</v>
      </c>
      <c r="J10" s="14">
        <f>(c借款还本付息计划表!J42)</f>
        <v>0</v>
      </c>
      <c r="K10" s="14">
        <f>(c借款还本付息计划表!K42)</f>
        <v>0</v>
      </c>
      <c r="L10" s="14">
        <f>(c借款还本付息计划表!L42)</f>
        <v>0</v>
      </c>
      <c r="M10" s="14">
        <f>(c借款还本付息计划表!M42)</f>
        <v>0</v>
      </c>
      <c r="N10" s="14">
        <f>(c借款还本付息计划表!N42)</f>
        <v>0</v>
      </c>
      <c r="O10" s="14">
        <f>(c借款还本付息计划表!O42)</f>
        <v>0</v>
      </c>
      <c r="P10" s="14">
        <f>(c借款还本付息计划表!P42)</f>
        <v>0</v>
      </c>
      <c r="Q10" s="14">
        <f>(c借款还本付息计划表!Q42)</f>
        <v>0</v>
      </c>
      <c r="R10" s="14">
        <f>(c借款还本付息计划表!R42)</f>
        <v>0</v>
      </c>
      <c r="S10" s="14">
        <f>(c借款还本付息计划表!S42)</f>
        <v>0</v>
      </c>
      <c r="T10" s="14">
        <f>(c借款还本付息计划表!T42)</f>
        <v>0</v>
      </c>
      <c r="U10" s="14">
        <f>(c借款还本付息计划表!U42)</f>
        <v>0</v>
      </c>
      <c r="V10" s="14">
        <f>(c借款还本付息计划表!V42)</f>
        <v>0</v>
      </c>
      <c r="W10" s="14">
        <f>(c借款还本付息计划表!W42)</f>
        <v>0</v>
      </c>
      <c r="X10" s="14">
        <f>(c借款还本付息计划表!X42)</f>
        <v>1175</v>
      </c>
      <c r="Y10" s="14">
        <f>(c借款还本付息计划表!Y42)</f>
        <v>11590</v>
      </c>
      <c r="Z10" s="14">
        <f>(c借款还本付息计划表!Z42)</f>
        <v>8705</v>
      </c>
      <c r="AA10" s="14">
        <f>(c借款还本付息计划表!AA42)</f>
        <v>7530</v>
      </c>
    </row>
    <row r="11" customHeight="1" spans="1:27">
      <c r="A11" s="8">
        <v>2.3</v>
      </c>
      <c r="B11" s="8" t="s">
        <v>405</v>
      </c>
      <c r="C11" s="14">
        <f t="shared" si="0"/>
        <v>12323.1208</v>
      </c>
      <c r="D11" s="14">
        <f>(c借款还本付息计划表!D43+c借款还本付息计划表!D45+c借款还本付息计划表!D46)</f>
        <v>1.0152</v>
      </c>
      <c r="E11" s="14">
        <f>(c借款还本付息计划表!E43+c借款还本付息计划表!E45+c借款还本付息计划表!E46)</f>
        <v>34.9250055</v>
      </c>
      <c r="F11" s="14">
        <f>(c借款还本付息计划表!F43+c借款还本付息计划表!F45+c借款还本付息计划表!F46)</f>
        <v>278.1526509</v>
      </c>
      <c r="G11" s="14">
        <f>(c借款还本付息计划表!G43+c借款还本付息计划表!G45+c借款还本付息计划表!G46)</f>
        <v>461.6926782</v>
      </c>
      <c r="H11" s="14">
        <f>(c借款还本付息计划表!H43+c借款还本付息计划表!H45+c借款还本付息计划表!H46)</f>
        <v>614.83074</v>
      </c>
      <c r="I11" s="14">
        <f>(c借款还本付息计划表!I43+c借款还本付息计划表!I45+c借款还本付息计划表!I46)</f>
        <v>614.83074</v>
      </c>
      <c r="J11" s="14">
        <f>(c借款还本付息计划表!J43+c借款还本付息计划表!J45+c借款还本付息计划表!J46)</f>
        <v>614.83074</v>
      </c>
      <c r="K11" s="14">
        <f>(c借款还本付息计划表!K43+c借款还本付息计划表!K45+c借款还本付息计划表!K46)</f>
        <v>614.83074</v>
      </c>
      <c r="L11" s="14">
        <f>(c借款还本付息计划表!L43+c借款还本付息计划表!L45+c借款还本付息计划表!L46)</f>
        <v>614.83074</v>
      </c>
      <c r="M11" s="14">
        <f>(c借款还本付息计划表!M43+c借款还本付息计划表!M45+c借款还本付息计划表!M46)</f>
        <v>614.83074</v>
      </c>
      <c r="N11" s="14">
        <f>(c借款还本付息计划表!N43+c借款还本付息计划表!N45+c借款还本付息计划表!N46)</f>
        <v>614.83074</v>
      </c>
      <c r="O11" s="14">
        <f>(c借款还本付息计划表!O43+c借款还本付息计划表!O45+c借款还本付息计划表!O46)</f>
        <v>614.83074</v>
      </c>
      <c r="P11" s="14">
        <f>(c借款还本付息计划表!P43+c借款还本付息计划表!P45+c借款还本付息计划表!P46)</f>
        <v>614.83074</v>
      </c>
      <c r="Q11" s="14">
        <f>(c借款还本付息计划表!Q43+c借款还本付息计划表!Q45+c借款还本付息计划表!Q46)</f>
        <v>614.83074</v>
      </c>
      <c r="R11" s="14">
        <f>(c借款还本付息计划表!R43+c借款还本付息计划表!R45+c借款还本付息计划表!R46)</f>
        <v>614.83074</v>
      </c>
      <c r="S11" s="14">
        <f>(c借款还本付息计划表!S43+c借款还本付息计划表!S45+c借款还本付息计划表!S46)</f>
        <v>614.83074</v>
      </c>
      <c r="T11" s="14">
        <f>(c借款还本付息计划表!T43+c借款还本付息计划表!T45+c借款还本付息计划表!T46)</f>
        <v>614.83074</v>
      </c>
      <c r="U11" s="14">
        <f>(c借款还本付息计划表!U43+c借款还本付息计划表!U45+c借款还本付息计划表!U46)</f>
        <v>614.83074</v>
      </c>
      <c r="V11" s="14">
        <f>(c借款还本付息计划表!V43+c借款还本付息计划表!V45+c借款还本付息计划表!V46)</f>
        <v>614.83074</v>
      </c>
      <c r="W11" s="14">
        <f>(c借款还本付息计划表!W43+c借款还本付息计划表!W45+c借款还本付息计划表!W46)</f>
        <v>614.83074</v>
      </c>
      <c r="X11" s="14">
        <f>(c借款还本付息计划表!X43+c借款还本付息计划表!X45+c借款还本付息计划表!X46)</f>
        <v>614.88949</v>
      </c>
      <c r="Y11" s="14">
        <f>(c借款还本付息计划表!Y43+c借款还本付息计划表!Y45+c借款还本付息计划表!Y46)</f>
        <v>590.4989945</v>
      </c>
      <c r="Z11" s="14">
        <f>(c借款还本付息计划表!Z43+c借款还本付息计划表!Z45+c借款还本付息计划表!Z46)</f>
        <v>344.6344591</v>
      </c>
      <c r="AA11" s="14">
        <f>(c借款还本付息计划表!AA43+c借款还本付息计划表!AA45+c借款还本付息计划表!AA46)</f>
        <v>160.0204818</v>
      </c>
    </row>
    <row r="12" customHeight="1" spans="1:27">
      <c r="A12" s="8">
        <v>2.4</v>
      </c>
      <c r="B12" s="8" t="s">
        <v>369</v>
      </c>
      <c r="C12" s="14">
        <f t="shared" si="0"/>
        <v>0.0534982</v>
      </c>
      <c r="D12" s="14">
        <f>E总成本费用估算表!C11</f>
        <v>0</v>
      </c>
      <c r="E12" s="14">
        <f>E总成本费用估算表!D11</f>
        <v>0</v>
      </c>
      <c r="F12" s="14">
        <f>E总成本费用估算表!E11</f>
        <v>0</v>
      </c>
      <c r="G12" s="14">
        <f>E总成本费用估算表!F11</f>
        <v>0.0227582</v>
      </c>
      <c r="H12" s="14">
        <f>E总成本费用估算表!G11</f>
        <v>0.03074</v>
      </c>
      <c r="I12" s="14">
        <f>E总成本费用估算表!H11</f>
        <v>0</v>
      </c>
      <c r="J12" s="14">
        <f>E总成本费用估算表!I11</f>
        <v>0</v>
      </c>
      <c r="K12" s="14">
        <f>E总成本费用估算表!J11</f>
        <v>0</v>
      </c>
      <c r="L12" s="14">
        <f>E总成本费用估算表!K11</f>
        <v>0</v>
      </c>
      <c r="M12" s="14">
        <f>E总成本费用估算表!L11</f>
        <v>0</v>
      </c>
      <c r="N12" s="14">
        <f>E总成本费用估算表!M11</f>
        <v>0</v>
      </c>
      <c r="O12" s="14">
        <f>E总成本费用估算表!N11</f>
        <v>0</v>
      </c>
      <c r="P12" s="14">
        <f>E总成本费用估算表!O11</f>
        <v>0</v>
      </c>
      <c r="Q12" s="14">
        <f>E总成本费用估算表!P11</f>
        <v>0</v>
      </c>
      <c r="R12" s="14">
        <f>E总成本费用估算表!Q11</f>
        <v>0</v>
      </c>
      <c r="S12" s="14">
        <f>E总成本费用估算表!R11</f>
        <v>0</v>
      </c>
      <c r="T12" s="14">
        <f>E总成本费用估算表!S11</f>
        <v>0</v>
      </c>
      <c r="U12" s="14">
        <f>E总成本费用估算表!T11</f>
        <v>0</v>
      </c>
      <c r="V12" s="14">
        <f>E总成本费用估算表!U11</f>
        <v>0</v>
      </c>
      <c r="W12" s="14">
        <f>E总成本费用估算表!V11</f>
        <v>0</v>
      </c>
      <c r="X12" s="14">
        <f>E总成本费用估算表!W11</f>
        <v>0</v>
      </c>
      <c r="Y12" s="14">
        <f>E总成本费用估算表!X11</f>
        <v>0</v>
      </c>
      <c r="Z12" s="14">
        <f>E总成本费用估算表!Y11</f>
        <v>0</v>
      </c>
      <c r="AA12" s="14">
        <f>E总成本费用估算表!Z11</f>
        <v>0</v>
      </c>
    </row>
    <row r="13" customHeight="1" spans="1:27">
      <c r="A13" s="8">
        <v>2.5</v>
      </c>
      <c r="B13" s="8" t="s">
        <v>370</v>
      </c>
      <c r="C13" s="14">
        <f t="shared" si="0"/>
        <v>0</v>
      </c>
      <c r="D13" s="39">
        <f>(G.税金及附加测算表!D30)</f>
        <v>0</v>
      </c>
      <c r="E13" s="39">
        <f>(G.税金及附加测算表!E30)</f>
        <v>0</v>
      </c>
      <c r="F13" s="39">
        <f>(G.税金及附加测算表!F30)</f>
        <v>0</v>
      </c>
      <c r="G13" s="39">
        <f>(G.税金及附加测算表!G30)</f>
        <v>0</v>
      </c>
      <c r="H13" s="39">
        <f>(G.税金及附加测算表!H30)</f>
        <v>0</v>
      </c>
      <c r="I13" s="39">
        <f>(G.税金及附加测算表!I30)</f>
        <v>0</v>
      </c>
      <c r="J13" s="39">
        <f>(G.税金及附加测算表!J30)</f>
        <v>0</v>
      </c>
      <c r="K13" s="39">
        <f>(G.税金及附加测算表!K30)</f>
        <v>0</v>
      </c>
      <c r="L13" s="39">
        <f>(G.税金及附加测算表!L30)</f>
        <v>0</v>
      </c>
      <c r="M13" s="39">
        <f>(G.税金及附加测算表!M30)</f>
        <v>0</v>
      </c>
      <c r="N13" s="39">
        <f>(G.税金及附加测算表!N30)</f>
        <v>0</v>
      </c>
      <c r="O13" s="39">
        <f>(G.税金及附加测算表!O30)</f>
        <v>0</v>
      </c>
      <c r="P13" s="39">
        <f>(G.税金及附加测算表!P30)</f>
        <v>0</v>
      </c>
      <c r="Q13" s="39">
        <f>(G.税金及附加测算表!Q30)</f>
        <v>0</v>
      </c>
      <c r="R13" s="39">
        <f>(G.税金及附加测算表!R30)</f>
        <v>0</v>
      </c>
      <c r="S13" s="39">
        <f>(G.税金及附加测算表!S30)</f>
        <v>0</v>
      </c>
      <c r="T13" s="39">
        <f>(G.税金及附加测算表!T30)</f>
        <v>0</v>
      </c>
      <c r="U13" s="39">
        <f>(G.税金及附加测算表!U30)</f>
        <v>0</v>
      </c>
      <c r="V13" s="39">
        <f>(G.税金及附加测算表!V30)</f>
        <v>0</v>
      </c>
      <c r="W13" s="39">
        <f>(G.税金及附加测算表!W30)</f>
        <v>0</v>
      </c>
      <c r="X13" s="39">
        <f>(G.税金及附加测算表!X30)</f>
        <v>0</v>
      </c>
      <c r="Y13" s="39">
        <f>(G.税金及附加测算表!Y30)</f>
        <v>0</v>
      </c>
      <c r="Z13" s="39">
        <f>(G.税金及附加测算表!Z30)</f>
        <v>0</v>
      </c>
      <c r="AA13" s="39">
        <f>G.税金及附加测算表!AA30</f>
        <v>0</v>
      </c>
    </row>
    <row r="14" customHeight="1" spans="1:27">
      <c r="A14" s="8">
        <v>2.6</v>
      </c>
      <c r="B14" s="8" t="s">
        <v>371</v>
      </c>
      <c r="C14" s="14">
        <f t="shared" si="0"/>
        <v>0</v>
      </c>
      <c r="D14" s="39">
        <f>(G.税金及附加测算表!D29)</f>
        <v>0</v>
      </c>
      <c r="E14" s="39">
        <f>(G.税金及附加测算表!E29)</f>
        <v>0</v>
      </c>
      <c r="F14" s="39">
        <f>(G.税金及附加测算表!F29)</f>
        <v>0</v>
      </c>
      <c r="G14" s="39">
        <f>(G.税金及附加测算表!G29)</f>
        <v>0</v>
      </c>
      <c r="H14" s="39">
        <f>(G.税金及附加测算表!H29)</f>
        <v>0</v>
      </c>
      <c r="I14" s="39">
        <f>(G.税金及附加测算表!I29)</f>
        <v>0</v>
      </c>
      <c r="J14" s="39">
        <f>(G.税金及附加测算表!J29)</f>
        <v>0</v>
      </c>
      <c r="K14" s="39">
        <f>(G.税金及附加测算表!K29)</f>
        <v>0</v>
      </c>
      <c r="L14" s="39">
        <f>(G.税金及附加测算表!L29)</f>
        <v>0</v>
      </c>
      <c r="M14" s="39">
        <f>(G.税金及附加测算表!M29)</f>
        <v>0</v>
      </c>
      <c r="N14" s="39">
        <f>(G.税金及附加测算表!N29)</f>
        <v>0</v>
      </c>
      <c r="O14" s="39">
        <f>(G.税金及附加测算表!O29)</f>
        <v>0</v>
      </c>
      <c r="P14" s="39">
        <f>(G.税金及附加测算表!P29)</f>
        <v>0</v>
      </c>
      <c r="Q14" s="39">
        <f>(G.税金及附加测算表!Q29)</f>
        <v>0</v>
      </c>
      <c r="R14" s="39">
        <f>(G.税金及附加测算表!R29)</f>
        <v>0</v>
      </c>
      <c r="S14" s="39">
        <f>(G.税金及附加测算表!S29)</f>
        <v>0</v>
      </c>
      <c r="T14" s="39">
        <f>(G.税金及附加测算表!T29)</f>
        <v>0</v>
      </c>
      <c r="U14" s="39">
        <f>(G.税金及附加测算表!U29)</f>
        <v>0</v>
      </c>
      <c r="V14" s="39">
        <f>(G.税金及附加测算表!V29)</f>
        <v>0</v>
      </c>
      <c r="W14" s="39">
        <f>(G.税金及附加测算表!W29)</f>
        <v>0</v>
      </c>
      <c r="X14" s="39">
        <f>(G.税金及附加测算表!X29)</f>
        <v>0</v>
      </c>
      <c r="Y14" s="39">
        <f>(G.税金及附加测算表!Y29)</f>
        <v>0</v>
      </c>
      <c r="Z14" s="39">
        <f>(G.税金及附加测算表!Z29)</f>
        <v>0</v>
      </c>
      <c r="AA14" s="39">
        <f>G.税金及附加测算表!AA29</f>
        <v>0</v>
      </c>
    </row>
    <row r="15" customHeight="1" spans="1:27">
      <c r="A15" s="8">
        <v>2.7</v>
      </c>
      <c r="B15" s="8" t="s">
        <v>406</v>
      </c>
      <c r="C15" s="14">
        <f t="shared" si="0"/>
        <v>0</v>
      </c>
      <c r="D15" s="14">
        <f>'b利润与利润分配表（损益和利润分配表）'!D11</f>
        <v>0</v>
      </c>
      <c r="E15" s="14">
        <f>'b利润与利润分配表（损益和利润分配表）'!E11</f>
        <v>0</v>
      </c>
      <c r="F15" s="14">
        <f>'b利润与利润分配表（损益和利润分配表）'!F11</f>
        <v>0</v>
      </c>
      <c r="G15" s="14">
        <f>'b利润与利润分配表（损益和利润分配表）'!G11</f>
        <v>0</v>
      </c>
      <c r="H15" s="14">
        <f>'b利润与利润分配表（损益和利润分配表）'!H11</f>
        <v>0</v>
      </c>
      <c r="I15" s="14">
        <f>'b利润与利润分配表（损益和利润分配表）'!I11</f>
        <v>0</v>
      </c>
      <c r="J15" s="14">
        <f>'b利润与利润分配表（损益和利润分配表）'!J11</f>
        <v>0</v>
      </c>
      <c r="K15" s="14">
        <f>'b利润与利润分配表（损益和利润分配表）'!K11</f>
        <v>0</v>
      </c>
      <c r="L15" s="14">
        <f>'b利润与利润分配表（损益和利润分配表）'!L11</f>
        <v>0</v>
      </c>
      <c r="M15" s="14">
        <f>'b利润与利润分配表（损益和利润分配表）'!M11</f>
        <v>0</v>
      </c>
      <c r="N15" s="14">
        <f>'b利润与利润分配表（损益和利润分配表）'!N11</f>
        <v>0</v>
      </c>
      <c r="O15" s="14">
        <f>'b利润与利润分配表（损益和利润分配表）'!O11</f>
        <v>0</v>
      </c>
      <c r="P15" s="14">
        <f>'b利润与利润分配表（损益和利润分配表）'!P11</f>
        <v>0</v>
      </c>
      <c r="Q15" s="14">
        <f>'b利润与利润分配表（损益和利润分配表）'!Q11</f>
        <v>0</v>
      </c>
      <c r="R15" s="14">
        <f>'b利润与利润分配表（损益和利润分配表）'!R11</f>
        <v>0</v>
      </c>
      <c r="S15" s="14">
        <f>'b利润与利润分配表（损益和利润分配表）'!S11</f>
        <v>0</v>
      </c>
      <c r="T15" s="14">
        <f>'b利润与利润分配表（损益和利润分配表）'!T11</f>
        <v>0</v>
      </c>
      <c r="U15" s="14">
        <f>'b利润与利润分配表（损益和利润分配表）'!U11</f>
        <v>0</v>
      </c>
      <c r="V15" s="14">
        <f>'b利润与利润分配表（损益和利润分配表）'!V11</f>
        <v>0</v>
      </c>
      <c r="W15" s="14">
        <f>'b利润与利润分配表（损益和利润分配表）'!W11</f>
        <v>0</v>
      </c>
      <c r="X15" s="14">
        <f>'b利润与利润分配表（损益和利润分配表）'!X11</f>
        <v>0</v>
      </c>
      <c r="Y15" s="14">
        <f>'b利润与利润分配表（损益和利润分配表）'!Y11</f>
        <v>0</v>
      </c>
      <c r="Z15" s="14">
        <f>'b利润与利润分配表（损益和利润分配表）'!Z11</f>
        <v>0</v>
      </c>
      <c r="AA15" s="14">
        <f>'b利润与利润分配表（损益和利润分配表）'!AA11</f>
        <v>0</v>
      </c>
    </row>
    <row r="16" customHeight="1" spans="1:27">
      <c r="A16" s="8">
        <v>2.8</v>
      </c>
      <c r="B16" s="8" t="s">
        <v>372</v>
      </c>
      <c r="C16" s="14">
        <f t="shared" si="0"/>
        <v>66</v>
      </c>
      <c r="D16" s="37">
        <v>0</v>
      </c>
      <c r="E16" s="37">
        <v>1</v>
      </c>
      <c r="F16" s="37">
        <v>2</v>
      </c>
      <c r="G16" s="37">
        <v>3</v>
      </c>
      <c r="H16" s="37">
        <v>3</v>
      </c>
      <c r="I16" s="37">
        <v>3</v>
      </c>
      <c r="J16" s="37">
        <v>3</v>
      </c>
      <c r="K16" s="37">
        <v>3</v>
      </c>
      <c r="L16" s="37">
        <v>3</v>
      </c>
      <c r="M16" s="37">
        <v>3</v>
      </c>
      <c r="N16" s="37">
        <v>3</v>
      </c>
      <c r="O16" s="37">
        <v>3</v>
      </c>
      <c r="P16" s="37">
        <v>3</v>
      </c>
      <c r="Q16" s="37">
        <v>3</v>
      </c>
      <c r="R16" s="37">
        <v>3</v>
      </c>
      <c r="S16" s="37">
        <v>3</v>
      </c>
      <c r="T16" s="37">
        <v>3</v>
      </c>
      <c r="U16" s="37">
        <v>3</v>
      </c>
      <c r="V16" s="37">
        <v>3</v>
      </c>
      <c r="W16" s="37">
        <v>3</v>
      </c>
      <c r="X16" s="37">
        <v>3</v>
      </c>
      <c r="Y16" s="37">
        <v>3</v>
      </c>
      <c r="Z16" s="37">
        <v>3</v>
      </c>
      <c r="AA16" s="37">
        <v>3</v>
      </c>
    </row>
    <row r="17" customHeight="1" spans="1:27">
      <c r="A17" s="8">
        <v>3</v>
      </c>
      <c r="B17" s="8" t="s">
        <v>407</v>
      </c>
      <c r="C17" s="14">
        <f t="shared" si="0"/>
        <v>-39598.8081840492</v>
      </c>
      <c r="D17" s="14">
        <f t="shared" ref="D17:AA17" si="3">D3-D8</f>
        <v>-1.0152</v>
      </c>
      <c r="E17" s="14">
        <f t="shared" si="3"/>
        <v>-104.753494445454</v>
      </c>
      <c r="F17" s="14">
        <f t="shared" si="3"/>
        <v>-5992.56591388072</v>
      </c>
      <c r="G17" s="14">
        <f t="shared" si="3"/>
        <v>5996.81025656329</v>
      </c>
      <c r="H17" s="14">
        <f t="shared" si="3"/>
        <v>-617.86214515</v>
      </c>
      <c r="I17" s="14">
        <f t="shared" si="3"/>
        <v>-617.83074</v>
      </c>
      <c r="J17" s="14">
        <f t="shared" si="3"/>
        <v>-617.83074</v>
      </c>
      <c r="K17" s="14">
        <f t="shared" si="3"/>
        <v>-617.83074</v>
      </c>
      <c r="L17" s="14">
        <f t="shared" si="3"/>
        <v>-617.83074</v>
      </c>
      <c r="M17" s="14">
        <f t="shared" si="3"/>
        <v>-617.83074</v>
      </c>
      <c r="N17" s="14">
        <f t="shared" si="3"/>
        <v>-617.83074</v>
      </c>
      <c r="O17" s="14">
        <f t="shared" si="3"/>
        <v>-617.83074</v>
      </c>
      <c r="P17" s="14">
        <f t="shared" si="3"/>
        <v>-617.83074</v>
      </c>
      <c r="Q17" s="14">
        <f t="shared" si="3"/>
        <v>-617.83074</v>
      </c>
      <c r="R17" s="14">
        <f t="shared" si="3"/>
        <v>-617.83074</v>
      </c>
      <c r="S17" s="14">
        <f t="shared" si="3"/>
        <v>-617.83074</v>
      </c>
      <c r="T17" s="14">
        <f t="shared" si="3"/>
        <v>-617.83074</v>
      </c>
      <c r="U17" s="14">
        <f t="shared" si="3"/>
        <v>-617.83074</v>
      </c>
      <c r="V17" s="14">
        <f t="shared" si="3"/>
        <v>-617.83074</v>
      </c>
      <c r="W17" s="14">
        <f t="shared" si="3"/>
        <v>-617.83074</v>
      </c>
      <c r="X17" s="14">
        <f t="shared" si="3"/>
        <v>-1792.88949</v>
      </c>
      <c r="Y17" s="14">
        <f t="shared" si="3"/>
        <v>-12183.4989945</v>
      </c>
      <c r="Z17" s="14">
        <f t="shared" si="3"/>
        <v>-9052.6344591</v>
      </c>
      <c r="AA17" s="14">
        <f t="shared" si="3"/>
        <v>-6582.93764353631</v>
      </c>
    </row>
    <row r="18" customHeight="1" spans="1:27">
      <c r="A18" s="8" t="s">
        <v>382</v>
      </c>
      <c r="B18" s="40" t="s">
        <v>408</v>
      </c>
      <c r="C18" s="8"/>
      <c r="D18" s="54">
        <f>(IRR(D17:AA17))</f>
        <v>138063.13906436</v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4"/>
    </row>
    <row r="20" customHeight="1" spans="2:3">
      <c r="B20" s="44"/>
      <c r="C20" s="55"/>
    </row>
    <row r="21" customHeight="1" spans="3:3">
      <c r="C21" s="55"/>
    </row>
    <row r="23" customHeight="1" spans="3:3">
      <c r="C23" s="55"/>
    </row>
  </sheetData>
  <mergeCells count="2">
    <mergeCell ref="A1:G1"/>
    <mergeCell ref="D18:AA18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tabColor rgb="FFFFC000"/>
  </sheetPr>
  <dimension ref="A1:AA28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C27" sqref="C27:AA27"/>
    </sheetView>
  </sheetViews>
  <sheetFormatPr defaultColWidth="8.89090909090909" defaultRowHeight="28.05" customHeight="1"/>
  <cols>
    <col min="1" max="1" width="8.89090909090909" style="44" customWidth="1"/>
    <col min="2" max="2" width="27.7818181818182" style="44" customWidth="1"/>
    <col min="3" max="3" width="13.2181818181818" style="44" customWidth="1"/>
    <col min="4" max="4" width="6.55454545454545" style="44" customWidth="1"/>
    <col min="5" max="5" width="8.21818181818182" style="44" customWidth="1"/>
    <col min="6" max="8" width="11.8909090909091" style="44" customWidth="1"/>
    <col min="9" max="16384" width="8.89090909090909" style="44" customWidth="1"/>
  </cols>
  <sheetData>
    <row r="1" ht="17.5" customHeight="1" spans="1:16">
      <c r="A1" s="45" t="s">
        <v>409</v>
      </c>
      <c r="B1" s="3"/>
      <c r="C1" s="3"/>
      <c r="D1" s="3"/>
      <c r="E1" s="3"/>
      <c r="F1" s="3"/>
      <c r="G1" s="3"/>
      <c r="H1" s="4"/>
      <c r="I1"/>
      <c r="J1"/>
      <c r="K1"/>
      <c r="L1"/>
      <c r="M1"/>
      <c r="N1"/>
      <c r="O1"/>
      <c r="P1"/>
    </row>
    <row r="2" ht="14" customHeight="1" spans="1:27">
      <c r="A2" s="46" t="s">
        <v>1</v>
      </c>
      <c r="B2" s="46" t="s">
        <v>183</v>
      </c>
      <c r="C2" s="46" t="s">
        <v>80</v>
      </c>
      <c r="D2" s="46">
        <v>2025</v>
      </c>
      <c r="E2" s="46">
        <v>2026</v>
      </c>
      <c r="F2" s="46">
        <v>2027</v>
      </c>
      <c r="G2" s="46">
        <v>2028</v>
      </c>
      <c r="H2" s="46">
        <v>2029</v>
      </c>
      <c r="I2" s="46">
        <v>2030</v>
      </c>
      <c r="J2" s="46">
        <v>2031</v>
      </c>
      <c r="K2" s="46">
        <v>2032</v>
      </c>
      <c r="L2" s="46">
        <v>2033</v>
      </c>
      <c r="M2" s="46">
        <v>2034</v>
      </c>
      <c r="N2" s="46">
        <v>2035</v>
      </c>
      <c r="O2" s="46">
        <v>2036</v>
      </c>
      <c r="P2" s="46">
        <v>2037</v>
      </c>
      <c r="Q2" s="46">
        <v>2038</v>
      </c>
      <c r="R2" s="46">
        <v>2039</v>
      </c>
      <c r="S2" s="46">
        <v>2040</v>
      </c>
      <c r="T2" s="46">
        <v>2041</v>
      </c>
      <c r="U2" s="46">
        <v>2042</v>
      </c>
      <c r="V2" s="46">
        <v>2043</v>
      </c>
      <c r="W2" s="46">
        <v>2044</v>
      </c>
      <c r="X2" s="46">
        <v>2045</v>
      </c>
      <c r="Y2" s="46">
        <v>2046</v>
      </c>
      <c r="Z2" s="46">
        <v>2047</v>
      </c>
      <c r="AA2" s="46">
        <v>2048</v>
      </c>
    </row>
    <row r="3" ht="21.6" customHeight="1" spans="1:27">
      <c r="A3" s="47">
        <v>1</v>
      </c>
      <c r="B3" s="47" t="s">
        <v>410</v>
      </c>
      <c r="C3" s="48">
        <f t="shared" ref="C3:C26" si="0">(SUM(D3:AA3))</f>
        <v>0</v>
      </c>
      <c r="D3" s="48">
        <f>(F项目收入!D25)</f>
        <v>0</v>
      </c>
      <c r="E3" s="48">
        <f>(F项目收入!E25)</f>
        <v>0</v>
      </c>
      <c r="F3" s="48">
        <f>(F项目收入!F25)</f>
        <v>0</v>
      </c>
      <c r="G3" s="48">
        <f>(F项目收入!G25)</f>
        <v>0</v>
      </c>
      <c r="H3" s="48">
        <f>(F项目收入!H25)</f>
        <v>0</v>
      </c>
      <c r="I3" s="48">
        <f>(F项目收入!I25)</f>
        <v>0</v>
      </c>
      <c r="J3" s="48">
        <f>(F项目收入!J25)</f>
        <v>0</v>
      </c>
      <c r="K3" s="48">
        <f>(F项目收入!K25)</f>
        <v>0</v>
      </c>
      <c r="L3" s="48">
        <f>(F项目收入!L25)</f>
        <v>0</v>
      </c>
      <c r="M3" s="48">
        <f>(F项目收入!M25)</f>
        <v>0</v>
      </c>
      <c r="N3" s="48">
        <f>(F项目收入!N25)</f>
        <v>0</v>
      </c>
      <c r="O3" s="48">
        <f>(F项目收入!O25)</f>
        <v>0</v>
      </c>
      <c r="P3" s="48">
        <f>(F项目收入!P25)</f>
        <v>0</v>
      </c>
      <c r="Q3" s="48">
        <f>(F项目收入!Q25)</f>
        <v>0</v>
      </c>
      <c r="R3" s="48">
        <f>(F项目收入!R25)</f>
        <v>0</v>
      </c>
      <c r="S3" s="48">
        <f>(F项目收入!S25)</f>
        <v>0</v>
      </c>
      <c r="T3" s="48">
        <f>(F项目收入!T25)</f>
        <v>0</v>
      </c>
      <c r="U3" s="48">
        <f>(F项目收入!U25)</f>
        <v>0</v>
      </c>
      <c r="V3" s="48">
        <f>(F项目收入!V25)</f>
        <v>0</v>
      </c>
      <c r="W3" s="48">
        <f>F项目收入!W25</f>
        <v>0</v>
      </c>
      <c r="X3" s="48">
        <f>F项目收入!X25</f>
        <v>0</v>
      </c>
      <c r="Y3" s="48">
        <f>F项目收入!Y25</f>
        <v>0</v>
      </c>
      <c r="Z3" s="48">
        <f>F项目收入!Z25</f>
        <v>0</v>
      </c>
      <c r="AA3" s="48">
        <f>F项目收入!AA25</f>
        <v>0</v>
      </c>
    </row>
    <row r="4" ht="21.45" customHeight="1" spans="1:27">
      <c r="A4" s="47">
        <v>2</v>
      </c>
      <c r="B4" s="47" t="s">
        <v>370</v>
      </c>
      <c r="C4" s="48">
        <f t="shared" si="0"/>
        <v>0</v>
      </c>
      <c r="D4" s="48">
        <f>(G.税金及附加测算表!D30)</f>
        <v>0</v>
      </c>
      <c r="E4" s="48">
        <f>(G.税金及附加测算表!E30)</f>
        <v>0</v>
      </c>
      <c r="F4" s="48">
        <f>(G.税金及附加测算表!F30)</f>
        <v>0</v>
      </c>
      <c r="G4" s="48">
        <f>(G.税金及附加测算表!G30)</f>
        <v>0</v>
      </c>
      <c r="H4" s="48">
        <f>(G.税金及附加测算表!H30)</f>
        <v>0</v>
      </c>
      <c r="I4" s="48">
        <f>(G.税金及附加测算表!I30)</f>
        <v>0</v>
      </c>
      <c r="J4" s="48">
        <f>(G.税金及附加测算表!J30)</f>
        <v>0</v>
      </c>
      <c r="K4" s="48">
        <f>(G.税金及附加测算表!K30)</f>
        <v>0</v>
      </c>
      <c r="L4" s="48">
        <f>(G.税金及附加测算表!L30)</f>
        <v>0</v>
      </c>
      <c r="M4" s="48">
        <f>(G.税金及附加测算表!M30)</f>
        <v>0</v>
      </c>
      <c r="N4" s="48">
        <f>(G.税金及附加测算表!N30)</f>
        <v>0</v>
      </c>
      <c r="O4" s="48">
        <f>(G.税金及附加测算表!O30)</f>
        <v>0</v>
      </c>
      <c r="P4" s="48">
        <f>(G.税金及附加测算表!P30)</f>
        <v>0</v>
      </c>
      <c r="Q4" s="48">
        <f>(G.税金及附加测算表!Q30)</f>
        <v>0</v>
      </c>
      <c r="R4" s="48">
        <f>(G.税金及附加测算表!R30)</f>
        <v>0</v>
      </c>
      <c r="S4" s="48">
        <f>(G.税金及附加测算表!S30)</f>
        <v>0</v>
      </c>
      <c r="T4" s="48">
        <f>(G.税金及附加测算表!T30)</f>
        <v>0</v>
      </c>
      <c r="U4" s="48">
        <f>(G.税金及附加测算表!U30)</f>
        <v>0</v>
      </c>
      <c r="V4" s="48">
        <f>(G.税金及附加测算表!V30)</f>
        <v>0</v>
      </c>
      <c r="W4" s="48">
        <f>G.税金及附加测算表!W30</f>
        <v>0</v>
      </c>
      <c r="X4" s="48">
        <f>G.税金及附加测算表!X30</f>
        <v>0</v>
      </c>
      <c r="Y4" s="48">
        <f>G.税金及附加测算表!Y30</f>
        <v>0</v>
      </c>
      <c r="Z4" s="48">
        <f>G.税金及附加测算表!Z30</f>
        <v>0</v>
      </c>
      <c r="AA4" s="48">
        <f>G.税金及附加测算表!AA30</f>
        <v>0</v>
      </c>
    </row>
    <row r="5" ht="21.45" customHeight="1" spans="1:27">
      <c r="A5" s="47">
        <v>3</v>
      </c>
      <c r="B5" s="47" t="s">
        <v>411</v>
      </c>
      <c r="C5" s="48">
        <f t="shared" si="0"/>
        <v>2945.33463477932</v>
      </c>
      <c r="D5" s="48">
        <f>E总成本费用估算表!C15</f>
        <v>0</v>
      </c>
      <c r="E5" s="48">
        <f>E总成本费用估算表!D15</f>
        <v>0</v>
      </c>
      <c r="F5" s="48">
        <f>E总成本费用估算表!E15</f>
        <v>548.871192572431</v>
      </c>
      <c r="G5" s="48">
        <f>E总成本费用估算表!F15</f>
        <v>548.893950772431</v>
      </c>
      <c r="H5" s="48">
        <f>E总成本费用估算表!G15</f>
        <v>1847.56949143446</v>
      </c>
      <c r="I5" s="48">
        <f>E总成本费用估算表!H15</f>
        <v>0</v>
      </c>
      <c r="J5" s="48">
        <f>E总成本费用估算表!I15</f>
        <v>0</v>
      </c>
      <c r="K5" s="48">
        <f>E总成本费用估算表!J15</f>
        <v>0</v>
      </c>
      <c r="L5" s="48">
        <f>E总成本费用估算表!K15</f>
        <v>0</v>
      </c>
      <c r="M5" s="48">
        <f>E总成本费用估算表!L15</f>
        <v>0</v>
      </c>
      <c r="N5" s="48">
        <f>E总成本费用估算表!M15</f>
        <v>0</v>
      </c>
      <c r="O5" s="48">
        <f>E总成本费用估算表!N15</f>
        <v>0</v>
      </c>
      <c r="P5" s="48">
        <f>E总成本费用估算表!O15</f>
        <v>0</v>
      </c>
      <c r="Q5" s="48">
        <f>E总成本费用估算表!P15</f>
        <v>0</v>
      </c>
      <c r="R5" s="48">
        <f>E总成本费用估算表!Q15</f>
        <v>0</v>
      </c>
      <c r="S5" s="48">
        <f>E总成本费用估算表!R15</f>
        <v>0</v>
      </c>
      <c r="T5" s="48">
        <f>E总成本费用估算表!S15</f>
        <v>0</v>
      </c>
      <c r="U5" s="48">
        <f>E总成本费用估算表!T15</f>
        <v>0</v>
      </c>
      <c r="V5" s="48">
        <f>E总成本费用估算表!U15</f>
        <v>0</v>
      </c>
      <c r="W5" s="48">
        <f>E总成本费用估算表!V15</f>
        <v>0</v>
      </c>
      <c r="X5" s="48">
        <f>E总成本费用估算表!W15</f>
        <v>0</v>
      </c>
      <c r="Y5" s="48">
        <f>E总成本费用估算表!X15</f>
        <v>0</v>
      </c>
      <c r="Z5" s="48">
        <f>E总成本费用估算表!Y15</f>
        <v>0</v>
      </c>
      <c r="AA5" s="48">
        <f>E总成本费用估算表!Z15</f>
        <v>0</v>
      </c>
    </row>
    <row r="6" ht="21.6" customHeight="1" spans="1:27">
      <c r="A6" s="47">
        <v>4</v>
      </c>
      <c r="B6" s="47" t="s">
        <v>316</v>
      </c>
      <c r="C6" s="48">
        <f t="shared" si="0"/>
        <v>0</v>
      </c>
      <c r="D6" s="48">
        <f>(F项目收入!D23)</f>
        <v>0</v>
      </c>
      <c r="E6" s="48">
        <f>(F项目收入!E23)</f>
        <v>0</v>
      </c>
      <c r="F6" s="48">
        <f>(F项目收入!F23)</f>
        <v>0</v>
      </c>
      <c r="G6" s="48">
        <f>(F项目收入!G23)</f>
        <v>0</v>
      </c>
      <c r="H6" s="48">
        <f>(F项目收入!H23)</f>
        <v>0</v>
      </c>
      <c r="I6" s="48">
        <f>(F项目收入!I23)</f>
        <v>0</v>
      </c>
      <c r="J6" s="48">
        <f>(F项目收入!J23)</f>
        <v>0</v>
      </c>
      <c r="K6" s="48">
        <f>(F项目收入!K23)</f>
        <v>0</v>
      </c>
      <c r="L6" s="48">
        <f>(F项目收入!L23)</f>
        <v>0</v>
      </c>
      <c r="M6" s="48">
        <f>(F项目收入!M23)</f>
        <v>0</v>
      </c>
      <c r="N6" s="48">
        <f>(F项目收入!N23)</f>
        <v>0</v>
      </c>
      <c r="O6" s="48">
        <f>(F项目收入!O23)</f>
        <v>0</v>
      </c>
      <c r="P6" s="48">
        <f>(F项目收入!P23)</f>
        <v>0</v>
      </c>
      <c r="Q6" s="48">
        <f>(F项目收入!Q23)</f>
        <v>0</v>
      </c>
      <c r="R6" s="48">
        <f>(F项目收入!R23)</f>
        <v>0</v>
      </c>
      <c r="S6" s="48">
        <f>(F项目收入!S23)</f>
        <v>0</v>
      </c>
      <c r="T6" s="48">
        <f>(F项目收入!T23)</f>
        <v>0</v>
      </c>
      <c r="U6" s="48">
        <f>(F项目收入!U23)</f>
        <v>0</v>
      </c>
      <c r="V6" s="48">
        <f>(F项目收入!V23)</f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</row>
    <row r="7" ht="21.45" customHeight="1" spans="1:27">
      <c r="A7" s="47">
        <v>5</v>
      </c>
      <c r="B7" s="47" t="s">
        <v>412</v>
      </c>
      <c r="C7" s="48">
        <f t="shared" si="0"/>
        <v>-2945.33463477932</v>
      </c>
      <c r="D7" s="48">
        <f t="shared" ref="D7:AA7" si="1">D3-D4-D5+D6</f>
        <v>0</v>
      </c>
      <c r="E7" s="48">
        <f t="shared" si="1"/>
        <v>0</v>
      </c>
      <c r="F7" s="48">
        <f t="shared" si="1"/>
        <v>-548.871192572431</v>
      </c>
      <c r="G7" s="48">
        <f t="shared" si="1"/>
        <v>-548.893950772431</v>
      </c>
      <c r="H7" s="48">
        <f t="shared" si="1"/>
        <v>-1847.56949143446</v>
      </c>
      <c r="I7" s="48">
        <f t="shared" si="1"/>
        <v>0</v>
      </c>
      <c r="J7" s="48">
        <f t="shared" si="1"/>
        <v>0</v>
      </c>
      <c r="K7" s="48">
        <f t="shared" si="1"/>
        <v>0</v>
      </c>
      <c r="L7" s="48">
        <f t="shared" si="1"/>
        <v>0</v>
      </c>
      <c r="M7" s="48">
        <f t="shared" si="1"/>
        <v>0</v>
      </c>
      <c r="N7" s="48">
        <f t="shared" si="1"/>
        <v>0</v>
      </c>
      <c r="O7" s="48">
        <f t="shared" si="1"/>
        <v>0</v>
      </c>
      <c r="P7" s="48">
        <f t="shared" si="1"/>
        <v>0</v>
      </c>
      <c r="Q7" s="48">
        <f t="shared" si="1"/>
        <v>0</v>
      </c>
      <c r="R7" s="48">
        <f t="shared" si="1"/>
        <v>0</v>
      </c>
      <c r="S7" s="48">
        <f t="shared" si="1"/>
        <v>0</v>
      </c>
      <c r="T7" s="48">
        <f t="shared" si="1"/>
        <v>0</v>
      </c>
      <c r="U7" s="48">
        <f t="shared" si="1"/>
        <v>0</v>
      </c>
      <c r="V7" s="48">
        <f t="shared" si="1"/>
        <v>0</v>
      </c>
      <c r="W7" s="48">
        <f t="shared" si="1"/>
        <v>0</v>
      </c>
      <c r="X7" s="48">
        <f t="shared" si="1"/>
        <v>0</v>
      </c>
      <c r="Y7" s="48">
        <f t="shared" si="1"/>
        <v>0</v>
      </c>
      <c r="Z7" s="48">
        <f t="shared" si="1"/>
        <v>0</v>
      </c>
      <c r="AA7" s="48">
        <f t="shared" si="1"/>
        <v>0</v>
      </c>
    </row>
    <row r="8" ht="21.6" customHeight="1" spans="1:27">
      <c r="A8" s="47">
        <v>6</v>
      </c>
      <c r="B8" s="47" t="s">
        <v>413</v>
      </c>
      <c r="C8" s="48">
        <f t="shared" si="0"/>
        <v>0</v>
      </c>
      <c r="D8" s="48">
        <v>0</v>
      </c>
      <c r="E8" s="48">
        <f>IF(E7&lt;0,0,IF(D9&lt;0,IF((E7+D9)&lt;0,E7,-D9),0))</f>
        <v>0</v>
      </c>
      <c r="F8" s="48">
        <f>IF(F7&lt;0,0,IF(E9&lt;0,IF((F7+E9)&lt;0,F7,-E9),0))</f>
        <v>0</v>
      </c>
      <c r="G8" s="48">
        <f>IF(G7&lt;0,0,IF(F9&lt;0,IF((G7+F9)&lt;0,G7,-F9),0))</f>
        <v>0</v>
      </c>
      <c r="H8" s="48">
        <f>IF(H7&lt;0,0,IF(G9&lt;0,IF((H7+G9)&lt;0,H7,-G9),0))</f>
        <v>0</v>
      </c>
      <c r="I8" s="48">
        <f>IF(H7&lt;0,0,IF(G9&lt;0,IF((I7+H9)&lt;0,I7,-H9),0))</f>
        <v>0</v>
      </c>
      <c r="J8" s="48">
        <f>IF(H7&lt;0,0,IF(G9&lt;0,IF((J7+I9)&lt;0,J7,-I9),0))</f>
        <v>0</v>
      </c>
      <c r="K8" s="48">
        <f>IF(H7&lt;0,0,IF(G9&lt;0,IF((K7+J9)&lt;0,K7,-J9),0))</f>
        <v>0</v>
      </c>
      <c r="L8" s="48">
        <f>IF(H7&lt;0,0,IF(G9&lt;0,IF((L7+K9)&lt;0,L7,-K9),0))</f>
        <v>0</v>
      </c>
      <c r="M8" s="48">
        <f>IF(H7&lt;0,0,IF(G9&lt;0,IF((M7+L9)&lt;0,M7,-L9),0))</f>
        <v>0</v>
      </c>
      <c r="N8" s="48">
        <f>IF(H7&lt;0,0,IF(G9&lt;0,IF((N7+M9)&lt;0,N7,-M9),0))</f>
        <v>0</v>
      </c>
      <c r="O8" s="48">
        <f>IF(H7&lt;0,0,IF(G9&lt;0,IF((O7+N9)&lt;0,O7,-N9),0))</f>
        <v>0</v>
      </c>
      <c r="P8" s="48">
        <f>IF(H7&lt;0,0,IF(G9&lt;0,IF((P7+O9)&lt;0,P7,-O9),0))</f>
        <v>0</v>
      </c>
      <c r="Q8" s="48">
        <f>IF(H7&lt;0,0,IF(G9&lt;0,IF((Q7+P9)&lt;0,Q7,-P9),0))</f>
        <v>0</v>
      </c>
      <c r="R8" s="48">
        <f>IF(H7&lt;0,0,IF(G9&lt;0,IF((R7+Q9)&lt;0,R7,-Q9),0))</f>
        <v>0</v>
      </c>
      <c r="S8" s="48">
        <f>IF(H7&lt;0,0,IF(G9&lt;0,IF((S7+R9)&lt;0,S7,-R9),0))</f>
        <v>0</v>
      </c>
      <c r="T8" s="48">
        <f>IF(H7&lt;0,0,IF(G9&lt;0,IF((T7+S9)&lt;0,T7,-S9),0))</f>
        <v>0</v>
      </c>
      <c r="U8" s="48">
        <f>IF(H7&lt;0,0,IF(G9&lt;0,IF((U7+T9)&lt;0,U7,-T9),0))</f>
        <v>0</v>
      </c>
      <c r="V8" s="48">
        <f>IF(H7&lt;0,0,IF(G9&lt;0,IF((V7+U9)&lt;0,V7,-U9),0))</f>
        <v>0</v>
      </c>
      <c r="W8" s="48">
        <f>IF(H7&lt;0,0,IF(G9&lt;0,IF((W7+V9)&lt;0,W7,-V9),0))</f>
        <v>0</v>
      </c>
      <c r="X8" s="48">
        <f>IF(H7&lt;0,0,IF(G9&lt;0,IF((X7+W9)&lt;0,X7,-W9),0))</f>
        <v>0</v>
      </c>
      <c r="Y8" s="48">
        <f>IF(H7&lt;0,0,IF(G9&lt;0,IF((Y7+X9)&lt;0,Y7,-X9),0))</f>
        <v>0</v>
      </c>
      <c r="Z8" s="48">
        <f>IF(H7&lt;0,0,IF(G9&lt;0,IF((Z7+Y9)&lt;0,Z7,-Y9),0))</f>
        <v>0</v>
      </c>
      <c r="AA8" s="48">
        <f>IF(H7&lt;0,0,IF(G9&lt;0,IF((AA7+Z9)&lt;0,AA7,-Z9),0))</f>
        <v>0</v>
      </c>
    </row>
    <row r="9" ht="21.6" customHeight="1" spans="1:27">
      <c r="A9" s="47"/>
      <c r="B9" s="47" t="s">
        <v>414</v>
      </c>
      <c r="C9" s="48">
        <f t="shared" si="0"/>
        <v>-60553.3290315036</v>
      </c>
      <c r="D9" s="48">
        <f>IF(D7&lt;0,D7,0)</f>
        <v>0</v>
      </c>
      <c r="E9" s="48">
        <f>IF(E7&lt;0,E7+D9,D9+E8)</f>
        <v>0</v>
      </c>
      <c r="F9" s="48">
        <f>IF(F7&lt;0,F7+E9,E9+F8)</f>
        <v>-548.871192572431</v>
      </c>
      <c r="G9" s="48">
        <f>IF(G7&lt;0,G7+F9,F9+G8)</f>
        <v>-1097.76514334486</v>
      </c>
      <c r="H9" s="48">
        <f>IF(H7&lt;0,H7+G9,G9+H8)</f>
        <v>-2945.33463477932</v>
      </c>
      <c r="I9" s="48">
        <f>IF(H7&lt;0,I7+H9,H9+I8)</f>
        <v>-2945.33463477932</v>
      </c>
      <c r="J9" s="48">
        <f>IF(H7&lt;0,J7+I9,I9+J8)</f>
        <v>-2945.33463477932</v>
      </c>
      <c r="K9" s="48">
        <f>IF(H7&lt;0,K7+J9,J9+K8)</f>
        <v>-2945.33463477932</v>
      </c>
      <c r="L9" s="48">
        <f>IF(H7&lt;0,L7+K9,K9+L8)</f>
        <v>-2945.33463477932</v>
      </c>
      <c r="M9" s="48">
        <f>IF(H7&lt;0,M7+L9,L9+M8)</f>
        <v>-2945.33463477932</v>
      </c>
      <c r="N9" s="48">
        <f>IF(H7&lt;0,N7+M9,M9+N8)</f>
        <v>-2945.33463477932</v>
      </c>
      <c r="O9" s="48">
        <f>IF(H7&lt;0,O7+N9,N9+O8)</f>
        <v>-2945.33463477932</v>
      </c>
      <c r="P9" s="48">
        <f>IF(H7&lt;0,P7+O9,O9+P8)</f>
        <v>-2945.33463477932</v>
      </c>
      <c r="Q9" s="48">
        <f>IF(H7&lt;0,Q7+P9,P9+Q8)</f>
        <v>-2945.33463477932</v>
      </c>
      <c r="R9" s="48">
        <f>IF(H7&lt;0,R7+Q9,Q9+R8)</f>
        <v>-2945.33463477932</v>
      </c>
      <c r="S9" s="48">
        <f>IF(H7&lt;0,S7+R9,R9+S8)</f>
        <v>-2945.33463477932</v>
      </c>
      <c r="T9" s="48">
        <f>IF(H7&lt;0,T7+S9,S9+T8)</f>
        <v>-2945.33463477932</v>
      </c>
      <c r="U9" s="48">
        <f>IF(H7&lt;0,U7+T9,T9+U8)</f>
        <v>-2945.33463477932</v>
      </c>
      <c r="V9" s="48">
        <f>IF(H7&lt;0,V7+U9,U9+V8)</f>
        <v>-2945.33463477932</v>
      </c>
      <c r="W9" s="48">
        <f>IF(H7&lt;0,W7+V9,V9+W8)</f>
        <v>-2945.33463477932</v>
      </c>
      <c r="X9" s="48">
        <f>IF(H7&lt;0,X7+W9,W9+X8)</f>
        <v>-2945.33463477932</v>
      </c>
      <c r="Y9" s="48">
        <f>IF(H7&lt;0,Y7+X9,X9+Y8)</f>
        <v>-2945.33463477932</v>
      </c>
      <c r="Z9" s="48">
        <f>IF(H7&lt;0,Z7+Y9,Y9+Z8)</f>
        <v>-2945.33463477932</v>
      </c>
      <c r="AA9" s="48">
        <f>IF(H7&lt;0,AA7+Z9,Z9+AA8)</f>
        <v>-2945.33463477932</v>
      </c>
    </row>
    <row r="10" ht="21.6" customHeight="1" spans="1:27">
      <c r="A10" s="47">
        <v>7</v>
      </c>
      <c r="B10" s="47" t="s">
        <v>415</v>
      </c>
      <c r="C10" s="48">
        <f t="shared" si="0"/>
        <v>0</v>
      </c>
      <c r="D10" s="48">
        <f>IF(D9&lt;0,0,(D7-D8))</f>
        <v>0</v>
      </c>
      <c r="E10" s="48">
        <f>IF(E9&lt;0,0,(E7-E8))</f>
        <v>0</v>
      </c>
      <c r="F10" s="48">
        <f>IF(F9&lt;0,0,(F7-F8))</f>
        <v>0</v>
      </c>
      <c r="G10" s="48">
        <f>IF(G9&lt;0,0,(G7-G8))</f>
        <v>0</v>
      </c>
      <c r="H10" s="48">
        <f>IF(H9&lt;0,0,(H7-H8))</f>
        <v>0</v>
      </c>
      <c r="I10" s="48">
        <f>IF(H9&lt;0,0,(I7-I8))</f>
        <v>0</v>
      </c>
      <c r="J10" s="48">
        <f>IF(H9&lt;0,0,(J7-J8))</f>
        <v>0</v>
      </c>
      <c r="K10" s="48">
        <f>IF(H9&lt;0,0,(K7-K8))</f>
        <v>0</v>
      </c>
      <c r="L10" s="48">
        <f>IF(H9&lt;0,0,(L7-L8))</f>
        <v>0</v>
      </c>
      <c r="M10" s="48">
        <f>IF(H9&lt;0,0,(M7-M8))</f>
        <v>0</v>
      </c>
      <c r="N10" s="48">
        <f>IF(H9&lt;0,0,(N7-N8))</f>
        <v>0</v>
      </c>
      <c r="O10" s="48">
        <f>IF(H9&lt;0,0,(O7-O8))</f>
        <v>0</v>
      </c>
      <c r="P10" s="48">
        <f>IF(H9&lt;0,0,(P7-P8))</f>
        <v>0</v>
      </c>
      <c r="Q10" s="48">
        <f>IF(H9&lt;0,0,(Q7-Q8))</f>
        <v>0</v>
      </c>
      <c r="R10" s="48">
        <f>IF(H9&lt;0,0,(R7-R8))</f>
        <v>0</v>
      </c>
      <c r="S10" s="48">
        <f>IF(H9&lt;0,0,(S7-S8))</f>
        <v>0</v>
      </c>
      <c r="T10" s="48">
        <f>IF(H9&lt;0,0,(T7-T8))</f>
        <v>0</v>
      </c>
      <c r="U10" s="48">
        <f>IF(H9&lt;0,0,(U7-U8))</f>
        <v>0</v>
      </c>
      <c r="V10" s="48">
        <f>IF(H9&lt;0,0,(V7-V8))</f>
        <v>0</v>
      </c>
      <c r="W10" s="48">
        <f>IF(H9&lt;0,0,(W7-W8))</f>
        <v>0</v>
      </c>
      <c r="X10" s="48">
        <f>IF(H9&lt;0,0,(X7-X8))</f>
        <v>0</v>
      </c>
      <c r="Y10" s="48">
        <f>IF(H9&lt;0,0,(Y7-Y8))</f>
        <v>0</v>
      </c>
      <c r="Z10" s="48">
        <f>IF(H9&lt;0,0,(Z7-Z8))</f>
        <v>0</v>
      </c>
      <c r="AA10" s="48">
        <f>IF(H9&lt;0,0,(AA7-AA8))</f>
        <v>0</v>
      </c>
    </row>
    <row r="11" ht="21.6" customHeight="1" spans="1:27">
      <c r="A11" s="47">
        <v>8</v>
      </c>
      <c r="B11" s="49" t="s">
        <v>406</v>
      </c>
      <c r="C11" s="48">
        <f t="shared" si="0"/>
        <v>0</v>
      </c>
      <c r="D11" s="48">
        <f>D10*A财务假设!$D$9</f>
        <v>0</v>
      </c>
      <c r="E11" s="48">
        <f>E10*A财务假设!$D$9</f>
        <v>0</v>
      </c>
      <c r="F11" s="48">
        <f>F10*A财务假设!$D$9</f>
        <v>0</v>
      </c>
      <c r="G11" s="48">
        <f>G10*A财务假设!$D$9</f>
        <v>0</v>
      </c>
      <c r="H11" s="48">
        <f>H10*A财务假设!$D$9</f>
        <v>0</v>
      </c>
      <c r="I11" s="48">
        <f>I10*A财务假设!$D$9</f>
        <v>0</v>
      </c>
      <c r="J11" s="48">
        <f>J10*A财务假设!$D$9</f>
        <v>0</v>
      </c>
      <c r="K11" s="48">
        <f>K10*A财务假设!$D$9</f>
        <v>0</v>
      </c>
      <c r="L11" s="48">
        <f>L10*A财务假设!$D$9</f>
        <v>0</v>
      </c>
      <c r="M11" s="48">
        <f>M10*A财务假设!$D$9</f>
        <v>0</v>
      </c>
      <c r="N11" s="48">
        <f>N10*A财务假设!$D$9</f>
        <v>0</v>
      </c>
      <c r="O11" s="48">
        <f>O10*A财务假设!$D$9</f>
        <v>0</v>
      </c>
      <c r="P11" s="48">
        <f>P10*A财务假设!$D$9</f>
        <v>0</v>
      </c>
      <c r="Q11" s="48">
        <f>Q10*A财务假设!$D$9</f>
        <v>0</v>
      </c>
      <c r="R11" s="48">
        <f>R10*A财务假设!$D$9</f>
        <v>0</v>
      </c>
      <c r="S11" s="48">
        <f>S10*A财务假设!$D$9</f>
        <v>0</v>
      </c>
      <c r="T11" s="48">
        <f>T10*A财务假设!$D$9</f>
        <v>0</v>
      </c>
      <c r="U11" s="48">
        <f>U10*A财务假设!$D$9</f>
        <v>0</v>
      </c>
      <c r="V11" s="48">
        <f>V10*A财务假设!$D$9</f>
        <v>0</v>
      </c>
      <c r="W11" s="48">
        <f>W10*A财务假设!$D$9</f>
        <v>0</v>
      </c>
      <c r="X11" s="48">
        <f>X10*A财务假设!$D$9</f>
        <v>0</v>
      </c>
      <c r="Y11" s="48">
        <f>Y10*A财务假设!$D$9</f>
        <v>0</v>
      </c>
      <c r="Z11" s="48">
        <f>Z10*A财务假设!$D$9</f>
        <v>0</v>
      </c>
      <c r="AA11" s="48">
        <f>AA10*A财务假设!$D$9</f>
        <v>0</v>
      </c>
    </row>
    <row r="12" ht="21.6" customHeight="1" spans="1:27">
      <c r="A12" s="47">
        <v>9</v>
      </c>
      <c r="B12" s="47" t="s">
        <v>416</v>
      </c>
      <c r="C12" s="48">
        <f t="shared" si="0"/>
        <v>-2945.33463477932</v>
      </c>
      <c r="D12" s="48">
        <f t="shared" ref="D12:AA12" si="2">D7-D11</f>
        <v>0</v>
      </c>
      <c r="E12" s="48">
        <f t="shared" si="2"/>
        <v>0</v>
      </c>
      <c r="F12" s="48">
        <f t="shared" si="2"/>
        <v>-548.871192572431</v>
      </c>
      <c r="G12" s="48">
        <f t="shared" si="2"/>
        <v>-548.893950772431</v>
      </c>
      <c r="H12" s="48">
        <f t="shared" si="2"/>
        <v>-1847.56949143446</v>
      </c>
      <c r="I12" s="48">
        <f t="shared" si="2"/>
        <v>0</v>
      </c>
      <c r="J12" s="48">
        <f t="shared" si="2"/>
        <v>0</v>
      </c>
      <c r="K12" s="48">
        <f t="shared" si="2"/>
        <v>0</v>
      </c>
      <c r="L12" s="48">
        <f t="shared" si="2"/>
        <v>0</v>
      </c>
      <c r="M12" s="48">
        <f t="shared" si="2"/>
        <v>0</v>
      </c>
      <c r="N12" s="48">
        <f t="shared" si="2"/>
        <v>0</v>
      </c>
      <c r="O12" s="48">
        <f t="shared" si="2"/>
        <v>0</v>
      </c>
      <c r="P12" s="48">
        <f t="shared" si="2"/>
        <v>0</v>
      </c>
      <c r="Q12" s="48">
        <f t="shared" si="2"/>
        <v>0</v>
      </c>
      <c r="R12" s="48">
        <f t="shared" si="2"/>
        <v>0</v>
      </c>
      <c r="S12" s="48">
        <f t="shared" si="2"/>
        <v>0</v>
      </c>
      <c r="T12" s="48">
        <f t="shared" si="2"/>
        <v>0</v>
      </c>
      <c r="U12" s="48">
        <f t="shared" si="2"/>
        <v>0</v>
      </c>
      <c r="V12" s="48">
        <f t="shared" si="2"/>
        <v>0</v>
      </c>
      <c r="W12" s="48">
        <f t="shared" si="2"/>
        <v>0</v>
      </c>
      <c r="X12" s="48">
        <f t="shared" si="2"/>
        <v>0</v>
      </c>
      <c r="Y12" s="48">
        <f t="shared" si="2"/>
        <v>0</v>
      </c>
      <c r="Z12" s="48">
        <f t="shared" si="2"/>
        <v>0</v>
      </c>
      <c r="AA12" s="48">
        <f t="shared" si="2"/>
        <v>0</v>
      </c>
    </row>
    <row r="13" ht="21.6" customHeight="1" spans="1:27">
      <c r="A13" s="47">
        <v>10</v>
      </c>
      <c r="B13" s="47" t="s">
        <v>417</v>
      </c>
      <c r="C13" s="48">
        <f t="shared" si="0"/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</row>
    <row r="14" ht="21.6" customHeight="1" spans="1:27">
      <c r="A14" s="47">
        <v>11</v>
      </c>
      <c r="B14" s="47" t="s">
        <v>418</v>
      </c>
      <c r="C14" s="48">
        <f t="shared" si="0"/>
        <v>-2945.33463477932</v>
      </c>
      <c r="D14" s="48">
        <f t="shared" ref="D14:AA14" si="3">SUM(D12:D13)</f>
        <v>0</v>
      </c>
      <c r="E14" s="48">
        <f t="shared" si="3"/>
        <v>0</v>
      </c>
      <c r="F14" s="48">
        <f t="shared" si="3"/>
        <v>-548.871192572431</v>
      </c>
      <c r="G14" s="48">
        <f t="shared" si="3"/>
        <v>-548.893950772431</v>
      </c>
      <c r="H14" s="48">
        <f t="shared" si="3"/>
        <v>-1847.56949143446</v>
      </c>
      <c r="I14" s="48">
        <f t="shared" si="3"/>
        <v>0</v>
      </c>
      <c r="J14" s="48">
        <f t="shared" si="3"/>
        <v>0</v>
      </c>
      <c r="K14" s="48">
        <f t="shared" si="3"/>
        <v>0</v>
      </c>
      <c r="L14" s="48">
        <f t="shared" si="3"/>
        <v>0</v>
      </c>
      <c r="M14" s="48">
        <f t="shared" si="3"/>
        <v>0</v>
      </c>
      <c r="N14" s="48">
        <f t="shared" si="3"/>
        <v>0</v>
      </c>
      <c r="O14" s="48">
        <f t="shared" si="3"/>
        <v>0</v>
      </c>
      <c r="P14" s="48">
        <f t="shared" si="3"/>
        <v>0</v>
      </c>
      <c r="Q14" s="48">
        <f t="shared" si="3"/>
        <v>0</v>
      </c>
      <c r="R14" s="48">
        <f t="shared" si="3"/>
        <v>0</v>
      </c>
      <c r="S14" s="48">
        <f t="shared" si="3"/>
        <v>0</v>
      </c>
      <c r="T14" s="48">
        <f t="shared" si="3"/>
        <v>0</v>
      </c>
      <c r="U14" s="48">
        <f t="shared" si="3"/>
        <v>0</v>
      </c>
      <c r="V14" s="48">
        <f t="shared" si="3"/>
        <v>0</v>
      </c>
      <c r="W14" s="48">
        <f t="shared" si="3"/>
        <v>0</v>
      </c>
      <c r="X14" s="48">
        <f t="shared" si="3"/>
        <v>0</v>
      </c>
      <c r="Y14" s="48">
        <f t="shared" si="3"/>
        <v>0</v>
      </c>
      <c r="Z14" s="48">
        <f t="shared" si="3"/>
        <v>0</v>
      </c>
      <c r="AA14" s="48">
        <f t="shared" si="3"/>
        <v>0</v>
      </c>
    </row>
    <row r="15" ht="21.6" customHeight="1" spans="1:27">
      <c r="A15" s="47">
        <v>12</v>
      </c>
      <c r="B15" s="47" t="s">
        <v>419</v>
      </c>
      <c r="C15" s="48">
        <f t="shared" si="0"/>
        <v>-294.533463477932</v>
      </c>
      <c r="D15" s="48">
        <f>D12*A财务假设!$D$10</f>
        <v>0</v>
      </c>
      <c r="E15" s="48">
        <f>E12*A财务假设!$D$10</f>
        <v>0</v>
      </c>
      <c r="F15" s="48">
        <f>F12*A财务假设!$D$10</f>
        <v>-54.8871192572431</v>
      </c>
      <c r="G15" s="48">
        <f>G12*A财务假设!$D$10</f>
        <v>-54.8893950772431</v>
      </c>
      <c r="H15" s="48">
        <f>H12*A财务假设!$D$10</f>
        <v>-184.756949143446</v>
      </c>
      <c r="I15" s="48">
        <f>I12*A财务假设!$D$10</f>
        <v>0</v>
      </c>
      <c r="J15" s="48">
        <f>J12*A财务假设!$D$10</f>
        <v>0</v>
      </c>
      <c r="K15" s="48">
        <f>K12*A财务假设!$D$10</f>
        <v>0</v>
      </c>
      <c r="L15" s="48">
        <f>L12*A财务假设!$D$10</f>
        <v>0</v>
      </c>
      <c r="M15" s="48">
        <f>M12*A财务假设!$D$10</f>
        <v>0</v>
      </c>
      <c r="N15" s="48">
        <f>N12*A财务假设!$D$10</f>
        <v>0</v>
      </c>
      <c r="O15" s="48">
        <f>O12*A财务假设!$D$10</f>
        <v>0</v>
      </c>
      <c r="P15" s="48">
        <f>P12*A财务假设!$D$10</f>
        <v>0</v>
      </c>
      <c r="Q15" s="48">
        <f>Q12*A财务假设!$D$10</f>
        <v>0</v>
      </c>
      <c r="R15" s="48">
        <f>R12*A财务假设!$D$10</f>
        <v>0</v>
      </c>
      <c r="S15" s="48">
        <f>S12*A财务假设!$D$10</f>
        <v>0</v>
      </c>
      <c r="T15" s="48">
        <f>T12*A财务假设!$D$10</f>
        <v>0</v>
      </c>
      <c r="U15" s="48">
        <f>U12*A财务假设!$D$10</f>
        <v>0</v>
      </c>
      <c r="V15" s="48">
        <f>V12*A财务假设!$D$10</f>
        <v>0</v>
      </c>
      <c r="W15" s="48">
        <f>W12*A财务假设!$D$10</f>
        <v>0</v>
      </c>
      <c r="X15" s="48">
        <f>X12*A财务假设!$D$10</f>
        <v>0</v>
      </c>
      <c r="Y15" s="48">
        <f>Y12*A财务假设!$D$10</f>
        <v>0</v>
      </c>
      <c r="Z15" s="48">
        <f>Z12*A财务假设!$D$10</f>
        <v>0</v>
      </c>
      <c r="AA15" s="48">
        <f>AA12*A财务假设!$D$10</f>
        <v>0</v>
      </c>
    </row>
    <row r="16" ht="21.6" customHeight="1" spans="1:27">
      <c r="A16" s="47">
        <v>13</v>
      </c>
      <c r="B16" s="47" t="s">
        <v>420</v>
      </c>
      <c r="C16" s="48">
        <f t="shared" si="0"/>
        <v>-2650.80117130139</v>
      </c>
      <c r="D16" s="48">
        <f t="shared" ref="D16:AA16" si="4">D14-D15</f>
        <v>0</v>
      </c>
      <c r="E16" s="48">
        <f t="shared" si="4"/>
        <v>0</v>
      </c>
      <c r="F16" s="48">
        <f t="shared" si="4"/>
        <v>-493.984073315188</v>
      </c>
      <c r="G16" s="48">
        <f t="shared" si="4"/>
        <v>-494.004555695188</v>
      </c>
      <c r="H16" s="48">
        <f t="shared" si="4"/>
        <v>-1662.81254229101</v>
      </c>
      <c r="I16" s="48">
        <f t="shared" si="4"/>
        <v>0</v>
      </c>
      <c r="J16" s="48">
        <f t="shared" si="4"/>
        <v>0</v>
      </c>
      <c r="K16" s="48">
        <f t="shared" si="4"/>
        <v>0</v>
      </c>
      <c r="L16" s="48">
        <f t="shared" si="4"/>
        <v>0</v>
      </c>
      <c r="M16" s="48">
        <f t="shared" si="4"/>
        <v>0</v>
      </c>
      <c r="N16" s="48">
        <f t="shared" si="4"/>
        <v>0</v>
      </c>
      <c r="O16" s="48">
        <f t="shared" si="4"/>
        <v>0</v>
      </c>
      <c r="P16" s="48">
        <f t="shared" si="4"/>
        <v>0</v>
      </c>
      <c r="Q16" s="48">
        <f t="shared" si="4"/>
        <v>0</v>
      </c>
      <c r="R16" s="48">
        <f t="shared" si="4"/>
        <v>0</v>
      </c>
      <c r="S16" s="48">
        <f t="shared" si="4"/>
        <v>0</v>
      </c>
      <c r="T16" s="48">
        <f t="shared" si="4"/>
        <v>0</v>
      </c>
      <c r="U16" s="48">
        <f t="shared" si="4"/>
        <v>0</v>
      </c>
      <c r="V16" s="48">
        <f t="shared" si="4"/>
        <v>0</v>
      </c>
      <c r="W16" s="48">
        <f t="shared" si="4"/>
        <v>0</v>
      </c>
      <c r="X16" s="48">
        <f t="shared" si="4"/>
        <v>0</v>
      </c>
      <c r="Y16" s="48">
        <f t="shared" si="4"/>
        <v>0</v>
      </c>
      <c r="Z16" s="48">
        <f t="shared" si="4"/>
        <v>0</v>
      </c>
      <c r="AA16" s="48">
        <f t="shared" si="4"/>
        <v>0</v>
      </c>
    </row>
    <row r="17" ht="21.6" customHeight="1" spans="1:27">
      <c r="A17" s="47">
        <v>14</v>
      </c>
      <c r="B17" s="47" t="s">
        <v>421</v>
      </c>
      <c r="C17" s="48">
        <f t="shared" si="0"/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</row>
    <row r="18" ht="21.6" customHeight="1" spans="1:27">
      <c r="A18" s="47">
        <v>15</v>
      </c>
      <c r="B18" s="47" t="s">
        <v>422</v>
      </c>
      <c r="C18" s="48">
        <f t="shared" si="0"/>
        <v>-132.540058565069</v>
      </c>
      <c r="D18" s="48">
        <f>D16*A财务假设!$D$11</f>
        <v>0</v>
      </c>
      <c r="E18" s="48">
        <f>E16*A财务假设!$D$11</f>
        <v>0</v>
      </c>
      <c r="F18" s="48">
        <f>F16*A财务假设!$D$11</f>
        <v>-24.6992036657594</v>
      </c>
      <c r="G18" s="48">
        <f>G16*A财务假设!$D$11</f>
        <v>-24.7002277847594</v>
      </c>
      <c r="H18" s="48">
        <f>H16*A财务假设!$D$11</f>
        <v>-83.1406271145505</v>
      </c>
      <c r="I18" s="48">
        <f>I16*A财务假设!$D$11</f>
        <v>0</v>
      </c>
      <c r="J18" s="48">
        <f>J16*A财务假设!$D$11</f>
        <v>0</v>
      </c>
      <c r="K18" s="48">
        <f>K16*A财务假设!$D$11</f>
        <v>0</v>
      </c>
      <c r="L18" s="48">
        <f>L16*A财务假设!$D$11</f>
        <v>0</v>
      </c>
      <c r="M18" s="48">
        <f>M16*A财务假设!$D$11</f>
        <v>0</v>
      </c>
      <c r="N18" s="48">
        <f>N16*A财务假设!$D$11</f>
        <v>0</v>
      </c>
      <c r="O18" s="48">
        <f>O16*A财务假设!$D$11</f>
        <v>0</v>
      </c>
      <c r="P18" s="48">
        <f>P16*A财务假设!$D$11</f>
        <v>0</v>
      </c>
      <c r="Q18" s="48">
        <f>Q16*A财务假设!$D$11</f>
        <v>0</v>
      </c>
      <c r="R18" s="48">
        <f>R16*A财务假设!$D$11</f>
        <v>0</v>
      </c>
      <c r="S18" s="48">
        <f>S16*A财务假设!$D$11</f>
        <v>0</v>
      </c>
      <c r="T18" s="48">
        <f>T16*A财务假设!$D$11</f>
        <v>0</v>
      </c>
      <c r="U18" s="48">
        <f>U16*A财务假设!$D$11</f>
        <v>0</v>
      </c>
      <c r="V18" s="48">
        <f>V16*A财务假设!$D$11</f>
        <v>0</v>
      </c>
      <c r="W18" s="48">
        <f>W16*A财务假设!$D$11</f>
        <v>0</v>
      </c>
      <c r="X18" s="48">
        <f>X16*A财务假设!$D$11</f>
        <v>0</v>
      </c>
      <c r="Y18" s="48">
        <f>Y16*A财务假设!$D$11</f>
        <v>0</v>
      </c>
      <c r="Z18" s="48">
        <f>Z16*A财务假设!$D$11</f>
        <v>0</v>
      </c>
      <c r="AA18" s="48">
        <f>AA16*A财务假设!$D$11</f>
        <v>0</v>
      </c>
    </row>
    <row r="19" ht="21.6" customHeight="1" spans="1:27">
      <c r="A19" s="47">
        <v>16</v>
      </c>
      <c r="B19" s="47" t="s">
        <v>423</v>
      </c>
      <c r="C19" s="48">
        <f t="shared" si="0"/>
        <v>-2518.26111273632</v>
      </c>
      <c r="D19" s="48">
        <f t="shared" ref="D19:AA19" si="5">D16-D17-D18</f>
        <v>0</v>
      </c>
      <c r="E19" s="48">
        <f t="shared" si="5"/>
        <v>0</v>
      </c>
      <c r="F19" s="48">
        <f t="shared" si="5"/>
        <v>-469.284869649428</v>
      </c>
      <c r="G19" s="48">
        <f t="shared" si="5"/>
        <v>-469.304327910428</v>
      </c>
      <c r="H19" s="48">
        <f t="shared" si="5"/>
        <v>-1579.67191517646</v>
      </c>
      <c r="I19" s="48">
        <f t="shared" si="5"/>
        <v>0</v>
      </c>
      <c r="J19" s="48">
        <f t="shared" si="5"/>
        <v>0</v>
      </c>
      <c r="K19" s="48">
        <f t="shared" si="5"/>
        <v>0</v>
      </c>
      <c r="L19" s="48">
        <f t="shared" si="5"/>
        <v>0</v>
      </c>
      <c r="M19" s="48">
        <f t="shared" si="5"/>
        <v>0</v>
      </c>
      <c r="N19" s="48">
        <f t="shared" si="5"/>
        <v>0</v>
      </c>
      <c r="O19" s="48">
        <f t="shared" si="5"/>
        <v>0</v>
      </c>
      <c r="P19" s="48">
        <f t="shared" si="5"/>
        <v>0</v>
      </c>
      <c r="Q19" s="48">
        <f t="shared" si="5"/>
        <v>0</v>
      </c>
      <c r="R19" s="48">
        <f t="shared" si="5"/>
        <v>0</v>
      </c>
      <c r="S19" s="48">
        <f t="shared" si="5"/>
        <v>0</v>
      </c>
      <c r="T19" s="48">
        <f t="shared" si="5"/>
        <v>0</v>
      </c>
      <c r="U19" s="48">
        <f t="shared" si="5"/>
        <v>0</v>
      </c>
      <c r="V19" s="48">
        <f t="shared" si="5"/>
        <v>0</v>
      </c>
      <c r="W19" s="48">
        <f t="shared" si="5"/>
        <v>0</v>
      </c>
      <c r="X19" s="48">
        <f t="shared" si="5"/>
        <v>0</v>
      </c>
      <c r="Y19" s="48">
        <f t="shared" si="5"/>
        <v>0</v>
      </c>
      <c r="Z19" s="48">
        <f t="shared" si="5"/>
        <v>0</v>
      </c>
      <c r="AA19" s="48">
        <f t="shared" si="5"/>
        <v>0</v>
      </c>
    </row>
    <row r="20" ht="21.6" customHeight="1" spans="1:27">
      <c r="A20" s="47">
        <v>17</v>
      </c>
      <c r="B20" s="47" t="s">
        <v>424</v>
      </c>
      <c r="C20" s="48">
        <f t="shared" si="0"/>
        <v>0</v>
      </c>
      <c r="D20" s="48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</row>
    <row r="21" ht="21.6" customHeight="1" spans="1:27">
      <c r="A21" s="47">
        <v>17.1</v>
      </c>
      <c r="B21" s="47" t="s">
        <v>425</v>
      </c>
      <c r="C21" s="48">
        <f t="shared" si="0"/>
        <v>0</v>
      </c>
      <c r="D21" s="48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</row>
    <row r="22" ht="21.6" customHeight="1" spans="1:27">
      <c r="A22" s="47">
        <v>18</v>
      </c>
      <c r="B22" s="47" t="s">
        <v>426</v>
      </c>
      <c r="C22" s="48">
        <f t="shared" si="0"/>
        <v>-2518.26111273632</v>
      </c>
      <c r="D22" s="48">
        <f t="shared" ref="D22:AA22" si="6">D16-D17-D18-D20</f>
        <v>0</v>
      </c>
      <c r="E22" s="48">
        <f t="shared" si="6"/>
        <v>0</v>
      </c>
      <c r="F22" s="48">
        <f t="shared" si="6"/>
        <v>-469.284869649428</v>
      </c>
      <c r="G22" s="48">
        <f t="shared" si="6"/>
        <v>-469.304327910428</v>
      </c>
      <c r="H22" s="48">
        <f t="shared" si="6"/>
        <v>-1579.67191517646</v>
      </c>
      <c r="I22" s="48">
        <f t="shared" si="6"/>
        <v>0</v>
      </c>
      <c r="J22" s="48">
        <f t="shared" si="6"/>
        <v>0</v>
      </c>
      <c r="K22" s="48">
        <f t="shared" si="6"/>
        <v>0</v>
      </c>
      <c r="L22" s="48">
        <f t="shared" si="6"/>
        <v>0</v>
      </c>
      <c r="M22" s="48">
        <f t="shared" si="6"/>
        <v>0</v>
      </c>
      <c r="N22" s="48">
        <f t="shared" si="6"/>
        <v>0</v>
      </c>
      <c r="O22" s="48">
        <f t="shared" si="6"/>
        <v>0</v>
      </c>
      <c r="P22" s="48">
        <f t="shared" si="6"/>
        <v>0</v>
      </c>
      <c r="Q22" s="48">
        <f t="shared" si="6"/>
        <v>0</v>
      </c>
      <c r="R22" s="48">
        <f t="shared" si="6"/>
        <v>0</v>
      </c>
      <c r="S22" s="48">
        <f t="shared" si="6"/>
        <v>0</v>
      </c>
      <c r="T22" s="48">
        <f t="shared" si="6"/>
        <v>0</v>
      </c>
      <c r="U22" s="48">
        <f t="shared" si="6"/>
        <v>0</v>
      </c>
      <c r="V22" s="48">
        <f t="shared" si="6"/>
        <v>0</v>
      </c>
      <c r="W22" s="48">
        <f t="shared" si="6"/>
        <v>0</v>
      </c>
      <c r="X22" s="48">
        <f t="shared" si="6"/>
        <v>0</v>
      </c>
      <c r="Y22" s="48">
        <f t="shared" si="6"/>
        <v>0</v>
      </c>
      <c r="Z22" s="48">
        <f t="shared" si="6"/>
        <v>0</v>
      </c>
      <c r="AA22" s="48">
        <f t="shared" si="6"/>
        <v>0</v>
      </c>
    </row>
    <row r="23" ht="21.6" customHeight="1" spans="1:27">
      <c r="A23" s="47">
        <v>18.1</v>
      </c>
      <c r="B23" s="47" t="s">
        <v>427</v>
      </c>
      <c r="C23" s="48">
        <f t="shared" si="0"/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</row>
    <row r="24" ht="21.6" customHeight="1" spans="1:27">
      <c r="A24" s="47">
        <v>18.2</v>
      </c>
      <c r="B24" s="47" t="s">
        <v>428</v>
      </c>
      <c r="C24" s="48">
        <f t="shared" si="0"/>
        <v>-51773.0963219356</v>
      </c>
      <c r="D24" s="48">
        <f>D22</f>
        <v>0</v>
      </c>
      <c r="E24" s="48">
        <f t="shared" ref="E24:AA24" si="7">E22+D24</f>
        <v>0</v>
      </c>
      <c r="F24" s="48">
        <f t="shared" si="7"/>
        <v>-469.284869649428</v>
      </c>
      <c r="G24" s="48">
        <f t="shared" si="7"/>
        <v>-938.589197559857</v>
      </c>
      <c r="H24" s="48">
        <f t="shared" si="7"/>
        <v>-2518.26111273632</v>
      </c>
      <c r="I24" s="48">
        <f t="shared" si="7"/>
        <v>-2518.26111273632</v>
      </c>
      <c r="J24" s="48">
        <f t="shared" si="7"/>
        <v>-2518.26111273632</v>
      </c>
      <c r="K24" s="48">
        <f t="shared" si="7"/>
        <v>-2518.26111273632</v>
      </c>
      <c r="L24" s="48">
        <f t="shared" si="7"/>
        <v>-2518.26111273632</v>
      </c>
      <c r="M24" s="48">
        <f t="shared" si="7"/>
        <v>-2518.26111273632</v>
      </c>
      <c r="N24" s="48">
        <f t="shared" si="7"/>
        <v>-2518.26111273632</v>
      </c>
      <c r="O24" s="48">
        <f t="shared" si="7"/>
        <v>-2518.26111273632</v>
      </c>
      <c r="P24" s="48">
        <f t="shared" si="7"/>
        <v>-2518.26111273632</v>
      </c>
      <c r="Q24" s="48">
        <f t="shared" si="7"/>
        <v>-2518.26111273632</v>
      </c>
      <c r="R24" s="48">
        <f t="shared" si="7"/>
        <v>-2518.26111273632</v>
      </c>
      <c r="S24" s="48">
        <f t="shared" si="7"/>
        <v>-2518.26111273632</v>
      </c>
      <c r="T24" s="48">
        <f t="shared" si="7"/>
        <v>-2518.26111273632</v>
      </c>
      <c r="U24" s="48">
        <f t="shared" si="7"/>
        <v>-2518.26111273632</v>
      </c>
      <c r="V24" s="48">
        <f t="shared" si="7"/>
        <v>-2518.26111273632</v>
      </c>
      <c r="W24" s="48">
        <f t="shared" si="7"/>
        <v>-2518.26111273632</v>
      </c>
      <c r="X24" s="48">
        <f t="shared" si="7"/>
        <v>-2518.26111273632</v>
      </c>
      <c r="Y24" s="48">
        <f t="shared" si="7"/>
        <v>-2518.26111273632</v>
      </c>
      <c r="Z24" s="48">
        <f t="shared" si="7"/>
        <v>-2518.26111273632</v>
      </c>
      <c r="AA24" s="48">
        <f t="shared" si="7"/>
        <v>-2518.26111273632</v>
      </c>
    </row>
    <row r="25" ht="28" customHeight="1" spans="1:27">
      <c r="A25" s="47">
        <v>19</v>
      </c>
      <c r="B25" s="49" t="s">
        <v>429</v>
      </c>
      <c r="C25" s="48">
        <f t="shared" si="0"/>
        <v>-1349.82256144598</v>
      </c>
      <c r="D25" s="50">
        <f>(D7+c借款还本付息计划表!D46+c借款还本付息计划表!D47)</f>
        <v>9.31853333333333</v>
      </c>
      <c r="E25" s="50">
        <f>(E7+c借款还本付息计划表!E46+c借款还本付息计划表!E47)</f>
        <v>116.826426666667</v>
      </c>
      <c r="F25" s="50">
        <f>(F7+c借款还本付息计划表!F46+c借款还本付息计划表!F47)</f>
        <v>-209.216739239098</v>
      </c>
      <c r="G25" s="50">
        <f>(G7+c借款还本付息计划表!G46+c借款还本付息计划表!G47)</f>
        <v>-34.012030772431</v>
      </c>
      <c r="H25" s="48">
        <f>(H7+E总成本费用估算表!G14)</f>
        <v>-1232.73875143446</v>
      </c>
      <c r="I25" s="48">
        <f>(I7+E总成本费用估算表!H14)</f>
        <v>0</v>
      </c>
      <c r="J25" s="48">
        <f>(J7+E总成本费用估算表!I14)</f>
        <v>0</v>
      </c>
      <c r="K25" s="48">
        <f>(K7+E总成本费用估算表!J14)</f>
        <v>0</v>
      </c>
      <c r="L25" s="48">
        <f>(L7+E总成本费用估算表!K14)</f>
        <v>0</v>
      </c>
      <c r="M25" s="48">
        <f>(M7+E总成本费用估算表!L14)</f>
        <v>0</v>
      </c>
      <c r="N25" s="48">
        <f>(N7+E总成本费用估算表!M14)</f>
        <v>0</v>
      </c>
      <c r="O25" s="48">
        <f>(O7+E总成本费用估算表!N14)</f>
        <v>0</v>
      </c>
      <c r="P25" s="48">
        <f>(P7+E总成本费用估算表!O14)</f>
        <v>0</v>
      </c>
      <c r="Q25" s="48">
        <f>(Q7+E总成本费用估算表!P14)</f>
        <v>0</v>
      </c>
      <c r="R25" s="48">
        <f>(R7+E总成本费用估算表!Q14)</f>
        <v>0</v>
      </c>
      <c r="S25" s="48">
        <f>(S7+E总成本费用估算表!R14)</f>
        <v>0</v>
      </c>
      <c r="T25" s="48">
        <f>(T7+E总成本费用估算表!S14)</f>
        <v>0</v>
      </c>
      <c r="U25" s="48">
        <f>(U7+E总成本费用估算表!T14)</f>
        <v>0</v>
      </c>
      <c r="V25" s="48">
        <f>(V7+E总成本费用估算表!U14)</f>
        <v>0</v>
      </c>
      <c r="W25" s="48">
        <f>(W7+E总成本费用估算表!V14)</f>
        <v>0</v>
      </c>
      <c r="X25" s="48">
        <f>(X7+E总成本费用估算表!W14)</f>
        <v>0</v>
      </c>
      <c r="Y25" s="48">
        <f>(Y7+E总成本费用估算表!X14)</f>
        <v>0</v>
      </c>
      <c r="Z25" s="48">
        <f>(Z7+E总成本费用估算表!Y14)</f>
        <v>0</v>
      </c>
      <c r="AA25" s="48">
        <f>AA7+E总成本费用估算表!Z14</f>
        <v>0</v>
      </c>
    </row>
    <row r="26" ht="28" customHeight="1" spans="1:27">
      <c r="A26" s="47">
        <v>20</v>
      </c>
      <c r="B26" s="49" t="s">
        <v>430</v>
      </c>
      <c r="C26" s="48">
        <f t="shared" si="0"/>
        <v>980.627835133333</v>
      </c>
      <c r="D26" s="48">
        <f>D25+E总成本费用估算表!C12+E总成本费用估算表!C13</f>
        <v>9.31853333333333</v>
      </c>
      <c r="E26" s="48">
        <f>E25+E总成本费用估算表!D12+E总成本费用估算表!D13</f>
        <v>116.826426666667</v>
      </c>
      <c r="F26" s="48">
        <f>F25+E总成本费用估算表!E12+E总成本费用估算表!E13</f>
        <v>339.654453333333</v>
      </c>
      <c r="G26" s="48">
        <f>G25+E总成本费用估算表!F12+E总成本费用估算表!F13</f>
        <v>514.8591618</v>
      </c>
      <c r="H26" s="48">
        <f>H25+E总成本费用估算表!G12+E总成本费用估算表!G13</f>
        <v>-0.0307399999999234</v>
      </c>
      <c r="I26" s="48">
        <f>I25+E总成本费用估算表!H12+E总成本费用估算表!H13</f>
        <v>0</v>
      </c>
      <c r="J26" s="48">
        <f>J25+E总成本费用估算表!I12+E总成本费用估算表!I13</f>
        <v>0</v>
      </c>
      <c r="K26" s="48">
        <f>K25+E总成本费用估算表!J12+E总成本费用估算表!J13</f>
        <v>0</v>
      </c>
      <c r="L26" s="48">
        <f>L25+E总成本费用估算表!K12+E总成本费用估算表!K13</f>
        <v>0</v>
      </c>
      <c r="M26" s="48">
        <f>M25+E总成本费用估算表!L12+E总成本费用估算表!L13</f>
        <v>0</v>
      </c>
      <c r="N26" s="48">
        <f>N25+E总成本费用估算表!M12+E总成本费用估算表!M13</f>
        <v>0</v>
      </c>
      <c r="O26" s="48">
        <f>O25+E总成本费用估算表!N12+E总成本费用估算表!N13</f>
        <v>0</v>
      </c>
      <c r="P26" s="48">
        <f>P25+E总成本费用估算表!O12+E总成本费用估算表!O13</f>
        <v>0</v>
      </c>
      <c r="Q26" s="48">
        <f>Q25+E总成本费用估算表!P12+E总成本费用估算表!P13</f>
        <v>0</v>
      </c>
      <c r="R26" s="48">
        <f>R25+E总成本费用估算表!Q12+E总成本费用估算表!Q13</f>
        <v>0</v>
      </c>
      <c r="S26" s="48">
        <f>S25+E总成本费用估算表!R12+E总成本费用估算表!R13</f>
        <v>0</v>
      </c>
      <c r="T26" s="48">
        <f>T25+E总成本费用估算表!S12+E总成本费用估算表!S13</f>
        <v>0</v>
      </c>
      <c r="U26" s="48">
        <f>U25+E总成本费用估算表!T12+E总成本费用估算表!T13</f>
        <v>0</v>
      </c>
      <c r="V26" s="48">
        <f>V25+E总成本费用估算表!U12+E总成本费用估算表!U13</f>
        <v>0</v>
      </c>
      <c r="W26" s="48">
        <f>W25+E总成本费用估算表!V12+E总成本费用估算表!V13</f>
        <v>0</v>
      </c>
      <c r="X26" s="48">
        <f>X25+E总成本费用估算表!W12+E总成本费用估算表!W13</f>
        <v>0</v>
      </c>
      <c r="Y26" s="48">
        <f>Y25+E总成本费用估算表!X12+E总成本费用估算表!X13</f>
        <v>0</v>
      </c>
      <c r="Z26" s="48">
        <f>Z25+E总成本费用估算表!Y12+E总成本费用估算表!Y13</f>
        <v>0</v>
      </c>
      <c r="AA26" s="48">
        <f>AA25+E总成本费用估算表!Z12+E总成本费用估算表!Z13</f>
        <v>0</v>
      </c>
    </row>
    <row r="27" ht="21.6" customHeight="1" spans="1:27">
      <c r="A27" s="47">
        <v>21</v>
      </c>
      <c r="B27" s="49" t="s">
        <v>431</v>
      </c>
      <c r="C27" s="51">
        <f>((C26-C11)/c借款还本付息计划表!C41)</f>
        <v>0.0237463152637866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4"/>
    </row>
    <row r="28" ht="14" customHeight="1" spans="9:16">
      <c r="I28"/>
      <c r="J28"/>
      <c r="K28"/>
      <c r="L28"/>
      <c r="M28"/>
      <c r="N28"/>
      <c r="O28"/>
      <c r="P28"/>
    </row>
  </sheetData>
  <mergeCells count="2">
    <mergeCell ref="A1:H1"/>
    <mergeCell ref="C27:AA27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tabColor rgb="FFFFC000"/>
  </sheetPr>
  <dimension ref="A1:AA55"/>
  <sheetViews>
    <sheetView zoomScale="55" zoomScaleNormal="55" workbookViewId="0">
      <pane xSplit="2" ySplit="2" topLeftCell="C10" activePane="bottomRight" state="frozen"/>
      <selection/>
      <selection pane="topRight"/>
      <selection pane="bottomLeft"/>
      <selection pane="bottomRight" activeCell="B47" sqref="B47"/>
    </sheetView>
  </sheetViews>
  <sheetFormatPr defaultColWidth="8.89090909090909" defaultRowHeight="28.05" customHeight="1"/>
  <cols>
    <col min="1" max="1" width="10.3363636363636" style="1" customWidth="1"/>
    <col min="2" max="2" width="22.2181818181818" style="1" customWidth="1"/>
    <col min="3" max="3" width="18.1090909090909" style="1" customWidth="1"/>
    <col min="4" max="4" width="12.1090909090909" style="1" customWidth="1"/>
    <col min="5" max="27" width="11.2181818181818" style="1" customWidth="1"/>
    <col min="28" max="28" width="17.7818181818182" style="1" customWidth="1"/>
  </cols>
  <sheetData>
    <row r="1" ht="20" customHeight="1"/>
    <row r="2" ht="16.5" customHeight="1" spans="1:27">
      <c r="A2" s="42" t="s">
        <v>1</v>
      </c>
      <c r="B2" s="42" t="s">
        <v>183</v>
      </c>
      <c r="C2" s="42" t="s">
        <v>80</v>
      </c>
      <c r="D2" s="42" t="s">
        <v>432</v>
      </c>
      <c r="E2" s="42" t="s">
        <v>433</v>
      </c>
      <c r="F2" s="42" t="s">
        <v>434</v>
      </c>
      <c r="G2" s="42" t="s">
        <v>435</v>
      </c>
      <c r="H2" s="42">
        <v>2029</v>
      </c>
      <c r="I2" s="42">
        <v>2030</v>
      </c>
      <c r="J2" s="42" t="s">
        <v>436</v>
      </c>
      <c r="K2" s="42" t="s">
        <v>437</v>
      </c>
      <c r="L2" s="42" t="s">
        <v>438</v>
      </c>
      <c r="M2" s="42" t="s">
        <v>439</v>
      </c>
      <c r="N2" s="42" t="s">
        <v>440</v>
      </c>
      <c r="O2" s="42" t="s">
        <v>441</v>
      </c>
      <c r="P2" s="42" t="s">
        <v>442</v>
      </c>
      <c r="Q2" s="42" t="s">
        <v>443</v>
      </c>
      <c r="R2" s="42" t="s">
        <v>444</v>
      </c>
      <c r="S2" s="42" t="s">
        <v>445</v>
      </c>
      <c r="T2" s="42" t="s">
        <v>446</v>
      </c>
      <c r="U2" s="42" t="s">
        <v>447</v>
      </c>
      <c r="V2" s="42" t="s">
        <v>448</v>
      </c>
      <c r="W2" s="42" t="s">
        <v>449</v>
      </c>
      <c r="X2" s="42" t="s">
        <v>450</v>
      </c>
      <c r="Y2" s="42" t="s">
        <v>451</v>
      </c>
      <c r="Z2" s="42" t="s">
        <v>452</v>
      </c>
      <c r="AA2" s="42" t="s">
        <v>453</v>
      </c>
    </row>
    <row r="3" ht="16.5" customHeight="1" spans="1:27">
      <c r="A3" s="43">
        <v>1</v>
      </c>
      <c r="B3" s="43" t="s">
        <v>71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ht="16.5" customHeight="1" spans="1:27">
      <c r="A4" s="43" t="s">
        <v>454</v>
      </c>
      <c r="B4" s="43" t="s">
        <v>455</v>
      </c>
      <c r="C4" s="43">
        <v>0</v>
      </c>
      <c r="D4" s="43">
        <f t="shared" ref="D4:X4" si="0">(C8)</f>
        <v>0</v>
      </c>
      <c r="E4" s="43">
        <f t="shared" si="0"/>
        <v>1175</v>
      </c>
      <c r="F4" s="43">
        <f t="shared" si="0"/>
        <v>1175</v>
      </c>
      <c r="G4" s="43">
        <f t="shared" si="0"/>
        <v>1175</v>
      </c>
      <c r="H4" s="43">
        <f t="shared" si="0"/>
        <v>1175</v>
      </c>
      <c r="I4" s="43">
        <f t="shared" si="0"/>
        <v>1175</v>
      </c>
      <c r="J4" s="43">
        <f t="shared" si="0"/>
        <v>1175</v>
      </c>
      <c r="K4" s="43">
        <f t="shared" si="0"/>
        <v>1175</v>
      </c>
      <c r="L4" s="43">
        <f t="shared" si="0"/>
        <v>1175</v>
      </c>
      <c r="M4" s="43">
        <f t="shared" si="0"/>
        <v>1175</v>
      </c>
      <c r="N4" s="43">
        <f t="shared" si="0"/>
        <v>1175</v>
      </c>
      <c r="O4" s="43">
        <f t="shared" si="0"/>
        <v>1175</v>
      </c>
      <c r="P4" s="43">
        <f t="shared" si="0"/>
        <v>1175</v>
      </c>
      <c r="Q4" s="43">
        <f t="shared" si="0"/>
        <v>1175</v>
      </c>
      <c r="R4" s="43">
        <f t="shared" si="0"/>
        <v>1175</v>
      </c>
      <c r="S4" s="43">
        <f t="shared" si="0"/>
        <v>1175</v>
      </c>
      <c r="T4" s="43">
        <f t="shared" si="0"/>
        <v>1175</v>
      </c>
      <c r="U4" s="43">
        <f t="shared" si="0"/>
        <v>1175</v>
      </c>
      <c r="V4" s="43">
        <f t="shared" si="0"/>
        <v>1175</v>
      </c>
      <c r="W4" s="43">
        <f t="shared" si="0"/>
        <v>1175</v>
      </c>
      <c r="X4" s="43">
        <f t="shared" si="0"/>
        <v>1175</v>
      </c>
      <c r="Y4" s="43">
        <v>0</v>
      </c>
      <c r="Z4" s="43">
        <v>0</v>
      </c>
      <c r="AA4" s="43">
        <v>0</v>
      </c>
    </row>
    <row r="5" ht="16.5" customHeight="1" spans="1:27">
      <c r="A5" s="43" t="s">
        <v>456</v>
      </c>
      <c r="B5" s="43" t="s">
        <v>457</v>
      </c>
      <c r="C5" s="43">
        <f>(SUM(D5:X5))</f>
        <v>1673.2</v>
      </c>
      <c r="D5" s="43">
        <f t="shared" ref="D5:X5" si="1">(D6+D7)</f>
        <v>0</v>
      </c>
      <c r="E5" s="43">
        <f t="shared" si="1"/>
        <v>24.91</v>
      </c>
      <c r="F5" s="43">
        <f t="shared" si="1"/>
        <v>24.91</v>
      </c>
      <c r="G5" s="43">
        <f t="shared" si="1"/>
        <v>24.91</v>
      </c>
      <c r="H5" s="43">
        <f t="shared" si="1"/>
        <v>24.91</v>
      </c>
      <c r="I5" s="43">
        <f t="shared" si="1"/>
        <v>24.91</v>
      </c>
      <c r="J5" s="43">
        <f t="shared" si="1"/>
        <v>24.91</v>
      </c>
      <c r="K5" s="43">
        <f t="shared" si="1"/>
        <v>24.91</v>
      </c>
      <c r="L5" s="43">
        <f t="shared" si="1"/>
        <v>24.91</v>
      </c>
      <c r="M5" s="43">
        <f t="shared" si="1"/>
        <v>24.91</v>
      </c>
      <c r="N5" s="43">
        <f t="shared" si="1"/>
        <v>24.91</v>
      </c>
      <c r="O5" s="43">
        <f t="shared" si="1"/>
        <v>24.91</v>
      </c>
      <c r="P5" s="43">
        <f t="shared" si="1"/>
        <v>24.91</v>
      </c>
      <c r="Q5" s="43">
        <f t="shared" si="1"/>
        <v>24.91</v>
      </c>
      <c r="R5" s="43">
        <f t="shared" si="1"/>
        <v>24.91</v>
      </c>
      <c r="S5" s="43">
        <f t="shared" si="1"/>
        <v>24.91</v>
      </c>
      <c r="T5" s="43">
        <f t="shared" si="1"/>
        <v>24.91</v>
      </c>
      <c r="U5" s="43">
        <f t="shared" si="1"/>
        <v>24.91</v>
      </c>
      <c r="V5" s="43">
        <f t="shared" si="1"/>
        <v>24.91</v>
      </c>
      <c r="W5" s="43">
        <f t="shared" si="1"/>
        <v>24.91</v>
      </c>
      <c r="X5" s="43">
        <f t="shared" si="1"/>
        <v>1199.91</v>
      </c>
      <c r="Y5" s="43">
        <v>0</v>
      </c>
      <c r="Z5" s="43">
        <v>0</v>
      </c>
      <c r="AA5" s="43">
        <v>0</v>
      </c>
    </row>
    <row r="6" ht="16.5" customHeight="1" spans="1:27">
      <c r="A6" s="43" t="s">
        <v>189</v>
      </c>
      <c r="B6" s="43" t="s">
        <v>458</v>
      </c>
      <c r="C6" s="43">
        <f>(SUM(D6:X6))</f>
        <v>1175</v>
      </c>
      <c r="D6" s="43">
        <v>0</v>
      </c>
      <c r="E6" s="43">
        <v>0</v>
      </c>
      <c r="F6" s="43">
        <v>0</v>
      </c>
      <c r="G6" s="43">
        <v>0</v>
      </c>
      <c r="H6" s="43">
        <v>0</v>
      </c>
      <c r="I6" s="43">
        <v>0</v>
      </c>
      <c r="J6" s="43">
        <v>0</v>
      </c>
      <c r="K6" s="43">
        <v>0</v>
      </c>
      <c r="L6" s="43">
        <v>0</v>
      </c>
      <c r="M6" s="43">
        <v>0</v>
      </c>
      <c r="N6" s="43">
        <v>0</v>
      </c>
      <c r="O6" s="43">
        <v>0</v>
      </c>
      <c r="P6" s="43">
        <v>0</v>
      </c>
      <c r="Q6" s="43">
        <v>0</v>
      </c>
      <c r="R6" s="43">
        <v>0</v>
      </c>
      <c r="S6" s="43">
        <v>0</v>
      </c>
      <c r="T6" s="43">
        <v>0</v>
      </c>
      <c r="U6" s="43">
        <v>0</v>
      </c>
      <c r="V6" s="43">
        <v>0</v>
      </c>
      <c r="W6" s="43">
        <v>0</v>
      </c>
      <c r="X6" s="43">
        <f>(C.1项目融资信息!$D$4)</f>
        <v>1175</v>
      </c>
      <c r="Y6" s="43">
        <v>0</v>
      </c>
      <c r="Z6" s="43">
        <v>0</v>
      </c>
      <c r="AA6" s="43">
        <v>0</v>
      </c>
    </row>
    <row r="7" ht="16.5" customHeight="1" spans="1:27">
      <c r="A7" s="43" t="s">
        <v>191</v>
      </c>
      <c r="B7" s="43" t="s">
        <v>459</v>
      </c>
      <c r="C7" s="43">
        <f>(SUM(D7:X7))</f>
        <v>498.2</v>
      </c>
      <c r="D7" s="43">
        <v>0</v>
      </c>
      <c r="E7" s="43">
        <f>((E8+E6)*C.1项目融资信息!$H$4)</f>
        <v>24.91</v>
      </c>
      <c r="F7" s="43">
        <f>((F8+F6)*C.1项目融资信息!$H$4)</f>
        <v>24.91</v>
      </c>
      <c r="G7" s="43">
        <f>((G8+G6)*C.1项目融资信息!$H$4)</f>
        <v>24.91</v>
      </c>
      <c r="H7" s="43">
        <f>((H8+H6)*C.1项目融资信息!$H$4)</f>
        <v>24.91</v>
      </c>
      <c r="I7" s="43">
        <f>((I8+I6)*C.1项目融资信息!$H$4)</f>
        <v>24.91</v>
      </c>
      <c r="J7" s="43">
        <f>((J8+J6)*C.1项目融资信息!$H$4)</f>
        <v>24.91</v>
      </c>
      <c r="K7" s="43">
        <f>((K8+K6)*C.1项目融资信息!$H$4)</f>
        <v>24.91</v>
      </c>
      <c r="L7" s="43">
        <f>((L8+L6)*C.1项目融资信息!$H$4)</f>
        <v>24.91</v>
      </c>
      <c r="M7" s="43">
        <f>((M8+M6)*C.1项目融资信息!$H$4)</f>
        <v>24.91</v>
      </c>
      <c r="N7" s="43">
        <f>((N8+N6)*C.1项目融资信息!$H$4)</f>
        <v>24.91</v>
      </c>
      <c r="O7" s="43">
        <f>((O8+O6)*C.1项目融资信息!$H$4)</f>
        <v>24.91</v>
      </c>
      <c r="P7" s="43">
        <f>((P8+P6)*C.1项目融资信息!$H$4)</f>
        <v>24.91</v>
      </c>
      <c r="Q7" s="43">
        <f>((Q8+Q6)*C.1项目融资信息!$H$4)</f>
        <v>24.91</v>
      </c>
      <c r="R7" s="43">
        <f>((R8+R6)*C.1项目融资信息!$H$4)</f>
        <v>24.91</v>
      </c>
      <c r="S7" s="43">
        <f>((S8+S6)*C.1项目融资信息!$H$4)</f>
        <v>24.91</v>
      </c>
      <c r="T7" s="43">
        <f>((T8+T6)*C.1项目融资信息!$H$4)</f>
        <v>24.91</v>
      </c>
      <c r="U7" s="43">
        <f>((U8+U6)*C.1项目融资信息!$H$4)</f>
        <v>24.91</v>
      </c>
      <c r="V7" s="43">
        <f>((V8+V6)*C.1项目融资信息!$H$4)</f>
        <v>24.91</v>
      </c>
      <c r="W7" s="43">
        <f>((W8+W6)*C.1项目融资信息!$H$4)</f>
        <v>24.91</v>
      </c>
      <c r="X7" s="43">
        <f>((X8+X6)*C.1项目融资信息!$H$4)</f>
        <v>24.91</v>
      </c>
      <c r="Y7" s="43">
        <v>0</v>
      </c>
      <c r="Z7" s="43">
        <v>0</v>
      </c>
      <c r="AA7" s="43">
        <v>0</v>
      </c>
    </row>
    <row r="8" ht="16.5" customHeight="1" spans="1:27">
      <c r="A8" s="43" t="s">
        <v>460</v>
      </c>
      <c r="B8" s="43" t="s">
        <v>461</v>
      </c>
      <c r="C8" s="43">
        <v>0</v>
      </c>
      <c r="D8" s="43">
        <f>(D4+C.2项目每年借款信息!$C$3-D6)</f>
        <v>1175</v>
      </c>
      <c r="E8" s="43">
        <f>(E4+C.2项目每年借款信息!$D$3-E6)</f>
        <v>1175</v>
      </c>
      <c r="F8" s="43">
        <f>(F4+C.2项目每年借款信息!$E$3-F6)</f>
        <v>1175</v>
      </c>
      <c r="G8" s="43">
        <f>(G4+C.2项目每年借款信息!$F$3-G6)</f>
        <v>1175</v>
      </c>
      <c r="H8" s="43">
        <f>(H4+C.2项目每年借款信息!$G$3-H6)</f>
        <v>1175</v>
      </c>
      <c r="I8" s="43">
        <f>(I4+C.2项目每年借款信息!$H$3-I6)</f>
        <v>1175</v>
      </c>
      <c r="J8" s="43">
        <f>(J4+C.2项目每年借款信息!$I$3-J6)</f>
        <v>1175</v>
      </c>
      <c r="K8" s="43">
        <f>(K4+C.2项目每年借款信息!$J$3-K6)</f>
        <v>1175</v>
      </c>
      <c r="L8" s="43">
        <f>(L4+C.2项目每年借款信息!$K$3-L6)</f>
        <v>1175</v>
      </c>
      <c r="M8" s="43">
        <f>(M4+C.2项目每年借款信息!$L$3-M6)</f>
        <v>1175</v>
      </c>
      <c r="N8" s="43">
        <f>(N4+C.2项目每年借款信息!$M$3-N6)</f>
        <v>1175</v>
      </c>
      <c r="O8" s="43">
        <f>(O4+C.2项目每年借款信息!$N$3-O6)</f>
        <v>1175</v>
      </c>
      <c r="P8" s="43">
        <f>(P4+C.2项目每年借款信息!$O$3-P6)</f>
        <v>1175</v>
      </c>
      <c r="Q8" s="43">
        <f>(Q4+C.2项目每年借款信息!$P$3-Q6)</f>
        <v>1175</v>
      </c>
      <c r="R8" s="43">
        <f>(R4+C.2项目每年借款信息!$Q$3-R6)</f>
        <v>1175</v>
      </c>
      <c r="S8" s="43">
        <f>(S4+C.2项目每年借款信息!$R$3-S6)</f>
        <v>1175</v>
      </c>
      <c r="T8" s="43">
        <f>(T4+C.2项目每年借款信息!$S$3-T6)</f>
        <v>1175</v>
      </c>
      <c r="U8" s="43">
        <f>(U4+C.2项目每年借款信息!$T$3-U6)</f>
        <v>1175</v>
      </c>
      <c r="V8" s="43">
        <f>(V4+C.2项目每年借款信息!$U$3-V6)</f>
        <v>1175</v>
      </c>
      <c r="W8" s="43">
        <f>(W4+C.2项目每年借款信息!$V$3-W6)</f>
        <v>1175</v>
      </c>
      <c r="X8" s="43">
        <f>(X4+C.2项目每年借款信息!$W$3-X6)</f>
        <v>0</v>
      </c>
      <c r="Y8" s="43">
        <v>0</v>
      </c>
      <c r="Z8" s="43">
        <v>0</v>
      </c>
      <c r="AA8" s="43">
        <v>0</v>
      </c>
    </row>
    <row r="9" ht="16.5" customHeight="1" spans="1:27">
      <c r="A9" s="43" t="s">
        <v>462</v>
      </c>
      <c r="B9" s="43" t="s">
        <v>463</v>
      </c>
      <c r="C9" s="43">
        <f>(SUM(D9:X9))</f>
        <v>0.08366</v>
      </c>
      <c r="D9" s="43">
        <f>(D5*A财务假设!$D$18)</f>
        <v>0</v>
      </c>
      <c r="E9" s="43">
        <f>(E5*A财务假设!$D$18)</f>
        <v>0.0012455</v>
      </c>
      <c r="F9" s="43">
        <f>(F5*A财务假设!$D$18)</f>
        <v>0.0012455</v>
      </c>
      <c r="G9" s="43">
        <f>(G5*A财务假设!$D$18)</f>
        <v>0.0012455</v>
      </c>
      <c r="H9" s="43">
        <f>(H5*A财务假设!$D$18)</f>
        <v>0.0012455</v>
      </c>
      <c r="I9" s="43">
        <f>(I5*A财务假设!$D$18)</f>
        <v>0.0012455</v>
      </c>
      <c r="J9" s="43">
        <f>(J5*A财务假设!$D$18)</f>
        <v>0.0012455</v>
      </c>
      <c r="K9" s="43">
        <f>(K5*A财务假设!$D$18)</f>
        <v>0.0012455</v>
      </c>
      <c r="L9" s="43">
        <f>(L5*A财务假设!$D$18)</f>
        <v>0.0012455</v>
      </c>
      <c r="M9" s="43">
        <f>(M5*A财务假设!$D$18)</f>
        <v>0.0012455</v>
      </c>
      <c r="N9" s="43">
        <f>(N5*A财务假设!$D$18)</f>
        <v>0.0012455</v>
      </c>
      <c r="O9" s="43">
        <f>(O5*A财务假设!$D$18)</f>
        <v>0.0012455</v>
      </c>
      <c r="P9" s="43">
        <f>(P5*A财务假设!$D$18)</f>
        <v>0.0012455</v>
      </c>
      <c r="Q9" s="43">
        <f>(Q5*A财务假设!$D$18)</f>
        <v>0.0012455</v>
      </c>
      <c r="R9" s="43">
        <f>(R5*A财务假设!$D$18)</f>
        <v>0.0012455</v>
      </c>
      <c r="S9" s="43">
        <f>(S5*A财务假设!$D$18)</f>
        <v>0.0012455</v>
      </c>
      <c r="T9" s="43">
        <f>(T5*A财务假设!$D$18)</f>
        <v>0.0012455</v>
      </c>
      <c r="U9" s="43">
        <f>(U5*A财务假设!$D$18)</f>
        <v>0.0012455</v>
      </c>
      <c r="V9" s="43">
        <f>(V5*A财务假设!$D$18)</f>
        <v>0.0012455</v>
      </c>
      <c r="W9" s="43">
        <f>(W5*A财务假设!$D$18)</f>
        <v>0.0012455</v>
      </c>
      <c r="X9" s="43">
        <f>(X5*A财务假设!$D$18)</f>
        <v>0.0599955</v>
      </c>
      <c r="Y9" s="43">
        <v>0</v>
      </c>
      <c r="Z9" s="43">
        <v>0</v>
      </c>
      <c r="AA9" s="43">
        <v>0</v>
      </c>
    </row>
    <row r="10" ht="16.5" customHeight="1" spans="1:27">
      <c r="A10" s="43" t="s">
        <v>464</v>
      </c>
      <c r="B10" s="43" t="s">
        <v>465</v>
      </c>
      <c r="C10" s="43">
        <f>(SUM(D10:X10))</f>
        <v>1.0152</v>
      </c>
      <c r="D10" s="43">
        <f>(C.2项目每年借款信息!$C$3*(A财务假设!$D$16+A财务假设!$D$17))</f>
        <v>1.0152</v>
      </c>
      <c r="E10" s="43">
        <f>(C.2项目每年借款信息!$D$3*(A财务假设!$D$16+A财务假设!$D$17))</f>
        <v>0</v>
      </c>
      <c r="F10" s="43">
        <f>(C.2项目每年借款信息!$E$3*(A财务假设!$D$16+A财务假设!$D$17))</f>
        <v>0</v>
      </c>
      <c r="G10" s="43">
        <f>(C.2项目每年借款信息!$F$3*(A财务假设!$D$16+A财务假设!$D$17))</f>
        <v>0</v>
      </c>
      <c r="H10" s="43">
        <f>(C.2项目每年借款信息!$G$3*(A财务假设!$D$16+A财务假设!$D$17))</f>
        <v>0</v>
      </c>
      <c r="I10" s="43">
        <f>(C.2项目每年借款信息!$H$3*(A财务假设!$D$16+A财务假设!$D$17))</f>
        <v>0</v>
      </c>
      <c r="J10" s="43">
        <f>(C.2项目每年借款信息!$I$3*(A财务假设!$D$16+A财务假设!$D$17))</f>
        <v>0</v>
      </c>
      <c r="K10" s="43">
        <f>(C.2项目每年借款信息!$J$3*(A财务假设!$D$16+A财务假设!$D$17))</f>
        <v>0</v>
      </c>
      <c r="L10" s="43">
        <f>(C.2项目每年借款信息!$K$3*(A财务假设!$D$16+A财务假设!$D$17))</f>
        <v>0</v>
      </c>
      <c r="M10" s="43">
        <f>(C.2项目每年借款信息!$L$3*(A财务假设!$D$16+A财务假设!$D$17))</f>
        <v>0</v>
      </c>
      <c r="N10" s="43">
        <f>(C.2项目每年借款信息!$M$3*(A财务假设!$D$16+A财务假设!$D$17))</f>
        <v>0</v>
      </c>
      <c r="O10" s="43">
        <f>(C.2项目每年借款信息!$N$3*(A财务假设!$D$16+A财务假设!$D$17))</f>
        <v>0</v>
      </c>
      <c r="P10" s="43">
        <f>(C.2项目每年借款信息!$O$3*(A财务假设!$D$16+A财务假设!$D$17))</f>
        <v>0</v>
      </c>
      <c r="Q10" s="43">
        <f>(C.2项目每年借款信息!$P$3*(A财务假设!$D$16+A财务假设!$D$17))</f>
        <v>0</v>
      </c>
      <c r="R10" s="43">
        <f>(C.2项目每年借款信息!$Q$3*(A财务假设!$D$16+A财务假设!$D$17))</f>
        <v>0</v>
      </c>
      <c r="S10" s="43">
        <f>(C.2项目每年借款信息!$R$3*(A财务假设!$D$16+A财务假设!$D$17))</f>
        <v>0</v>
      </c>
      <c r="T10" s="43">
        <f>(C.2项目每年借款信息!$S$3*(A财务假设!$D$16+A财务假设!$D$17))</f>
        <v>0</v>
      </c>
      <c r="U10" s="43">
        <f>(C.2项目每年借款信息!$T$3*(A财务假设!$D$16+A财务假设!$D$17))</f>
        <v>0</v>
      </c>
      <c r="V10" s="43">
        <f>(C.2项目每年借款信息!$U$3*(A财务假设!$D$16+A财务假设!$D$17))</f>
        <v>0</v>
      </c>
      <c r="W10" s="43">
        <f>(C.2项目每年借款信息!$V$3*(A财务假设!$D$16+A财务假设!$D$17))</f>
        <v>0</v>
      </c>
      <c r="X10" s="43">
        <f>(C.2项目每年借款信息!$W$3*(A财务假设!$D$16+A财务假设!$D$17))</f>
        <v>0</v>
      </c>
      <c r="Y10" s="43">
        <v>0</v>
      </c>
      <c r="Z10" s="43">
        <v>0</v>
      </c>
      <c r="AA10" s="43">
        <v>0</v>
      </c>
    </row>
    <row r="11" ht="16.5" customHeight="1" spans="1:27">
      <c r="A11" s="43" t="s">
        <v>466</v>
      </c>
      <c r="B11" s="43" t="s">
        <v>467</v>
      </c>
      <c r="C11" s="43">
        <v>0</v>
      </c>
      <c r="D11" s="43">
        <f>(IF(($D$2-YEAR(C.1项目融资信息!$E$4))=0,(12-MONTH(C.1项目融资信息!$E$4)+1)*C.1项目融资信息!$D$4*C.1项目融资信息!$H$4/12,C.1项目融资信息!$D$4*C.1项目融资信息!$H$4))</f>
        <v>8.30333333333333</v>
      </c>
      <c r="E11" s="43">
        <f>(IF(($E$2-YEAR(C.1项目融资信息!$E$4))=0,(12-MONTH(C.1项目融资信息!$E$4)+1)*C.1项目融资信息!$D$4*C.1项目融资信息!$H$4/12,C.1项目融资信息!$D$4*C.1项目融资信息!$H$4))</f>
        <v>24.91</v>
      </c>
      <c r="F11" s="43">
        <f>(IF(($F$2-YEAR(C.1项目融资信息!$E$4))=0,(12-MONTH(C.1项目融资信息!$E$4)+1)*C.1项目融资信息!$D$4*C.1项目融资信息!$H$4/12,C.1项目融资信息!$D$4*C.1项目融资信息!$H$4))</f>
        <v>24.91</v>
      </c>
      <c r="G11" s="43">
        <f>(IF(($G$2-YEAR(C.1项目融资信息!$E$4))=0,(12-MONTH(C.1项目融资信息!$E$4)+1)*C.1项目融资信息!$D$4*C.1项目融资信息!$H$4/12,C.1项目融资信息!$D$4*C.1项目融资信息!$H$4))</f>
        <v>24.91</v>
      </c>
      <c r="H11" s="43">
        <f>(IF(($H$2-YEAR(C.1项目融资信息!$E$4))=0,(12-MONTH(C.1项目融资信息!$E$4)+1)*C.1项目融资信息!$D$4*C.1项目融资信息!$H$4/12,C.1项目融资信息!$D$4*C.1项目融资信息!$H$4))</f>
        <v>24.91</v>
      </c>
      <c r="I11" s="43">
        <f>(IF(($I$2-YEAR(C.1项目融资信息!$E$4))=0,(12-MONTH(C.1项目融资信息!$E$4)+1)*C.1项目融资信息!$D$4*C.1项目融资信息!$H$4/12,C.1项目融资信息!$D$4*C.1项目融资信息!$H$4))</f>
        <v>24.91</v>
      </c>
      <c r="J11" s="43">
        <f>(IF(($J$2-YEAR(C.1项目融资信息!$E$4))=0,(12-MONTH(C.1项目融资信息!$E$4)+1)*C.1项目融资信息!$D$4*C.1项目融资信息!$H$4/12,C.1项目融资信息!$D$4*C.1项目融资信息!$H$4))</f>
        <v>24.91</v>
      </c>
      <c r="K11" s="43">
        <f>(IF(($K$2-YEAR(C.1项目融资信息!$E$4))=0,(12-MONTH(C.1项目融资信息!$E$4)+1)*C.1项目融资信息!$D$4*C.1项目融资信息!$H$4/12,C.1项目融资信息!$D$4*C.1项目融资信息!$H$4))</f>
        <v>24.91</v>
      </c>
      <c r="L11" s="43">
        <f>(IF(($L$2-YEAR(C.1项目融资信息!$E$4))=0,(12-MONTH(C.1项目融资信息!$E$4)+1)*C.1项目融资信息!$D$4*C.1项目融资信息!$H$4/12,C.1项目融资信息!$D$4*C.1项目融资信息!$H$4))</f>
        <v>24.91</v>
      </c>
      <c r="M11" s="43">
        <f>(IF(($M$2-YEAR(C.1项目融资信息!$E$4))=0,(12-MONTH(C.1项目融资信息!$E$4)+1)*C.1项目融资信息!$D$4*C.1项目融资信息!$H$4/12,C.1项目融资信息!$D$4*C.1项目融资信息!$H$4))</f>
        <v>24.91</v>
      </c>
      <c r="N11" s="43">
        <f>(IF(($N$2-YEAR(C.1项目融资信息!$E$4))=0,(12-MONTH(C.1项目融资信息!$E$4)+1)*C.1项目融资信息!$D$4*C.1项目融资信息!$H$4/12,C.1项目融资信息!$D$4*C.1项目融资信息!$H$4))</f>
        <v>24.91</v>
      </c>
      <c r="O11" s="43">
        <f>(IF(($O$2-YEAR(C.1项目融资信息!$E$4))=0,(12-MONTH(C.1项目融资信息!$E$4)+1)*C.1项目融资信息!$D$4*C.1项目融资信息!$H$4/12,C.1项目融资信息!$D$4*C.1项目融资信息!$H$4))</f>
        <v>24.91</v>
      </c>
      <c r="P11" s="43">
        <f>(IF(($P$2-YEAR(C.1项目融资信息!$E$4))=0,(12-MONTH(C.1项目融资信息!$E$4)+1)*C.1项目融资信息!$D$4*C.1项目融资信息!$H$4/12,C.1项目融资信息!$D$4*C.1项目融资信息!$H$4))</f>
        <v>24.91</v>
      </c>
      <c r="Q11" s="43">
        <f>(IF(($Q$2-YEAR(C.1项目融资信息!$E$4))=0,(12-MONTH(C.1项目融资信息!$E$4)+1)*C.1项目融资信息!$D$4*C.1项目融资信息!$H$4/12,C.1项目融资信息!$D$4*C.1项目融资信息!$H$4))</f>
        <v>24.91</v>
      </c>
      <c r="R11" s="43">
        <f>(IF(($R$2-YEAR(C.1项目融资信息!$E$4))=0,(12-MONTH(C.1项目融资信息!$E$4)+1)*C.1项目融资信息!$D$4*C.1项目融资信息!$H$4/12,C.1项目融资信息!$D$4*C.1项目融资信息!$H$4))</f>
        <v>24.91</v>
      </c>
      <c r="S11" s="43">
        <f>(IF(($S$2-YEAR(C.1项目融资信息!$E$4))=0,(12-MONTH(C.1项目融资信息!$E$4)+1)*C.1项目融资信息!$D$4*C.1项目融资信息!$H$4/12,C.1项目融资信息!$D$4*C.1项目融资信息!$H$4))</f>
        <v>24.91</v>
      </c>
      <c r="T11" s="43">
        <f>(IF(($T$2-YEAR(C.1项目融资信息!$E$4))=0,(12-MONTH(C.1项目融资信息!$E$4)+1)*C.1项目融资信息!$D$4*C.1项目融资信息!$H$4/12,C.1项目融资信息!$D$4*C.1项目融资信息!$H$4))</f>
        <v>24.91</v>
      </c>
      <c r="U11" s="43">
        <f>(IF(($U$2-YEAR(C.1项目融资信息!$E$4))=0,(12-MONTH(C.1项目融资信息!$E$4)+1)*C.1项目融资信息!$D$4*C.1项目融资信息!$H$4/12,C.1项目融资信息!$D$4*C.1项目融资信息!$H$4))</f>
        <v>24.91</v>
      </c>
      <c r="V11" s="43">
        <f>(IF(($V$2-YEAR(C.1项目融资信息!$E$4))=0,(12-MONTH(C.1项目融资信息!$E$4)+1)*C.1项目融资信息!$D$4*C.1项目融资信息!$H$4/12,C.1项目融资信息!$D$4*C.1项目融资信息!$H$4))</f>
        <v>24.91</v>
      </c>
      <c r="W11" s="43">
        <f>(IF(($W$2-YEAR(C.1项目融资信息!$E$4))=0,(12-MONTH(C.1项目融资信息!$E$4)+1)*C.1项目融资信息!$D$4*C.1项目融资信息!$H$4/12,C.1项目融资信息!$D$4*C.1项目融资信息!$H$4))</f>
        <v>24.91</v>
      </c>
      <c r="X11" s="43">
        <f>(MONTH(C.1项目融资信息!$E$4)-1)*C.1项目融资信息!$D$4*C.1项目融资信息!$H$4/12</f>
        <v>16.6066666666667</v>
      </c>
      <c r="Y11" s="43">
        <v>0</v>
      </c>
      <c r="Z11" s="43">
        <v>0</v>
      </c>
      <c r="AA11" s="43">
        <v>0</v>
      </c>
    </row>
    <row r="12" ht="16.5" customHeight="1" spans="1:27">
      <c r="A12" s="43">
        <v>2</v>
      </c>
      <c r="B12" s="43" t="s">
        <v>75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ht="16.5" customHeight="1" spans="1:27">
      <c r="A13" s="43" t="s">
        <v>468</v>
      </c>
      <c r="B13" s="43" t="s">
        <v>455</v>
      </c>
      <c r="C13" s="43">
        <v>0</v>
      </c>
      <c r="D13" s="43">
        <v>0</v>
      </c>
      <c r="E13" s="43">
        <f t="shared" ref="E13:Y13" si="2">(D17)</f>
        <v>0</v>
      </c>
      <c r="F13" s="43">
        <f t="shared" si="2"/>
        <v>11590</v>
      </c>
      <c r="G13" s="43">
        <f t="shared" si="2"/>
        <v>11590</v>
      </c>
      <c r="H13" s="43">
        <f t="shared" si="2"/>
        <v>11590</v>
      </c>
      <c r="I13" s="43">
        <f t="shared" si="2"/>
        <v>11590</v>
      </c>
      <c r="J13" s="43">
        <f t="shared" si="2"/>
        <v>11590</v>
      </c>
      <c r="K13" s="43">
        <f t="shared" si="2"/>
        <v>11590</v>
      </c>
      <c r="L13" s="43">
        <f t="shared" si="2"/>
        <v>11590</v>
      </c>
      <c r="M13" s="43">
        <f t="shared" si="2"/>
        <v>11590</v>
      </c>
      <c r="N13" s="43">
        <f t="shared" si="2"/>
        <v>11590</v>
      </c>
      <c r="O13" s="43">
        <f t="shared" si="2"/>
        <v>11590</v>
      </c>
      <c r="P13" s="43">
        <f t="shared" si="2"/>
        <v>11590</v>
      </c>
      <c r="Q13" s="43">
        <f t="shared" si="2"/>
        <v>11590</v>
      </c>
      <c r="R13" s="43">
        <f t="shared" si="2"/>
        <v>11590</v>
      </c>
      <c r="S13" s="43">
        <f t="shared" si="2"/>
        <v>11590</v>
      </c>
      <c r="T13" s="43">
        <f t="shared" si="2"/>
        <v>11590</v>
      </c>
      <c r="U13" s="43">
        <f t="shared" si="2"/>
        <v>11590</v>
      </c>
      <c r="V13" s="43">
        <f t="shared" si="2"/>
        <v>11590</v>
      </c>
      <c r="W13" s="43">
        <f t="shared" si="2"/>
        <v>11590</v>
      </c>
      <c r="X13" s="43">
        <f t="shared" si="2"/>
        <v>11590</v>
      </c>
      <c r="Y13" s="43">
        <f t="shared" si="2"/>
        <v>11590</v>
      </c>
      <c r="Z13" s="43">
        <v>0</v>
      </c>
      <c r="AA13" s="43">
        <v>0</v>
      </c>
    </row>
    <row r="14" ht="16.5" customHeight="1" spans="1:27">
      <c r="A14" s="43" t="s">
        <v>469</v>
      </c>
      <c r="B14" s="43" t="s">
        <v>457</v>
      </c>
      <c r="C14" s="43">
        <f>(SUM(E14:Y14))</f>
        <v>16504.16</v>
      </c>
      <c r="D14" s="43">
        <v>0</v>
      </c>
      <c r="E14" s="43">
        <f t="shared" ref="E14:Y14" si="3">(E15+E16)</f>
        <v>0</v>
      </c>
      <c r="F14" s="43">
        <f t="shared" si="3"/>
        <v>245.708</v>
      </c>
      <c r="G14" s="43">
        <f t="shared" si="3"/>
        <v>245.708</v>
      </c>
      <c r="H14" s="43">
        <f t="shared" si="3"/>
        <v>245.708</v>
      </c>
      <c r="I14" s="43">
        <f t="shared" si="3"/>
        <v>245.708</v>
      </c>
      <c r="J14" s="43">
        <f t="shared" si="3"/>
        <v>245.708</v>
      </c>
      <c r="K14" s="43">
        <f t="shared" si="3"/>
        <v>245.708</v>
      </c>
      <c r="L14" s="43">
        <f t="shared" si="3"/>
        <v>245.708</v>
      </c>
      <c r="M14" s="43">
        <f t="shared" si="3"/>
        <v>245.708</v>
      </c>
      <c r="N14" s="43">
        <f t="shared" si="3"/>
        <v>245.708</v>
      </c>
      <c r="O14" s="43">
        <f t="shared" si="3"/>
        <v>245.708</v>
      </c>
      <c r="P14" s="43">
        <f t="shared" si="3"/>
        <v>245.708</v>
      </c>
      <c r="Q14" s="43">
        <f t="shared" si="3"/>
        <v>245.708</v>
      </c>
      <c r="R14" s="43">
        <f t="shared" si="3"/>
        <v>245.708</v>
      </c>
      <c r="S14" s="43">
        <f t="shared" si="3"/>
        <v>245.708</v>
      </c>
      <c r="T14" s="43">
        <f t="shared" si="3"/>
        <v>245.708</v>
      </c>
      <c r="U14" s="43">
        <f t="shared" si="3"/>
        <v>245.708</v>
      </c>
      <c r="V14" s="43">
        <f t="shared" si="3"/>
        <v>245.708</v>
      </c>
      <c r="W14" s="43">
        <f t="shared" si="3"/>
        <v>245.708</v>
      </c>
      <c r="X14" s="43">
        <f t="shared" si="3"/>
        <v>245.708</v>
      </c>
      <c r="Y14" s="43">
        <f t="shared" si="3"/>
        <v>11835.708</v>
      </c>
      <c r="Z14" s="43">
        <v>0</v>
      </c>
      <c r="AA14" s="43">
        <v>0</v>
      </c>
    </row>
    <row r="15" ht="16.5" customHeight="1" spans="1:27">
      <c r="A15" s="43" t="s">
        <v>156</v>
      </c>
      <c r="B15" s="43" t="s">
        <v>458</v>
      </c>
      <c r="C15" s="43">
        <f>(SUM(E15:Y15))</f>
        <v>11590</v>
      </c>
      <c r="D15" s="43">
        <v>0</v>
      </c>
      <c r="E15" s="43">
        <v>0</v>
      </c>
      <c r="F15" s="43">
        <v>0</v>
      </c>
      <c r="G15" s="43">
        <v>0</v>
      </c>
      <c r="H15" s="43">
        <v>0</v>
      </c>
      <c r="I15" s="43">
        <v>0</v>
      </c>
      <c r="J15" s="43">
        <v>0</v>
      </c>
      <c r="K15" s="43">
        <v>0</v>
      </c>
      <c r="L15" s="43">
        <v>0</v>
      </c>
      <c r="M15" s="43">
        <v>0</v>
      </c>
      <c r="N15" s="43">
        <v>0</v>
      </c>
      <c r="O15" s="43">
        <v>0</v>
      </c>
      <c r="P15" s="43">
        <v>0</v>
      </c>
      <c r="Q15" s="43">
        <v>0</v>
      </c>
      <c r="R15" s="43">
        <v>0</v>
      </c>
      <c r="S15" s="43">
        <v>0</v>
      </c>
      <c r="T15" s="43">
        <v>0</v>
      </c>
      <c r="U15" s="43">
        <v>0</v>
      </c>
      <c r="V15" s="43">
        <v>0</v>
      </c>
      <c r="W15" s="43">
        <v>0</v>
      </c>
      <c r="X15" s="43">
        <v>0</v>
      </c>
      <c r="Y15" s="43">
        <f>(C.1项目融资信息!$D$5)</f>
        <v>11590</v>
      </c>
      <c r="Z15" s="43">
        <v>0</v>
      </c>
      <c r="AA15" s="43">
        <v>0</v>
      </c>
    </row>
    <row r="16" ht="16.5" customHeight="1" spans="1:27">
      <c r="A16" s="43" t="s">
        <v>157</v>
      </c>
      <c r="B16" s="43" t="s">
        <v>459</v>
      </c>
      <c r="C16" s="43">
        <f>(SUM(E16:Y16))</f>
        <v>4914.16</v>
      </c>
      <c r="D16" s="43">
        <v>0</v>
      </c>
      <c r="E16" s="43">
        <v>0</v>
      </c>
      <c r="F16" s="43">
        <f>((F17+F15)*C.1项目融资信息!$H$5)</f>
        <v>245.708</v>
      </c>
      <c r="G16" s="43">
        <f>((G17+G15)*C.1项目融资信息!$H$5)</f>
        <v>245.708</v>
      </c>
      <c r="H16" s="43">
        <f>((H17+H15)*C.1项目融资信息!$H$5)</f>
        <v>245.708</v>
      </c>
      <c r="I16" s="43">
        <f>((I17+I15)*C.1项目融资信息!$H$5)</f>
        <v>245.708</v>
      </c>
      <c r="J16" s="43">
        <f>((J17+J15)*C.1项目融资信息!$H$5)</f>
        <v>245.708</v>
      </c>
      <c r="K16" s="43">
        <f>((K17+K15)*C.1项目融资信息!$H$5)</f>
        <v>245.708</v>
      </c>
      <c r="L16" s="43">
        <f>((L17+L15)*C.1项目融资信息!$H$5)</f>
        <v>245.708</v>
      </c>
      <c r="M16" s="43">
        <f>((M17+M15)*C.1项目融资信息!$H$5)</f>
        <v>245.708</v>
      </c>
      <c r="N16" s="43">
        <f>((N17+N15)*C.1项目融资信息!$H$5)</f>
        <v>245.708</v>
      </c>
      <c r="O16" s="43">
        <f>((O17+O15)*C.1项目融资信息!$H$5)</f>
        <v>245.708</v>
      </c>
      <c r="P16" s="43">
        <f>((P17+P15)*C.1项目融资信息!$H$5)</f>
        <v>245.708</v>
      </c>
      <c r="Q16" s="43">
        <f>((Q17+Q15)*C.1项目融资信息!$H$5)</f>
        <v>245.708</v>
      </c>
      <c r="R16" s="43">
        <f>((R17+R15)*C.1项目融资信息!$H$5)</f>
        <v>245.708</v>
      </c>
      <c r="S16" s="43">
        <f>((S17+S15)*C.1项目融资信息!$H$5)</f>
        <v>245.708</v>
      </c>
      <c r="T16" s="43">
        <f>((T17+T15)*C.1项目融资信息!$H$5)</f>
        <v>245.708</v>
      </c>
      <c r="U16" s="43">
        <f>((U17+U15)*C.1项目融资信息!$H$5)</f>
        <v>245.708</v>
      </c>
      <c r="V16" s="43">
        <f>((V17+V15)*C.1项目融资信息!$H$5)</f>
        <v>245.708</v>
      </c>
      <c r="W16" s="43">
        <f>((W17+W15)*C.1项目融资信息!$H$5)</f>
        <v>245.708</v>
      </c>
      <c r="X16" s="43">
        <f>((X17+X15)*C.1项目融资信息!$H$5)</f>
        <v>245.708</v>
      </c>
      <c r="Y16" s="43">
        <f>((Y17+Y15)*C.1项目融资信息!$H$5)</f>
        <v>245.708</v>
      </c>
      <c r="Z16" s="43">
        <v>0</v>
      </c>
      <c r="AA16" s="43">
        <v>0</v>
      </c>
    </row>
    <row r="17" ht="16.5" customHeight="1" spans="1:27">
      <c r="A17" s="43" t="s">
        <v>470</v>
      </c>
      <c r="B17" s="43" t="s">
        <v>461</v>
      </c>
      <c r="C17" s="43">
        <v>0</v>
      </c>
      <c r="D17" s="43">
        <v>0</v>
      </c>
      <c r="E17" s="43">
        <f>(E13+C.2项目每年借款信息!$D$4-E15)</f>
        <v>11590</v>
      </c>
      <c r="F17" s="43">
        <f>(F13+C.2项目每年借款信息!$E$4-F15)</f>
        <v>11590</v>
      </c>
      <c r="G17" s="43">
        <f>(G13+C.2项目每年借款信息!$F$4-G15)</f>
        <v>11590</v>
      </c>
      <c r="H17" s="43">
        <f>(H13+C.2项目每年借款信息!$G$4-H15)</f>
        <v>11590</v>
      </c>
      <c r="I17" s="43">
        <f>(I13+C.2项目每年借款信息!$H$4-I15)</f>
        <v>11590</v>
      </c>
      <c r="J17" s="43">
        <f>(J13+C.2项目每年借款信息!$I$4-J15)</f>
        <v>11590</v>
      </c>
      <c r="K17" s="43">
        <f>(K13+C.2项目每年借款信息!$J$4-K15)</f>
        <v>11590</v>
      </c>
      <c r="L17" s="43">
        <f>(L13+C.2项目每年借款信息!$K$4-L15)</f>
        <v>11590</v>
      </c>
      <c r="M17" s="43">
        <f>(M13+C.2项目每年借款信息!$L$4-M15)</f>
        <v>11590</v>
      </c>
      <c r="N17" s="43">
        <f>(N13+C.2项目每年借款信息!$M$4-N15)</f>
        <v>11590</v>
      </c>
      <c r="O17" s="43">
        <f>(O13+C.2项目每年借款信息!$N$4-O15)</f>
        <v>11590</v>
      </c>
      <c r="P17" s="43">
        <f>(P13+C.2项目每年借款信息!$O$4-P15)</f>
        <v>11590</v>
      </c>
      <c r="Q17" s="43">
        <f>(Q13+C.2项目每年借款信息!$P$4-Q15)</f>
        <v>11590</v>
      </c>
      <c r="R17" s="43">
        <f>(R13+C.2项目每年借款信息!$Q$4-R15)</f>
        <v>11590</v>
      </c>
      <c r="S17" s="43">
        <f>(S13+C.2项目每年借款信息!$R$4-S15)</f>
        <v>11590</v>
      </c>
      <c r="T17" s="43">
        <f>(T13+C.2项目每年借款信息!$S$4-T15)</f>
        <v>11590</v>
      </c>
      <c r="U17" s="43">
        <f>(U13+C.2项目每年借款信息!$T$4-U15)</f>
        <v>11590</v>
      </c>
      <c r="V17" s="43">
        <f>(V13+C.2项目每年借款信息!$U$4-V15)</f>
        <v>11590</v>
      </c>
      <c r="W17" s="43">
        <f>(W13+C.2项目每年借款信息!$V$4-W15)</f>
        <v>11590</v>
      </c>
      <c r="X17" s="43">
        <f>(X13+C.2项目每年借款信息!$W$4-X15)</f>
        <v>11590</v>
      </c>
      <c r="Y17" s="43">
        <f>(Y13+C.2项目每年借款信息!$X$4-Y15)</f>
        <v>0</v>
      </c>
      <c r="Z17" s="43">
        <v>0</v>
      </c>
      <c r="AA17" s="43">
        <v>0</v>
      </c>
    </row>
    <row r="18" ht="16.5" customHeight="1" spans="1:27">
      <c r="A18" s="43" t="s">
        <v>471</v>
      </c>
      <c r="B18" s="43" t="s">
        <v>463</v>
      </c>
      <c r="C18" s="43">
        <f>(SUM(E18:Y18))</f>
        <v>0.825208</v>
      </c>
      <c r="D18" s="43">
        <v>0</v>
      </c>
      <c r="E18" s="43">
        <f>(E14*A财务假设!$D$18)</f>
        <v>0</v>
      </c>
      <c r="F18" s="43">
        <f>(F14*A财务假设!$D$18)</f>
        <v>0.0122854</v>
      </c>
      <c r="G18" s="43">
        <f>(G14*A财务假设!$D$18)</f>
        <v>0.0122854</v>
      </c>
      <c r="H18" s="43">
        <f>(H14*A财务假设!$D$18)</f>
        <v>0.0122854</v>
      </c>
      <c r="I18" s="43">
        <f>(I14*A财务假设!$D$18)</f>
        <v>0.0122854</v>
      </c>
      <c r="J18" s="43">
        <f>(J14*A财务假设!$D$18)</f>
        <v>0.0122854</v>
      </c>
      <c r="K18" s="43">
        <f>(K14*A财务假设!$D$18)</f>
        <v>0.0122854</v>
      </c>
      <c r="L18" s="43">
        <f>(L14*A财务假设!$D$18)</f>
        <v>0.0122854</v>
      </c>
      <c r="M18" s="43">
        <f>(M14*A财务假设!$D$18)</f>
        <v>0.0122854</v>
      </c>
      <c r="N18" s="43">
        <f>(N14*A财务假设!$D$18)</f>
        <v>0.0122854</v>
      </c>
      <c r="O18" s="43">
        <f>(O14*A财务假设!$D$18)</f>
        <v>0.0122854</v>
      </c>
      <c r="P18" s="43">
        <f>(P14*A财务假设!$D$18)</f>
        <v>0.0122854</v>
      </c>
      <c r="Q18" s="43">
        <f>(Q14*A财务假设!$D$18)</f>
        <v>0.0122854</v>
      </c>
      <c r="R18" s="43">
        <f>(R14*A财务假设!$D$18)</f>
        <v>0.0122854</v>
      </c>
      <c r="S18" s="43">
        <f>(S14*A财务假设!$D$18)</f>
        <v>0.0122854</v>
      </c>
      <c r="T18" s="43">
        <f>(T14*A财务假设!$D$18)</f>
        <v>0.0122854</v>
      </c>
      <c r="U18" s="43">
        <f>(U14*A财务假设!$D$18)</f>
        <v>0.0122854</v>
      </c>
      <c r="V18" s="43">
        <f>(V14*A财务假设!$D$18)</f>
        <v>0.0122854</v>
      </c>
      <c r="W18" s="43">
        <f>(W14*A财务假设!$D$18)</f>
        <v>0.0122854</v>
      </c>
      <c r="X18" s="43">
        <f>(X14*A财务假设!$D$18)</f>
        <v>0.0122854</v>
      </c>
      <c r="Y18" s="43">
        <f>(Y14*A财务假设!$D$18)</f>
        <v>0.5917854</v>
      </c>
      <c r="Z18" s="43">
        <v>0</v>
      </c>
      <c r="AA18" s="43">
        <v>0</v>
      </c>
    </row>
    <row r="19" ht="16.5" customHeight="1" spans="1:27">
      <c r="A19" s="43" t="s">
        <v>472</v>
      </c>
      <c r="B19" s="43" t="s">
        <v>465</v>
      </c>
      <c r="C19" s="43">
        <f>(SUM(E19:Y19))</f>
        <v>10.01376</v>
      </c>
      <c r="D19" s="43">
        <v>0</v>
      </c>
      <c r="E19" s="43">
        <f>(C.2项目每年借款信息!$D$4*(A财务假设!$D$16+A财务假设!$D$17))</f>
        <v>10.01376</v>
      </c>
      <c r="F19" s="43">
        <f>(C.2项目每年借款信息!$E$4*(A财务假设!$D$16+A财务假设!$D$17))</f>
        <v>0</v>
      </c>
      <c r="G19" s="43">
        <f>(C.2项目每年借款信息!$F$4*(A财务假设!$D$16+A财务假设!$D$17))</f>
        <v>0</v>
      </c>
      <c r="H19" s="43">
        <f>(C.2项目每年借款信息!$G$4*(A财务假设!$D$16+A财务假设!$D$17))</f>
        <v>0</v>
      </c>
      <c r="I19" s="43">
        <f>(C.2项目每年借款信息!$H$4*(A财务假设!$D$16+A财务假设!$D$17))</f>
        <v>0</v>
      </c>
      <c r="J19" s="43">
        <f>(C.2项目每年借款信息!$I$4*(A财务假设!$D$16+A财务假设!$D$17))</f>
        <v>0</v>
      </c>
      <c r="K19" s="43">
        <f>(C.2项目每年借款信息!$J$4*(A财务假设!$D$16+A财务假设!$D$17))</f>
        <v>0</v>
      </c>
      <c r="L19" s="43">
        <f>(C.2项目每年借款信息!$K$4*(A财务假设!$D$16+A财务假设!$D$17))</f>
        <v>0</v>
      </c>
      <c r="M19" s="43">
        <f>(C.2项目每年借款信息!$L$4*(A财务假设!$D$16+A财务假设!$D$17))</f>
        <v>0</v>
      </c>
      <c r="N19" s="43">
        <f>(C.2项目每年借款信息!$M$4*(A财务假设!$D$16+A财务假设!$D$17))</f>
        <v>0</v>
      </c>
      <c r="O19" s="43">
        <f>(C.2项目每年借款信息!$N$4*(A财务假设!$D$16+A财务假设!$D$17))</f>
        <v>0</v>
      </c>
      <c r="P19" s="43">
        <f>(C.2项目每年借款信息!$O$4*(A财务假设!$D$16+A财务假设!$D$17))</f>
        <v>0</v>
      </c>
      <c r="Q19" s="43">
        <f>(C.2项目每年借款信息!$P$4*(A财务假设!$D$16+A财务假设!$D$17))</f>
        <v>0</v>
      </c>
      <c r="R19" s="43">
        <f>(C.2项目每年借款信息!$Q$4*(A财务假设!$D$16+A财务假设!$D$17))</f>
        <v>0</v>
      </c>
      <c r="S19" s="43">
        <f>(C.2项目每年借款信息!$R$4*(A财务假设!$D$16+A财务假设!$D$17))</f>
        <v>0</v>
      </c>
      <c r="T19" s="43">
        <f>(C.2项目每年借款信息!$S$4*(A财务假设!$D$16+A财务假设!$D$17))</f>
        <v>0</v>
      </c>
      <c r="U19" s="43">
        <f>(C.2项目每年借款信息!$T$4*(A财务假设!$D$16+A财务假设!$D$17))</f>
        <v>0</v>
      </c>
      <c r="V19" s="43">
        <f>(C.2项目每年借款信息!$U$4*(A财务假设!$D$16+A财务假设!$D$17))</f>
        <v>0</v>
      </c>
      <c r="W19" s="43">
        <f>(C.2项目每年借款信息!$V$4*(A财务假设!$D$16+A财务假设!$D$17))</f>
        <v>0</v>
      </c>
      <c r="X19" s="43">
        <f>(C.2项目每年借款信息!$W$4*(A财务假设!$D$16+A财务假设!$D$17))</f>
        <v>0</v>
      </c>
      <c r="Y19" s="43">
        <f>(C.2项目每年借款信息!$X$4*(A财务假设!$D$16+A财务假设!$D$17))</f>
        <v>0</v>
      </c>
      <c r="Z19" s="43">
        <v>0</v>
      </c>
      <c r="AA19" s="43">
        <v>0</v>
      </c>
    </row>
    <row r="20" ht="16.5" customHeight="1" spans="1:27">
      <c r="A20" s="43" t="s">
        <v>473</v>
      </c>
      <c r="B20" s="43" t="s">
        <v>467</v>
      </c>
      <c r="C20" s="43">
        <v>0</v>
      </c>
      <c r="D20" s="43">
        <v>0</v>
      </c>
      <c r="E20" s="43">
        <f>(IF(($E$2-YEAR(C.1项目融资信息!$E$5))=0,(12-MONTH(C.1项目融资信息!$E$5)+1)*C.1项目融资信息!$D$5*C.1项目融资信息!$H$5/12,C.1项目融资信息!$D$5*C.1项目融资信息!$H$5))</f>
        <v>81.9026666666667</v>
      </c>
      <c r="F20" s="43">
        <f>(IF(($F$2-YEAR(C.1项目融资信息!$E$5))=0,(12-MONTH(C.1项目融资信息!$E$5)+1)*C.1项目融资信息!$D$5*C.1项目融资信息!$H$5/12,C.1项目融资信息!$D$5*C.1项目融资信息!$H$5))</f>
        <v>245.708</v>
      </c>
      <c r="G20" s="43">
        <f>(IF(($G$2-YEAR(C.1项目融资信息!$E$5))=0,(12-MONTH(C.1项目融资信息!$E$5)+1)*C.1项目融资信息!$D$5*C.1项目融资信息!$H$5/12,C.1项目融资信息!$D$5*C.1项目融资信息!$H$5))</f>
        <v>245.708</v>
      </c>
      <c r="H20" s="43">
        <f>(IF(($H$2-YEAR(C.1项目融资信息!$E$5))=0,(12-MONTH(C.1项目融资信息!$E$5)+1)*C.1项目融资信息!$D$5*C.1项目融资信息!$H$5/12,C.1项目融资信息!$D$5*C.1项目融资信息!$H$5))</f>
        <v>245.708</v>
      </c>
      <c r="I20" s="43">
        <f>(IF(($I$2-YEAR(C.1项目融资信息!$E$5))=0,(12-MONTH(C.1项目融资信息!$E$5)+1)*C.1项目融资信息!$D$5*C.1项目融资信息!$H$5/12,C.1项目融资信息!$D$5*C.1项目融资信息!$H$5))</f>
        <v>245.708</v>
      </c>
      <c r="J20" s="43">
        <f>(IF(($J$2-YEAR(C.1项目融资信息!$E$5))=0,(12-MONTH(C.1项目融资信息!$E$5)+1)*C.1项目融资信息!$D$5*C.1项目融资信息!$H$5/12,C.1项目融资信息!$D$5*C.1项目融资信息!$H$5))</f>
        <v>245.708</v>
      </c>
      <c r="K20" s="43">
        <f>(IF(($K$2-YEAR(C.1项目融资信息!$E$5))=0,(12-MONTH(C.1项目融资信息!$E$5)+1)*C.1项目融资信息!$D$5*C.1项目融资信息!$H$5/12,C.1项目融资信息!$D$5*C.1项目融资信息!$H$5))</f>
        <v>245.708</v>
      </c>
      <c r="L20" s="43">
        <f>(IF(($L$2-YEAR(C.1项目融资信息!$E$5))=0,(12-MONTH(C.1项目融资信息!$E$5)+1)*C.1项目融资信息!$D$5*C.1项目融资信息!$H$5/12,C.1项目融资信息!$D$5*C.1项目融资信息!$H$5))</f>
        <v>245.708</v>
      </c>
      <c r="M20" s="43">
        <f>(IF(($M$2-YEAR(C.1项目融资信息!$E$5))=0,(12-MONTH(C.1项目融资信息!$E$5)+1)*C.1项目融资信息!$D$5*C.1项目融资信息!$H$5/12,C.1项目融资信息!$D$5*C.1项目融资信息!$H$5))</f>
        <v>245.708</v>
      </c>
      <c r="N20" s="43">
        <f>(IF(($N$2-YEAR(C.1项目融资信息!$E$5))=0,(12-MONTH(C.1项目融资信息!$E$5)+1)*C.1项目融资信息!$D$5*C.1项目融资信息!$H$5/12,C.1项目融资信息!$D$5*C.1项目融资信息!$H$5))</f>
        <v>245.708</v>
      </c>
      <c r="O20" s="43">
        <f>(IF(($O$2-YEAR(C.1项目融资信息!$E$5))=0,(12-MONTH(C.1项目融资信息!$E$5)+1)*C.1项目融资信息!$D$5*C.1项目融资信息!$H$5/12,C.1项目融资信息!$D$5*C.1项目融资信息!$H$5))</f>
        <v>245.708</v>
      </c>
      <c r="P20" s="43">
        <f>(IF(($P$2-YEAR(C.1项目融资信息!$E$5))=0,(12-MONTH(C.1项目融资信息!$E$5)+1)*C.1项目融资信息!$D$5*C.1项目融资信息!$H$5/12,C.1项目融资信息!$D$5*C.1项目融资信息!$H$5))</f>
        <v>245.708</v>
      </c>
      <c r="Q20" s="43">
        <f>(IF(($Q$2-YEAR(C.1项目融资信息!$E$5))=0,(12-MONTH(C.1项目融资信息!$E$5)+1)*C.1项目融资信息!$D$5*C.1项目融资信息!$H$5/12,C.1项目融资信息!$D$5*C.1项目融资信息!$H$5))</f>
        <v>245.708</v>
      </c>
      <c r="R20" s="43">
        <f>(IF(($R$2-YEAR(C.1项目融资信息!$E$5))=0,(12-MONTH(C.1项目融资信息!$E$5)+1)*C.1项目融资信息!$D$5*C.1项目融资信息!$H$5/12,C.1项目融资信息!$D$5*C.1项目融资信息!$H$5))</f>
        <v>245.708</v>
      </c>
      <c r="S20" s="43">
        <f>(IF(($S$2-YEAR(C.1项目融资信息!$E$5))=0,(12-MONTH(C.1项目融资信息!$E$5)+1)*C.1项目融资信息!$D$5*C.1项目融资信息!$H$5/12,C.1项目融资信息!$D$5*C.1项目融资信息!$H$5))</f>
        <v>245.708</v>
      </c>
      <c r="T20" s="43">
        <f>(IF(($T$2-YEAR(C.1项目融资信息!$E$5))=0,(12-MONTH(C.1项目融资信息!$E$5)+1)*C.1项目融资信息!$D$5*C.1项目融资信息!$H$5/12,C.1项目融资信息!$D$5*C.1项目融资信息!$H$5))</f>
        <v>245.708</v>
      </c>
      <c r="U20" s="43">
        <f>(IF(($U$2-YEAR(C.1项目融资信息!$E$5))=0,(12-MONTH(C.1项目融资信息!$E$5)+1)*C.1项目融资信息!$D$5*C.1项目融资信息!$H$5/12,C.1项目融资信息!$D$5*C.1项目融资信息!$H$5))</f>
        <v>245.708</v>
      </c>
      <c r="V20" s="43">
        <f>(IF(($V$2-YEAR(C.1项目融资信息!$E$5))=0,(12-MONTH(C.1项目融资信息!$E$5)+1)*C.1项目融资信息!$D$5*C.1项目融资信息!$H$5/12,C.1项目融资信息!$D$5*C.1项目融资信息!$H$5))</f>
        <v>245.708</v>
      </c>
      <c r="W20" s="43">
        <f>(IF(($W$2-YEAR(C.1项目融资信息!$E$5))=0,(12-MONTH(C.1项目融资信息!$E$5)+1)*C.1项目融资信息!$D$5*C.1项目融资信息!$H$5/12,C.1项目融资信息!$D$5*C.1项目融资信息!$H$5))</f>
        <v>245.708</v>
      </c>
      <c r="X20" s="43">
        <f>(IF(($X$2-YEAR(C.1项目融资信息!$E$5))=0,(12-MONTH(C.1项目融资信息!$E$5)+1)*C.1项目融资信息!$D$5*C.1项目融资信息!$H$5/12,C.1项目融资信息!$D$5*C.1项目融资信息!$H$5))</f>
        <v>245.708</v>
      </c>
      <c r="Y20" s="43">
        <f>(MONTH(C.1项目融资信息!$E$5)-1)*C.1项目融资信息!$D$5*C.1项目融资信息!$H$5/12</f>
        <v>163.805333333333</v>
      </c>
      <c r="Z20" s="43">
        <v>0</v>
      </c>
      <c r="AA20" s="43">
        <v>0</v>
      </c>
    </row>
    <row r="21" ht="16.5" customHeight="1" spans="1:27">
      <c r="A21" s="43">
        <v>3</v>
      </c>
      <c r="B21" s="43" t="s">
        <v>76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ht="16.5" customHeight="1" spans="1:27">
      <c r="A22" s="43" t="s">
        <v>474</v>
      </c>
      <c r="B22" s="43" t="s">
        <v>455</v>
      </c>
      <c r="C22" s="43">
        <v>0</v>
      </c>
      <c r="D22" s="43">
        <v>0</v>
      </c>
      <c r="E22" s="43">
        <v>0</v>
      </c>
      <c r="F22" s="43">
        <f t="shared" ref="F22:Z22" si="4">(E26)</f>
        <v>0</v>
      </c>
      <c r="G22" s="43">
        <f t="shared" si="4"/>
        <v>8705</v>
      </c>
      <c r="H22" s="43">
        <f t="shared" si="4"/>
        <v>8705</v>
      </c>
      <c r="I22" s="43">
        <f t="shared" si="4"/>
        <v>8705</v>
      </c>
      <c r="J22" s="43">
        <f t="shared" si="4"/>
        <v>8705</v>
      </c>
      <c r="K22" s="43">
        <f t="shared" si="4"/>
        <v>8705</v>
      </c>
      <c r="L22" s="43">
        <f t="shared" si="4"/>
        <v>8705</v>
      </c>
      <c r="M22" s="43">
        <f t="shared" si="4"/>
        <v>8705</v>
      </c>
      <c r="N22" s="43">
        <f t="shared" si="4"/>
        <v>8705</v>
      </c>
      <c r="O22" s="43">
        <f t="shared" si="4"/>
        <v>8705</v>
      </c>
      <c r="P22" s="43">
        <f t="shared" si="4"/>
        <v>8705</v>
      </c>
      <c r="Q22" s="43">
        <f t="shared" si="4"/>
        <v>8705</v>
      </c>
      <c r="R22" s="43">
        <f t="shared" si="4"/>
        <v>8705</v>
      </c>
      <c r="S22" s="43">
        <f t="shared" si="4"/>
        <v>8705</v>
      </c>
      <c r="T22" s="43">
        <f t="shared" si="4"/>
        <v>8705</v>
      </c>
      <c r="U22" s="43">
        <f t="shared" si="4"/>
        <v>8705</v>
      </c>
      <c r="V22" s="43">
        <f t="shared" si="4"/>
        <v>8705</v>
      </c>
      <c r="W22" s="43">
        <f t="shared" si="4"/>
        <v>8705</v>
      </c>
      <c r="X22" s="43">
        <f t="shared" si="4"/>
        <v>8705</v>
      </c>
      <c r="Y22" s="43">
        <f t="shared" si="4"/>
        <v>8705</v>
      </c>
      <c r="Z22" s="43">
        <f t="shared" si="4"/>
        <v>8705</v>
      </c>
      <c r="AA22" s="43">
        <v>0</v>
      </c>
    </row>
    <row r="23" ht="16.5" customHeight="1" spans="1:27">
      <c r="A23" s="43" t="s">
        <v>475</v>
      </c>
      <c r="B23" s="43" t="s">
        <v>457</v>
      </c>
      <c r="C23" s="43">
        <f>(SUM(F23:Z23))</f>
        <v>12395.92</v>
      </c>
      <c r="D23" s="43">
        <v>0</v>
      </c>
      <c r="E23" s="43">
        <v>0</v>
      </c>
      <c r="F23" s="43">
        <f t="shared" ref="F23:Z23" si="5">(F24+F25)</f>
        <v>0</v>
      </c>
      <c r="G23" s="43">
        <f t="shared" si="5"/>
        <v>184.546</v>
      </c>
      <c r="H23" s="43">
        <f t="shared" si="5"/>
        <v>184.546</v>
      </c>
      <c r="I23" s="43">
        <f t="shared" si="5"/>
        <v>184.546</v>
      </c>
      <c r="J23" s="43">
        <f t="shared" si="5"/>
        <v>184.546</v>
      </c>
      <c r="K23" s="43">
        <f t="shared" si="5"/>
        <v>184.546</v>
      </c>
      <c r="L23" s="43">
        <f t="shared" si="5"/>
        <v>184.546</v>
      </c>
      <c r="M23" s="43">
        <f t="shared" si="5"/>
        <v>184.546</v>
      </c>
      <c r="N23" s="43">
        <f t="shared" si="5"/>
        <v>184.546</v>
      </c>
      <c r="O23" s="43">
        <f t="shared" si="5"/>
        <v>184.546</v>
      </c>
      <c r="P23" s="43">
        <f t="shared" si="5"/>
        <v>184.546</v>
      </c>
      <c r="Q23" s="43">
        <f t="shared" si="5"/>
        <v>184.546</v>
      </c>
      <c r="R23" s="43">
        <f t="shared" si="5"/>
        <v>184.546</v>
      </c>
      <c r="S23" s="43">
        <f t="shared" si="5"/>
        <v>184.546</v>
      </c>
      <c r="T23" s="43">
        <f t="shared" si="5"/>
        <v>184.546</v>
      </c>
      <c r="U23" s="43">
        <f t="shared" si="5"/>
        <v>184.546</v>
      </c>
      <c r="V23" s="43">
        <f t="shared" si="5"/>
        <v>184.546</v>
      </c>
      <c r="W23" s="43">
        <f t="shared" si="5"/>
        <v>184.546</v>
      </c>
      <c r="X23" s="43">
        <f t="shared" si="5"/>
        <v>184.546</v>
      </c>
      <c r="Y23" s="43">
        <f t="shared" si="5"/>
        <v>184.546</v>
      </c>
      <c r="Z23" s="43">
        <f t="shared" si="5"/>
        <v>8889.546</v>
      </c>
      <c r="AA23" s="43">
        <v>0</v>
      </c>
    </row>
    <row r="24" ht="16.5" customHeight="1" spans="1:27">
      <c r="A24" s="43" t="s">
        <v>476</v>
      </c>
      <c r="B24" s="43" t="s">
        <v>458</v>
      </c>
      <c r="C24" s="43">
        <f>(SUM(F24:Z24))</f>
        <v>8705</v>
      </c>
      <c r="D24" s="43">
        <v>0</v>
      </c>
      <c r="E24" s="43">
        <v>0</v>
      </c>
      <c r="F24" s="43">
        <v>0</v>
      </c>
      <c r="G24" s="43">
        <v>0</v>
      </c>
      <c r="H24" s="43">
        <v>0</v>
      </c>
      <c r="I24" s="43">
        <v>0</v>
      </c>
      <c r="J24" s="43">
        <v>0</v>
      </c>
      <c r="K24" s="43">
        <v>0</v>
      </c>
      <c r="L24" s="43">
        <v>0</v>
      </c>
      <c r="M24" s="43">
        <v>0</v>
      </c>
      <c r="N24" s="43">
        <v>0</v>
      </c>
      <c r="O24" s="43">
        <v>0</v>
      </c>
      <c r="P24" s="43">
        <v>0</v>
      </c>
      <c r="Q24" s="43">
        <v>0</v>
      </c>
      <c r="R24" s="43">
        <v>0</v>
      </c>
      <c r="S24" s="43">
        <v>0</v>
      </c>
      <c r="T24" s="43">
        <v>0</v>
      </c>
      <c r="U24" s="43">
        <v>0</v>
      </c>
      <c r="V24" s="43">
        <v>0</v>
      </c>
      <c r="W24" s="43">
        <v>0</v>
      </c>
      <c r="X24" s="43">
        <v>0</v>
      </c>
      <c r="Y24" s="43">
        <v>0</v>
      </c>
      <c r="Z24" s="43">
        <f>(C.1项目融资信息!$D$6)</f>
        <v>8705</v>
      </c>
      <c r="AA24" s="43">
        <v>0</v>
      </c>
    </row>
    <row r="25" ht="16.5" customHeight="1" spans="1:27">
      <c r="A25" s="43" t="s">
        <v>477</v>
      </c>
      <c r="B25" s="43" t="s">
        <v>459</v>
      </c>
      <c r="C25" s="43">
        <f>(SUM(F25:Z25))</f>
        <v>3690.92</v>
      </c>
      <c r="D25" s="43">
        <v>0</v>
      </c>
      <c r="E25" s="43">
        <v>0</v>
      </c>
      <c r="F25" s="43">
        <v>0</v>
      </c>
      <c r="G25" s="43">
        <f>((G26+G24)*C.1项目融资信息!$H$6)</f>
        <v>184.546</v>
      </c>
      <c r="H25" s="43">
        <f>((H26+H24)*C.1项目融资信息!$H$6)</f>
        <v>184.546</v>
      </c>
      <c r="I25" s="43">
        <f>((I26+I24)*C.1项目融资信息!$H$6)</f>
        <v>184.546</v>
      </c>
      <c r="J25" s="43">
        <f>((J26+J24)*C.1项目融资信息!$H$6)</f>
        <v>184.546</v>
      </c>
      <c r="K25" s="43">
        <f>((K26+K24)*C.1项目融资信息!$H$6)</f>
        <v>184.546</v>
      </c>
      <c r="L25" s="43">
        <f>((L26+L24)*C.1项目融资信息!$H$6)</f>
        <v>184.546</v>
      </c>
      <c r="M25" s="43">
        <f>((M26+M24)*C.1项目融资信息!$H$6)</f>
        <v>184.546</v>
      </c>
      <c r="N25" s="43">
        <f>((N26+N24)*C.1项目融资信息!$H$6)</f>
        <v>184.546</v>
      </c>
      <c r="O25" s="43">
        <f>((O26+O24)*C.1项目融资信息!$H$6)</f>
        <v>184.546</v>
      </c>
      <c r="P25" s="43">
        <f>((P26+P24)*C.1项目融资信息!$H$6)</f>
        <v>184.546</v>
      </c>
      <c r="Q25" s="43">
        <f>((Q26+Q24)*C.1项目融资信息!$H$6)</f>
        <v>184.546</v>
      </c>
      <c r="R25" s="43">
        <f>((R26+R24)*C.1项目融资信息!$H$6)</f>
        <v>184.546</v>
      </c>
      <c r="S25" s="43">
        <f>((S26+S24)*C.1项目融资信息!$H$6)</f>
        <v>184.546</v>
      </c>
      <c r="T25" s="43">
        <f>((T26+T24)*C.1项目融资信息!$H$6)</f>
        <v>184.546</v>
      </c>
      <c r="U25" s="43">
        <f>((U26+U24)*C.1项目融资信息!$H$6)</f>
        <v>184.546</v>
      </c>
      <c r="V25" s="43">
        <f>((V26+V24)*C.1项目融资信息!$H$6)</f>
        <v>184.546</v>
      </c>
      <c r="W25" s="43">
        <f>((W26+W24)*C.1项目融资信息!$H$6)</f>
        <v>184.546</v>
      </c>
      <c r="X25" s="43">
        <f>((X26+X24)*C.1项目融资信息!$H$6)</f>
        <v>184.546</v>
      </c>
      <c r="Y25" s="43">
        <f>((Y26+Y24)*C.1项目融资信息!$H$6)</f>
        <v>184.546</v>
      </c>
      <c r="Z25" s="43">
        <f>((Z26+Z24)*C.1项目融资信息!$H$6)</f>
        <v>184.546</v>
      </c>
      <c r="AA25" s="43">
        <v>0</v>
      </c>
    </row>
    <row r="26" ht="16.5" customHeight="1" spans="1:27">
      <c r="A26" s="43" t="s">
        <v>478</v>
      </c>
      <c r="B26" s="43" t="s">
        <v>461</v>
      </c>
      <c r="C26" s="43">
        <v>0</v>
      </c>
      <c r="D26" s="43">
        <v>0</v>
      </c>
      <c r="E26" s="43">
        <v>0</v>
      </c>
      <c r="F26" s="43">
        <f>(F22+C.2项目每年借款信息!$E$5-F24)</f>
        <v>8705</v>
      </c>
      <c r="G26" s="43">
        <f>(G22+C.2项目每年借款信息!$F$5-G24)</f>
        <v>8705</v>
      </c>
      <c r="H26" s="43">
        <f>(H22+C.2项目每年借款信息!$G$5-H24)</f>
        <v>8705</v>
      </c>
      <c r="I26" s="43">
        <f>(I22+C.2项目每年借款信息!$H$5-I24)</f>
        <v>8705</v>
      </c>
      <c r="J26" s="43">
        <f>(J22+C.2项目每年借款信息!$I$5-J24)</f>
        <v>8705</v>
      </c>
      <c r="K26" s="43">
        <f>(K22+C.2项目每年借款信息!$J$5-K24)</f>
        <v>8705</v>
      </c>
      <c r="L26" s="43">
        <f>(L22+C.2项目每年借款信息!$K$5-L24)</f>
        <v>8705</v>
      </c>
      <c r="M26" s="43">
        <f>(M22+C.2项目每年借款信息!$L$5-M24)</f>
        <v>8705</v>
      </c>
      <c r="N26" s="43">
        <f>(N22+C.2项目每年借款信息!$M$5-N24)</f>
        <v>8705</v>
      </c>
      <c r="O26" s="43">
        <f>(O22+C.2项目每年借款信息!$N$5-O24)</f>
        <v>8705</v>
      </c>
      <c r="P26" s="43">
        <f>(P22+C.2项目每年借款信息!$O$5-P24)</f>
        <v>8705</v>
      </c>
      <c r="Q26" s="43">
        <f>(Q22+C.2项目每年借款信息!$P$5-Q24)</f>
        <v>8705</v>
      </c>
      <c r="R26" s="43">
        <f>(R22+C.2项目每年借款信息!$Q$5-R24)</f>
        <v>8705</v>
      </c>
      <c r="S26" s="43">
        <f>(S22+C.2项目每年借款信息!$R$5-S24)</f>
        <v>8705</v>
      </c>
      <c r="T26" s="43">
        <f>(T22+C.2项目每年借款信息!$S$5-T24)</f>
        <v>8705</v>
      </c>
      <c r="U26" s="43">
        <f>(U22+C.2项目每年借款信息!$T$5-U24)</f>
        <v>8705</v>
      </c>
      <c r="V26" s="43">
        <f>(V22+C.2项目每年借款信息!$U$5-V24)</f>
        <v>8705</v>
      </c>
      <c r="W26" s="43">
        <f>(W22+C.2项目每年借款信息!$V$5-W24)</f>
        <v>8705</v>
      </c>
      <c r="X26" s="43">
        <f>(X22+C.2项目每年借款信息!$W$5-X24)</f>
        <v>8705</v>
      </c>
      <c r="Y26" s="43">
        <f>(Y22+C.2项目每年借款信息!$X$5-Y24)</f>
        <v>8705</v>
      </c>
      <c r="Z26" s="43">
        <f>(Z22+C.2项目每年借款信息!$Y$5-Z24)</f>
        <v>0</v>
      </c>
      <c r="AA26" s="43">
        <v>0</v>
      </c>
    </row>
    <row r="27" ht="16.5" customHeight="1" spans="1:27">
      <c r="A27" s="43" t="s">
        <v>479</v>
      </c>
      <c r="B27" s="43" t="s">
        <v>463</v>
      </c>
      <c r="C27" s="43">
        <f>(SUM(F27:Z27))</f>
        <v>0.619796</v>
      </c>
      <c r="D27" s="43">
        <v>0</v>
      </c>
      <c r="E27" s="43">
        <v>0</v>
      </c>
      <c r="F27" s="43">
        <f>(F23*A财务假设!$D$18)</f>
        <v>0</v>
      </c>
      <c r="G27" s="43">
        <f>(G23*A财务假设!$D$18)</f>
        <v>0.0092273</v>
      </c>
      <c r="H27" s="43">
        <f>(H23*A财务假设!$D$18)</f>
        <v>0.0092273</v>
      </c>
      <c r="I27" s="43">
        <f>(I23*A财务假设!$D$18)</f>
        <v>0.0092273</v>
      </c>
      <c r="J27" s="43">
        <f>(J23*A财务假设!$D$18)</f>
        <v>0.0092273</v>
      </c>
      <c r="K27" s="43">
        <f>(K23*A财务假设!$D$18)</f>
        <v>0.0092273</v>
      </c>
      <c r="L27" s="43">
        <f>(L23*A财务假设!$D$18)</f>
        <v>0.0092273</v>
      </c>
      <c r="M27" s="43">
        <f>(M23*A财务假设!$D$18)</f>
        <v>0.0092273</v>
      </c>
      <c r="N27" s="43">
        <f>(N23*A财务假设!$D$18)</f>
        <v>0.0092273</v>
      </c>
      <c r="O27" s="43">
        <f>(O23*A财务假设!$D$18)</f>
        <v>0.0092273</v>
      </c>
      <c r="P27" s="43">
        <f>(P23*A财务假设!$D$18)</f>
        <v>0.0092273</v>
      </c>
      <c r="Q27" s="43">
        <f>(Q23*A财务假设!$D$18)</f>
        <v>0.0092273</v>
      </c>
      <c r="R27" s="43">
        <f>(R23*A财务假设!$D$18)</f>
        <v>0.0092273</v>
      </c>
      <c r="S27" s="43">
        <f>(S23*A财务假设!$D$18)</f>
        <v>0.0092273</v>
      </c>
      <c r="T27" s="43">
        <f>(T23*A财务假设!$D$18)</f>
        <v>0.0092273</v>
      </c>
      <c r="U27" s="43">
        <f>(U23*A财务假设!$D$18)</f>
        <v>0.0092273</v>
      </c>
      <c r="V27" s="43">
        <f>(V23*A财务假设!$D$18)</f>
        <v>0.0092273</v>
      </c>
      <c r="W27" s="43">
        <f>(W23*A财务假设!$D$18)</f>
        <v>0.0092273</v>
      </c>
      <c r="X27" s="43">
        <f>(X23*A财务假设!$D$18)</f>
        <v>0.0092273</v>
      </c>
      <c r="Y27" s="43">
        <f>(Y23*A财务假设!$D$18)</f>
        <v>0.0092273</v>
      </c>
      <c r="Z27" s="43">
        <f>(Z23*A财务假设!$D$18)</f>
        <v>0.4444773</v>
      </c>
      <c r="AA27" s="43">
        <v>0</v>
      </c>
    </row>
    <row r="28" ht="16.5" customHeight="1" spans="1:27">
      <c r="A28" s="43" t="s">
        <v>480</v>
      </c>
      <c r="B28" s="43" t="s">
        <v>465</v>
      </c>
      <c r="C28" s="43">
        <f>(SUM(F28:Z28))</f>
        <v>7.52112</v>
      </c>
      <c r="D28" s="43">
        <v>0</v>
      </c>
      <c r="E28" s="43">
        <v>0</v>
      </c>
      <c r="F28" s="43">
        <f>(C.2项目每年借款信息!$E$5*(A财务假设!$D$16+A财务假设!$D$17))</f>
        <v>7.52112</v>
      </c>
      <c r="G28" s="43">
        <f>(C.2项目每年借款信息!$F$5*(A财务假设!$D$16+A财务假设!$D$17))</f>
        <v>0</v>
      </c>
      <c r="H28" s="43">
        <f>(C.2项目每年借款信息!$G$5*(A财务假设!$D$16+A财务假设!$D$17))</f>
        <v>0</v>
      </c>
      <c r="I28" s="43">
        <f>(C.2项目每年借款信息!$H$5*(A财务假设!$D$16+A财务假设!$D$17))</f>
        <v>0</v>
      </c>
      <c r="J28" s="43">
        <f>(C.2项目每年借款信息!$I$5*(A财务假设!$D$16+A财务假设!$D$17))</f>
        <v>0</v>
      </c>
      <c r="K28" s="43">
        <f>(C.2项目每年借款信息!$J$5*(A财务假设!$D$16+A财务假设!$D$17))</f>
        <v>0</v>
      </c>
      <c r="L28" s="43">
        <f>(C.2项目每年借款信息!$K$5*(A财务假设!$D$16+A财务假设!$D$17))</f>
        <v>0</v>
      </c>
      <c r="M28" s="43">
        <f>(C.2项目每年借款信息!$L$5*(A财务假设!$D$16+A财务假设!$D$17))</f>
        <v>0</v>
      </c>
      <c r="N28" s="43">
        <f>(C.2项目每年借款信息!$M$5*(A财务假设!$D$16+A财务假设!$D$17))</f>
        <v>0</v>
      </c>
      <c r="O28" s="43">
        <f>(C.2项目每年借款信息!$N$5*(A财务假设!$D$16+A财务假设!$D$17))</f>
        <v>0</v>
      </c>
      <c r="P28" s="43">
        <f>(C.2项目每年借款信息!$O$5*(A财务假设!$D$16+A财务假设!$D$17))</f>
        <v>0</v>
      </c>
      <c r="Q28" s="43">
        <f>(C.2项目每年借款信息!$P$5*(A财务假设!$D$16+A财务假设!$D$17))</f>
        <v>0</v>
      </c>
      <c r="R28" s="43">
        <f>(C.2项目每年借款信息!$Q$5*(A财务假设!$D$16+A财务假设!$D$17))</f>
        <v>0</v>
      </c>
      <c r="S28" s="43">
        <f>(C.2项目每年借款信息!$R$5*(A财务假设!$D$16+A财务假设!$D$17))</f>
        <v>0</v>
      </c>
      <c r="T28" s="43">
        <f>(C.2项目每年借款信息!$S$5*(A财务假设!$D$16+A财务假设!$D$17))</f>
        <v>0</v>
      </c>
      <c r="U28" s="43">
        <f>(C.2项目每年借款信息!$T$5*(A财务假设!$D$16+A财务假设!$D$17))</f>
        <v>0</v>
      </c>
      <c r="V28" s="43">
        <f>(C.2项目每年借款信息!$U$5*(A财务假设!$D$16+A财务假设!$D$17))</f>
        <v>0</v>
      </c>
      <c r="W28" s="43">
        <f>(C.2项目每年借款信息!$V$5*(A财务假设!$D$16+A财务假设!$D$17))</f>
        <v>0</v>
      </c>
      <c r="X28" s="43">
        <f>(C.2项目每年借款信息!$W$5*(A财务假设!$D$16+A财务假设!$D$17))</f>
        <v>0</v>
      </c>
      <c r="Y28" s="43">
        <f>(C.2项目每年借款信息!$X$5*(A财务假设!$D$16+A财务假设!$D$17))</f>
        <v>0</v>
      </c>
      <c r="Z28" s="43">
        <f>(C.2项目每年借款信息!$Y$5*(A财务假设!$D$16+A财务假设!$D$17))</f>
        <v>0</v>
      </c>
      <c r="AA28" s="43">
        <v>0</v>
      </c>
    </row>
    <row r="29" ht="16.5" customHeight="1" spans="1:27">
      <c r="A29" s="43" t="s">
        <v>481</v>
      </c>
      <c r="B29" s="43" t="s">
        <v>467</v>
      </c>
      <c r="C29" s="43">
        <v>0</v>
      </c>
      <c r="D29" s="43">
        <v>0</v>
      </c>
      <c r="E29" s="43">
        <v>0</v>
      </c>
      <c r="F29" s="43">
        <f>(IF(($F$2-YEAR(C.1项目融资信息!$E$6))=0,(12-MONTH(C.1项目融资信息!$E$6)+1)*C.1项目融资信息!$D$6*C.1项目融资信息!$H$6/12,C.1项目融资信息!$D$6*C.1项目融资信息!$H$6))</f>
        <v>61.5153333333333</v>
      </c>
      <c r="G29" s="43">
        <f>(IF(($G$2-YEAR(C.1项目融资信息!$E$6))=0,(12-MONTH(C.1项目融资信息!$E$6)+1)*C.1项目融资信息!$D$6*C.1项目融资信息!$H$6/12,C.1项目融资信息!$D$6*C.1项目融资信息!$H$6))</f>
        <v>184.546</v>
      </c>
      <c r="H29" s="43">
        <f>(IF(($H$2-YEAR(C.1项目融资信息!$E$6))=0,(12-MONTH(C.1项目融资信息!$E$6)+1)*C.1项目融资信息!$D$6*C.1项目融资信息!$H$6/12,C.1项目融资信息!$D$6*C.1项目融资信息!$H$6))</f>
        <v>184.546</v>
      </c>
      <c r="I29" s="43">
        <f>(IF(($I$2-YEAR(C.1项目融资信息!$E$6))=0,(12-MONTH(C.1项目融资信息!$E$6)+1)*C.1项目融资信息!$D$6*C.1项目融资信息!$H$6/12,C.1项目融资信息!$D$6*C.1项目融资信息!$H$6))</f>
        <v>184.546</v>
      </c>
      <c r="J29" s="43">
        <f>(IF(($J$2-YEAR(C.1项目融资信息!$E$6))=0,(12-MONTH(C.1项目融资信息!$E$6)+1)*C.1项目融资信息!$D$6*C.1项目融资信息!$H$6/12,C.1项目融资信息!$D$6*C.1项目融资信息!$H$6))</f>
        <v>184.546</v>
      </c>
      <c r="K29" s="43">
        <f>(IF(($K$2-YEAR(C.1项目融资信息!$E$6))=0,(12-MONTH(C.1项目融资信息!$E$6)+1)*C.1项目融资信息!$D$6*C.1项目融资信息!$H$6/12,C.1项目融资信息!$D$6*C.1项目融资信息!$H$6))</f>
        <v>184.546</v>
      </c>
      <c r="L29" s="43">
        <f>(IF(($L$2-YEAR(C.1项目融资信息!$E$6))=0,(12-MONTH(C.1项目融资信息!$E$6)+1)*C.1项目融资信息!$D$6*C.1项目融资信息!$H$6/12,C.1项目融资信息!$D$6*C.1项目融资信息!$H$6))</f>
        <v>184.546</v>
      </c>
      <c r="M29" s="43">
        <f>(IF(($M$2-YEAR(C.1项目融资信息!$E$6))=0,(12-MONTH(C.1项目融资信息!$E$6)+1)*C.1项目融资信息!$D$6*C.1项目融资信息!$H$6/12,C.1项目融资信息!$D$6*C.1项目融资信息!$H$6))</f>
        <v>184.546</v>
      </c>
      <c r="N29" s="43">
        <f>(IF(($N$2-YEAR(C.1项目融资信息!$E$6))=0,(12-MONTH(C.1项目融资信息!$E$6)+1)*C.1项目融资信息!$D$6*C.1项目融资信息!$H$6/12,C.1项目融资信息!$D$6*C.1项目融资信息!$H$6))</f>
        <v>184.546</v>
      </c>
      <c r="O29" s="43">
        <f>(IF(($O$2-YEAR(C.1项目融资信息!$E$6))=0,(12-MONTH(C.1项目融资信息!$E$6)+1)*C.1项目融资信息!$D$6*C.1项目融资信息!$H$6/12,C.1项目融资信息!$D$6*C.1项目融资信息!$H$6))</f>
        <v>184.546</v>
      </c>
      <c r="P29" s="43">
        <f>(IF(($P$2-YEAR(C.1项目融资信息!$E$6))=0,(12-MONTH(C.1项目融资信息!$E$6)+1)*C.1项目融资信息!$D$6*C.1项目融资信息!$H$6/12,C.1项目融资信息!$D$6*C.1项目融资信息!$H$6))</f>
        <v>184.546</v>
      </c>
      <c r="Q29" s="43">
        <f>(IF(($Q$2-YEAR(C.1项目融资信息!$E$6))=0,(12-MONTH(C.1项目融资信息!$E$6)+1)*C.1项目融资信息!$D$6*C.1项目融资信息!$H$6/12,C.1项目融资信息!$D$6*C.1项目融资信息!$H$6))</f>
        <v>184.546</v>
      </c>
      <c r="R29" s="43">
        <f>(IF(($R$2-YEAR(C.1项目融资信息!$E$6))=0,(12-MONTH(C.1项目融资信息!$E$6)+1)*C.1项目融资信息!$D$6*C.1项目融资信息!$H$6/12,C.1项目融资信息!$D$6*C.1项目融资信息!$H$6))</f>
        <v>184.546</v>
      </c>
      <c r="S29" s="43">
        <f>(IF(($S$2-YEAR(C.1项目融资信息!$E$6))=0,(12-MONTH(C.1项目融资信息!$E$6)+1)*C.1项目融资信息!$D$6*C.1项目融资信息!$H$6/12,C.1项目融资信息!$D$6*C.1项目融资信息!$H$6))</f>
        <v>184.546</v>
      </c>
      <c r="T29" s="43">
        <f>(IF(($T$2-YEAR(C.1项目融资信息!$E$6))=0,(12-MONTH(C.1项目融资信息!$E$6)+1)*C.1项目融资信息!$D$6*C.1项目融资信息!$H$6/12,C.1项目融资信息!$D$6*C.1项目融资信息!$H$6))</f>
        <v>184.546</v>
      </c>
      <c r="U29" s="43">
        <f>(IF(($U$2-YEAR(C.1项目融资信息!$E$6))=0,(12-MONTH(C.1项目融资信息!$E$6)+1)*C.1项目融资信息!$D$6*C.1项目融资信息!$H$6/12,C.1项目融资信息!$D$6*C.1项目融资信息!$H$6))</f>
        <v>184.546</v>
      </c>
      <c r="V29" s="43">
        <f>(IF(($V$2-YEAR(C.1项目融资信息!$E$6))=0,(12-MONTH(C.1项目融资信息!$E$6)+1)*C.1项目融资信息!$D$6*C.1项目融资信息!$H$6/12,C.1项目融资信息!$D$6*C.1项目融资信息!$H$6))</f>
        <v>184.546</v>
      </c>
      <c r="W29" s="43">
        <f>(IF(($W$2-YEAR(C.1项目融资信息!$E$6))=0,(12-MONTH(C.1项目融资信息!$E$6)+1)*C.1项目融资信息!$D$6*C.1项目融资信息!$H$6/12,C.1项目融资信息!$D$6*C.1项目融资信息!$H$6))</f>
        <v>184.546</v>
      </c>
      <c r="X29" s="43">
        <f>(IF(($X$2-YEAR(C.1项目融资信息!$E$6))=0,(12-MONTH(C.1项目融资信息!$E$6)+1)*C.1项目融资信息!$D$6*C.1项目融资信息!$H$6/12,C.1项目融资信息!$D$6*C.1项目融资信息!$H$6))</f>
        <v>184.546</v>
      </c>
      <c r="Y29" s="43">
        <f>(IF(($Y$2-YEAR(C.1项目融资信息!$E$6))=0,(12-MONTH(C.1项目融资信息!$E$6)+1)*C.1项目融资信息!$D$6*C.1项目融资信息!$H$6/12,C.1项目融资信息!$D$6*C.1项目融资信息!$H$6))</f>
        <v>184.546</v>
      </c>
      <c r="Z29" s="43">
        <f>(MONTH(C.1项目融资信息!$E$6)-1)*C.1项目融资信息!$D$6*C.1项目融资信息!$H$6/12</f>
        <v>123.030666666667</v>
      </c>
      <c r="AA29" s="43">
        <v>0</v>
      </c>
    </row>
    <row r="30" ht="16.5" customHeight="1" spans="1:27">
      <c r="A30" s="43">
        <v>4</v>
      </c>
      <c r="B30" s="43" t="s">
        <v>77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ht="16.5" customHeight="1" spans="1:27">
      <c r="A31" s="43" t="s">
        <v>482</v>
      </c>
      <c r="B31" s="43" t="s">
        <v>455</v>
      </c>
      <c r="C31" s="43">
        <v>0</v>
      </c>
      <c r="D31" s="43">
        <v>0</v>
      </c>
      <c r="E31" s="43">
        <v>0</v>
      </c>
      <c r="F31" s="43">
        <v>0</v>
      </c>
      <c r="G31" s="43">
        <f t="shared" ref="G31:AA31" si="6">(F35)</f>
        <v>0</v>
      </c>
      <c r="H31" s="43">
        <f t="shared" si="6"/>
        <v>7530</v>
      </c>
      <c r="I31" s="43">
        <f t="shared" si="6"/>
        <v>7530</v>
      </c>
      <c r="J31" s="43">
        <f t="shared" si="6"/>
        <v>7530</v>
      </c>
      <c r="K31" s="43">
        <f t="shared" si="6"/>
        <v>7530</v>
      </c>
      <c r="L31" s="43">
        <f t="shared" si="6"/>
        <v>7530</v>
      </c>
      <c r="M31" s="43">
        <f t="shared" si="6"/>
        <v>7530</v>
      </c>
      <c r="N31" s="43">
        <f t="shared" si="6"/>
        <v>7530</v>
      </c>
      <c r="O31" s="43">
        <f t="shared" si="6"/>
        <v>7530</v>
      </c>
      <c r="P31" s="43">
        <f t="shared" si="6"/>
        <v>7530</v>
      </c>
      <c r="Q31" s="43">
        <f t="shared" si="6"/>
        <v>7530</v>
      </c>
      <c r="R31" s="43">
        <f t="shared" si="6"/>
        <v>7530</v>
      </c>
      <c r="S31" s="43">
        <f t="shared" si="6"/>
        <v>7530</v>
      </c>
      <c r="T31" s="43">
        <f t="shared" si="6"/>
        <v>7530</v>
      </c>
      <c r="U31" s="43">
        <f t="shared" si="6"/>
        <v>7530</v>
      </c>
      <c r="V31" s="43">
        <f t="shared" si="6"/>
        <v>7530</v>
      </c>
      <c r="W31" s="43">
        <f t="shared" si="6"/>
        <v>7530</v>
      </c>
      <c r="X31" s="43">
        <f t="shared" si="6"/>
        <v>7530</v>
      </c>
      <c r="Y31" s="43">
        <f t="shared" si="6"/>
        <v>7530</v>
      </c>
      <c r="Z31" s="43">
        <f t="shared" si="6"/>
        <v>7530</v>
      </c>
      <c r="AA31" s="43">
        <f t="shared" si="6"/>
        <v>7530</v>
      </c>
    </row>
    <row r="32" ht="16.5" customHeight="1" spans="1:27">
      <c r="A32" s="43" t="s">
        <v>483</v>
      </c>
      <c r="B32" s="43" t="s">
        <v>457</v>
      </c>
      <c r="C32" s="43">
        <f>(SUM(G32:AA32))</f>
        <v>10722.72</v>
      </c>
      <c r="D32" s="43">
        <v>0</v>
      </c>
      <c r="E32" s="43">
        <v>0</v>
      </c>
      <c r="F32" s="43">
        <v>0</v>
      </c>
      <c r="G32" s="43">
        <f t="shared" ref="G32:AA32" si="7">(G33+G34)</f>
        <v>0</v>
      </c>
      <c r="H32" s="43">
        <f t="shared" si="7"/>
        <v>159.636</v>
      </c>
      <c r="I32" s="43">
        <f t="shared" si="7"/>
        <v>159.636</v>
      </c>
      <c r="J32" s="43">
        <f t="shared" si="7"/>
        <v>159.636</v>
      </c>
      <c r="K32" s="43">
        <f t="shared" si="7"/>
        <v>159.636</v>
      </c>
      <c r="L32" s="43">
        <f t="shared" si="7"/>
        <v>159.636</v>
      </c>
      <c r="M32" s="43">
        <f t="shared" si="7"/>
        <v>159.636</v>
      </c>
      <c r="N32" s="43">
        <f t="shared" si="7"/>
        <v>159.636</v>
      </c>
      <c r="O32" s="43">
        <f t="shared" si="7"/>
        <v>159.636</v>
      </c>
      <c r="P32" s="43">
        <f t="shared" si="7"/>
        <v>159.636</v>
      </c>
      <c r="Q32" s="43">
        <f t="shared" si="7"/>
        <v>159.636</v>
      </c>
      <c r="R32" s="43">
        <f t="shared" si="7"/>
        <v>159.636</v>
      </c>
      <c r="S32" s="43">
        <f t="shared" si="7"/>
        <v>159.636</v>
      </c>
      <c r="T32" s="43">
        <f t="shared" si="7"/>
        <v>159.636</v>
      </c>
      <c r="U32" s="43">
        <f t="shared" si="7"/>
        <v>159.636</v>
      </c>
      <c r="V32" s="43">
        <f t="shared" si="7"/>
        <v>159.636</v>
      </c>
      <c r="W32" s="43">
        <f t="shared" si="7"/>
        <v>159.636</v>
      </c>
      <c r="X32" s="43">
        <f t="shared" si="7"/>
        <v>159.636</v>
      </c>
      <c r="Y32" s="43">
        <f t="shared" si="7"/>
        <v>159.636</v>
      </c>
      <c r="Z32" s="43">
        <f t="shared" si="7"/>
        <v>159.636</v>
      </c>
      <c r="AA32" s="43">
        <f t="shared" si="7"/>
        <v>7689.636</v>
      </c>
    </row>
    <row r="33" ht="16.5" customHeight="1" spans="1:27">
      <c r="A33" s="43" t="s">
        <v>484</v>
      </c>
      <c r="B33" s="43" t="s">
        <v>458</v>
      </c>
      <c r="C33" s="43">
        <f>(SUM(G33:AA33))</f>
        <v>7530</v>
      </c>
      <c r="D33" s="43">
        <v>0</v>
      </c>
      <c r="E33" s="43">
        <v>0</v>
      </c>
      <c r="F33" s="43">
        <v>0</v>
      </c>
      <c r="G33" s="43">
        <v>0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M33" s="43">
        <v>0</v>
      </c>
      <c r="N33" s="43">
        <v>0</v>
      </c>
      <c r="O33" s="43">
        <v>0</v>
      </c>
      <c r="P33" s="43">
        <v>0</v>
      </c>
      <c r="Q33" s="43">
        <v>0</v>
      </c>
      <c r="R33" s="43">
        <v>0</v>
      </c>
      <c r="S33" s="43">
        <v>0</v>
      </c>
      <c r="T33" s="43">
        <v>0</v>
      </c>
      <c r="U33" s="43">
        <v>0</v>
      </c>
      <c r="V33" s="43">
        <v>0</v>
      </c>
      <c r="W33" s="43">
        <v>0</v>
      </c>
      <c r="X33" s="43">
        <v>0</v>
      </c>
      <c r="Y33" s="43">
        <v>0</v>
      </c>
      <c r="Z33" s="43">
        <v>0</v>
      </c>
      <c r="AA33" s="43">
        <f>(C.1项目融资信息!$D$7)</f>
        <v>7530</v>
      </c>
    </row>
    <row r="34" ht="16.5" customHeight="1" spans="1:27">
      <c r="A34" s="43" t="s">
        <v>485</v>
      </c>
      <c r="B34" s="43" t="s">
        <v>459</v>
      </c>
      <c r="C34" s="43">
        <f>(SUM(G34:AA34))</f>
        <v>3192.72</v>
      </c>
      <c r="D34" s="43">
        <v>0</v>
      </c>
      <c r="E34" s="43">
        <v>0</v>
      </c>
      <c r="F34" s="43">
        <v>0</v>
      </c>
      <c r="G34" s="43">
        <v>0</v>
      </c>
      <c r="H34" s="43">
        <f>((H35+H33)*C.1项目融资信息!$H$7)</f>
        <v>159.636</v>
      </c>
      <c r="I34" s="43">
        <f>((I35+I33)*C.1项目融资信息!$H$7)</f>
        <v>159.636</v>
      </c>
      <c r="J34" s="43">
        <f>((J35+J33)*C.1项目融资信息!$H$7)</f>
        <v>159.636</v>
      </c>
      <c r="K34" s="43">
        <f>((K35+K33)*C.1项目融资信息!$H$7)</f>
        <v>159.636</v>
      </c>
      <c r="L34" s="43">
        <f>((L35+L33)*C.1项目融资信息!$H$7)</f>
        <v>159.636</v>
      </c>
      <c r="M34" s="43">
        <f>((M35+M33)*C.1项目融资信息!$H$7)</f>
        <v>159.636</v>
      </c>
      <c r="N34" s="43">
        <f>((N35+N33)*C.1项目融资信息!$H$7)</f>
        <v>159.636</v>
      </c>
      <c r="O34" s="43">
        <f>((O35+O33)*C.1项目融资信息!$H$7)</f>
        <v>159.636</v>
      </c>
      <c r="P34" s="43">
        <f>((P35+P33)*C.1项目融资信息!$H$7)</f>
        <v>159.636</v>
      </c>
      <c r="Q34" s="43">
        <f>((Q35+Q33)*C.1项目融资信息!$H$7)</f>
        <v>159.636</v>
      </c>
      <c r="R34" s="43">
        <f>((R35+R33)*C.1项目融资信息!$H$7)</f>
        <v>159.636</v>
      </c>
      <c r="S34" s="43">
        <f>((S35+S33)*C.1项目融资信息!$H$7)</f>
        <v>159.636</v>
      </c>
      <c r="T34" s="43">
        <f>((T35+T33)*C.1项目融资信息!$H$7)</f>
        <v>159.636</v>
      </c>
      <c r="U34" s="43">
        <f>((U35+U33)*C.1项目融资信息!$H$7)</f>
        <v>159.636</v>
      </c>
      <c r="V34" s="43">
        <f>((V35+V33)*C.1项目融资信息!$H$7)</f>
        <v>159.636</v>
      </c>
      <c r="W34" s="43">
        <f>((W35+W33)*C.1项目融资信息!$H$7)</f>
        <v>159.636</v>
      </c>
      <c r="X34" s="43">
        <f>((X35+X33)*C.1项目融资信息!$H$7)</f>
        <v>159.636</v>
      </c>
      <c r="Y34" s="43">
        <f>((Y35+Y33)*C.1项目融资信息!$H$7)</f>
        <v>159.636</v>
      </c>
      <c r="Z34" s="43">
        <f>((Z35+Z33)*C.1项目融资信息!$H$7)</f>
        <v>159.636</v>
      </c>
      <c r="AA34" s="43">
        <f>((AA35+AA33)*C.1项目融资信息!$H$7)</f>
        <v>159.636</v>
      </c>
    </row>
    <row r="35" ht="16.5" customHeight="1" spans="1:27">
      <c r="A35" s="43" t="s">
        <v>486</v>
      </c>
      <c r="B35" s="43" t="s">
        <v>461</v>
      </c>
      <c r="C35" s="43">
        <v>0</v>
      </c>
      <c r="D35" s="43">
        <v>0</v>
      </c>
      <c r="E35" s="43">
        <v>0</v>
      </c>
      <c r="F35" s="43">
        <v>0</v>
      </c>
      <c r="G35" s="43">
        <f>(G31+C.2项目每年借款信息!$F$6-G33)</f>
        <v>7530</v>
      </c>
      <c r="H35" s="43">
        <f>(H31+C.2项目每年借款信息!$G$6-H33)</f>
        <v>7530</v>
      </c>
      <c r="I35" s="43">
        <f>(I31+C.2项目每年借款信息!$H$6-I33)</f>
        <v>7530</v>
      </c>
      <c r="J35" s="43">
        <f>(J31+C.2项目每年借款信息!$I$6-J33)</f>
        <v>7530</v>
      </c>
      <c r="K35" s="43">
        <f>(K31+C.2项目每年借款信息!$J$6-K33)</f>
        <v>7530</v>
      </c>
      <c r="L35" s="43">
        <f>(L31+C.2项目每年借款信息!$K$6-L33)</f>
        <v>7530</v>
      </c>
      <c r="M35" s="43">
        <f>(M31+C.2项目每年借款信息!$L$6-M33)</f>
        <v>7530</v>
      </c>
      <c r="N35" s="43">
        <f>(N31+C.2项目每年借款信息!$M$6-N33)</f>
        <v>7530</v>
      </c>
      <c r="O35" s="43">
        <f>(O31+C.2项目每年借款信息!$N$6-O33)</f>
        <v>7530</v>
      </c>
      <c r="P35" s="43">
        <f>(P31+C.2项目每年借款信息!$O$6-P33)</f>
        <v>7530</v>
      </c>
      <c r="Q35" s="43">
        <f>(Q31+C.2项目每年借款信息!$P$6-Q33)</f>
        <v>7530</v>
      </c>
      <c r="R35" s="43">
        <f>(R31+C.2项目每年借款信息!$Q$6-R33)</f>
        <v>7530</v>
      </c>
      <c r="S35" s="43">
        <f>(S31+C.2项目每年借款信息!$R$6-S33)</f>
        <v>7530</v>
      </c>
      <c r="T35" s="43">
        <f>(T31+C.2项目每年借款信息!$S$6-T33)</f>
        <v>7530</v>
      </c>
      <c r="U35" s="43">
        <f>(U31+C.2项目每年借款信息!$T$6-U33)</f>
        <v>7530</v>
      </c>
      <c r="V35" s="43">
        <f>(V31+C.2项目每年借款信息!$U$6-V33)</f>
        <v>7530</v>
      </c>
      <c r="W35" s="43">
        <f>(W31+C.2项目每年借款信息!$V$6-W33)</f>
        <v>7530</v>
      </c>
      <c r="X35" s="43">
        <f>(X31+C.2项目每年借款信息!$W$6-X33)</f>
        <v>7530</v>
      </c>
      <c r="Y35" s="43">
        <f>(Y31+C.2项目每年借款信息!$X$6-Y33)</f>
        <v>7530</v>
      </c>
      <c r="Z35" s="43">
        <f>(Z31+C.2项目每年借款信息!$Y$6-Z33)</f>
        <v>7530</v>
      </c>
      <c r="AA35" s="43">
        <f>(AA31+C.2项目每年借款信息!$Z$6-AA33)</f>
        <v>0</v>
      </c>
    </row>
    <row r="36" ht="16.5" customHeight="1" spans="1:27">
      <c r="A36" s="43" t="s">
        <v>487</v>
      </c>
      <c r="B36" s="43" t="s">
        <v>463</v>
      </c>
      <c r="C36" s="43">
        <f>(SUM(G36:AA36))</f>
        <v>0.536136</v>
      </c>
      <c r="D36" s="43">
        <v>0</v>
      </c>
      <c r="E36" s="43">
        <v>0</v>
      </c>
      <c r="F36" s="43">
        <v>0</v>
      </c>
      <c r="G36" s="43">
        <f>(G32*A财务假设!$D$18)</f>
        <v>0</v>
      </c>
      <c r="H36" s="43">
        <f>(H32*A财务假设!$D$18)</f>
        <v>0.0079818</v>
      </c>
      <c r="I36" s="43">
        <f>(I32*A财务假设!$D$18)</f>
        <v>0.0079818</v>
      </c>
      <c r="J36" s="43">
        <f>(J32*A财务假设!$D$18)</f>
        <v>0.0079818</v>
      </c>
      <c r="K36" s="43">
        <f>(K32*A财务假设!$D$18)</f>
        <v>0.0079818</v>
      </c>
      <c r="L36" s="43">
        <f>(L32*A财务假设!$D$18)</f>
        <v>0.0079818</v>
      </c>
      <c r="M36" s="43">
        <f>(M32*A财务假设!$D$18)</f>
        <v>0.0079818</v>
      </c>
      <c r="N36" s="43">
        <f>(N32*A财务假设!$D$18)</f>
        <v>0.0079818</v>
      </c>
      <c r="O36" s="43">
        <f>(O32*A财务假设!$D$18)</f>
        <v>0.0079818</v>
      </c>
      <c r="P36" s="43">
        <f>(P32*A财务假设!$D$18)</f>
        <v>0.0079818</v>
      </c>
      <c r="Q36" s="43">
        <f>(Q32*A财务假设!$D$18)</f>
        <v>0.0079818</v>
      </c>
      <c r="R36" s="43">
        <f>(R32*A财务假设!$D$18)</f>
        <v>0.0079818</v>
      </c>
      <c r="S36" s="43">
        <f>(S32*A财务假设!$D$18)</f>
        <v>0.0079818</v>
      </c>
      <c r="T36" s="43">
        <f>(T32*A财务假设!$D$18)</f>
        <v>0.0079818</v>
      </c>
      <c r="U36" s="43">
        <f>(U32*A财务假设!$D$18)</f>
        <v>0.0079818</v>
      </c>
      <c r="V36" s="43">
        <f>(V32*A财务假设!$D$18)</f>
        <v>0.0079818</v>
      </c>
      <c r="W36" s="43">
        <f>(W32*A财务假设!$D$18)</f>
        <v>0.0079818</v>
      </c>
      <c r="X36" s="43">
        <f>(X32*A财务假设!$D$18)</f>
        <v>0.0079818</v>
      </c>
      <c r="Y36" s="43">
        <f>(Y32*A财务假设!$D$18)</f>
        <v>0.0079818</v>
      </c>
      <c r="Z36" s="43">
        <f>(Z32*A财务假设!$D$18)</f>
        <v>0.0079818</v>
      </c>
      <c r="AA36" s="43">
        <f>(AA32*A财务假设!$D$18)</f>
        <v>0.3844818</v>
      </c>
    </row>
    <row r="37" ht="16.5" customHeight="1" spans="1:27">
      <c r="A37" s="43" t="s">
        <v>488</v>
      </c>
      <c r="B37" s="43" t="s">
        <v>465</v>
      </c>
      <c r="C37" s="43">
        <f>(SUM(G37:AA37))</f>
        <v>6.50592</v>
      </c>
      <c r="D37" s="43">
        <v>0</v>
      </c>
      <c r="E37" s="43">
        <v>0</v>
      </c>
      <c r="F37" s="43">
        <v>0</v>
      </c>
      <c r="G37" s="43">
        <f>(C.2项目每年借款信息!$F$6*(A财务假设!$D$16+A财务假设!$D$17))</f>
        <v>6.50592</v>
      </c>
      <c r="H37" s="43">
        <f>(C.2项目每年借款信息!$G$6*(A财务假设!$D$16+A财务假设!$D$17))</f>
        <v>0</v>
      </c>
      <c r="I37" s="43">
        <f>(C.2项目每年借款信息!$H$6*(A财务假设!$D$16+A财务假设!$D$17))</f>
        <v>0</v>
      </c>
      <c r="J37" s="43">
        <f>(C.2项目每年借款信息!$I$6*(A财务假设!$D$16+A财务假设!$D$17))</f>
        <v>0</v>
      </c>
      <c r="K37" s="43">
        <f>(C.2项目每年借款信息!$J$6*(A财务假设!$D$16+A财务假设!$D$17))</f>
        <v>0</v>
      </c>
      <c r="L37" s="43">
        <f>(C.2项目每年借款信息!$K$6*(A财务假设!$D$16+A财务假设!$D$17))</f>
        <v>0</v>
      </c>
      <c r="M37" s="43">
        <f>(C.2项目每年借款信息!$L$6*(A财务假设!$D$16+A财务假设!$D$17))</f>
        <v>0</v>
      </c>
      <c r="N37" s="43">
        <f>(C.2项目每年借款信息!$M$6*(A财务假设!$D$16+A财务假设!$D$17))</f>
        <v>0</v>
      </c>
      <c r="O37" s="43">
        <f>(C.2项目每年借款信息!$N$6*(A财务假设!$D$16+A财务假设!$D$17))</f>
        <v>0</v>
      </c>
      <c r="P37" s="43">
        <f>(C.2项目每年借款信息!$O$6*(A财务假设!$D$16+A财务假设!$D$17))</f>
        <v>0</v>
      </c>
      <c r="Q37" s="43">
        <f>(C.2项目每年借款信息!$P$6*(A财务假设!$D$16+A财务假设!$D$17))</f>
        <v>0</v>
      </c>
      <c r="R37" s="43">
        <f>(C.2项目每年借款信息!$Q$6*(A财务假设!$D$16+A财务假设!$D$17))</f>
        <v>0</v>
      </c>
      <c r="S37" s="43">
        <f>(C.2项目每年借款信息!$R$6*(A财务假设!$D$16+A财务假设!$D$17))</f>
        <v>0</v>
      </c>
      <c r="T37" s="43">
        <f>(C.2项目每年借款信息!$S$6*(A财务假设!$D$16+A财务假设!$D$17))</f>
        <v>0</v>
      </c>
      <c r="U37" s="43">
        <f>(C.2项目每年借款信息!$T$6*(A财务假设!$D$16+A财务假设!$D$17))</f>
        <v>0</v>
      </c>
      <c r="V37" s="43">
        <f>(C.2项目每年借款信息!$U$6*(A财务假设!$D$16+A财务假设!$D$17))</f>
        <v>0</v>
      </c>
      <c r="W37" s="43">
        <f>(C.2项目每年借款信息!$V$6*(A财务假设!$D$16+A财务假设!$D$17))</f>
        <v>0</v>
      </c>
      <c r="X37" s="43">
        <f>(C.2项目每年借款信息!$W$6*(A财务假设!$D$16+A财务假设!$D$17))</f>
        <v>0</v>
      </c>
      <c r="Y37" s="43">
        <f>(C.2项目每年借款信息!$X$6*(A财务假设!$D$16+A财务假设!$D$17))</f>
        <v>0</v>
      </c>
      <c r="Z37" s="43">
        <f>(C.2项目每年借款信息!$Y$6*(A财务假设!$D$16+A财务假设!$D$17))</f>
        <v>0</v>
      </c>
      <c r="AA37" s="43">
        <f>(C.2项目每年借款信息!$Z$6*(A财务假设!$D$16+A财务假设!$D$17))</f>
        <v>0</v>
      </c>
    </row>
    <row r="38" ht="16.5" customHeight="1" spans="1:27">
      <c r="A38" s="43" t="s">
        <v>489</v>
      </c>
      <c r="B38" s="43" t="s">
        <v>467</v>
      </c>
      <c r="C38" s="43">
        <v>0</v>
      </c>
      <c r="D38" s="43">
        <v>0</v>
      </c>
      <c r="E38" s="43">
        <v>0</v>
      </c>
      <c r="F38" s="43">
        <v>0</v>
      </c>
      <c r="G38" s="43">
        <f>(IF(($G$2-YEAR(C.1项目融资信息!$E$7))=0,(12-MONTH(C.1项目融资信息!$E$7)+1)*C.1项目融资信息!$D$7*C.1项目融资信息!$H$7/12,C.1项目融资信息!$D$7*C.1项目融资信息!$H$7))</f>
        <v>53.212</v>
      </c>
      <c r="H38" s="43">
        <f>(IF(($H$2-YEAR(C.1项目融资信息!$E$7))=0,(12-MONTH(C.1项目融资信息!$E$7)+1)*C.1项目融资信息!$D$7*C.1项目融资信息!$H$7/12,C.1项目融资信息!$D$7*C.1项目融资信息!$H$7))</f>
        <v>159.636</v>
      </c>
      <c r="I38" s="43">
        <f>(IF(($I$2-YEAR(C.1项目融资信息!$E$7))=0,(12-MONTH(C.1项目融资信息!$E$7)+1)*C.1项目融资信息!$D$7*C.1项目融资信息!$H$7/12,C.1项目融资信息!$D$7*C.1项目融资信息!$H$7))</f>
        <v>159.636</v>
      </c>
      <c r="J38" s="43">
        <f>(IF(($J$2-YEAR(C.1项目融资信息!$E$7))=0,(12-MONTH(C.1项目融资信息!$E$7)+1)*C.1项目融资信息!$D$7*C.1项目融资信息!$H$7/12,C.1项目融资信息!$D$7*C.1项目融资信息!$H$7))</f>
        <v>159.636</v>
      </c>
      <c r="K38" s="43">
        <f>(IF(($K$2-YEAR(C.1项目融资信息!$E$7))=0,(12-MONTH(C.1项目融资信息!$E$7)+1)*C.1项目融资信息!$D$7*C.1项目融资信息!$H$7/12,C.1项目融资信息!$D$7*C.1项目融资信息!$H$7))</f>
        <v>159.636</v>
      </c>
      <c r="L38" s="43">
        <f>(IF(($L$2-YEAR(C.1项目融资信息!$E$7))=0,(12-MONTH(C.1项目融资信息!$E$7)+1)*C.1项目融资信息!$D$7*C.1项目融资信息!$H$7/12,C.1项目融资信息!$D$7*C.1项目融资信息!$H$7))</f>
        <v>159.636</v>
      </c>
      <c r="M38" s="43">
        <f>(IF(($M$2-YEAR(C.1项目融资信息!$E$7))=0,(12-MONTH(C.1项目融资信息!$E$7)+1)*C.1项目融资信息!$D$7*C.1项目融资信息!$H$7/12,C.1项目融资信息!$D$7*C.1项目融资信息!$H$7))</f>
        <v>159.636</v>
      </c>
      <c r="N38" s="43">
        <f>(IF(($N$2-YEAR(C.1项目融资信息!$E$7))=0,(12-MONTH(C.1项目融资信息!$E$7)+1)*C.1项目融资信息!$D$7*C.1项目融资信息!$H$7/12,C.1项目融资信息!$D$7*C.1项目融资信息!$H$7))</f>
        <v>159.636</v>
      </c>
      <c r="O38" s="43">
        <f>(IF(($O$2-YEAR(C.1项目融资信息!$E$7))=0,(12-MONTH(C.1项目融资信息!$E$7)+1)*C.1项目融资信息!$D$7*C.1项目融资信息!$H$7/12,C.1项目融资信息!$D$7*C.1项目融资信息!$H$7))</f>
        <v>159.636</v>
      </c>
      <c r="P38" s="43">
        <f>(IF(($P$2-YEAR(C.1项目融资信息!$E$7))=0,(12-MONTH(C.1项目融资信息!$E$7)+1)*C.1项目融资信息!$D$7*C.1项目融资信息!$H$7/12,C.1项目融资信息!$D$7*C.1项目融资信息!$H$7))</f>
        <v>159.636</v>
      </c>
      <c r="Q38" s="43">
        <f>(IF(($Q$2-YEAR(C.1项目融资信息!$E$7))=0,(12-MONTH(C.1项目融资信息!$E$7)+1)*C.1项目融资信息!$D$7*C.1项目融资信息!$H$7/12,C.1项目融资信息!$D$7*C.1项目融资信息!$H$7))</f>
        <v>159.636</v>
      </c>
      <c r="R38" s="43">
        <f>(IF(($R$2-YEAR(C.1项目融资信息!$E$7))=0,(12-MONTH(C.1项目融资信息!$E$7)+1)*C.1项目融资信息!$D$7*C.1项目融资信息!$H$7/12,C.1项目融资信息!$D$7*C.1项目融资信息!$H$7))</f>
        <v>159.636</v>
      </c>
      <c r="S38" s="43">
        <f>(IF(($S$2-YEAR(C.1项目融资信息!$E$7))=0,(12-MONTH(C.1项目融资信息!$E$7)+1)*C.1项目融资信息!$D$7*C.1项目融资信息!$H$7/12,C.1项目融资信息!$D$7*C.1项目融资信息!$H$7))</f>
        <v>159.636</v>
      </c>
      <c r="T38" s="43">
        <f>(IF(($T$2-YEAR(C.1项目融资信息!$E$7))=0,(12-MONTH(C.1项目融资信息!$E$7)+1)*C.1项目融资信息!$D$7*C.1项目融资信息!$H$7/12,C.1项目融资信息!$D$7*C.1项目融资信息!$H$7))</f>
        <v>159.636</v>
      </c>
      <c r="U38" s="43">
        <f>(IF(($U$2-YEAR(C.1项目融资信息!$E$7))=0,(12-MONTH(C.1项目融资信息!$E$7)+1)*C.1项目融资信息!$D$7*C.1项目融资信息!$H$7/12,C.1项目融资信息!$D$7*C.1项目融资信息!$H$7))</f>
        <v>159.636</v>
      </c>
      <c r="V38" s="43">
        <f>(IF(($V$2-YEAR(C.1项目融资信息!$E$7))=0,(12-MONTH(C.1项目融资信息!$E$7)+1)*C.1项目融资信息!$D$7*C.1项目融资信息!$H$7/12,C.1项目融资信息!$D$7*C.1项目融资信息!$H$7))</f>
        <v>159.636</v>
      </c>
      <c r="W38" s="43">
        <f>(IF(($W$2-YEAR(C.1项目融资信息!$E$7))=0,(12-MONTH(C.1项目融资信息!$E$7)+1)*C.1项目融资信息!$D$7*C.1项目融资信息!$H$7/12,C.1项目融资信息!$D$7*C.1项目融资信息!$H$7))</f>
        <v>159.636</v>
      </c>
      <c r="X38" s="43">
        <f>(IF(($X$2-YEAR(C.1项目融资信息!$E$7))=0,(12-MONTH(C.1项目融资信息!$E$7)+1)*C.1项目融资信息!$D$7*C.1项目融资信息!$H$7/12,C.1项目融资信息!$D$7*C.1项目融资信息!$H$7))</f>
        <v>159.636</v>
      </c>
      <c r="Y38" s="43">
        <f>(IF(($Y$2-YEAR(C.1项目融资信息!$E$7))=0,(12-MONTH(C.1项目融资信息!$E$7)+1)*C.1项目融资信息!$D$7*C.1项目融资信息!$H$7/12,C.1项目融资信息!$D$7*C.1项目融资信息!$H$7))</f>
        <v>159.636</v>
      </c>
      <c r="Z38" s="43">
        <f>(IF(($Z$2-YEAR(C.1项目融资信息!$E$7))=0,(12-MONTH(C.1项目融资信息!$E$7)+1)*C.1项目融资信息!$D$7*C.1项目融资信息!$H$7/12,C.1项目融资信息!$D$7*C.1项目融资信息!$H$7))</f>
        <v>159.636</v>
      </c>
      <c r="AA38" s="43">
        <f>(MONTH(C.1项目融资信息!$E$7)-1)*C.1项目融资信息!$D$7*C.1项目融资信息!$H$7/12</f>
        <v>106.424</v>
      </c>
    </row>
    <row r="39" ht="16.5" customHeight="1" spans="1:27">
      <c r="A39" s="43">
        <v>5</v>
      </c>
      <c r="B39" s="43" t="s">
        <v>490</v>
      </c>
      <c r="C39" s="43">
        <f>(C.1项目融资信息!$D$4+C.1项目融资信息!$D$5+C.1项目融资信息!$D$6+C.1项目融资信息!$D$7)</f>
        <v>29000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ht="16.5" customHeight="1" spans="1:27">
      <c r="A40" s="43" t="s">
        <v>491</v>
      </c>
      <c r="B40" s="43" t="s">
        <v>455</v>
      </c>
      <c r="C40" s="43">
        <v>0</v>
      </c>
      <c r="D40" s="43">
        <f t="shared" ref="D40:AA40" si="8">(D4+D13+D22+D31)</f>
        <v>0</v>
      </c>
      <c r="E40" s="43">
        <f t="shared" si="8"/>
        <v>1175</v>
      </c>
      <c r="F40" s="43">
        <f t="shared" si="8"/>
        <v>12765</v>
      </c>
      <c r="G40" s="43">
        <f t="shared" si="8"/>
        <v>21470</v>
      </c>
      <c r="H40" s="43">
        <f t="shared" si="8"/>
        <v>29000</v>
      </c>
      <c r="I40" s="43">
        <f t="shared" si="8"/>
        <v>29000</v>
      </c>
      <c r="J40" s="43">
        <f t="shared" si="8"/>
        <v>29000</v>
      </c>
      <c r="K40" s="43">
        <f t="shared" si="8"/>
        <v>29000</v>
      </c>
      <c r="L40" s="43">
        <f t="shared" si="8"/>
        <v>29000</v>
      </c>
      <c r="M40" s="43">
        <f t="shared" si="8"/>
        <v>29000</v>
      </c>
      <c r="N40" s="43">
        <f t="shared" si="8"/>
        <v>29000</v>
      </c>
      <c r="O40" s="43">
        <f t="shared" si="8"/>
        <v>29000</v>
      </c>
      <c r="P40" s="43">
        <f t="shared" si="8"/>
        <v>29000</v>
      </c>
      <c r="Q40" s="43">
        <f t="shared" si="8"/>
        <v>29000</v>
      </c>
      <c r="R40" s="43">
        <f t="shared" si="8"/>
        <v>29000</v>
      </c>
      <c r="S40" s="43">
        <f t="shared" si="8"/>
        <v>29000</v>
      </c>
      <c r="T40" s="43">
        <f t="shared" si="8"/>
        <v>29000</v>
      </c>
      <c r="U40" s="43">
        <f t="shared" si="8"/>
        <v>29000</v>
      </c>
      <c r="V40" s="43">
        <f t="shared" si="8"/>
        <v>29000</v>
      </c>
      <c r="W40" s="43">
        <f t="shared" si="8"/>
        <v>29000</v>
      </c>
      <c r="X40" s="43">
        <f t="shared" si="8"/>
        <v>29000</v>
      </c>
      <c r="Y40" s="43">
        <f t="shared" si="8"/>
        <v>27825</v>
      </c>
      <c r="Z40" s="43">
        <f t="shared" si="8"/>
        <v>16235</v>
      </c>
      <c r="AA40" s="43">
        <f t="shared" si="8"/>
        <v>7530</v>
      </c>
    </row>
    <row r="41" ht="16.5" customHeight="1" spans="1:27">
      <c r="A41" s="43" t="s">
        <v>492</v>
      </c>
      <c r="B41" s="43" t="s">
        <v>457</v>
      </c>
      <c r="C41" s="43">
        <f>(SUM(D41:AA41))</f>
        <v>41296</v>
      </c>
      <c r="D41" s="43">
        <f t="shared" ref="D41:AA41" si="9">(D5+D14+D23+D32)</f>
        <v>0</v>
      </c>
      <c r="E41" s="43">
        <f t="shared" si="9"/>
        <v>24.91</v>
      </c>
      <c r="F41" s="43">
        <f t="shared" si="9"/>
        <v>270.618</v>
      </c>
      <c r="G41" s="43">
        <f t="shared" si="9"/>
        <v>455.164</v>
      </c>
      <c r="H41" s="43">
        <f t="shared" si="9"/>
        <v>614.8</v>
      </c>
      <c r="I41" s="43">
        <f t="shared" si="9"/>
        <v>614.8</v>
      </c>
      <c r="J41" s="43">
        <f t="shared" si="9"/>
        <v>614.8</v>
      </c>
      <c r="K41" s="43">
        <f t="shared" si="9"/>
        <v>614.8</v>
      </c>
      <c r="L41" s="43">
        <f t="shared" si="9"/>
        <v>614.8</v>
      </c>
      <c r="M41" s="43">
        <f t="shared" si="9"/>
        <v>614.8</v>
      </c>
      <c r="N41" s="43">
        <f t="shared" si="9"/>
        <v>614.8</v>
      </c>
      <c r="O41" s="43">
        <f t="shared" si="9"/>
        <v>614.8</v>
      </c>
      <c r="P41" s="43">
        <f t="shared" si="9"/>
        <v>614.8</v>
      </c>
      <c r="Q41" s="43">
        <f t="shared" si="9"/>
        <v>614.8</v>
      </c>
      <c r="R41" s="43">
        <f t="shared" si="9"/>
        <v>614.8</v>
      </c>
      <c r="S41" s="43">
        <f t="shared" si="9"/>
        <v>614.8</v>
      </c>
      <c r="T41" s="43">
        <f t="shared" si="9"/>
        <v>614.8</v>
      </c>
      <c r="U41" s="43">
        <f t="shared" si="9"/>
        <v>614.8</v>
      </c>
      <c r="V41" s="43">
        <f t="shared" si="9"/>
        <v>614.8</v>
      </c>
      <c r="W41" s="43">
        <f t="shared" si="9"/>
        <v>614.8</v>
      </c>
      <c r="X41" s="43">
        <f t="shared" si="9"/>
        <v>1789.8</v>
      </c>
      <c r="Y41" s="43">
        <f t="shared" si="9"/>
        <v>12179.89</v>
      </c>
      <c r="Z41" s="43">
        <f t="shared" si="9"/>
        <v>9049.182</v>
      </c>
      <c r="AA41" s="43">
        <f t="shared" si="9"/>
        <v>7689.636</v>
      </c>
    </row>
    <row r="42" ht="16.5" customHeight="1" spans="1:27">
      <c r="A42" s="43" t="s">
        <v>493</v>
      </c>
      <c r="B42" s="43" t="s">
        <v>458</v>
      </c>
      <c r="C42" s="43">
        <f>(SUM(D42:AA42))</f>
        <v>29000</v>
      </c>
      <c r="D42" s="43">
        <f t="shared" ref="D42:AA42" si="10">(D6+D15+D24+D33)</f>
        <v>0</v>
      </c>
      <c r="E42" s="43">
        <f t="shared" si="10"/>
        <v>0</v>
      </c>
      <c r="F42" s="43">
        <f t="shared" si="10"/>
        <v>0</v>
      </c>
      <c r="G42" s="43">
        <f t="shared" si="10"/>
        <v>0</v>
      </c>
      <c r="H42" s="43">
        <f t="shared" si="10"/>
        <v>0</v>
      </c>
      <c r="I42" s="43">
        <f t="shared" si="10"/>
        <v>0</v>
      </c>
      <c r="J42" s="43">
        <f t="shared" si="10"/>
        <v>0</v>
      </c>
      <c r="K42" s="43">
        <f t="shared" si="10"/>
        <v>0</v>
      </c>
      <c r="L42" s="43">
        <f t="shared" si="10"/>
        <v>0</v>
      </c>
      <c r="M42" s="43">
        <f t="shared" si="10"/>
        <v>0</v>
      </c>
      <c r="N42" s="43">
        <f t="shared" si="10"/>
        <v>0</v>
      </c>
      <c r="O42" s="43">
        <f t="shared" si="10"/>
        <v>0</v>
      </c>
      <c r="P42" s="43">
        <f t="shared" si="10"/>
        <v>0</v>
      </c>
      <c r="Q42" s="43">
        <f t="shared" si="10"/>
        <v>0</v>
      </c>
      <c r="R42" s="43">
        <f t="shared" si="10"/>
        <v>0</v>
      </c>
      <c r="S42" s="43">
        <f t="shared" si="10"/>
        <v>0</v>
      </c>
      <c r="T42" s="43">
        <f t="shared" si="10"/>
        <v>0</v>
      </c>
      <c r="U42" s="43">
        <f t="shared" si="10"/>
        <v>0</v>
      </c>
      <c r="V42" s="43">
        <f t="shared" si="10"/>
        <v>0</v>
      </c>
      <c r="W42" s="43">
        <f t="shared" si="10"/>
        <v>0</v>
      </c>
      <c r="X42" s="43">
        <f t="shared" si="10"/>
        <v>1175</v>
      </c>
      <c r="Y42" s="43">
        <f t="shared" si="10"/>
        <v>11590</v>
      </c>
      <c r="Z42" s="43">
        <f t="shared" si="10"/>
        <v>8705</v>
      </c>
      <c r="AA42" s="43">
        <f t="shared" si="10"/>
        <v>7530</v>
      </c>
    </row>
    <row r="43" ht="16.5" customHeight="1" spans="1:27">
      <c r="A43" s="43" t="s">
        <v>494</v>
      </c>
      <c r="B43" s="43" t="s">
        <v>459</v>
      </c>
      <c r="C43" s="43">
        <f>(SUM(D43:AA43))</f>
        <v>12296</v>
      </c>
      <c r="D43" s="43">
        <f t="shared" ref="D43:AA43" si="11">(D7+D16+D25+D34)</f>
        <v>0</v>
      </c>
      <c r="E43" s="43">
        <f t="shared" si="11"/>
        <v>24.91</v>
      </c>
      <c r="F43" s="43">
        <f t="shared" si="11"/>
        <v>270.618</v>
      </c>
      <c r="G43" s="43">
        <f t="shared" si="11"/>
        <v>455.164</v>
      </c>
      <c r="H43" s="43">
        <f t="shared" si="11"/>
        <v>614.8</v>
      </c>
      <c r="I43" s="43">
        <f t="shared" si="11"/>
        <v>614.8</v>
      </c>
      <c r="J43" s="43">
        <f t="shared" si="11"/>
        <v>614.8</v>
      </c>
      <c r="K43" s="43">
        <f t="shared" si="11"/>
        <v>614.8</v>
      </c>
      <c r="L43" s="43">
        <f t="shared" si="11"/>
        <v>614.8</v>
      </c>
      <c r="M43" s="43">
        <f t="shared" si="11"/>
        <v>614.8</v>
      </c>
      <c r="N43" s="43">
        <f t="shared" si="11"/>
        <v>614.8</v>
      </c>
      <c r="O43" s="43">
        <f t="shared" si="11"/>
        <v>614.8</v>
      </c>
      <c r="P43" s="43">
        <f t="shared" si="11"/>
        <v>614.8</v>
      </c>
      <c r="Q43" s="43">
        <f t="shared" si="11"/>
        <v>614.8</v>
      </c>
      <c r="R43" s="43">
        <f t="shared" si="11"/>
        <v>614.8</v>
      </c>
      <c r="S43" s="43">
        <f t="shared" si="11"/>
        <v>614.8</v>
      </c>
      <c r="T43" s="43">
        <f t="shared" si="11"/>
        <v>614.8</v>
      </c>
      <c r="U43" s="43">
        <f t="shared" si="11"/>
        <v>614.8</v>
      </c>
      <c r="V43" s="43">
        <f t="shared" si="11"/>
        <v>614.8</v>
      </c>
      <c r="W43" s="43">
        <f t="shared" si="11"/>
        <v>614.8</v>
      </c>
      <c r="X43" s="43">
        <f t="shared" si="11"/>
        <v>614.8</v>
      </c>
      <c r="Y43" s="43">
        <f t="shared" si="11"/>
        <v>589.89</v>
      </c>
      <c r="Z43" s="43">
        <f t="shared" si="11"/>
        <v>344.182</v>
      </c>
      <c r="AA43" s="43">
        <f t="shared" si="11"/>
        <v>159.636</v>
      </c>
    </row>
    <row r="44" ht="16.5" customHeight="1" spans="1:27">
      <c r="A44" s="43" t="s">
        <v>495</v>
      </c>
      <c r="B44" s="43" t="s">
        <v>461</v>
      </c>
      <c r="C44" s="43">
        <v>0</v>
      </c>
      <c r="D44" s="43">
        <f t="shared" ref="D44:AA44" si="12">(D8+D17+D26+D35)</f>
        <v>1175</v>
      </c>
      <c r="E44" s="43">
        <f t="shared" si="12"/>
        <v>12765</v>
      </c>
      <c r="F44" s="43">
        <f t="shared" si="12"/>
        <v>21470</v>
      </c>
      <c r="G44" s="43">
        <f t="shared" si="12"/>
        <v>29000</v>
      </c>
      <c r="H44" s="43">
        <f t="shared" si="12"/>
        <v>29000</v>
      </c>
      <c r="I44" s="43">
        <f t="shared" si="12"/>
        <v>29000</v>
      </c>
      <c r="J44" s="43">
        <f t="shared" si="12"/>
        <v>29000</v>
      </c>
      <c r="K44" s="43">
        <f t="shared" si="12"/>
        <v>29000</v>
      </c>
      <c r="L44" s="43">
        <f t="shared" si="12"/>
        <v>29000</v>
      </c>
      <c r="M44" s="43">
        <f t="shared" si="12"/>
        <v>29000</v>
      </c>
      <c r="N44" s="43">
        <f t="shared" si="12"/>
        <v>29000</v>
      </c>
      <c r="O44" s="43">
        <f t="shared" si="12"/>
        <v>29000</v>
      </c>
      <c r="P44" s="43">
        <f t="shared" si="12"/>
        <v>29000</v>
      </c>
      <c r="Q44" s="43">
        <f t="shared" si="12"/>
        <v>29000</v>
      </c>
      <c r="R44" s="43">
        <f t="shared" si="12"/>
        <v>29000</v>
      </c>
      <c r="S44" s="43">
        <f t="shared" si="12"/>
        <v>29000</v>
      </c>
      <c r="T44" s="43">
        <f t="shared" si="12"/>
        <v>29000</v>
      </c>
      <c r="U44" s="43">
        <f t="shared" si="12"/>
        <v>29000</v>
      </c>
      <c r="V44" s="43">
        <f t="shared" si="12"/>
        <v>29000</v>
      </c>
      <c r="W44" s="43">
        <f t="shared" si="12"/>
        <v>29000</v>
      </c>
      <c r="X44" s="43">
        <f t="shared" si="12"/>
        <v>27825</v>
      </c>
      <c r="Y44" s="43">
        <f t="shared" si="12"/>
        <v>16235</v>
      </c>
      <c r="Z44" s="43">
        <f t="shared" si="12"/>
        <v>7530</v>
      </c>
      <c r="AA44" s="43">
        <f t="shared" si="12"/>
        <v>0</v>
      </c>
    </row>
    <row r="45" ht="16.5" customHeight="1" spans="1:27">
      <c r="A45" s="43" t="s">
        <v>496</v>
      </c>
      <c r="B45" s="43" t="s">
        <v>463</v>
      </c>
      <c r="C45" s="43">
        <f>(SUM(D45:AA45))</f>
        <v>2.0648</v>
      </c>
      <c r="D45" s="43">
        <f t="shared" ref="D45:AA45" si="13">(D9+D18+D27+D36)</f>
        <v>0</v>
      </c>
      <c r="E45" s="43">
        <f t="shared" si="13"/>
        <v>0.0012455</v>
      </c>
      <c r="F45" s="43">
        <f t="shared" si="13"/>
        <v>0.0135309</v>
      </c>
      <c r="G45" s="43">
        <f t="shared" si="13"/>
        <v>0.0227582</v>
      </c>
      <c r="H45" s="43">
        <f t="shared" si="13"/>
        <v>0.03074</v>
      </c>
      <c r="I45" s="43">
        <f t="shared" si="13"/>
        <v>0.03074</v>
      </c>
      <c r="J45" s="43">
        <f t="shared" si="13"/>
        <v>0.03074</v>
      </c>
      <c r="K45" s="43">
        <f t="shared" si="13"/>
        <v>0.03074</v>
      </c>
      <c r="L45" s="43">
        <f t="shared" si="13"/>
        <v>0.03074</v>
      </c>
      <c r="M45" s="43">
        <f t="shared" si="13"/>
        <v>0.03074</v>
      </c>
      <c r="N45" s="43">
        <f t="shared" si="13"/>
        <v>0.03074</v>
      </c>
      <c r="O45" s="43">
        <f t="shared" si="13"/>
        <v>0.03074</v>
      </c>
      <c r="P45" s="43">
        <f t="shared" si="13"/>
        <v>0.03074</v>
      </c>
      <c r="Q45" s="43">
        <f t="shared" si="13"/>
        <v>0.03074</v>
      </c>
      <c r="R45" s="43">
        <f t="shared" si="13"/>
        <v>0.03074</v>
      </c>
      <c r="S45" s="43">
        <f t="shared" si="13"/>
        <v>0.03074</v>
      </c>
      <c r="T45" s="43">
        <f t="shared" si="13"/>
        <v>0.03074</v>
      </c>
      <c r="U45" s="43">
        <f t="shared" si="13"/>
        <v>0.03074</v>
      </c>
      <c r="V45" s="43">
        <f t="shared" si="13"/>
        <v>0.03074</v>
      </c>
      <c r="W45" s="43">
        <f t="shared" si="13"/>
        <v>0.03074</v>
      </c>
      <c r="X45" s="43">
        <f t="shared" si="13"/>
        <v>0.08949</v>
      </c>
      <c r="Y45" s="43">
        <f t="shared" si="13"/>
        <v>0.6089945</v>
      </c>
      <c r="Z45" s="43">
        <f t="shared" si="13"/>
        <v>0.4524591</v>
      </c>
      <c r="AA45" s="43">
        <f t="shared" si="13"/>
        <v>0.3844818</v>
      </c>
    </row>
    <row r="46" ht="27.6" customHeight="1" spans="1:27">
      <c r="A46" s="43" t="s">
        <v>497</v>
      </c>
      <c r="B46" s="43" t="s">
        <v>465</v>
      </c>
      <c r="C46" s="43">
        <f>(SUM(D46:AA46))</f>
        <v>25.056</v>
      </c>
      <c r="D46" s="43">
        <f t="shared" ref="D46:AA46" si="14">(D10+D19+D28+D37)</f>
        <v>1.0152</v>
      </c>
      <c r="E46" s="43">
        <f t="shared" si="14"/>
        <v>10.01376</v>
      </c>
      <c r="F46" s="43">
        <f t="shared" si="14"/>
        <v>7.52112</v>
      </c>
      <c r="G46" s="43">
        <f t="shared" si="14"/>
        <v>6.50592</v>
      </c>
      <c r="H46" s="43">
        <f t="shared" si="14"/>
        <v>0</v>
      </c>
      <c r="I46" s="43">
        <f t="shared" si="14"/>
        <v>0</v>
      </c>
      <c r="J46" s="43">
        <f t="shared" si="14"/>
        <v>0</v>
      </c>
      <c r="K46" s="43">
        <f t="shared" si="14"/>
        <v>0</v>
      </c>
      <c r="L46" s="43">
        <f t="shared" si="14"/>
        <v>0</v>
      </c>
      <c r="M46" s="43">
        <f t="shared" si="14"/>
        <v>0</v>
      </c>
      <c r="N46" s="43">
        <f t="shared" si="14"/>
        <v>0</v>
      </c>
      <c r="O46" s="43">
        <f t="shared" si="14"/>
        <v>0</v>
      </c>
      <c r="P46" s="43">
        <f t="shared" si="14"/>
        <v>0</v>
      </c>
      <c r="Q46" s="43">
        <f t="shared" si="14"/>
        <v>0</v>
      </c>
      <c r="R46" s="43">
        <f t="shared" si="14"/>
        <v>0</v>
      </c>
      <c r="S46" s="43">
        <f t="shared" si="14"/>
        <v>0</v>
      </c>
      <c r="T46" s="43">
        <f t="shared" si="14"/>
        <v>0</v>
      </c>
      <c r="U46" s="43">
        <f t="shared" si="14"/>
        <v>0</v>
      </c>
      <c r="V46" s="43">
        <f t="shared" si="14"/>
        <v>0</v>
      </c>
      <c r="W46" s="43">
        <f t="shared" si="14"/>
        <v>0</v>
      </c>
      <c r="X46" s="43">
        <f t="shared" si="14"/>
        <v>0</v>
      </c>
      <c r="Y46" s="43">
        <f t="shared" si="14"/>
        <v>0</v>
      </c>
      <c r="Z46" s="43">
        <f t="shared" si="14"/>
        <v>0</v>
      </c>
      <c r="AA46" s="43">
        <f t="shared" si="14"/>
        <v>0</v>
      </c>
    </row>
    <row r="47" ht="27.6" customHeight="1" spans="1:27">
      <c r="A47" s="43" t="s">
        <v>498</v>
      </c>
      <c r="B47" s="43" t="s">
        <v>467</v>
      </c>
      <c r="C47" s="43">
        <v>0</v>
      </c>
      <c r="D47" s="43">
        <f t="shared" ref="D47:AA47" si="15">(D11+D20+D29+D38)</f>
        <v>8.30333333333333</v>
      </c>
      <c r="E47" s="43">
        <f t="shared" si="15"/>
        <v>106.812666666667</v>
      </c>
      <c r="F47" s="43">
        <f t="shared" si="15"/>
        <v>332.133333333333</v>
      </c>
      <c r="G47" s="43">
        <f t="shared" si="15"/>
        <v>508.376</v>
      </c>
      <c r="H47" s="43">
        <f t="shared" si="15"/>
        <v>614.8</v>
      </c>
      <c r="I47" s="43">
        <f t="shared" si="15"/>
        <v>614.8</v>
      </c>
      <c r="J47" s="43">
        <f t="shared" si="15"/>
        <v>614.8</v>
      </c>
      <c r="K47" s="43">
        <f t="shared" si="15"/>
        <v>614.8</v>
      </c>
      <c r="L47" s="43">
        <f t="shared" si="15"/>
        <v>614.8</v>
      </c>
      <c r="M47" s="43">
        <f t="shared" si="15"/>
        <v>614.8</v>
      </c>
      <c r="N47" s="43">
        <f t="shared" si="15"/>
        <v>614.8</v>
      </c>
      <c r="O47" s="43">
        <f t="shared" si="15"/>
        <v>614.8</v>
      </c>
      <c r="P47" s="43">
        <f t="shared" si="15"/>
        <v>614.8</v>
      </c>
      <c r="Q47" s="43">
        <f t="shared" si="15"/>
        <v>614.8</v>
      </c>
      <c r="R47" s="43">
        <f t="shared" si="15"/>
        <v>614.8</v>
      </c>
      <c r="S47" s="43">
        <f t="shared" si="15"/>
        <v>614.8</v>
      </c>
      <c r="T47" s="43">
        <f t="shared" si="15"/>
        <v>614.8</v>
      </c>
      <c r="U47" s="43">
        <f t="shared" si="15"/>
        <v>614.8</v>
      </c>
      <c r="V47" s="43">
        <f t="shared" si="15"/>
        <v>614.8</v>
      </c>
      <c r="W47" s="43">
        <f t="shared" si="15"/>
        <v>614.8</v>
      </c>
      <c r="X47" s="43">
        <f t="shared" si="15"/>
        <v>606.496666666667</v>
      </c>
      <c r="Y47" s="43">
        <f t="shared" si="15"/>
        <v>507.987333333333</v>
      </c>
      <c r="Z47" s="43">
        <f t="shared" si="15"/>
        <v>282.666666666667</v>
      </c>
      <c r="AA47" s="43">
        <f t="shared" si="15"/>
        <v>106.424</v>
      </c>
    </row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</sheetData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>
    <tabColor rgb="FFFFC000"/>
  </sheetPr>
  <dimension ref="A1:AA31"/>
  <sheetViews>
    <sheetView zoomScale="70" zoomScaleNormal="70" workbookViewId="0">
      <pane xSplit="3" ySplit="2" topLeftCell="H3" activePane="bottomRight" state="frozen"/>
      <selection/>
      <selection pane="topRight"/>
      <selection pane="bottomLeft"/>
      <selection pane="bottomRight" activeCell="X1" sqref="X$1:AA$1048576"/>
    </sheetView>
  </sheetViews>
  <sheetFormatPr defaultColWidth="8.89090909090909" defaultRowHeight="28.05" customHeight="1"/>
  <cols>
    <col min="1" max="1" width="6.66363636363636" style="1" customWidth="1"/>
    <col min="2" max="2" width="21.5545454545455" style="1" customWidth="1"/>
    <col min="3" max="3" width="13" style="1" customWidth="1"/>
    <col min="4" max="4" width="11.5545454545455" style="1" customWidth="1"/>
    <col min="5" max="5" width="13" style="1" customWidth="1"/>
    <col min="6" max="8" width="11.8909090909091" style="1" customWidth="1"/>
    <col min="24" max="27" width="14.2818181818182" style="1" customWidth="1"/>
  </cols>
  <sheetData>
    <row r="1" ht="20" customHeight="1" spans="1:8">
      <c r="A1" s="36" t="s">
        <v>499</v>
      </c>
      <c r="B1" s="3"/>
      <c r="C1" s="3"/>
      <c r="D1" s="3"/>
      <c r="E1" s="3"/>
      <c r="F1" s="3"/>
      <c r="G1" s="3"/>
      <c r="H1" s="4"/>
    </row>
    <row r="2" ht="16.5" customHeight="1" spans="1:27">
      <c r="A2" s="5" t="s">
        <v>1</v>
      </c>
      <c r="B2" s="5" t="s">
        <v>183</v>
      </c>
      <c r="C2" s="5" t="s">
        <v>80</v>
      </c>
      <c r="D2" s="32">
        <v>2025</v>
      </c>
      <c r="E2" s="32">
        <v>2026</v>
      </c>
      <c r="F2" s="32">
        <v>2027</v>
      </c>
      <c r="G2" s="32">
        <v>2028</v>
      </c>
      <c r="H2" s="32">
        <v>2029</v>
      </c>
      <c r="I2" s="32">
        <v>2030</v>
      </c>
      <c r="J2" s="32">
        <v>2031</v>
      </c>
      <c r="K2" s="32">
        <v>2032</v>
      </c>
      <c r="L2" s="32">
        <v>2033</v>
      </c>
      <c r="M2" s="32">
        <v>2034</v>
      </c>
      <c r="N2" s="32">
        <v>2035</v>
      </c>
      <c r="O2" s="32">
        <v>2036</v>
      </c>
      <c r="P2" s="32">
        <v>2037</v>
      </c>
      <c r="Q2" s="32">
        <v>2038</v>
      </c>
      <c r="R2" s="32">
        <v>2039</v>
      </c>
      <c r="S2" s="32">
        <v>2040</v>
      </c>
      <c r="T2" s="32">
        <v>2041</v>
      </c>
      <c r="U2" s="32">
        <v>2042</v>
      </c>
      <c r="V2" s="32">
        <v>2043</v>
      </c>
      <c r="W2" s="32">
        <v>2044</v>
      </c>
      <c r="X2" s="32">
        <v>2045</v>
      </c>
      <c r="Y2" s="32">
        <v>2046</v>
      </c>
      <c r="Z2" s="32">
        <v>2047</v>
      </c>
      <c r="AA2" s="32">
        <v>2048</v>
      </c>
    </row>
    <row r="3" ht="16.5" customHeight="1" spans="1:27">
      <c r="A3" s="8">
        <v>1</v>
      </c>
      <c r="B3" s="8" t="s">
        <v>500</v>
      </c>
      <c r="C3" s="14">
        <f t="shared" ref="C3:C31" si="0">(SUM(D3:AA3))</f>
        <v>-0.0534982</v>
      </c>
      <c r="D3" s="14">
        <f t="shared" ref="D3:AA3" si="1">D4-D9</f>
        <v>0</v>
      </c>
      <c r="E3" s="14">
        <f t="shared" si="1"/>
        <v>0</v>
      </c>
      <c r="F3" s="14">
        <f t="shared" si="1"/>
        <v>0</v>
      </c>
      <c r="G3" s="14">
        <f t="shared" si="1"/>
        <v>-0.0227582</v>
      </c>
      <c r="H3" s="14">
        <f t="shared" si="1"/>
        <v>-0.03074</v>
      </c>
      <c r="I3" s="14">
        <f t="shared" si="1"/>
        <v>0</v>
      </c>
      <c r="J3" s="14">
        <f t="shared" si="1"/>
        <v>0</v>
      </c>
      <c r="K3" s="14">
        <f t="shared" si="1"/>
        <v>0</v>
      </c>
      <c r="L3" s="14">
        <f t="shared" si="1"/>
        <v>0</v>
      </c>
      <c r="M3" s="14">
        <f t="shared" si="1"/>
        <v>0</v>
      </c>
      <c r="N3" s="14">
        <f t="shared" si="1"/>
        <v>0</v>
      </c>
      <c r="O3" s="14">
        <f t="shared" si="1"/>
        <v>0</v>
      </c>
      <c r="P3" s="14">
        <f t="shared" si="1"/>
        <v>0</v>
      </c>
      <c r="Q3" s="14">
        <f t="shared" si="1"/>
        <v>0</v>
      </c>
      <c r="R3" s="14">
        <f t="shared" si="1"/>
        <v>0</v>
      </c>
      <c r="S3" s="14">
        <f t="shared" si="1"/>
        <v>0</v>
      </c>
      <c r="T3" s="14">
        <f t="shared" si="1"/>
        <v>0</v>
      </c>
      <c r="U3" s="14">
        <f t="shared" si="1"/>
        <v>0</v>
      </c>
      <c r="V3" s="14">
        <f t="shared" si="1"/>
        <v>0</v>
      </c>
      <c r="W3" s="14">
        <f t="shared" si="1"/>
        <v>0</v>
      </c>
      <c r="X3" s="14">
        <f t="shared" si="1"/>
        <v>0</v>
      </c>
      <c r="Y3" s="14">
        <f t="shared" si="1"/>
        <v>0</v>
      </c>
      <c r="Z3" s="14">
        <f t="shared" si="1"/>
        <v>0</v>
      </c>
      <c r="AA3" s="14">
        <f t="shared" si="1"/>
        <v>0</v>
      </c>
    </row>
    <row r="4" ht="16.5" customHeight="1" spans="1:27">
      <c r="A4" s="8">
        <v>1.1</v>
      </c>
      <c r="B4" s="8" t="s">
        <v>364</v>
      </c>
      <c r="C4" s="14">
        <f t="shared" si="0"/>
        <v>0</v>
      </c>
      <c r="D4" s="14">
        <f t="shared" ref="D4:AA4" si="2">SUM(D5:D8)</f>
        <v>0</v>
      </c>
      <c r="E4" s="14">
        <f t="shared" si="2"/>
        <v>0</v>
      </c>
      <c r="F4" s="14">
        <f t="shared" si="2"/>
        <v>0</v>
      </c>
      <c r="G4" s="14">
        <f t="shared" si="2"/>
        <v>0</v>
      </c>
      <c r="H4" s="14">
        <f t="shared" si="2"/>
        <v>0</v>
      </c>
      <c r="I4" s="14">
        <f t="shared" si="2"/>
        <v>0</v>
      </c>
      <c r="J4" s="14">
        <f t="shared" si="2"/>
        <v>0</v>
      </c>
      <c r="K4" s="14">
        <f t="shared" si="2"/>
        <v>0</v>
      </c>
      <c r="L4" s="14">
        <f t="shared" si="2"/>
        <v>0</v>
      </c>
      <c r="M4" s="14">
        <f t="shared" si="2"/>
        <v>0</v>
      </c>
      <c r="N4" s="14">
        <f t="shared" si="2"/>
        <v>0</v>
      </c>
      <c r="O4" s="14">
        <f t="shared" si="2"/>
        <v>0</v>
      </c>
      <c r="P4" s="14">
        <f t="shared" si="2"/>
        <v>0</v>
      </c>
      <c r="Q4" s="14">
        <f t="shared" si="2"/>
        <v>0</v>
      </c>
      <c r="R4" s="14">
        <f t="shared" si="2"/>
        <v>0</v>
      </c>
      <c r="S4" s="14">
        <f t="shared" si="2"/>
        <v>0</v>
      </c>
      <c r="T4" s="14">
        <f t="shared" si="2"/>
        <v>0</v>
      </c>
      <c r="U4" s="14">
        <f t="shared" si="2"/>
        <v>0</v>
      </c>
      <c r="V4" s="14">
        <f t="shared" si="2"/>
        <v>0</v>
      </c>
      <c r="W4" s="14">
        <f t="shared" si="2"/>
        <v>0</v>
      </c>
      <c r="X4" s="14">
        <f t="shared" si="2"/>
        <v>0</v>
      </c>
      <c r="Y4" s="14">
        <f t="shared" si="2"/>
        <v>0</v>
      </c>
      <c r="Z4" s="14">
        <f t="shared" si="2"/>
        <v>0</v>
      </c>
      <c r="AA4" s="14">
        <f t="shared" si="2"/>
        <v>0</v>
      </c>
    </row>
    <row r="5" ht="16.5" customHeight="1" spans="1:27">
      <c r="A5" s="8" t="s">
        <v>295</v>
      </c>
      <c r="B5" s="8" t="s">
        <v>365</v>
      </c>
      <c r="C5" s="14">
        <f t="shared" si="0"/>
        <v>0</v>
      </c>
      <c r="D5" s="39">
        <f>(F项目收入!D25)</f>
        <v>0</v>
      </c>
      <c r="E5" s="39">
        <f>(F项目收入!E25)</f>
        <v>0</v>
      </c>
      <c r="F5" s="39">
        <f>(F项目收入!F25)</f>
        <v>0</v>
      </c>
      <c r="G5" s="39">
        <f>(F项目收入!G25)</f>
        <v>0</v>
      </c>
      <c r="H5" s="39">
        <f>(F项目收入!H25)</f>
        <v>0</v>
      </c>
      <c r="I5" s="39">
        <f>(F项目收入!I25)</f>
        <v>0</v>
      </c>
      <c r="J5" s="39">
        <f>(F项目收入!J25)</f>
        <v>0</v>
      </c>
      <c r="K5" s="39">
        <f>(F项目收入!K25)</f>
        <v>0</v>
      </c>
      <c r="L5" s="39">
        <f>(F项目收入!L25)</f>
        <v>0</v>
      </c>
      <c r="M5" s="39">
        <f>(F项目收入!M25)</f>
        <v>0</v>
      </c>
      <c r="N5" s="39">
        <f>(F项目收入!N25)</f>
        <v>0</v>
      </c>
      <c r="O5" s="39">
        <f>(F项目收入!O25)</f>
        <v>0</v>
      </c>
      <c r="P5" s="39">
        <f>(F项目收入!P25)</f>
        <v>0</v>
      </c>
      <c r="Q5" s="39">
        <f>(F项目收入!Q25)</f>
        <v>0</v>
      </c>
      <c r="R5" s="39">
        <f>(F项目收入!R25)</f>
        <v>0</v>
      </c>
      <c r="S5" s="39">
        <f>(F项目收入!S25)</f>
        <v>0</v>
      </c>
      <c r="T5" s="39">
        <f>(F项目收入!T25)</f>
        <v>0</v>
      </c>
      <c r="U5" s="39">
        <f>(F项目收入!U25)</f>
        <v>0</v>
      </c>
      <c r="V5" s="39">
        <f>(F项目收入!V25)</f>
        <v>0</v>
      </c>
      <c r="W5" s="39">
        <f>(F项目收入!W25)</f>
        <v>0</v>
      </c>
      <c r="X5" s="39">
        <f>(F项目收入!X25)</f>
        <v>0</v>
      </c>
      <c r="Y5" s="39">
        <f>(F项目收入!Y25)</f>
        <v>0</v>
      </c>
      <c r="Z5" s="39">
        <f>(F项目收入!Z25)</f>
        <v>0</v>
      </c>
      <c r="AA5" s="39">
        <f>F项目收入!AA25</f>
        <v>0</v>
      </c>
    </row>
    <row r="6" ht="16.5" customHeight="1" spans="1:27">
      <c r="A6" s="8" t="s">
        <v>297</v>
      </c>
      <c r="B6" s="8" t="s">
        <v>501</v>
      </c>
      <c r="C6" s="14">
        <f t="shared" si="0"/>
        <v>0</v>
      </c>
      <c r="D6" s="41">
        <f>(G.税金及附加测算表!D25)</f>
        <v>0</v>
      </c>
      <c r="E6" s="41">
        <f>(G.税金及附加测算表!E25)</f>
        <v>0</v>
      </c>
      <c r="F6" s="41">
        <f>(G.税金及附加测算表!F25)</f>
        <v>0</v>
      </c>
      <c r="G6" s="41">
        <f>(G.税金及附加测算表!G25)</f>
        <v>0</v>
      </c>
      <c r="H6" s="41">
        <f>(G.税金及附加测算表!H25)</f>
        <v>0</v>
      </c>
      <c r="I6" s="41">
        <f>(G.税金及附加测算表!I25)</f>
        <v>0</v>
      </c>
      <c r="J6" s="41">
        <f>(G.税金及附加测算表!J25)</f>
        <v>0</v>
      </c>
      <c r="K6" s="41">
        <f>(G.税金及附加测算表!K25)</f>
        <v>0</v>
      </c>
      <c r="L6" s="41">
        <f>(G.税金及附加测算表!L25)</f>
        <v>0</v>
      </c>
      <c r="M6" s="41">
        <f>(G.税金及附加测算表!M25)</f>
        <v>0</v>
      </c>
      <c r="N6" s="41">
        <f>(G.税金及附加测算表!N25)</f>
        <v>0</v>
      </c>
      <c r="O6" s="41">
        <f>(G.税金及附加测算表!O25)</f>
        <v>0</v>
      </c>
      <c r="P6" s="41">
        <f>(G.税金及附加测算表!P25)</f>
        <v>0</v>
      </c>
      <c r="Q6" s="41">
        <f>(G.税金及附加测算表!Q25)</f>
        <v>0</v>
      </c>
      <c r="R6" s="41">
        <f>(G.税金及附加测算表!R25)</f>
        <v>0</v>
      </c>
      <c r="S6" s="41">
        <f>(G.税金及附加测算表!S25)</f>
        <v>0</v>
      </c>
      <c r="T6" s="41">
        <f>(G.税金及附加测算表!T25)</f>
        <v>0</v>
      </c>
      <c r="U6" s="41">
        <f>(G.税金及附加测算表!U25)</f>
        <v>0</v>
      </c>
      <c r="V6" s="41">
        <f>(G.税金及附加测算表!V25)</f>
        <v>0</v>
      </c>
      <c r="W6" s="41">
        <f>(G.税金及附加测算表!W25)</f>
        <v>0</v>
      </c>
      <c r="X6" s="41">
        <f>(G.税金及附加测算表!X25)</f>
        <v>0</v>
      </c>
      <c r="Y6" s="41">
        <f>(G.税金及附加测算表!Y25)</f>
        <v>0</v>
      </c>
      <c r="Z6" s="41">
        <f>(G.税金及附加测算表!Z25)</f>
        <v>0</v>
      </c>
      <c r="AA6" s="41">
        <f>G.税金及附加测算表!AA25</f>
        <v>0</v>
      </c>
    </row>
    <row r="7" ht="16.5" customHeight="1" spans="1:27">
      <c r="A7" s="8" t="s">
        <v>299</v>
      </c>
      <c r="B7" s="8" t="s">
        <v>316</v>
      </c>
      <c r="C7" s="14">
        <f t="shared" si="0"/>
        <v>0</v>
      </c>
      <c r="D7" s="39">
        <f>(F项目收入!D23)</f>
        <v>0</v>
      </c>
      <c r="E7" s="39">
        <f>(F项目收入!E23)</f>
        <v>0</v>
      </c>
      <c r="F7" s="39">
        <f>(F项目收入!F23)</f>
        <v>0</v>
      </c>
      <c r="G7" s="39">
        <f>(F项目收入!G23)</f>
        <v>0</v>
      </c>
      <c r="H7" s="39">
        <f>(F项目收入!H23)</f>
        <v>0</v>
      </c>
      <c r="I7" s="39">
        <f>(F项目收入!I23)</f>
        <v>0</v>
      </c>
      <c r="J7" s="39">
        <f>(F项目收入!J23)</f>
        <v>0</v>
      </c>
      <c r="K7" s="39">
        <f>(F项目收入!K23)</f>
        <v>0</v>
      </c>
      <c r="L7" s="39">
        <f>(F项目收入!L23)</f>
        <v>0</v>
      </c>
      <c r="M7" s="39">
        <f>(F项目收入!M23)</f>
        <v>0</v>
      </c>
      <c r="N7" s="39">
        <f>(F项目收入!N23)</f>
        <v>0</v>
      </c>
      <c r="O7" s="39">
        <f>(F项目收入!O23)</f>
        <v>0</v>
      </c>
      <c r="P7" s="39">
        <f>(F项目收入!P23)</f>
        <v>0</v>
      </c>
      <c r="Q7" s="39">
        <f>(F项目收入!Q23)</f>
        <v>0</v>
      </c>
      <c r="R7" s="39">
        <f>(F项目收入!R23)</f>
        <v>0</v>
      </c>
      <c r="S7" s="39">
        <f>(F项目收入!S23)</f>
        <v>0</v>
      </c>
      <c r="T7" s="39">
        <f>(F项目收入!T23)</f>
        <v>0</v>
      </c>
      <c r="U7" s="39">
        <f>(F项目收入!U23)</f>
        <v>0</v>
      </c>
      <c r="V7" s="39">
        <f>(F项目收入!V23)</f>
        <v>0</v>
      </c>
      <c r="W7" s="39">
        <f>(F项目收入!W23)</f>
        <v>0</v>
      </c>
      <c r="X7" s="39">
        <f>(F项目收入!X23)</f>
        <v>0</v>
      </c>
      <c r="Y7" s="39">
        <f>(F项目收入!Y23)</f>
        <v>0</v>
      </c>
      <c r="Z7" s="39">
        <f>(F项目收入!Z23)</f>
        <v>0</v>
      </c>
      <c r="AA7" s="39">
        <v>0</v>
      </c>
    </row>
    <row r="8" ht="16.5" customHeight="1" spans="1:27">
      <c r="A8" s="8" t="s">
        <v>502</v>
      </c>
      <c r="B8" s="8" t="s">
        <v>503</v>
      </c>
      <c r="C8" s="14">
        <f t="shared" si="0"/>
        <v>0</v>
      </c>
      <c r="D8" s="37">
        <v>0</v>
      </c>
      <c r="E8" s="37">
        <v>0</v>
      </c>
      <c r="F8" s="37">
        <v>0</v>
      </c>
      <c r="G8" s="37">
        <v>0</v>
      </c>
      <c r="H8" s="37">
        <v>0</v>
      </c>
      <c r="I8" s="37">
        <v>0</v>
      </c>
      <c r="J8" s="37">
        <v>0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37">
        <v>0</v>
      </c>
      <c r="Q8" s="37">
        <v>0</v>
      </c>
      <c r="R8" s="37">
        <v>0</v>
      </c>
      <c r="S8" s="37">
        <v>0</v>
      </c>
      <c r="T8" s="37">
        <v>0</v>
      </c>
      <c r="U8" s="37">
        <v>0</v>
      </c>
      <c r="V8" s="37">
        <v>0</v>
      </c>
      <c r="W8" s="37">
        <v>0</v>
      </c>
      <c r="X8" s="37">
        <v>0</v>
      </c>
      <c r="Y8" s="37">
        <v>0</v>
      </c>
      <c r="Z8" s="37">
        <v>0</v>
      </c>
      <c r="AA8" s="37">
        <v>0</v>
      </c>
    </row>
    <row r="9" ht="16.5" customHeight="1" spans="1:27">
      <c r="A9" s="8">
        <v>1.2</v>
      </c>
      <c r="B9" s="8" t="s">
        <v>368</v>
      </c>
      <c r="C9" s="14">
        <f t="shared" si="0"/>
        <v>0.0534982</v>
      </c>
      <c r="D9" s="14">
        <f t="shared" ref="D9:AA9" si="3">SUM(D10:D15)</f>
        <v>0</v>
      </c>
      <c r="E9" s="14">
        <f t="shared" si="3"/>
        <v>0</v>
      </c>
      <c r="F9" s="14">
        <f t="shared" si="3"/>
        <v>0</v>
      </c>
      <c r="G9" s="14">
        <f t="shared" si="3"/>
        <v>0.0227582</v>
      </c>
      <c r="H9" s="14">
        <f t="shared" si="3"/>
        <v>0.03074</v>
      </c>
      <c r="I9" s="14">
        <f t="shared" si="3"/>
        <v>0</v>
      </c>
      <c r="J9" s="14">
        <f t="shared" si="3"/>
        <v>0</v>
      </c>
      <c r="K9" s="14">
        <f t="shared" si="3"/>
        <v>0</v>
      </c>
      <c r="L9" s="14">
        <f t="shared" si="3"/>
        <v>0</v>
      </c>
      <c r="M9" s="14">
        <f t="shared" si="3"/>
        <v>0</v>
      </c>
      <c r="N9" s="14">
        <f t="shared" si="3"/>
        <v>0</v>
      </c>
      <c r="O9" s="14">
        <f t="shared" si="3"/>
        <v>0</v>
      </c>
      <c r="P9" s="14">
        <f t="shared" si="3"/>
        <v>0</v>
      </c>
      <c r="Q9" s="14">
        <f t="shared" si="3"/>
        <v>0</v>
      </c>
      <c r="R9" s="14">
        <f t="shared" si="3"/>
        <v>0</v>
      </c>
      <c r="S9" s="14">
        <f t="shared" si="3"/>
        <v>0</v>
      </c>
      <c r="T9" s="14">
        <f t="shared" si="3"/>
        <v>0</v>
      </c>
      <c r="U9" s="14">
        <f t="shared" si="3"/>
        <v>0</v>
      </c>
      <c r="V9" s="14">
        <f t="shared" si="3"/>
        <v>0</v>
      </c>
      <c r="W9" s="14">
        <f t="shared" si="3"/>
        <v>0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</row>
    <row r="10" ht="16.5" customHeight="1" spans="1:27">
      <c r="A10" s="8" t="s">
        <v>189</v>
      </c>
      <c r="B10" s="8" t="s">
        <v>369</v>
      </c>
      <c r="C10" s="14">
        <f t="shared" si="0"/>
        <v>0.0534982</v>
      </c>
      <c r="D10" s="14">
        <f>E总成本费用估算表!C11</f>
        <v>0</v>
      </c>
      <c r="E10" s="14">
        <f>E总成本费用估算表!D11</f>
        <v>0</v>
      </c>
      <c r="F10" s="14">
        <f>E总成本费用估算表!E11</f>
        <v>0</v>
      </c>
      <c r="G10" s="14">
        <f>E总成本费用估算表!F11</f>
        <v>0.0227582</v>
      </c>
      <c r="H10" s="14">
        <f>E总成本费用估算表!G11</f>
        <v>0.03074</v>
      </c>
      <c r="I10" s="14">
        <f>E总成本费用估算表!H11</f>
        <v>0</v>
      </c>
      <c r="J10" s="14">
        <f>E总成本费用估算表!I11</f>
        <v>0</v>
      </c>
      <c r="K10" s="14">
        <f>E总成本费用估算表!J11</f>
        <v>0</v>
      </c>
      <c r="L10" s="14">
        <f>E总成本费用估算表!K11</f>
        <v>0</v>
      </c>
      <c r="M10" s="14">
        <f>E总成本费用估算表!L11</f>
        <v>0</v>
      </c>
      <c r="N10" s="14">
        <f>E总成本费用估算表!M11</f>
        <v>0</v>
      </c>
      <c r="O10" s="14">
        <f>E总成本费用估算表!N11</f>
        <v>0</v>
      </c>
      <c r="P10" s="14">
        <f>E总成本费用估算表!O11</f>
        <v>0</v>
      </c>
      <c r="Q10" s="14">
        <f>E总成本费用估算表!P11</f>
        <v>0</v>
      </c>
      <c r="R10" s="14">
        <f>E总成本费用估算表!Q11</f>
        <v>0</v>
      </c>
      <c r="S10" s="14">
        <f>E总成本费用估算表!R11</f>
        <v>0</v>
      </c>
      <c r="T10" s="14">
        <f>E总成本费用估算表!S11</f>
        <v>0</v>
      </c>
      <c r="U10" s="14">
        <f>E总成本费用估算表!T11</f>
        <v>0</v>
      </c>
      <c r="V10" s="14">
        <f>E总成本费用估算表!U11</f>
        <v>0</v>
      </c>
      <c r="W10" s="14">
        <f>E总成本费用估算表!V11</f>
        <v>0</v>
      </c>
      <c r="X10" s="14">
        <f>E总成本费用估算表!W11</f>
        <v>0</v>
      </c>
      <c r="Y10" s="14">
        <f>E总成本费用估算表!X11</f>
        <v>0</v>
      </c>
      <c r="Z10" s="14">
        <f>E总成本费用估算表!Y11</f>
        <v>0</v>
      </c>
      <c r="AA10" s="14">
        <f>E总成本费用估算表!Z11</f>
        <v>0</v>
      </c>
    </row>
    <row r="11" ht="16.5" customHeight="1" spans="1:27">
      <c r="A11" s="8" t="s">
        <v>191</v>
      </c>
      <c r="B11" s="8" t="s">
        <v>504</v>
      </c>
      <c r="C11" s="14">
        <f t="shared" si="0"/>
        <v>0</v>
      </c>
      <c r="D11" s="37">
        <f>(G.税金及附加测算表!D4)</f>
        <v>0</v>
      </c>
      <c r="E11" s="37">
        <f>(G.税金及附加测算表!E4)</f>
        <v>0</v>
      </c>
      <c r="F11" s="37">
        <f>(G.税金及附加测算表!F4)</f>
        <v>0</v>
      </c>
      <c r="G11" s="37">
        <f>(G.税金及附加测算表!G4)</f>
        <v>0</v>
      </c>
      <c r="H11" s="37">
        <f>(G.税金及附加测算表!H4)</f>
        <v>0</v>
      </c>
      <c r="I11" s="37">
        <f>(G.税金及附加测算表!I4)</f>
        <v>0</v>
      </c>
      <c r="J11" s="37">
        <f>(G.税金及附加测算表!J4)</f>
        <v>0</v>
      </c>
      <c r="K11" s="37">
        <f>(G.税金及附加测算表!K4)</f>
        <v>0</v>
      </c>
      <c r="L11" s="37">
        <f>(G.税金及附加测算表!L4)</f>
        <v>0</v>
      </c>
      <c r="M11" s="37">
        <f>(G.税金及附加测算表!M4)</f>
        <v>0</v>
      </c>
      <c r="N11" s="37">
        <f>(G.税金及附加测算表!N4)</f>
        <v>0</v>
      </c>
      <c r="O11" s="37">
        <f>(G.税金及附加测算表!O4)</f>
        <v>0</v>
      </c>
      <c r="P11" s="37">
        <f>(G.税金及附加测算表!P4)</f>
        <v>0</v>
      </c>
      <c r="Q11" s="37">
        <f>(G.税金及附加测算表!Q4)</f>
        <v>0</v>
      </c>
      <c r="R11" s="37">
        <f>(G.税金及附加测算表!R4)</f>
        <v>0</v>
      </c>
      <c r="S11" s="37">
        <f>(G.税金及附加测算表!S4)</f>
        <v>0</v>
      </c>
      <c r="T11" s="37">
        <f>(G.税金及附加测算表!T4)</f>
        <v>0</v>
      </c>
      <c r="U11" s="37">
        <f>(G.税金及附加测算表!U4)</f>
        <v>0</v>
      </c>
      <c r="V11" s="37">
        <f>(G.税金及附加测算表!V4)</f>
        <v>0</v>
      </c>
      <c r="W11" s="37">
        <f>(G.税金及附加测算表!W4)</f>
        <v>0</v>
      </c>
      <c r="X11" s="37">
        <f>(G.税金及附加测算表!X4)</f>
        <v>0</v>
      </c>
      <c r="Y11" s="37">
        <f>(G.税金及附加测算表!Y4)</f>
        <v>0</v>
      </c>
      <c r="Z11" s="37">
        <f>(G.税金及附加测算表!Z4)</f>
        <v>0</v>
      </c>
      <c r="AA11" s="37">
        <f>G.税金及附加测算表!AA4</f>
        <v>0</v>
      </c>
    </row>
    <row r="12" ht="16.5" customHeight="1" spans="1:27">
      <c r="A12" s="8" t="s">
        <v>193</v>
      </c>
      <c r="B12" s="8" t="s">
        <v>370</v>
      </c>
      <c r="C12" s="14">
        <f t="shared" si="0"/>
        <v>0</v>
      </c>
      <c r="D12" s="14">
        <f>(G.税金及附加测算表!D30)</f>
        <v>0</v>
      </c>
      <c r="E12" s="14">
        <f>(G.税金及附加测算表!E30)</f>
        <v>0</v>
      </c>
      <c r="F12" s="14">
        <f>(G.税金及附加测算表!F30)</f>
        <v>0</v>
      </c>
      <c r="G12" s="14">
        <f>(G.税金及附加测算表!G30)</f>
        <v>0</v>
      </c>
      <c r="H12" s="14">
        <f>(G.税金及附加测算表!H30)</f>
        <v>0</v>
      </c>
      <c r="I12" s="14">
        <f>(G.税金及附加测算表!I30)</f>
        <v>0</v>
      </c>
      <c r="J12" s="14">
        <f>(G.税金及附加测算表!J30)</f>
        <v>0</v>
      </c>
      <c r="K12" s="14">
        <f>(G.税金及附加测算表!K30)</f>
        <v>0</v>
      </c>
      <c r="L12" s="14">
        <f>(G.税金及附加测算表!L30)</f>
        <v>0</v>
      </c>
      <c r="M12" s="14">
        <f>(G.税金及附加测算表!M30)</f>
        <v>0</v>
      </c>
      <c r="N12" s="14">
        <f>(G.税金及附加测算表!N30)</f>
        <v>0</v>
      </c>
      <c r="O12" s="14">
        <f>(G.税金及附加测算表!O30)</f>
        <v>0</v>
      </c>
      <c r="P12" s="14">
        <f>(G.税金及附加测算表!P30)</f>
        <v>0</v>
      </c>
      <c r="Q12" s="14">
        <f>(G.税金及附加测算表!Q30)</f>
        <v>0</v>
      </c>
      <c r="R12" s="14">
        <f>(G.税金及附加测算表!R30)</f>
        <v>0</v>
      </c>
      <c r="S12" s="14">
        <f>(G.税金及附加测算表!S30)</f>
        <v>0</v>
      </c>
      <c r="T12" s="14">
        <f>(G.税金及附加测算表!T30)</f>
        <v>0</v>
      </c>
      <c r="U12" s="14">
        <f>(G.税金及附加测算表!U30)</f>
        <v>0</v>
      </c>
      <c r="V12" s="14">
        <f>(G.税金及附加测算表!V30)</f>
        <v>0</v>
      </c>
      <c r="W12" s="14">
        <f>(G.税金及附加测算表!W30)</f>
        <v>0</v>
      </c>
      <c r="X12" s="14">
        <f>(G.税金及附加测算表!X30)</f>
        <v>0</v>
      </c>
      <c r="Y12" s="14">
        <f>(G.税金及附加测算表!Y30)</f>
        <v>0</v>
      </c>
      <c r="Z12" s="14">
        <f>(G.税金及附加测算表!Z30)</f>
        <v>0</v>
      </c>
      <c r="AA12" s="14">
        <f>G.税金及附加测算表!AA30</f>
        <v>0</v>
      </c>
    </row>
    <row r="13" ht="16.5" customHeight="1" spans="1:27">
      <c r="A13" s="8" t="s">
        <v>195</v>
      </c>
      <c r="B13" s="8" t="s">
        <v>371</v>
      </c>
      <c r="C13" s="14">
        <f t="shared" si="0"/>
        <v>0</v>
      </c>
      <c r="D13" s="14">
        <f>(G.税金及附加测算表!D29)</f>
        <v>0</v>
      </c>
      <c r="E13" s="14">
        <f>(G.税金及附加测算表!E29)</f>
        <v>0</v>
      </c>
      <c r="F13" s="14">
        <f>(G.税金及附加测算表!F29)</f>
        <v>0</v>
      </c>
      <c r="G13" s="14">
        <f>(G.税金及附加测算表!G29)</f>
        <v>0</v>
      </c>
      <c r="H13" s="14">
        <f>(G.税金及附加测算表!H29)</f>
        <v>0</v>
      </c>
      <c r="I13" s="14">
        <f>(G.税金及附加测算表!I29)</f>
        <v>0</v>
      </c>
      <c r="J13" s="14">
        <f>(G.税金及附加测算表!J29)</f>
        <v>0</v>
      </c>
      <c r="K13" s="14">
        <f>(G.税金及附加测算表!K29)</f>
        <v>0</v>
      </c>
      <c r="L13" s="14">
        <f>(G.税金及附加测算表!L29)</f>
        <v>0</v>
      </c>
      <c r="M13" s="14">
        <f>(G.税金及附加测算表!M29)</f>
        <v>0</v>
      </c>
      <c r="N13" s="14">
        <f>(G.税金及附加测算表!N29)</f>
        <v>0</v>
      </c>
      <c r="O13" s="14">
        <f>(G.税金及附加测算表!O29)</f>
        <v>0</v>
      </c>
      <c r="P13" s="14">
        <f>(G.税金及附加测算表!P29)</f>
        <v>0</v>
      </c>
      <c r="Q13" s="14">
        <f>(G.税金及附加测算表!Q29)</f>
        <v>0</v>
      </c>
      <c r="R13" s="14">
        <f>(G.税金及附加测算表!R29)</f>
        <v>0</v>
      </c>
      <c r="S13" s="14">
        <f>(G.税金及附加测算表!S29)</f>
        <v>0</v>
      </c>
      <c r="T13" s="14">
        <f>(G.税金及附加测算表!T29)</f>
        <v>0</v>
      </c>
      <c r="U13" s="14">
        <f>(G.税金及附加测算表!U29)</f>
        <v>0</v>
      </c>
      <c r="V13" s="14">
        <f>(G.税金及附加测算表!V29)</f>
        <v>0</v>
      </c>
      <c r="W13" s="14">
        <f>(G.税金及附加测算表!W29)</f>
        <v>0</v>
      </c>
      <c r="X13" s="14">
        <f>(G.税金及附加测算表!X29)</f>
        <v>0</v>
      </c>
      <c r="Y13" s="14">
        <f>(G.税金及附加测算表!Y29)</f>
        <v>0</v>
      </c>
      <c r="Z13" s="14">
        <f>(G.税金及附加测算表!Z29)</f>
        <v>0</v>
      </c>
      <c r="AA13" s="14">
        <f>G.税金及附加测算表!AA29</f>
        <v>0</v>
      </c>
    </row>
    <row r="14" ht="16.5" customHeight="1" spans="1:27">
      <c r="A14" s="8" t="s">
        <v>505</v>
      </c>
      <c r="B14" s="8" t="s">
        <v>406</v>
      </c>
      <c r="C14" s="14">
        <f t="shared" si="0"/>
        <v>0</v>
      </c>
      <c r="D14" s="14">
        <f>'b利润与利润分配表（损益和利润分配表）'!D11</f>
        <v>0</v>
      </c>
      <c r="E14" s="14">
        <f>'b利润与利润分配表（损益和利润分配表）'!E11</f>
        <v>0</v>
      </c>
      <c r="F14" s="14">
        <f>'b利润与利润分配表（损益和利润分配表）'!F11</f>
        <v>0</v>
      </c>
      <c r="G14" s="14">
        <f>'b利润与利润分配表（损益和利润分配表）'!G11</f>
        <v>0</v>
      </c>
      <c r="H14" s="14">
        <f>'b利润与利润分配表（损益和利润分配表）'!H11</f>
        <v>0</v>
      </c>
      <c r="I14" s="14">
        <f>'b利润与利润分配表（损益和利润分配表）'!I11</f>
        <v>0</v>
      </c>
      <c r="J14" s="14">
        <f>'b利润与利润分配表（损益和利润分配表）'!J11</f>
        <v>0</v>
      </c>
      <c r="K14" s="14">
        <f>'b利润与利润分配表（损益和利润分配表）'!K11</f>
        <v>0</v>
      </c>
      <c r="L14" s="14">
        <f>'b利润与利润分配表（损益和利润分配表）'!L11</f>
        <v>0</v>
      </c>
      <c r="M14" s="14">
        <f>'b利润与利润分配表（损益和利润分配表）'!M11</f>
        <v>0</v>
      </c>
      <c r="N14" s="14">
        <f>'b利润与利润分配表（损益和利润分配表）'!N11</f>
        <v>0</v>
      </c>
      <c r="O14" s="14">
        <f>'b利润与利润分配表（损益和利润分配表）'!O11</f>
        <v>0</v>
      </c>
      <c r="P14" s="14">
        <f>'b利润与利润分配表（损益和利润分配表）'!P11</f>
        <v>0</v>
      </c>
      <c r="Q14" s="14">
        <f>'b利润与利润分配表（损益和利润分配表）'!Q11</f>
        <v>0</v>
      </c>
      <c r="R14" s="14">
        <f>'b利润与利润分配表（损益和利润分配表）'!R11</f>
        <v>0</v>
      </c>
      <c r="S14" s="14">
        <f>'b利润与利润分配表（损益和利润分配表）'!S11</f>
        <v>0</v>
      </c>
      <c r="T14" s="14">
        <f>'b利润与利润分配表（损益和利润分配表）'!T11</f>
        <v>0</v>
      </c>
      <c r="U14" s="14">
        <f>'b利润与利润分配表（损益和利润分配表）'!U11</f>
        <v>0</v>
      </c>
      <c r="V14" s="14">
        <f>'b利润与利润分配表（损益和利润分配表）'!V11</f>
        <v>0</v>
      </c>
      <c r="W14" s="14">
        <f>'b利润与利润分配表（损益和利润分配表）'!W11</f>
        <v>0</v>
      </c>
      <c r="X14" s="14">
        <f>'b利润与利润分配表（损益和利润分配表）'!X11</f>
        <v>0</v>
      </c>
      <c r="Y14" s="14">
        <f>'b利润与利润分配表（损益和利润分配表）'!Y11</f>
        <v>0</v>
      </c>
      <c r="Z14" s="14">
        <f>'b利润与利润分配表（损益和利润分配表）'!Z11</f>
        <v>0</v>
      </c>
      <c r="AA14" s="14">
        <f>'b利润与利润分配表（损益和利润分配表）'!AA11</f>
        <v>0</v>
      </c>
    </row>
    <row r="15" ht="16.5" customHeight="1" spans="1:27">
      <c r="A15" s="8" t="s">
        <v>506</v>
      </c>
      <c r="B15" s="8" t="s">
        <v>507</v>
      </c>
      <c r="C15" s="14">
        <f t="shared" si="0"/>
        <v>0</v>
      </c>
      <c r="D15" s="37">
        <v>0</v>
      </c>
      <c r="E15" s="37">
        <v>0</v>
      </c>
      <c r="F15" s="37">
        <v>0</v>
      </c>
      <c r="G15" s="37">
        <v>0</v>
      </c>
      <c r="H15" s="37">
        <v>0</v>
      </c>
      <c r="I15" s="37">
        <v>0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37">
        <v>0</v>
      </c>
      <c r="Q15" s="37">
        <v>0</v>
      </c>
      <c r="R15" s="37">
        <v>0</v>
      </c>
      <c r="S15" s="37">
        <v>0</v>
      </c>
      <c r="T15" s="37">
        <v>0</v>
      </c>
      <c r="U15" s="37">
        <v>0</v>
      </c>
      <c r="V15" s="37">
        <v>0</v>
      </c>
      <c r="W15" s="37">
        <v>0</v>
      </c>
      <c r="X15" s="37">
        <v>0</v>
      </c>
      <c r="Y15" s="37">
        <v>0</v>
      </c>
      <c r="Z15" s="37">
        <v>0</v>
      </c>
      <c r="AA15" s="37">
        <v>0</v>
      </c>
    </row>
    <row r="16" ht="16.5" customHeight="1" spans="1:27">
      <c r="A16" s="8">
        <v>2</v>
      </c>
      <c r="B16" s="8" t="s">
        <v>508</v>
      </c>
      <c r="C16" s="14">
        <f t="shared" si="0"/>
        <v>-25881.3041187644</v>
      </c>
      <c r="D16" s="14">
        <f t="shared" ref="D16:AA16" si="4">D17-D18</f>
        <v>-1862.88206098348</v>
      </c>
      <c r="E16" s="14">
        <f t="shared" si="4"/>
        <v>-10556.3316789064</v>
      </c>
      <c r="F16" s="14">
        <f t="shared" si="4"/>
        <v>-12958.5978017253</v>
      </c>
      <c r="G16" s="14">
        <f t="shared" si="4"/>
        <v>-503.491911999204</v>
      </c>
      <c r="H16" s="14">
        <f t="shared" si="4"/>
        <v>-0.000665150000000004</v>
      </c>
      <c r="I16" s="14">
        <f t="shared" si="4"/>
        <v>0</v>
      </c>
      <c r="J16" s="14">
        <f t="shared" si="4"/>
        <v>0</v>
      </c>
      <c r="K16" s="14">
        <f t="shared" si="4"/>
        <v>0</v>
      </c>
      <c r="L16" s="14">
        <f t="shared" si="4"/>
        <v>0</v>
      </c>
      <c r="M16" s="14">
        <f t="shared" si="4"/>
        <v>0</v>
      </c>
      <c r="N16" s="14">
        <f t="shared" si="4"/>
        <v>0</v>
      </c>
      <c r="O16" s="14">
        <f t="shared" si="4"/>
        <v>0</v>
      </c>
      <c r="P16" s="14">
        <f t="shared" si="4"/>
        <v>0</v>
      </c>
      <c r="Q16" s="14">
        <f t="shared" si="4"/>
        <v>0</v>
      </c>
      <c r="R16" s="14">
        <f t="shared" si="4"/>
        <v>0</v>
      </c>
      <c r="S16" s="14">
        <f t="shared" si="4"/>
        <v>0</v>
      </c>
      <c r="T16" s="14">
        <f t="shared" si="4"/>
        <v>0</v>
      </c>
      <c r="U16" s="14">
        <f t="shared" si="4"/>
        <v>0</v>
      </c>
      <c r="V16" s="14">
        <f t="shared" si="4"/>
        <v>0</v>
      </c>
      <c r="W16" s="14">
        <f t="shared" si="4"/>
        <v>0</v>
      </c>
      <c r="X16" s="14">
        <f t="shared" si="4"/>
        <v>0</v>
      </c>
      <c r="Y16" s="14">
        <f t="shared" si="4"/>
        <v>0</v>
      </c>
      <c r="Z16" s="14">
        <f t="shared" si="4"/>
        <v>0</v>
      </c>
      <c r="AA16" s="14">
        <f t="shared" si="4"/>
        <v>0</v>
      </c>
    </row>
    <row r="17" ht="25.2" customHeight="1" spans="1:27">
      <c r="A17" s="8">
        <v>2.1</v>
      </c>
      <c r="B17" s="34" t="s">
        <v>364</v>
      </c>
      <c r="C17" s="14">
        <f t="shared" si="0"/>
        <v>0</v>
      </c>
      <c r="D17" s="37">
        <v>0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  <c r="J17" s="37">
        <v>0</v>
      </c>
      <c r="K17" s="37">
        <v>0</v>
      </c>
      <c r="L17" s="37">
        <v>0</v>
      </c>
      <c r="M17" s="37">
        <v>0</v>
      </c>
      <c r="N17" s="37">
        <v>0</v>
      </c>
      <c r="O17" s="37">
        <v>0</v>
      </c>
      <c r="P17" s="37">
        <v>0</v>
      </c>
      <c r="Q17" s="37">
        <v>0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  <c r="AA17" s="37">
        <v>0</v>
      </c>
    </row>
    <row r="18" ht="16.5" customHeight="1" spans="1:27">
      <c r="A18" s="8">
        <v>2.2</v>
      </c>
      <c r="B18" s="8" t="s">
        <v>368</v>
      </c>
      <c r="C18" s="14">
        <f t="shared" si="0"/>
        <v>25881.3041187644</v>
      </c>
      <c r="D18" s="14">
        <f t="shared" ref="D18:AA18" si="5">SUM(D19:D22)</f>
        <v>1862.88206098348</v>
      </c>
      <c r="E18" s="14">
        <f t="shared" si="5"/>
        <v>10556.3316789064</v>
      </c>
      <c r="F18" s="14">
        <f t="shared" si="5"/>
        <v>12958.5978017253</v>
      </c>
      <c r="G18" s="14">
        <f t="shared" si="5"/>
        <v>503.491911999204</v>
      </c>
      <c r="H18" s="14">
        <f t="shared" si="5"/>
        <v>0.000665150000000004</v>
      </c>
      <c r="I18" s="14">
        <f t="shared" si="5"/>
        <v>0</v>
      </c>
      <c r="J18" s="14">
        <f t="shared" si="5"/>
        <v>0</v>
      </c>
      <c r="K18" s="14">
        <f t="shared" si="5"/>
        <v>0</v>
      </c>
      <c r="L18" s="14">
        <f t="shared" si="5"/>
        <v>0</v>
      </c>
      <c r="M18" s="14">
        <f t="shared" si="5"/>
        <v>0</v>
      </c>
      <c r="N18" s="14">
        <f t="shared" si="5"/>
        <v>0</v>
      </c>
      <c r="O18" s="14">
        <f t="shared" si="5"/>
        <v>0</v>
      </c>
      <c r="P18" s="14">
        <f t="shared" si="5"/>
        <v>0</v>
      </c>
      <c r="Q18" s="14">
        <f t="shared" si="5"/>
        <v>0</v>
      </c>
      <c r="R18" s="14">
        <f t="shared" si="5"/>
        <v>0</v>
      </c>
      <c r="S18" s="14">
        <f t="shared" si="5"/>
        <v>0</v>
      </c>
      <c r="T18" s="14">
        <f t="shared" si="5"/>
        <v>0</v>
      </c>
      <c r="U18" s="14">
        <f t="shared" si="5"/>
        <v>0</v>
      </c>
      <c r="V18" s="14">
        <f t="shared" si="5"/>
        <v>0</v>
      </c>
      <c r="W18" s="14">
        <f t="shared" si="5"/>
        <v>0</v>
      </c>
      <c r="X18" s="14">
        <f t="shared" si="5"/>
        <v>0</v>
      </c>
      <c r="Y18" s="14">
        <f t="shared" si="5"/>
        <v>0</v>
      </c>
      <c r="Z18" s="14">
        <f t="shared" si="5"/>
        <v>0</v>
      </c>
      <c r="AA18" s="14">
        <f t="shared" si="5"/>
        <v>0</v>
      </c>
    </row>
    <row r="19" ht="16.5" customHeight="1" spans="1:27">
      <c r="A19" s="8" t="s">
        <v>156</v>
      </c>
      <c r="B19" s="8" t="s">
        <v>145</v>
      </c>
      <c r="C19" s="14">
        <f t="shared" si="0"/>
        <v>25881.3015570977</v>
      </c>
      <c r="D19" s="14">
        <f>(E.4建设投资税后金额表!I17)</f>
        <v>1862.88206098348</v>
      </c>
      <c r="E19" s="14">
        <f>(E.4建设投资税后金额表!J17)</f>
        <v>10556.3316789064</v>
      </c>
      <c r="F19" s="14">
        <f>(E.4建设投资税后金额表!K17)</f>
        <v>12958.5978017253</v>
      </c>
      <c r="G19" s="14">
        <f>(E.4建设投资税后金额表!L17)</f>
        <v>503.490015482537</v>
      </c>
      <c r="H19" s="14">
        <f>(E.4建设投资税后金额表!M17)</f>
        <v>0</v>
      </c>
      <c r="I19" s="14">
        <f>(E.4建设投资税后金额表!N17)</f>
        <v>0</v>
      </c>
      <c r="J19" s="14">
        <f>(E.4建设投资税后金额表!O17)</f>
        <v>0</v>
      </c>
      <c r="K19" s="14">
        <f>(E.4建设投资税后金额表!P17)</f>
        <v>0</v>
      </c>
      <c r="L19" s="14">
        <f>(E.4建设投资税后金额表!Q17)</f>
        <v>0</v>
      </c>
      <c r="M19" s="14">
        <f>(E.4建设投资税后金额表!R17)</f>
        <v>0</v>
      </c>
      <c r="N19" s="14">
        <f>(E.4建设投资税后金额表!S17)</f>
        <v>0</v>
      </c>
      <c r="O19" s="14">
        <f>(E.4建设投资税后金额表!T17)</f>
        <v>0</v>
      </c>
      <c r="P19" s="14">
        <f>(E.4建设投资税后金额表!U17)</f>
        <v>0</v>
      </c>
      <c r="Q19" s="14">
        <f>(E.4建设投资税后金额表!V17)</f>
        <v>0</v>
      </c>
      <c r="R19" s="14">
        <f>(E.4建设投资税后金额表!W17)</f>
        <v>0</v>
      </c>
      <c r="S19" s="14">
        <f>(E.4建设投资税后金额表!X17)</f>
        <v>0</v>
      </c>
      <c r="T19" s="14">
        <f>(E.4建设投资税后金额表!Y17)</f>
        <v>0</v>
      </c>
      <c r="U19" s="14">
        <f>(E.4建设投资税后金额表!Z17)</f>
        <v>0</v>
      </c>
      <c r="V19" s="14">
        <f>(E.4建设投资税后金额表!AA17)</f>
        <v>0</v>
      </c>
      <c r="W19" s="14">
        <f>(E.4建设投资税后金额表!AB17)</f>
        <v>0</v>
      </c>
      <c r="X19" s="14">
        <f>(E.4建设投资税后金额表!AC17)</f>
        <v>0</v>
      </c>
      <c r="Y19" s="14">
        <f>(E.4建设投资税后金额表!AD17)</f>
        <v>0</v>
      </c>
      <c r="Z19" s="14">
        <f>(E.4建设投资税后金额表!AE17)</f>
        <v>0</v>
      </c>
      <c r="AA19" s="14">
        <f>E.4建设投资税后金额表!AG17</f>
        <v>0</v>
      </c>
    </row>
    <row r="20" ht="16.5" customHeight="1" spans="1:27">
      <c r="A20" s="8" t="s">
        <v>157</v>
      </c>
      <c r="B20" s="8" t="s">
        <v>372</v>
      </c>
      <c r="C20" s="14">
        <f t="shared" si="0"/>
        <v>0</v>
      </c>
      <c r="D20" s="37">
        <v>0</v>
      </c>
      <c r="E20" s="37">
        <v>0</v>
      </c>
      <c r="F20" s="37">
        <v>0</v>
      </c>
      <c r="G20" s="37">
        <v>0</v>
      </c>
      <c r="H20" s="37">
        <v>0</v>
      </c>
      <c r="I20" s="37">
        <v>0</v>
      </c>
      <c r="J20" s="37">
        <v>0</v>
      </c>
      <c r="K20" s="37">
        <v>0</v>
      </c>
      <c r="L20" s="37">
        <v>0</v>
      </c>
      <c r="M20" s="37">
        <v>0</v>
      </c>
      <c r="N20" s="37">
        <v>0</v>
      </c>
      <c r="O20" s="37">
        <v>0</v>
      </c>
      <c r="P20" s="37">
        <v>0</v>
      </c>
      <c r="Q20" s="37">
        <v>0</v>
      </c>
      <c r="R20" s="37">
        <v>0</v>
      </c>
      <c r="S20" s="37">
        <v>0</v>
      </c>
      <c r="T20" s="37">
        <v>0</v>
      </c>
      <c r="U20" s="37">
        <v>0</v>
      </c>
      <c r="V20" s="37">
        <v>0</v>
      </c>
      <c r="W20" s="37">
        <v>0</v>
      </c>
      <c r="X20" s="37">
        <v>0</v>
      </c>
      <c r="Y20" s="37">
        <v>0</v>
      </c>
      <c r="Z20" s="37">
        <v>0</v>
      </c>
      <c r="AA20" s="37">
        <v>0</v>
      </c>
    </row>
    <row r="21" ht="16.5" customHeight="1" spans="1:27">
      <c r="A21" s="8" t="s">
        <v>158</v>
      </c>
      <c r="B21" s="8" t="s">
        <v>146</v>
      </c>
      <c r="C21" s="14">
        <f t="shared" si="0"/>
        <v>0.00256166666666667</v>
      </c>
      <c r="D21" s="14">
        <f>D.2项目总投资使用计划与资金筹措表!D6</f>
        <v>0</v>
      </c>
      <c r="E21" s="14">
        <f>D.2项目总投资使用计划与资金筹措表!E6</f>
        <v>0</v>
      </c>
      <c r="F21" s="14">
        <f>D.2项目总投资使用计划与资金筹措表!F6</f>
        <v>0</v>
      </c>
      <c r="G21" s="14">
        <f>D.2项目总投资使用计划与资金筹措表!G6</f>
        <v>0.00189651666666667</v>
      </c>
      <c r="H21" s="14">
        <f>D.2项目总投资使用计划与资金筹措表!H6</f>
        <v>0.000665150000000004</v>
      </c>
      <c r="I21" s="14">
        <f>D.2项目总投资使用计划与资金筹措表!I6</f>
        <v>0</v>
      </c>
      <c r="J21" s="14">
        <f>D.2项目总投资使用计划与资金筹措表!J6</f>
        <v>0</v>
      </c>
      <c r="K21" s="14">
        <f>D.2项目总投资使用计划与资金筹措表!K6</f>
        <v>0</v>
      </c>
      <c r="L21" s="14">
        <f>D.2项目总投资使用计划与资金筹措表!L6</f>
        <v>0</v>
      </c>
      <c r="M21" s="14">
        <f>D.2项目总投资使用计划与资金筹措表!M6</f>
        <v>0</v>
      </c>
      <c r="N21" s="14">
        <f>D.2项目总投资使用计划与资金筹措表!N6</f>
        <v>0</v>
      </c>
      <c r="O21" s="14">
        <f>D.2项目总投资使用计划与资金筹措表!O6</f>
        <v>0</v>
      </c>
      <c r="P21" s="14">
        <f>D.2项目总投资使用计划与资金筹措表!P6</f>
        <v>0</v>
      </c>
      <c r="Q21" s="14">
        <f>D.2项目总投资使用计划与资金筹措表!Q6</f>
        <v>0</v>
      </c>
      <c r="R21" s="14">
        <f>D.2项目总投资使用计划与资金筹措表!R6</f>
        <v>0</v>
      </c>
      <c r="S21" s="14">
        <f>D.2项目总投资使用计划与资金筹措表!S6</f>
        <v>0</v>
      </c>
      <c r="T21" s="14">
        <f>D.2项目总投资使用计划与资金筹措表!T6</f>
        <v>0</v>
      </c>
      <c r="U21" s="14">
        <f>D.2项目总投资使用计划与资金筹措表!U6</f>
        <v>0</v>
      </c>
      <c r="V21" s="14">
        <f>D.2项目总投资使用计划与资金筹措表!V6</f>
        <v>0</v>
      </c>
      <c r="W21" s="14">
        <f>D.2项目总投资使用计划与资金筹措表!W6</f>
        <v>0</v>
      </c>
      <c r="X21" s="14">
        <f>D.2项目总投资使用计划与资金筹措表!X6</f>
        <v>0</v>
      </c>
      <c r="Y21" s="14">
        <f>D.2项目总投资使用计划与资金筹措表!Y6</f>
        <v>0</v>
      </c>
      <c r="Z21" s="14">
        <f>D.2项目总投资使用计划与资金筹措表!Z6</f>
        <v>0</v>
      </c>
      <c r="AA21" s="14">
        <f>D.2项目总投资使用计划与资金筹措表!AA6</f>
        <v>0</v>
      </c>
    </row>
    <row r="22" ht="16.5" customHeight="1" spans="1:27">
      <c r="A22" s="8" t="s">
        <v>509</v>
      </c>
      <c r="B22" s="8" t="s">
        <v>507</v>
      </c>
      <c r="C22" s="14">
        <f t="shared" si="0"/>
        <v>0</v>
      </c>
      <c r="D22" s="37">
        <v>0</v>
      </c>
      <c r="E22" s="37">
        <v>0</v>
      </c>
      <c r="F22" s="37">
        <v>0</v>
      </c>
      <c r="G22" s="37">
        <v>0</v>
      </c>
      <c r="H22" s="37">
        <v>0</v>
      </c>
      <c r="I22" s="37">
        <v>0</v>
      </c>
      <c r="J22" s="37">
        <v>0</v>
      </c>
      <c r="K22" s="37">
        <v>0</v>
      </c>
      <c r="L22" s="37">
        <v>0</v>
      </c>
      <c r="M22" s="37">
        <v>0</v>
      </c>
      <c r="N22" s="37">
        <v>0</v>
      </c>
      <c r="O22" s="37">
        <v>0</v>
      </c>
      <c r="P22" s="37">
        <v>0</v>
      </c>
      <c r="Q22" s="37">
        <v>0</v>
      </c>
      <c r="R22" s="37">
        <v>0</v>
      </c>
      <c r="S22" s="37">
        <v>0</v>
      </c>
      <c r="T22" s="37">
        <v>0</v>
      </c>
      <c r="U22" s="37">
        <v>0</v>
      </c>
      <c r="V22" s="37">
        <v>0</v>
      </c>
      <c r="W22" s="37">
        <v>0</v>
      </c>
      <c r="X22" s="37">
        <v>0</v>
      </c>
      <c r="Y22" s="37">
        <v>0</v>
      </c>
      <c r="Z22" s="37">
        <v>0</v>
      </c>
      <c r="AA22" s="37">
        <v>0</v>
      </c>
    </row>
    <row r="23" ht="16.5" customHeight="1" spans="1:27">
      <c r="A23" s="8">
        <v>3</v>
      </c>
      <c r="B23" s="8" t="s">
        <v>510</v>
      </c>
      <c r="C23" s="14">
        <f t="shared" si="0"/>
        <v>-12976.2832758871</v>
      </c>
      <c r="D23" s="14">
        <f t="shared" ref="D23:AA23" si="6">D24-D27</f>
        <v>1175</v>
      </c>
      <c r="E23" s="14">
        <f t="shared" si="6"/>
        <v>11633.9184889455</v>
      </c>
      <c r="F23" s="14">
        <f t="shared" si="6"/>
        <v>14146.7952629807</v>
      </c>
      <c r="G23" s="14">
        <f t="shared" si="6"/>
        <v>613.310307036709</v>
      </c>
      <c r="H23" s="14">
        <f t="shared" si="6"/>
        <v>-614.79933485</v>
      </c>
      <c r="I23" s="14">
        <f t="shared" si="6"/>
        <v>-614.8</v>
      </c>
      <c r="J23" s="14">
        <f t="shared" si="6"/>
        <v>-614.8</v>
      </c>
      <c r="K23" s="14">
        <f t="shared" si="6"/>
        <v>-614.8</v>
      </c>
      <c r="L23" s="14">
        <f t="shared" si="6"/>
        <v>-614.8</v>
      </c>
      <c r="M23" s="14">
        <f t="shared" si="6"/>
        <v>-614.8</v>
      </c>
      <c r="N23" s="14">
        <f t="shared" si="6"/>
        <v>-614.8</v>
      </c>
      <c r="O23" s="14">
        <f t="shared" si="6"/>
        <v>-614.8</v>
      </c>
      <c r="P23" s="14">
        <f t="shared" si="6"/>
        <v>-614.8</v>
      </c>
      <c r="Q23" s="14">
        <f t="shared" si="6"/>
        <v>-614.8</v>
      </c>
      <c r="R23" s="14">
        <f t="shared" si="6"/>
        <v>-614.8</v>
      </c>
      <c r="S23" s="14">
        <f t="shared" si="6"/>
        <v>-614.8</v>
      </c>
      <c r="T23" s="14">
        <f t="shared" si="6"/>
        <v>-614.8</v>
      </c>
      <c r="U23" s="14">
        <f t="shared" si="6"/>
        <v>-614.8</v>
      </c>
      <c r="V23" s="14">
        <f t="shared" si="6"/>
        <v>-614.8</v>
      </c>
      <c r="W23" s="14">
        <f t="shared" si="6"/>
        <v>-614.8</v>
      </c>
      <c r="X23" s="14">
        <f t="shared" si="6"/>
        <v>-1789.8</v>
      </c>
      <c r="Y23" s="14">
        <f t="shared" si="6"/>
        <v>-12179.89</v>
      </c>
      <c r="Z23" s="14">
        <f t="shared" si="6"/>
        <v>-9049.182</v>
      </c>
      <c r="AA23" s="14">
        <f t="shared" si="6"/>
        <v>-7689.636</v>
      </c>
    </row>
    <row r="24" ht="16.5" customHeight="1" spans="1:27">
      <c r="A24" s="8">
        <v>3.1</v>
      </c>
      <c r="B24" s="8" t="s">
        <v>364</v>
      </c>
      <c r="C24" s="14">
        <f t="shared" si="0"/>
        <v>28319.7167241129</v>
      </c>
      <c r="D24" s="14">
        <f t="shared" ref="D24:AA24" si="7">SUM(D25:D26)</f>
        <v>1175</v>
      </c>
      <c r="E24" s="14">
        <f t="shared" si="7"/>
        <v>11658.8284889455</v>
      </c>
      <c r="F24" s="14">
        <f t="shared" si="7"/>
        <v>14417.4132629807</v>
      </c>
      <c r="G24" s="14">
        <f t="shared" si="7"/>
        <v>1068.47430703671</v>
      </c>
      <c r="H24" s="14">
        <f t="shared" si="7"/>
        <v>0.000665150000000004</v>
      </c>
      <c r="I24" s="14">
        <f t="shared" si="7"/>
        <v>0</v>
      </c>
      <c r="J24" s="14">
        <f t="shared" si="7"/>
        <v>0</v>
      </c>
      <c r="K24" s="14">
        <f t="shared" si="7"/>
        <v>0</v>
      </c>
      <c r="L24" s="14">
        <f t="shared" si="7"/>
        <v>0</v>
      </c>
      <c r="M24" s="14">
        <f t="shared" si="7"/>
        <v>0</v>
      </c>
      <c r="N24" s="14">
        <f t="shared" si="7"/>
        <v>0</v>
      </c>
      <c r="O24" s="14">
        <f t="shared" si="7"/>
        <v>0</v>
      </c>
      <c r="P24" s="14">
        <f t="shared" si="7"/>
        <v>0</v>
      </c>
      <c r="Q24" s="14">
        <f t="shared" si="7"/>
        <v>0</v>
      </c>
      <c r="R24" s="14">
        <f t="shared" si="7"/>
        <v>0</v>
      </c>
      <c r="S24" s="14">
        <f t="shared" si="7"/>
        <v>0</v>
      </c>
      <c r="T24" s="14">
        <f t="shared" si="7"/>
        <v>0</v>
      </c>
      <c r="U24" s="14">
        <f t="shared" si="7"/>
        <v>0</v>
      </c>
      <c r="V24" s="14">
        <f t="shared" si="7"/>
        <v>0</v>
      </c>
      <c r="W24" s="14">
        <f t="shared" si="7"/>
        <v>0</v>
      </c>
      <c r="X24" s="14">
        <f t="shared" si="7"/>
        <v>0</v>
      </c>
      <c r="Y24" s="14">
        <f t="shared" si="7"/>
        <v>0</v>
      </c>
      <c r="Z24" s="14">
        <f t="shared" si="7"/>
        <v>0</v>
      </c>
      <c r="AA24" s="14">
        <f t="shared" si="7"/>
        <v>0</v>
      </c>
    </row>
    <row r="25" ht="16.5" customHeight="1" spans="1:27">
      <c r="A25" s="8" t="s">
        <v>511</v>
      </c>
      <c r="B25" s="8" t="s">
        <v>512</v>
      </c>
      <c r="C25" s="14">
        <f t="shared" si="0"/>
        <v>-680.283275887118</v>
      </c>
      <c r="D25" s="14">
        <f>D.2项目总投资使用计划与资金筹措表!D8</f>
        <v>0</v>
      </c>
      <c r="E25" s="14">
        <f>D.2项目总投资使用计划与资金筹措表!E8</f>
        <v>68.8284889454536</v>
      </c>
      <c r="F25" s="14">
        <f>D.2项目总投资使用计划与资金筹措表!F8</f>
        <v>5712.41326298072</v>
      </c>
      <c r="G25" s="14">
        <f>D.2项目总投资使用计划与资金筹措表!G8</f>
        <v>-6461.52569296329</v>
      </c>
      <c r="H25" s="14">
        <f>D.2项目总投资使用计划与资金筹措表!H8</f>
        <v>0.000665150000000004</v>
      </c>
      <c r="I25" s="14">
        <f>D.2项目总投资使用计划与资金筹措表!I8</f>
        <v>0</v>
      </c>
      <c r="J25" s="14">
        <f>D.2项目总投资使用计划与资金筹措表!J8</f>
        <v>0</v>
      </c>
      <c r="K25" s="14">
        <f>D.2项目总投资使用计划与资金筹措表!K8</f>
        <v>0</v>
      </c>
      <c r="L25" s="14">
        <f>D.2项目总投资使用计划与资金筹措表!L8</f>
        <v>0</v>
      </c>
      <c r="M25" s="14">
        <f>D.2项目总投资使用计划与资金筹措表!M8</f>
        <v>0</v>
      </c>
      <c r="N25" s="14">
        <f>D.2项目总投资使用计划与资金筹措表!N8</f>
        <v>0</v>
      </c>
      <c r="O25" s="14">
        <f>D.2项目总投资使用计划与资金筹措表!O8</f>
        <v>0</v>
      </c>
      <c r="P25" s="14">
        <f>D.2项目总投资使用计划与资金筹措表!P8</f>
        <v>0</v>
      </c>
      <c r="Q25" s="14">
        <f>D.2项目总投资使用计划与资金筹措表!Q8</f>
        <v>0</v>
      </c>
      <c r="R25" s="14">
        <f>D.2项目总投资使用计划与资金筹措表!R8</f>
        <v>0</v>
      </c>
      <c r="S25" s="14">
        <f>D.2项目总投资使用计划与资金筹措表!S8</f>
        <v>0</v>
      </c>
      <c r="T25" s="14">
        <f>D.2项目总投资使用计划与资金筹措表!T8</f>
        <v>0</v>
      </c>
      <c r="U25" s="14">
        <f>D.2项目总投资使用计划与资金筹措表!U8</f>
        <v>0</v>
      </c>
      <c r="V25" s="14">
        <f>D.2项目总投资使用计划与资金筹措表!V8</f>
        <v>0</v>
      </c>
      <c r="W25" s="14">
        <f>D.2项目总投资使用计划与资金筹措表!W8</f>
        <v>0</v>
      </c>
      <c r="X25" s="14">
        <f>D.2项目总投资使用计划与资金筹措表!X8</f>
        <v>0</v>
      </c>
      <c r="Y25" s="14">
        <f>D.2项目总投资使用计划与资金筹措表!Y8</f>
        <v>0</v>
      </c>
      <c r="Z25" s="14">
        <f>D.2项目总投资使用计划与资金筹措表!Z8</f>
        <v>0</v>
      </c>
      <c r="AA25" s="14">
        <f>D.2项目总投资使用计划与资金筹措表!AA8</f>
        <v>0</v>
      </c>
    </row>
    <row r="26" ht="16.5" customHeight="1" spans="1:27">
      <c r="A26" s="8" t="s">
        <v>513</v>
      </c>
      <c r="B26" s="8" t="s">
        <v>514</v>
      </c>
      <c r="C26" s="14">
        <f t="shared" si="0"/>
        <v>29000</v>
      </c>
      <c r="D26" s="14">
        <f>D.2项目总投资使用计划与资金筹措表!D12</f>
        <v>1175</v>
      </c>
      <c r="E26" s="14">
        <f>D.2项目总投资使用计划与资金筹措表!E12</f>
        <v>11590</v>
      </c>
      <c r="F26" s="14">
        <f>D.2项目总投资使用计划与资金筹措表!F12</f>
        <v>8705</v>
      </c>
      <c r="G26" s="14">
        <f>D.2项目总投资使用计划与资金筹措表!G12</f>
        <v>7530</v>
      </c>
      <c r="H26" s="14">
        <f>D.2项目总投资使用计划与资金筹措表!H12</f>
        <v>0</v>
      </c>
      <c r="I26" s="14">
        <f>D.2项目总投资使用计划与资金筹措表!I12</f>
        <v>0</v>
      </c>
      <c r="J26" s="14">
        <f>D.2项目总投资使用计划与资金筹措表!J12</f>
        <v>0</v>
      </c>
      <c r="K26" s="14">
        <f>D.2项目总投资使用计划与资金筹措表!K12</f>
        <v>0</v>
      </c>
      <c r="L26" s="14">
        <f>D.2项目总投资使用计划与资金筹措表!L12</f>
        <v>0</v>
      </c>
      <c r="M26" s="14">
        <f>D.2项目总投资使用计划与资金筹措表!M12</f>
        <v>0</v>
      </c>
      <c r="N26" s="14">
        <f>D.2项目总投资使用计划与资金筹措表!N12</f>
        <v>0</v>
      </c>
      <c r="O26" s="14">
        <f>D.2项目总投资使用计划与资金筹措表!O12</f>
        <v>0</v>
      </c>
      <c r="P26" s="14">
        <f>D.2项目总投资使用计划与资金筹措表!P12</f>
        <v>0</v>
      </c>
      <c r="Q26" s="14">
        <f>D.2项目总投资使用计划与资金筹措表!Q12</f>
        <v>0</v>
      </c>
      <c r="R26" s="14">
        <f>D.2项目总投资使用计划与资金筹措表!R12</f>
        <v>0</v>
      </c>
      <c r="S26" s="14">
        <f>D.2项目总投资使用计划与资金筹措表!S12</f>
        <v>0</v>
      </c>
      <c r="T26" s="14">
        <f>D.2项目总投资使用计划与资金筹措表!T12</f>
        <v>0</v>
      </c>
      <c r="U26" s="14">
        <f>D.2项目总投资使用计划与资金筹措表!U12</f>
        <v>0</v>
      </c>
      <c r="V26" s="14">
        <f>D.2项目总投资使用计划与资金筹措表!V12</f>
        <v>0</v>
      </c>
      <c r="W26" s="14">
        <f>D.2项目总投资使用计划与资金筹措表!W12</f>
        <v>0</v>
      </c>
      <c r="X26" s="14">
        <f>D.2项目总投资使用计划与资金筹措表!X12</f>
        <v>0</v>
      </c>
      <c r="Y26" s="14">
        <f>D.2项目总投资使用计划与资金筹措表!Y12</f>
        <v>0</v>
      </c>
      <c r="Z26" s="14">
        <f>D.2项目总投资使用计划与资金筹措表!Z12</f>
        <v>0</v>
      </c>
      <c r="AA26" s="14">
        <f>D.2项目总投资使用计划与资金筹措表!AA12</f>
        <v>0</v>
      </c>
    </row>
    <row r="27" ht="16.5" customHeight="1" spans="1:27">
      <c r="A27" s="8">
        <v>3.2</v>
      </c>
      <c r="B27" s="8" t="s">
        <v>368</v>
      </c>
      <c r="C27" s="14">
        <f t="shared" si="0"/>
        <v>41296</v>
      </c>
      <c r="D27" s="14">
        <f t="shared" ref="D27:AA27" si="8">SUM(D28:D29)</f>
        <v>0</v>
      </c>
      <c r="E27" s="14">
        <f t="shared" si="8"/>
        <v>24.91</v>
      </c>
      <c r="F27" s="14">
        <f t="shared" si="8"/>
        <v>270.618</v>
      </c>
      <c r="G27" s="14">
        <f t="shared" si="8"/>
        <v>455.164</v>
      </c>
      <c r="H27" s="14">
        <f t="shared" si="8"/>
        <v>614.8</v>
      </c>
      <c r="I27" s="14">
        <f t="shared" si="8"/>
        <v>614.8</v>
      </c>
      <c r="J27" s="14">
        <f t="shared" si="8"/>
        <v>614.8</v>
      </c>
      <c r="K27" s="14">
        <f t="shared" si="8"/>
        <v>614.8</v>
      </c>
      <c r="L27" s="14">
        <f t="shared" si="8"/>
        <v>614.8</v>
      </c>
      <c r="M27" s="14">
        <f t="shared" si="8"/>
        <v>614.8</v>
      </c>
      <c r="N27" s="14">
        <f t="shared" si="8"/>
        <v>614.8</v>
      </c>
      <c r="O27" s="14">
        <f t="shared" si="8"/>
        <v>614.8</v>
      </c>
      <c r="P27" s="14">
        <f t="shared" si="8"/>
        <v>614.8</v>
      </c>
      <c r="Q27" s="14">
        <f t="shared" si="8"/>
        <v>614.8</v>
      </c>
      <c r="R27" s="14">
        <f t="shared" si="8"/>
        <v>614.8</v>
      </c>
      <c r="S27" s="14">
        <f t="shared" si="8"/>
        <v>614.8</v>
      </c>
      <c r="T27" s="14">
        <f t="shared" si="8"/>
        <v>614.8</v>
      </c>
      <c r="U27" s="14">
        <f t="shared" si="8"/>
        <v>614.8</v>
      </c>
      <c r="V27" s="14">
        <f t="shared" si="8"/>
        <v>614.8</v>
      </c>
      <c r="W27" s="14">
        <f t="shared" si="8"/>
        <v>614.8</v>
      </c>
      <c r="X27" s="14">
        <f t="shared" si="8"/>
        <v>1789.8</v>
      </c>
      <c r="Y27" s="14">
        <f t="shared" si="8"/>
        <v>12179.89</v>
      </c>
      <c r="Z27" s="14">
        <f t="shared" si="8"/>
        <v>9049.182</v>
      </c>
      <c r="AA27" s="14">
        <f t="shared" si="8"/>
        <v>7689.636</v>
      </c>
    </row>
    <row r="28" ht="16.5" customHeight="1" spans="1:27">
      <c r="A28" s="8" t="s">
        <v>476</v>
      </c>
      <c r="B28" s="8" t="s">
        <v>515</v>
      </c>
      <c r="C28" s="14">
        <f t="shared" si="0"/>
        <v>12296</v>
      </c>
      <c r="D28" s="14">
        <f>(c借款还本付息计划表!D43)</f>
        <v>0</v>
      </c>
      <c r="E28" s="14">
        <f>(c借款还本付息计划表!E43)</f>
        <v>24.91</v>
      </c>
      <c r="F28" s="14">
        <f>(c借款还本付息计划表!F43)</f>
        <v>270.618</v>
      </c>
      <c r="G28" s="14">
        <f>(c借款还本付息计划表!G43)</f>
        <v>455.164</v>
      </c>
      <c r="H28" s="14">
        <f>(c借款还本付息计划表!H43)</f>
        <v>614.8</v>
      </c>
      <c r="I28" s="14">
        <f>(c借款还本付息计划表!I43)</f>
        <v>614.8</v>
      </c>
      <c r="J28" s="14">
        <f>(c借款还本付息计划表!J43)</f>
        <v>614.8</v>
      </c>
      <c r="K28" s="14">
        <f>(c借款还本付息计划表!K43)</f>
        <v>614.8</v>
      </c>
      <c r="L28" s="14">
        <f>(c借款还本付息计划表!L43)</f>
        <v>614.8</v>
      </c>
      <c r="M28" s="14">
        <f>(c借款还本付息计划表!M43)</f>
        <v>614.8</v>
      </c>
      <c r="N28" s="14">
        <f>(c借款还本付息计划表!N43)</f>
        <v>614.8</v>
      </c>
      <c r="O28" s="14">
        <f>(c借款还本付息计划表!O43)</f>
        <v>614.8</v>
      </c>
      <c r="P28" s="14">
        <f>(c借款还本付息计划表!P43)</f>
        <v>614.8</v>
      </c>
      <c r="Q28" s="14">
        <f>(c借款还本付息计划表!Q43)</f>
        <v>614.8</v>
      </c>
      <c r="R28" s="14">
        <f>(c借款还本付息计划表!R43)</f>
        <v>614.8</v>
      </c>
      <c r="S28" s="14">
        <f>(c借款还本付息计划表!S43)</f>
        <v>614.8</v>
      </c>
      <c r="T28" s="14">
        <f>(c借款还本付息计划表!T43)</f>
        <v>614.8</v>
      </c>
      <c r="U28" s="14">
        <f>(c借款还本付息计划表!U43)</f>
        <v>614.8</v>
      </c>
      <c r="V28" s="14">
        <f>(c借款还本付息计划表!V43)</f>
        <v>614.8</v>
      </c>
      <c r="W28" s="14">
        <f>(c借款还本付息计划表!W43)</f>
        <v>614.8</v>
      </c>
      <c r="X28" s="14">
        <f>(c借款还本付息计划表!X43)</f>
        <v>614.8</v>
      </c>
      <c r="Y28" s="14">
        <f>(c借款还本付息计划表!Y43)</f>
        <v>589.89</v>
      </c>
      <c r="Z28" s="14">
        <f>(c借款还本付息计划表!Z43)</f>
        <v>344.182</v>
      </c>
      <c r="AA28" s="14">
        <f>(c借款还本付息计划表!AA43)</f>
        <v>159.636</v>
      </c>
    </row>
    <row r="29" ht="16.5" customHeight="1" spans="1:27">
      <c r="A29" s="8" t="s">
        <v>477</v>
      </c>
      <c r="B29" s="8" t="s">
        <v>516</v>
      </c>
      <c r="C29" s="14">
        <f t="shared" si="0"/>
        <v>29000</v>
      </c>
      <c r="D29" s="14">
        <f>(c借款还本付息计划表!D42)</f>
        <v>0</v>
      </c>
      <c r="E29" s="14">
        <f>(c借款还本付息计划表!E42)</f>
        <v>0</v>
      </c>
      <c r="F29" s="14">
        <f>(c借款还本付息计划表!F42)</f>
        <v>0</v>
      </c>
      <c r="G29" s="14">
        <f>(c借款还本付息计划表!G42)</f>
        <v>0</v>
      </c>
      <c r="H29" s="14">
        <f>(c借款还本付息计划表!H42)</f>
        <v>0</v>
      </c>
      <c r="I29" s="14">
        <f>(c借款还本付息计划表!I42)</f>
        <v>0</v>
      </c>
      <c r="J29" s="14">
        <f>(c借款还本付息计划表!J42)</f>
        <v>0</v>
      </c>
      <c r="K29" s="14">
        <f>(c借款还本付息计划表!K42)</f>
        <v>0</v>
      </c>
      <c r="L29" s="14">
        <f>(c借款还本付息计划表!L42)</f>
        <v>0</v>
      </c>
      <c r="M29" s="14">
        <f>(c借款还本付息计划表!M42)</f>
        <v>0</v>
      </c>
      <c r="N29" s="14">
        <f>(c借款还本付息计划表!N42)</f>
        <v>0</v>
      </c>
      <c r="O29" s="14">
        <f>(c借款还本付息计划表!O42)</f>
        <v>0</v>
      </c>
      <c r="P29" s="14">
        <f>(c借款还本付息计划表!P42)</f>
        <v>0</v>
      </c>
      <c r="Q29" s="14">
        <f>(c借款还本付息计划表!Q42)</f>
        <v>0</v>
      </c>
      <c r="R29" s="14">
        <f>(c借款还本付息计划表!R42)</f>
        <v>0</v>
      </c>
      <c r="S29" s="14">
        <f>(c借款还本付息计划表!S42)</f>
        <v>0</v>
      </c>
      <c r="T29" s="14">
        <f>(c借款还本付息计划表!T42)</f>
        <v>0</v>
      </c>
      <c r="U29" s="14">
        <f>(c借款还本付息计划表!U42)</f>
        <v>0</v>
      </c>
      <c r="V29" s="14">
        <f>(c借款还本付息计划表!V42)</f>
        <v>0</v>
      </c>
      <c r="W29" s="14">
        <f>(c借款还本付息计划表!W42)</f>
        <v>0</v>
      </c>
      <c r="X29" s="14">
        <f>(c借款还本付息计划表!X42)</f>
        <v>1175</v>
      </c>
      <c r="Y29" s="14">
        <f>(c借款还本付息计划表!Y42)</f>
        <v>11590</v>
      </c>
      <c r="Z29" s="14">
        <f>(c借款还本付息计划表!Z42)</f>
        <v>8705</v>
      </c>
      <c r="AA29" s="14">
        <f>(c借款还本付息计划表!AA42)</f>
        <v>7530</v>
      </c>
    </row>
    <row r="30" ht="16.5" customHeight="1" spans="1:27">
      <c r="A30" s="8">
        <v>4</v>
      </c>
      <c r="B30" s="8" t="s">
        <v>407</v>
      </c>
      <c r="C30" s="14">
        <f t="shared" si="0"/>
        <v>-38857.6408928515</v>
      </c>
      <c r="D30" s="14">
        <f t="shared" ref="D30:AA30" si="9">D3+D16+D23</f>
        <v>-687.882060983479</v>
      </c>
      <c r="E30" s="14">
        <f t="shared" si="9"/>
        <v>1077.58681003907</v>
      </c>
      <c r="F30" s="14">
        <f t="shared" si="9"/>
        <v>1188.19746125543</v>
      </c>
      <c r="G30" s="14">
        <f t="shared" si="9"/>
        <v>109.795636837505</v>
      </c>
      <c r="H30" s="14">
        <f t="shared" si="9"/>
        <v>-614.83074</v>
      </c>
      <c r="I30" s="14">
        <f t="shared" si="9"/>
        <v>-614.8</v>
      </c>
      <c r="J30" s="14">
        <f t="shared" si="9"/>
        <v>-614.8</v>
      </c>
      <c r="K30" s="14">
        <f t="shared" si="9"/>
        <v>-614.8</v>
      </c>
      <c r="L30" s="14">
        <f t="shared" si="9"/>
        <v>-614.8</v>
      </c>
      <c r="M30" s="14">
        <f t="shared" si="9"/>
        <v>-614.8</v>
      </c>
      <c r="N30" s="14">
        <f t="shared" si="9"/>
        <v>-614.8</v>
      </c>
      <c r="O30" s="14">
        <f t="shared" si="9"/>
        <v>-614.8</v>
      </c>
      <c r="P30" s="14">
        <f t="shared" si="9"/>
        <v>-614.8</v>
      </c>
      <c r="Q30" s="14">
        <f t="shared" si="9"/>
        <v>-614.8</v>
      </c>
      <c r="R30" s="14">
        <f t="shared" si="9"/>
        <v>-614.8</v>
      </c>
      <c r="S30" s="14">
        <f t="shared" si="9"/>
        <v>-614.8</v>
      </c>
      <c r="T30" s="14">
        <f t="shared" si="9"/>
        <v>-614.8</v>
      </c>
      <c r="U30" s="14">
        <f t="shared" si="9"/>
        <v>-614.8</v>
      </c>
      <c r="V30" s="14">
        <f t="shared" si="9"/>
        <v>-614.8</v>
      </c>
      <c r="W30" s="14">
        <f t="shared" si="9"/>
        <v>-614.8</v>
      </c>
      <c r="X30" s="14">
        <f t="shared" si="9"/>
        <v>-1789.8</v>
      </c>
      <c r="Y30" s="14">
        <f t="shared" si="9"/>
        <v>-12179.89</v>
      </c>
      <c r="Z30" s="14">
        <f t="shared" si="9"/>
        <v>-9049.182</v>
      </c>
      <c r="AA30" s="14">
        <f t="shared" si="9"/>
        <v>-7689.636</v>
      </c>
    </row>
    <row r="31" ht="16.5" customHeight="1" spans="1:27">
      <c r="A31" s="8">
        <v>5</v>
      </c>
      <c r="B31" s="8" t="s">
        <v>517</v>
      </c>
      <c r="C31" s="14">
        <f t="shared" si="0"/>
        <v>-155726.105111498</v>
      </c>
      <c r="D31" s="14">
        <f>D30</f>
        <v>-687.882060983479</v>
      </c>
      <c r="E31" s="14">
        <f t="shared" ref="E31:AA31" si="10">E30+D31</f>
        <v>389.704749055596</v>
      </c>
      <c r="F31" s="14">
        <f t="shared" si="10"/>
        <v>1577.90221031103</v>
      </c>
      <c r="G31" s="14">
        <f t="shared" si="10"/>
        <v>1687.69784714853</v>
      </c>
      <c r="H31" s="14">
        <f t="shared" si="10"/>
        <v>1072.86710714853</v>
      </c>
      <c r="I31" s="14">
        <f t="shared" si="10"/>
        <v>458.06710714853</v>
      </c>
      <c r="J31" s="14">
        <f t="shared" si="10"/>
        <v>-156.73289285147</v>
      </c>
      <c r="K31" s="14">
        <f t="shared" si="10"/>
        <v>-771.53289285147</v>
      </c>
      <c r="L31" s="14">
        <f t="shared" si="10"/>
        <v>-1386.33289285147</v>
      </c>
      <c r="M31" s="14">
        <f t="shared" si="10"/>
        <v>-2001.13289285147</v>
      </c>
      <c r="N31" s="14">
        <f t="shared" si="10"/>
        <v>-2615.93289285147</v>
      </c>
      <c r="O31" s="14">
        <f t="shared" si="10"/>
        <v>-3230.73289285147</v>
      </c>
      <c r="P31" s="14">
        <f t="shared" si="10"/>
        <v>-3845.53289285147</v>
      </c>
      <c r="Q31" s="14">
        <f t="shared" si="10"/>
        <v>-4460.33289285147</v>
      </c>
      <c r="R31" s="14">
        <f t="shared" si="10"/>
        <v>-5075.13289285147</v>
      </c>
      <c r="S31" s="14">
        <f t="shared" si="10"/>
        <v>-5689.93289285147</v>
      </c>
      <c r="T31" s="14">
        <f t="shared" si="10"/>
        <v>-6304.73289285147</v>
      </c>
      <c r="U31" s="14">
        <f t="shared" si="10"/>
        <v>-6919.53289285147</v>
      </c>
      <c r="V31" s="14">
        <f t="shared" si="10"/>
        <v>-7534.33289285147</v>
      </c>
      <c r="W31" s="14">
        <f t="shared" si="10"/>
        <v>-8149.13289285147</v>
      </c>
      <c r="X31" s="14">
        <f t="shared" si="10"/>
        <v>-9938.93289285147</v>
      </c>
      <c r="Y31" s="14">
        <f t="shared" si="10"/>
        <v>-22118.8228928515</v>
      </c>
      <c r="Z31" s="14">
        <f t="shared" si="10"/>
        <v>-31168.0048928515</v>
      </c>
      <c r="AA31" s="14">
        <f t="shared" si="10"/>
        <v>-38857.6408928515</v>
      </c>
    </row>
  </sheetData>
  <mergeCells count="1">
    <mergeCell ref="A1:H1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>
    <tabColor rgb="FFFFC000"/>
  </sheetPr>
  <dimension ref="A1:Z28"/>
  <sheetViews>
    <sheetView zoomScale="70" zoomScaleNormal="70" workbookViewId="0">
      <pane xSplit="2" ySplit="2" topLeftCell="C3" activePane="bottomRight" state="frozen"/>
      <selection/>
      <selection pane="topRight"/>
      <selection pane="bottomLeft"/>
      <selection pane="bottomRight" activeCell="L18" sqref="L18"/>
    </sheetView>
  </sheetViews>
  <sheetFormatPr defaultColWidth="8.89090909090909" defaultRowHeight="28.05" customHeight="1"/>
  <cols>
    <col min="2" max="2" width="20.6636363636364" style="1" customWidth="1"/>
    <col min="3" max="3" width="11" style="1" customWidth="1"/>
    <col min="4" max="7" width="11.2181818181818" style="1" customWidth="1"/>
    <col min="8" max="26" width="10.9090909090909" style="1" customWidth="1"/>
  </cols>
  <sheetData>
    <row r="1" customHeight="1" spans="1:7">
      <c r="A1" s="36" t="s">
        <v>518</v>
      </c>
      <c r="B1" s="3"/>
      <c r="C1" s="3"/>
      <c r="D1" s="3"/>
      <c r="E1" s="3"/>
      <c r="F1" s="3"/>
      <c r="G1" s="4"/>
    </row>
    <row r="2" customHeight="1" spans="1:26">
      <c r="A2" s="5" t="s">
        <v>1</v>
      </c>
      <c r="B2" s="5" t="s">
        <v>183</v>
      </c>
      <c r="C2" s="32">
        <v>2025</v>
      </c>
      <c r="D2" s="32">
        <v>2026</v>
      </c>
      <c r="E2" s="32">
        <v>2027</v>
      </c>
      <c r="F2" s="32">
        <v>2028</v>
      </c>
      <c r="G2" s="32">
        <v>2029</v>
      </c>
      <c r="H2" s="32">
        <v>2030</v>
      </c>
      <c r="I2" s="32">
        <v>2031</v>
      </c>
      <c r="J2" s="32">
        <v>2032</v>
      </c>
      <c r="K2" s="32">
        <v>2033</v>
      </c>
      <c r="L2" s="32">
        <v>2034</v>
      </c>
      <c r="M2" s="32">
        <v>2035</v>
      </c>
      <c r="N2" s="32">
        <v>2036</v>
      </c>
      <c r="O2" s="32">
        <v>2037</v>
      </c>
      <c r="P2" s="32">
        <v>2038</v>
      </c>
      <c r="Q2" s="32">
        <v>2039</v>
      </c>
      <c r="R2" s="32">
        <v>2040</v>
      </c>
      <c r="S2" s="32">
        <v>2041</v>
      </c>
      <c r="T2" s="32">
        <v>2042</v>
      </c>
      <c r="U2" s="32">
        <v>2043</v>
      </c>
      <c r="V2" s="32">
        <v>2044</v>
      </c>
      <c r="W2" s="32">
        <v>2045</v>
      </c>
      <c r="X2" s="32">
        <v>2046</v>
      </c>
      <c r="Y2" s="32">
        <v>2047</v>
      </c>
      <c r="Z2" s="32">
        <v>2048</v>
      </c>
    </row>
    <row r="3" customHeight="1" spans="1:26">
      <c r="A3" s="8">
        <v>1</v>
      </c>
      <c r="B3" s="8" t="s">
        <v>519</v>
      </c>
      <c r="C3" s="14">
        <f t="shared" ref="C3:Z3" si="0">SUM(C4+C10+C11+C12)</f>
        <v>-124.973037130104</v>
      </c>
      <c r="D3" s="14">
        <f t="shared" si="0"/>
        <v>12048.533238001</v>
      </c>
      <c r="E3" s="14">
        <f t="shared" si="0"/>
        <v>25399.1647392194</v>
      </c>
      <c r="F3" s="14">
        <f t="shared" si="0"/>
        <v>11753.948007419</v>
      </c>
      <c r="G3" s="14">
        <f t="shared" si="0"/>
        <v>22462.3252474846</v>
      </c>
      <c r="H3" s="14">
        <f t="shared" si="0"/>
        <v>458.06710714853</v>
      </c>
      <c r="I3" s="14">
        <f t="shared" si="0"/>
        <v>-156.73289285147</v>
      </c>
      <c r="J3" s="14">
        <f t="shared" si="0"/>
        <v>-771.53289285147</v>
      </c>
      <c r="K3" s="14">
        <f t="shared" si="0"/>
        <v>-1386.33289285147</v>
      </c>
      <c r="L3" s="14">
        <f t="shared" si="0"/>
        <v>-2001.13289285147</v>
      </c>
      <c r="M3" s="14">
        <f t="shared" si="0"/>
        <v>-2615.93289285147</v>
      </c>
      <c r="N3" s="14">
        <f t="shared" si="0"/>
        <v>-3230.73289285147</v>
      </c>
      <c r="O3" s="14">
        <f t="shared" si="0"/>
        <v>-3845.53289285147</v>
      </c>
      <c r="P3" s="14">
        <f t="shared" si="0"/>
        <v>-4460.33289285147</v>
      </c>
      <c r="Q3" s="14">
        <f t="shared" si="0"/>
        <v>-5075.13289285147</v>
      </c>
      <c r="R3" s="14">
        <f t="shared" si="0"/>
        <v>-5689.93289285147</v>
      </c>
      <c r="S3" s="14">
        <f t="shared" si="0"/>
        <v>-6304.73289285147</v>
      </c>
      <c r="T3" s="14">
        <f t="shared" si="0"/>
        <v>-6919.53289285147</v>
      </c>
      <c r="U3" s="14">
        <f t="shared" si="0"/>
        <v>-7534.33289285147</v>
      </c>
      <c r="V3" s="14">
        <f t="shared" si="0"/>
        <v>-8149.13289285147</v>
      </c>
      <c r="W3" s="14">
        <f t="shared" si="0"/>
        <v>-9938.93289285147</v>
      </c>
      <c r="X3" s="14">
        <f t="shared" si="0"/>
        <v>-22118.8228928515</v>
      </c>
      <c r="Y3" s="14">
        <f t="shared" si="0"/>
        <v>-31168.0048928515</v>
      </c>
      <c r="Z3" s="14">
        <f t="shared" si="0"/>
        <v>-38857.6408928515</v>
      </c>
    </row>
    <row r="4" customHeight="1" spans="1:26">
      <c r="A4" s="8">
        <v>1.1</v>
      </c>
      <c r="B4" s="8" t="s">
        <v>520</v>
      </c>
      <c r="C4" s="14">
        <f t="shared" ref="C4:Z4" si="1">SUM(C5:C9)</f>
        <v>-687.882060983479</v>
      </c>
      <c r="D4" s="14">
        <f t="shared" si="1"/>
        <v>389.704749055596</v>
      </c>
      <c r="E4" s="14">
        <f t="shared" si="1"/>
        <v>1577.90221031103</v>
      </c>
      <c r="F4" s="14">
        <f t="shared" si="1"/>
        <v>1687.6997436652</v>
      </c>
      <c r="G4" s="14">
        <f t="shared" si="1"/>
        <v>1072.8696688152</v>
      </c>
      <c r="H4" s="14">
        <f t="shared" si="1"/>
        <v>458.06710714853</v>
      </c>
      <c r="I4" s="14">
        <f t="shared" si="1"/>
        <v>-156.73289285147</v>
      </c>
      <c r="J4" s="14">
        <f t="shared" si="1"/>
        <v>-771.53289285147</v>
      </c>
      <c r="K4" s="14">
        <f t="shared" si="1"/>
        <v>-1386.33289285147</v>
      </c>
      <c r="L4" s="14">
        <f t="shared" si="1"/>
        <v>-2001.13289285147</v>
      </c>
      <c r="M4" s="14">
        <f t="shared" si="1"/>
        <v>-2615.93289285147</v>
      </c>
      <c r="N4" s="14">
        <f t="shared" si="1"/>
        <v>-3230.73289285147</v>
      </c>
      <c r="O4" s="14">
        <f t="shared" si="1"/>
        <v>-3845.53289285147</v>
      </c>
      <c r="P4" s="14">
        <f t="shared" si="1"/>
        <v>-4460.33289285147</v>
      </c>
      <c r="Q4" s="14">
        <f t="shared" si="1"/>
        <v>-5075.13289285147</v>
      </c>
      <c r="R4" s="14">
        <f t="shared" si="1"/>
        <v>-5689.93289285147</v>
      </c>
      <c r="S4" s="14">
        <f t="shared" si="1"/>
        <v>-6304.73289285147</v>
      </c>
      <c r="T4" s="14">
        <f t="shared" si="1"/>
        <v>-6919.53289285147</v>
      </c>
      <c r="U4" s="14">
        <f t="shared" si="1"/>
        <v>-7534.33289285147</v>
      </c>
      <c r="V4" s="14">
        <f t="shared" si="1"/>
        <v>-8149.13289285147</v>
      </c>
      <c r="W4" s="14">
        <f t="shared" si="1"/>
        <v>-9938.93289285147</v>
      </c>
      <c r="X4" s="14">
        <f t="shared" si="1"/>
        <v>-22118.8228928515</v>
      </c>
      <c r="Y4" s="14">
        <f t="shared" si="1"/>
        <v>-31168.0048928515</v>
      </c>
      <c r="Z4" s="14">
        <f t="shared" si="1"/>
        <v>-38857.6408928515</v>
      </c>
    </row>
    <row r="5" customHeight="1" spans="1:26">
      <c r="A5" s="8" t="s">
        <v>295</v>
      </c>
      <c r="B5" s="8" t="s">
        <v>521</v>
      </c>
      <c r="C5" s="14">
        <f>D.4流动资金估算表!E10+d财务计划现金流量表!D31</f>
        <v>-687.882060983479</v>
      </c>
      <c r="D5" s="14">
        <f>D.4流动资金估算表!F10+d财务计划现金流量表!E31</f>
        <v>389.704749055596</v>
      </c>
      <c r="E5" s="14">
        <f>D.4流动资金估算表!G10+d财务计划现金流量表!F31</f>
        <v>1577.90221031103</v>
      </c>
      <c r="F5" s="14">
        <f>D.4流动资金估算表!H10+d财务计划现金流量表!G31</f>
        <v>1687.69879540687</v>
      </c>
      <c r="G5" s="14">
        <f>D.4流动资金估算表!I10+d财务计划现金流量表!H31</f>
        <v>1072.86838798186</v>
      </c>
      <c r="H5" s="14">
        <f>D.4流动资金估算表!J10+d财务计划现金流量表!I31</f>
        <v>458.06710714853</v>
      </c>
      <c r="I5" s="14">
        <f>D.4流动资金估算表!K10+d财务计划现金流量表!J31</f>
        <v>-156.73289285147</v>
      </c>
      <c r="J5" s="14">
        <f>D.4流动资金估算表!L10+d财务计划现金流量表!K31</f>
        <v>-771.53289285147</v>
      </c>
      <c r="K5" s="14">
        <f>D.4流动资金估算表!M10+d财务计划现金流量表!L31</f>
        <v>-1386.33289285147</v>
      </c>
      <c r="L5" s="14">
        <f>D.4流动资金估算表!N10+d财务计划现金流量表!M31</f>
        <v>-2001.13289285147</v>
      </c>
      <c r="M5" s="14">
        <f>D.4流动资金估算表!O10+d财务计划现金流量表!N31</f>
        <v>-2615.93289285147</v>
      </c>
      <c r="N5" s="14">
        <f>D.4流动资金估算表!P10+d财务计划现金流量表!O31</f>
        <v>-3230.73289285147</v>
      </c>
      <c r="O5" s="14">
        <f>D.4流动资金估算表!Q10+d财务计划现金流量表!P31</f>
        <v>-3845.53289285147</v>
      </c>
      <c r="P5" s="14">
        <f>D.4流动资金估算表!R10+d财务计划现金流量表!Q31</f>
        <v>-4460.33289285147</v>
      </c>
      <c r="Q5" s="14">
        <f>D.4流动资金估算表!S10+d财务计划现金流量表!R31</f>
        <v>-5075.13289285147</v>
      </c>
      <c r="R5" s="14">
        <f>D.4流动资金估算表!T10+d财务计划现金流量表!S31</f>
        <v>-5689.93289285147</v>
      </c>
      <c r="S5" s="14">
        <f>D.4流动资金估算表!U10+d财务计划现金流量表!T31</f>
        <v>-6304.73289285147</v>
      </c>
      <c r="T5" s="14">
        <f>D.4流动资金估算表!V10+d财务计划现金流量表!U31</f>
        <v>-6919.53289285147</v>
      </c>
      <c r="U5" s="14">
        <f>D.4流动资金估算表!W10+d财务计划现金流量表!V31</f>
        <v>-7534.33289285147</v>
      </c>
      <c r="V5" s="14">
        <f>D.4流动资金估算表!X10+d财务计划现金流量表!W31</f>
        <v>-8149.13289285147</v>
      </c>
      <c r="W5" s="14">
        <f>D.4流动资金估算表!Y10+d财务计划现金流量表!X31</f>
        <v>-9938.93289285147</v>
      </c>
      <c r="X5" s="14">
        <f>D.4流动资金估算表!Z10+d财务计划现金流量表!Y31</f>
        <v>-22118.8228928515</v>
      </c>
      <c r="Y5" s="14">
        <f>D.4流动资金估算表!AA10+d财务计划现金流量表!Z31</f>
        <v>-31168.0048928515</v>
      </c>
      <c r="Z5" s="14">
        <f>D.4流动资金估算表!AB10+d财务计划现金流量表!AA31</f>
        <v>-38857.6408928515</v>
      </c>
    </row>
    <row r="6" customHeight="1" spans="1:26">
      <c r="A6" s="8" t="s">
        <v>297</v>
      </c>
      <c r="B6" s="8" t="s">
        <v>187</v>
      </c>
      <c r="C6" s="14">
        <f>D.4流动资金估算表!E4</f>
        <v>0</v>
      </c>
      <c r="D6" s="14">
        <f>D.4流动资金估算表!F4</f>
        <v>0</v>
      </c>
      <c r="E6" s="14">
        <f>D.4流动资金估算表!G4</f>
        <v>0</v>
      </c>
      <c r="F6" s="14">
        <f>D.4流动资金估算表!H4</f>
        <v>0</v>
      </c>
      <c r="G6" s="14">
        <f>D.4流动资金估算表!I4</f>
        <v>0</v>
      </c>
      <c r="H6" s="14">
        <f>D.4流动资金估算表!J4</f>
        <v>0</v>
      </c>
      <c r="I6" s="14">
        <f>D.4流动资金估算表!K4</f>
        <v>0</v>
      </c>
      <c r="J6" s="14">
        <f>D.4流动资金估算表!L4</f>
        <v>0</v>
      </c>
      <c r="K6" s="14">
        <f>D.4流动资金估算表!M4</f>
        <v>0</v>
      </c>
      <c r="L6" s="14">
        <f>D.4流动资金估算表!N4</f>
        <v>0</v>
      </c>
      <c r="M6" s="14">
        <f>D.4流动资金估算表!O4</f>
        <v>0</v>
      </c>
      <c r="N6" s="14">
        <f>D.4流动资金估算表!P4</f>
        <v>0</v>
      </c>
      <c r="O6" s="14">
        <f>D.4流动资金估算表!Q4</f>
        <v>0</v>
      </c>
      <c r="P6" s="14">
        <f>D.4流动资金估算表!R4</f>
        <v>0</v>
      </c>
      <c r="Q6" s="14">
        <f>D.4流动资金估算表!S4</f>
        <v>0</v>
      </c>
      <c r="R6" s="14">
        <f>D.4流动资金估算表!T4</f>
        <v>0</v>
      </c>
      <c r="S6" s="14">
        <f>D.4流动资金估算表!U4</f>
        <v>0</v>
      </c>
      <c r="T6" s="14">
        <f>D.4流动资金估算表!V4</f>
        <v>0</v>
      </c>
      <c r="U6" s="14">
        <f>D.4流动资金估算表!W4</f>
        <v>0</v>
      </c>
      <c r="V6" s="14">
        <f>D.4流动资金估算表!X4</f>
        <v>0</v>
      </c>
      <c r="W6" s="14">
        <f>D.4流动资金估算表!Y4</f>
        <v>0</v>
      </c>
      <c r="X6" s="14">
        <f>D.4流动资金估算表!Z4</f>
        <v>0</v>
      </c>
      <c r="Y6" s="14">
        <f>D.4流动资金估算表!AA4</f>
        <v>0</v>
      </c>
      <c r="Z6" s="14">
        <f>D.4流动资金估算表!AB4</f>
        <v>0</v>
      </c>
    </row>
    <row r="7" customHeight="1" spans="1:26">
      <c r="A7" s="8" t="s">
        <v>299</v>
      </c>
      <c r="B7" s="8" t="s">
        <v>522</v>
      </c>
      <c r="C7" s="37">
        <v>0</v>
      </c>
      <c r="D7" s="37">
        <v>0</v>
      </c>
      <c r="E7" s="37">
        <v>0</v>
      </c>
      <c r="F7" s="37">
        <v>0</v>
      </c>
      <c r="G7" s="37">
        <v>0</v>
      </c>
      <c r="H7" s="37">
        <v>0</v>
      </c>
      <c r="I7" s="37">
        <v>0</v>
      </c>
      <c r="J7" s="37">
        <v>0</v>
      </c>
      <c r="K7" s="37">
        <v>0</v>
      </c>
      <c r="L7" s="37">
        <v>0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37">
        <v>0</v>
      </c>
    </row>
    <row r="8" customHeight="1" spans="1:26">
      <c r="A8" s="8" t="s">
        <v>502</v>
      </c>
      <c r="B8" s="8" t="s">
        <v>188</v>
      </c>
      <c r="C8" s="14">
        <f>D.4流动资金估算表!E5</f>
        <v>0</v>
      </c>
      <c r="D8" s="14">
        <f>D.4流动资金估算表!F5</f>
        <v>0</v>
      </c>
      <c r="E8" s="14">
        <f>D.4流动资金估算表!G5</f>
        <v>0</v>
      </c>
      <c r="F8" s="14">
        <f>D.4流动资金估算表!H5</f>
        <v>0.000948258333333333</v>
      </c>
      <c r="G8" s="14">
        <f>D.4流动资金估算表!I5</f>
        <v>0.00128083333333333</v>
      </c>
      <c r="H8" s="14">
        <f>D.4流动资金估算表!J5</f>
        <v>0</v>
      </c>
      <c r="I8" s="14">
        <f>D.4流动资金估算表!K5</f>
        <v>0</v>
      </c>
      <c r="J8" s="14">
        <f>D.4流动资金估算表!L5</f>
        <v>0</v>
      </c>
      <c r="K8" s="14">
        <f>D.4流动资金估算表!M5</f>
        <v>0</v>
      </c>
      <c r="L8" s="14">
        <f>D.4流动资金估算表!N5</f>
        <v>0</v>
      </c>
      <c r="M8" s="14">
        <f>D.4流动资金估算表!O5</f>
        <v>0</v>
      </c>
      <c r="N8" s="14">
        <f>D.4流动资金估算表!P5</f>
        <v>0</v>
      </c>
      <c r="O8" s="14">
        <f>D.4流动资金估算表!Q5</f>
        <v>0</v>
      </c>
      <c r="P8" s="14">
        <f>D.4流动资金估算表!R5</f>
        <v>0</v>
      </c>
      <c r="Q8" s="14">
        <f>D.4流动资金估算表!S5</f>
        <v>0</v>
      </c>
      <c r="R8" s="14">
        <f>D.4流动资金估算表!T5</f>
        <v>0</v>
      </c>
      <c r="S8" s="14">
        <f>D.4流动资金估算表!U5</f>
        <v>0</v>
      </c>
      <c r="T8" s="14">
        <f>D.4流动资金估算表!V5</f>
        <v>0</v>
      </c>
      <c r="U8" s="14">
        <f>D.4流动资金估算表!W5</f>
        <v>0</v>
      </c>
      <c r="V8" s="14">
        <f>D.4流动资金估算表!X5</f>
        <v>0</v>
      </c>
      <c r="W8" s="14">
        <f>D.4流动资金估算表!Y5</f>
        <v>0</v>
      </c>
      <c r="X8" s="14">
        <f>D.4流动资金估算表!Z5</f>
        <v>0</v>
      </c>
      <c r="Y8" s="14">
        <f>D.4流动资金估算表!AA5</f>
        <v>0</v>
      </c>
      <c r="Z8" s="14">
        <f>D.4流动资金估算表!AB5</f>
        <v>0</v>
      </c>
    </row>
    <row r="9" customHeight="1" spans="1:26">
      <c r="A9" s="8" t="s">
        <v>523</v>
      </c>
      <c r="B9" s="8" t="s">
        <v>524</v>
      </c>
      <c r="C9" s="37">
        <v>0</v>
      </c>
      <c r="D9" s="37">
        <v>0</v>
      </c>
      <c r="E9" s="37">
        <v>0</v>
      </c>
      <c r="F9" s="37">
        <v>0</v>
      </c>
      <c r="G9" s="37">
        <v>0</v>
      </c>
      <c r="H9" s="37">
        <v>0</v>
      </c>
      <c r="I9" s="37">
        <v>0</v>
      </c>
      <c r="J9" s="37">
        <v>0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37">
        <v>0</v>
      </c>
      <c r="Q9" s="37">
        <v>0</v>
      </c>
      <c r="R9" s="37">
        <v>0</v>
      </c>
      <c r="S9" s="37">
        <v>0</v>
      </c>
      <c r="T9" s="37">
        <v>0</v>
      </c>
      <c r="U9" s="37">
        <v>0</v>
      </c>
      <c r="V9" s="37">
        <v>0</v>
      </c>
      <c r="W9" s="37">
        <v>0</v>
      </c>
      <c r="X9" s="37">
        <v>0</v>
      </c>
      <c r="Y9" s="37">
        <v>0</v>
      </c>
      <c r="Z9" s="37">
        <v>0</v>
      </c>
    </row>
    <row r="10" customHeight="1" spans="1:26">
      <c r="A10" s="8">
        <v>1.2</v>
      </c>
      <c r="B10" s="8" t="s">
        <v>525</v>
      </c>
      <c r="C10" s="14">
        <f>D.2项目总投资使用计划与资金筹措表!D3</f>
        <v>562.909023853375</v>
      </c>
      <c r="D10" s="14">
        <f>D.2项目总投资使用计划与资金筹措表!E3</f>
        <v>11658.8284889455</v>
      </c>
      <c r="E10" s="14">
        <f>D.2项目总投资使用计划与资金筹措表!F3</f>
        <v>14417.4132629807</v>
      </c>
      <c r="F10" s="14">
        <f>D.2项目总投资使用计划与资金筹措表!G3</f>
        <v>1068.47430703671</v>
      </c>
      <c r="G10" s="14">
        <f>D.2项目总投资使用计划与资金筹措表!H3</f>
        <v>0.000665150000000004</v>
      </c>
      <c r="H10" s="14">
        <f>D.2项目总投资使用计划与资金筹措表!I3</f>
        <v>0</v>
      </c>
      <c r="I10" s="14">
        <f>D.2项目总投资使用计划与资金筹措表!J3</f>
        <v>0</v>
      </c>
      <c r="J10" s="14">
        <f>D.2项目总投资使用计划与资金筹措表!K3</f>
        <v>0</v>
      </c>
      <c r="K10" s="14">
        <f>D.2项目总投资使用计划与资金筹措表!L3</f>
        <v>0</v>
      </c>
      <c r="L10" s="14">
        <f>D.2项目总投资使用计划与资金筹措表!M3</f>
        <v>0</v>
      </c>
      <c r="M10" s="14">
        <f>D.2项目总投资使用计划与资金筹措表!N3</f>
        <v>0</v>
      </c>
      <c r="N10" s="14">
        <f>D.2项目总投资使用计划与资金筹措表!O3</f>
        <v>0</v>
      </c>
      <c r="O10" s="14">
        <f>D.2项目总投资使用计划与资金筹措表!P3</f>
        <v>0</v>
      </c>
      <c r="P10" s="14">
        <f>D.2项目总投资使用计划与资金筹措表!Q3</f>
        <v>0</v>
      </c>
      <c r="Q10" s="14">
        <f>D.2项目总投资使用计划与资金筹措表!R3</f>
        <v>0</v>
      </c>
      <c r="R10" s="14">
        <f>D.2项目总投资使用计划与资金筹措表!S3</f>
        <v>0</v>
      </c>
      <c r="S10" s="14">
        <f>D.2项目总投资使用计划与资金筹措表!T3</f>
        <v>0</v>
      </c>
      <c r="T10" s="14">
        <f>D.2项目总投资使用计划与资金筹措表!U3</f>
        <v>0</v>
      </c>
      <c r="U10" s="14">
        <f>D.2项目总投资使用计划与资金筹措表!V3</f>
        <v>0</v>
      </c>
      <c r="V10" s="14">
        <f>D.2项目总投资使用计划与资金筹措表!W3</f>
        <v>0</v>
      </c>
      <c r="W10" s="14">
        <f>D.2项目总投资使用计划与资金筹措表!X3</f>
        <v>0</v>
      </c>
      <c r="X10" s="14">
        <f>D.2项目总投资使用计划与资金筹措表!Y3</f>
        <v>0</v>
      </c>
      <c r="Y10" s="14">
        <f>D.2项目总投资使用计划与资金筹措表!Z3</f>
        <v>0</v>
      </c>
      <c r="Z10" s="14">
        <f>D.2项目总投资使用计划与资金筹措表!AA3</f>
        <v>0</v>
      </c>
    </row>
    <row r="11" customHeight="1" spans="1:26">
      <c r="A11" s="8">
        <v>1.3</v>
      </c>
      <c r="B11" s="8" t="s">
        <v>526</v>
      </c>
      <c r="C11" s="37">
        <f>(E.2固定资产折旧费估算表!F6)</f>
        <v>0</v>
      </c>
      <c r="D11" s="37">
        <f>(E.2固定资产折旧费估算表!G6)</f>
        <v>0</v>
      </c>
      <c r="E11" s="37">
        <f>(E.2固定资产折旧费估算表!H6)</f>
        <v>8997.77395671708</v>
      </c>
      <c r="F11" s="37">
        <f>(E.2固定资产折旧费估算表!I6)</f>
        <v>8591.69864750658</v>
      </c>
      <c r="G11" s="37">
        <f>(E.2固定资产折旧费估算表!J6)</f>
        <v>20375.4861816733</v>
      </c>
      <c r="H11" s="37">
        <f>(E.2固定资产折旧费估算表!K6)</f>
        <v>0</v>
      </c>
      <c r="I11" s="37">
        <f>(E.2固定资产折旧费估算表!L6)</f>
        <v>0</v>
      </c>
      <c r="J11" s="37">
        <f>(E.2固定资产折旧费估算表!M6)</f>
        <v>0</v>
      </c>
      <c r="K11" s="37">
        <f>(E.2固定资产折旧费估算表!N6)</f>
        <v>0</v>
      </c>
      <c r="L11" s="37">
        <f>(E.2固定资产折旧费估算表!O6)</f>
        <v>0</v>
      </c>
      <c r="M11" s="37">
        <f>(E.2固定资产折旧费估算表!P6)</f>
        <v>0</v>
      </c>
      <c r="N11" s="37">
        <f>(E.2固定资产折旧费估算表!Q6)</f>
        <v>0</v>
      </c>
      <c r="O11" s="37">
        <f>(E.2固定资产折旧费估算表!R6)</f>
        <v>0</v>
      </c>
      <c r="P11" s="37">
        <f>(E.2固定资产折旧费估算表!S6)</f>
        <v>0</v>
      </c>
      <c r="Q11" s="37">
        <f>(E.2固定资产折旧费估算表!T6)</f>
        <v>0</v>
      </c>
      <c r="R11" s="37">
        <f>(E.2固定资产折旧费估算表!U6)</f>
        <v>0</v>
      </c>
      <c r="S11" s="37">
        <f>(E.2固定资产折旧费估算表!V6)</f>
        <v>0</v>
      </c>
      <c r="T11" s="37">
        <f>(E.2固定资产折旧费估算表!W6)</f>
        <v>0</v>
      </c>
      <c r="U11" s="37">
        <f>(E.2固定资产折旧费估算表!X6)</f>
        <v>0</v>
      </c>
      <c r="V11" s="37">
        <f>(E.2固定资产折旧费估算表!Y6)</f>
        <v>0</v>
      </c>
      <c r="W11" s="37">
        <f>(E.2固定资产折旧费估算表!Z6)</f>
        <v>0</v>
      </c>
      <c r="X11" s="37">
        <f>(E.2固定资产折旧费估算表!AA6)</f>
        <v>0</v>
      </c>
      <c r="Y11" s="37">
        <f>(E.2固定资产折旧费估算表!AB6)</f>
        <v>0</v>
      </c>
      <c r="Z11" s="37">
        <f>(E.2固定资产折旧费估算表!AC6)</f>
        <v>0</v>
      </c>
    </row>
    <row r="12" customHeight="1" spans="1:26">
      <c r="A12" s="8">
        <v>1.4</v>
      </c>
      <c r="B12" s="8" t="s">
        <v>527</v>
      </c>
      <c r="C12" s="37">
        <f>(E.2固定资产折旧费估算表!F9)</f>
        <v>0</v>
      </c>
      <c r="D12" s="37">
        <f>(E.2固定资产折旧费估算表!G9)</f>
        <v>0</v>
      </c>
      <c r="E12" s="37">
        <f>(E.2固定资产折旧费估算表!H9)</f>
        <v>406.07530921051</v>
      </c>
      <c r="F12" s="37">
        <f>(E.2固定资产折旧费估算表!I9)</f>
        <v>406.07530921051</v>
      </c>
      <c r="G12" s="37">
        <f>(E.2固定资产折旧费估算表!J9)</f>
        <v>1013.96873184612</v>
      </c>
      <c r="H12" s="37">
        <f>(E.2固定资产折旧费估算表!K9)</f>
        <v>0</v>
      </c>
      <c r="I12" s="37">
        <f>(E.2固定资产折旧费估算表!L9)</f>
        <v>0</v>
      </c>
      <c r="J12" s="37">
        <f>(E.2固定资产折旧费估算表!M9)</f>
        <v>0</v>
      </c>
      <c r="K12" s="37">
        <f>(E.2固定资产折旧费估算表!N9)</f>
        <v>0</v>
      </c>
      <c r="L12" s="37">
        <f>(E.2固定资产折旧费估算表!O9)</f>
        <v>0</v>
      </c>
      <c r="M12" s="37">
        <f>(E.2固定资产折旧费估算表!P9)</f>
        <v>0</v>
      </c>
      <c r="N12" s="37">
        <f>(E.2固定资产折旧费估算表!Q9)</f>
        <v>0</v>
      </c>
      <c r="O12" s="37">
        <f>(E.2固定资产折旧费估算表!R9)</f>
        <v>0</v>
      </c>
      <c r="P12" s="37">
        <f>(E.2固定资产折旧费估算表!S9)</f>
        <v>0</v>
      </c>
      <c r="Q12" s="37">
        <f>(E.2固定资产折旧费估算表!T9)</f>
        <v>0</v>
      </c>
      <c r="R12" s="37">
        <f>(E.2固定资产折旧费估算表!U9)</f>
        <v>0</v>
      </c>
      <c r="S12" s="37">
        <f>(E.2固定资产折旧费估算表!V9)</f>
        <v>0</v>
      </c>
      <c r="T12" s="37">
        <f>(E.2固定资产折旧费估算表!W9)</f>
        <v>0</v>
      </c>
      <c r="U12" s="37">
        <f>(E.2固定资产折旧费估算表!X9)</f>
        <v>0</v>
      </c>
      <c r="V12" s="37">
        <f>(E.2固定资产折旧费估算表!Y9)</f>
        <v>0</v>
      </c>
      <c r="W12" s="37">
        <f>(E.2固定资产折旧费估算表!Z9)</f>
        <v>0</v>
      </c>
      <c r="X12" s="37">
        <f>(E.2固定资产折旧费估算表!AA9)</f>
        <v>0</v>
      </c>
      <c r="Y12" s="37">
        <f>(E.2固定资产折旧费估算表!AB9)</f>
        <v>0</v>
      </c>
      <c r="Z12" s="37">
        <f>(E.2固定资产折旧费估算表!AC9)</f>
        <v>0</v>
      </c>
    </row>
    <row r="13" customHeight="1" spans="1:26">
      <c r="A13" s="8">
        <v>2</v>
      </c>
      <c r="B13" s="8" t="s">
        <v>528</v>
      </c>
      <c r="C13" s="14">
        <f t="shared" ref="C13:Z13" si="2">C21+C22</f>
        <v>1175</v>
      </c>
      <c r="D13" s="14">
        <f t="shared" si="2"/>
        <v>12833.8284889455</v>
      </c>
      <c r="E13" s="14">
        <f t="shared" si="2"/>
        <v>26633.5420704083</v>
      </c>
      <c r="F13" s="14">
        <f t="shared" si="2"/>
        <v>21520.2954866149</v>
      </c>
      <c r="G13" s="14">
        <f t="shared" si="2"/>
        <v>26213.8419761557</v>
      </c>
      <c r="H13" s="14">
        <f t="shared" si="2"/>
        <v>26481.7388872637</v>
      </c>
      <c r="I13" s="14">
        <f t="shared" si="2"/>
        <v>26481.7388872637</v>
      </c>
      <c r="J13" s="14">
        <f t="shared" si="2"/>
        <v>26481.7388872637</v>
      </c>
      <c r="K13" s="14">
        <f t="shared" si="2"/>
        <v>26481.7388872637</v>
      </c>
      <c r="L13" s="14">
        <f t="shared" si="2"/>
        <v>26481.7388872637</v>
      </c>
      <c r="M13" s="14">
        <f t="shared" si="2"/>
        <v>26481.7388872637</v>
      </c>
      <c r="N13" s="14">
        <f t="shared" si="2"/>
        <v>26481.7388872637</v>
      </c>
      <c r="O13" s="14">
        <f t="shared" si="2"/>
        <v>26481.7388872637</v>
      </c>
      <c r="P13" s="14">
        <f t="shared" si="2"/>
        <v>26481.7388872637</v>
      </c>
      <c r="Q13" s="14">
        <f t="shared" si="2"/>
        <v>26481.7388872637</v>
      </c>
      <c r="R13" s="14">
        <f t="shared" si="2"/>
        <v>26481.7388872637</v>
      </c>
      <c r="S13" s="14">
        <f t="shared" si="2"/>
        <v>26481.7388872637</v>
      </c>
      <c r="T13" s="14">
        <f t="shared" si="2"/>
        <v>26481.7388872637</v>
      </c>
      <c r="U13" s="14">
        <f t="shared" si="2"/>
        <v>26481.7388872637</v>
      </c>
      <c r="V13" s="14">
        <f t="shared" si="2"/>
        <v>26481.7388872637</v>
      </c>
      <c r="W13" s="14">
        <f t="shared" si="2"/>
        <v>25306.7388872637</v>
      </c>
      <c r="X13" s="14">
        <f t="shared" si="2"/>
        <v>13716.7388872637</v>
      </c>
      <c r="Y13" s="14">
        <f t="shared" si="2"/>
        <v>5011.73888726368</v>
      </c>
      <c r="Z13" s="14">
        <f t="shared" si="2"/>
        <v>-2518.26111273632</v>
      </c>
    </row>
    <row r="14" customHeight="1" spans="1:26">
      <c r="A14" s="8">
        <v>2.1</v>
      </c>
      <c r="B14" s="8" t="s">
        <v>529</v>
      </c>
      <c r="C14" s="14">
        <f t="shared" ref="C14:Z14" si="3">SUM(C15:C18)</f>
        <v>0</v>
      </c>
      <c r="D14" s="14">
        <f t="shared" si="3"/>
        <v>0</v>
      </c>
      <c r="E14" s="14">
        <f t="shared" si="3"/>
        <v>0</v>
      </c>
      <c r="F14" s="14">
        <f t="shared" si="3"/>
        <v>0</v>
      </c>
      <c r="G14" s="14">
        <f t="shared" si="3"/>
        <v>0</v>
      </c>
      <c r="H14" s="14">
        <f t="shared" si="3"/>
        <v>0</v>
      </c>
      <c r="I14" s="14">
        <f t="shared" si="3"/>
        <v>0</v>
      </c>
      <c r="J14" s="14">
        <f t="shared" si="3"/>
        <v>0</v>
      </c>
      <c r="K14" s="14">
        <f t="shared" si="3"/>
        <v>0</v>
      </c>
      <c r="L14" s="14">
        <f t="shared" si="3"/>
        <v>0</v>
      </c>
      <c r="M14" s="14">
        <f t="shared" si="3"/>
        <v>0</v>
      </c>
      <c r="N14" s="14">
        <f t="shared" si="3"/>
        <v>0</v>
      </c>
      <c r="O14" s="14">
        <f t="shared" si="3"/>
        <v>0</v>
      </c>
      <c r="P14" s="14">
        <f t="shared" si="3"/>
        <v>0</v>
      </c>
      <c r="Q14" s="14">
        <f t="shared" si="3"/>
        <v>0</v>
      </c>
      <c r="R14" s="14">
        <f t="shared" si="3"/>
        <v>0</v>
      </c>
      <c r="S14" s="14">
        <f t="shared" si="3"/>
        <v>0</v>
      </c>
      <c r="T14" s="14">
        <f t="shared" si="3"/>
        <v>0</v>
      </c>
      <c r="U14" s="14">
        <f t="shared" si="3"/>
        <v>0</v>
      </c>
      <c r="V14" s="14">
        <f t="shared" si="3"/>
        <v>0</v>
      </c>
      <c r="W14" s="14">
        <f t="shared" si="3"/>
        <v>0</v>
      </c>
      <c r="X14" s="14">
        <f t="shared" si="3"/>
        <v>0</v>
      </c>
      <c r="Y14" s="14">
        <f t="shared" si="3"/>
        <v>0</v>
      </c>
      <c r="Z14" s="14">
        <f t="shared" si="3"/>
        <v>0</v>
      </c>
    </row>
    <row r="15" customHeight="1" spans="1:26">
      <c r="A15" s="8" t="s">
        <v>149</v>
      </c>
      <c r="B15" s="8" t="s">
        <v>530</v>
      </c>
      <c r="C15" s="37">
        <v>0</v>
      </c>
      <c r="D15" s="37">
        <v>0</v>
      </c>
      <c r="E15" s="37">
        <v>0</v>
      </c>
      <c r="F15" s="37">
        <v>0</v>
      </c>
      <c r="G15" s="37">
        <v>0</v>
      </c>
      <c r="H15" s="37">
        <v>0</v>
      </c>
      <c r="I15" s="37">
        <v>0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37">
        <v>0</v>
      </c>
      <c r="Q15" s="37">
        <v>0</v>
      </c>
      <c r="R15" s="37">
        <v>0</v>
      </c>
      <c r="S15" s="37">
        <v>0</v>
      </c>
      <c r="T15" s="37">
        <v>0</v>
      </c>
      <c r="U15" s="37">
        <v>0</v>
      </c>
      <c r="V15" s="37">
        <v>0</v>
      </c>
      <c r="W15" s="37">
        <v>0</v>
      </c>
      <c r="X15" s="37">
        <v>0</v>
      </c>
      <c r="Y15" s="37">
        <v>0</v>
      </c>
      <c r="Z15" s="37">
        <v>0</v>
      </c>
    </row>
    <row r="16" customHeight="1" spans="1:26">
      <c r="A16" s="8" t="s">
        <v>151</v>
      </c>
      <c r="B16" s="8" t="s">
        <v>199</v>
      </c>
      <c r="C16" s="14">
        <f>D.4流动资金估算表!E12</f>
        <v>0</v>
      </c>
      <c r="D16" s="14">
        <f>D.4流动资金估算表!F12</f>
        <v>0</v>
      </c>
      <c r="E16" s="14">
        <f>D.4流动资金估算表!G12</f>
        <v>0</v>
      </c>
      <c r="F16" s="14">
        <f>D.4流动资金估算表!H12</f>
        <v>0</v>
      </c>
      <c r="G16" s="14">
        <f>D.4流动资金估算表!I12</f>
        <v>0</v>
      </c>
      <c r="H16" s="14">
        <f>D.4流动资金估算表!J12</f>
        <v>0</v>
      </c>
      <c r="I16" s="14">
        <f>D.4流动资金估算表!K12</f>
        <v>0</v>
      </c>
      <c r="J16" s="14">
        <f>D.4流动资金估算表!L12</f>
        <v>0</v>
      </c>
      <c r="K16" s="14">
        <f>D.4流动资金估算表!M12</f>
        <v>0</v>
      </c>
      <c r="L16" s="14">
        <f>D.4流动资金估算表!N12</f>
        <v>0</v>
      </c>
      <c r="M16" s="14">
        <f>D.4流动资金估算表!O12</f>
        <v>0</v>
      </c>
      <c r="N16" s="14">
        <f>D.4流动资金估算表!P12</f>
        <v>0</v>
      </c>
      <c r="O16" s="14">
        <f>D.4流动资金估算表!Q12</f>
        <v>0</v>
      </c>
      <c r="P16" s="14">
        <f>D.4流动资金估算表!R12</f>
        <v>0</v>
      </c>
      <c r="Q16" s="14">
        <f>D.4流动资金估算表!S12</f>
        <v>0</v>
      </c>
      <c r="R16" s="14">
        <f>D.4流动资金估算表!T12</f>
        <v>0</v>
      </c>
      <c r="S16" s="14">
        <f>D.4流动资金估算表!U12</f>
        <v>0</v>
      </c>
      <c r="T16" s="14">
        <f>D.4流动资金估算表!V12</f>
        <v>0</v>
      </c>
      <c r="U16" s="14">
        <f>D.4流动资金估算表!W12</f>
        <v>0</v>
      </c>
      <c r="V16" s="14">
        <f>D.4流动资金估算表!X12</f>
        <v>0</v>
      </c>
      <c r="W16" s="14">
        <f>D.4流动资金估算表!Y12</f>
        <v>0</v>
      </c>
      <c r="X16" s="14">
        <f>D.4流动资金估算表!Z12</f>
        <v>0</v>
      </c>
      <c r="Y16" s="14">
        <f>D.4流动资金估算表!AA12</f>
        <v>0</v>
      </c>
      <c r="Z16" s="14">
        <f>D.4流动资金估算表!AB12</f>
        <v>0</v>
      </c>
    </row>
    <row r="17" customHeight="1" spans="1:26">
      <c r="A17" s="8" t="s">
        <v>153</v>
      </c>
      <c r="B17" s="8" t="s">
        <v>531</v>
      </c>
      <c r="C17" s="37">
        <v>0</v>
      </c>
      <c r="D17" s="37">
        <v>0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  <c r="J17" s="37">
        <v>0</v>
      </c>
      <c r="K17" s="37">
        <v>0</v>
      </c>
      <c r="L17" s="37">
        <v>0</v>
      </c>
      <c r="M17" s="37">
        <v>0</v>
      </c>
      <c r="N17" s="37">
        <v>0</v>
      </c>
      <c r="O17" s="37">
        <v>0</v>
      </c>
      <c r="P17" s="37">
        <v>0</v>
      </c>
      <c r="Q17" s="37">
        <v>0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</row>
    <row r="18" customHeight="1" spans="1:26">
      <c r="A18" s="8" t="s">
        <v>532</v>
      </c>
      <c r="B18" s="8" t="s">
        <v>524</v>
      </c>
      <c r="C18" s="37">
        <v>0</v>
      </c>
      <c r="D18" s="37">
        <v>0</v>
      </c>
      <c r="E18" s="37">
        <v>0</v>
      </c>
      <c r="F18" s="37">
        <v>0</v>
      </c>
      <c r="G18" s="37">
        <v>0</v>
      </c>
      <c r="H18" s="37">
        <v>0</v>
      </c>
      <c r="I18" s="37">
        <v>0</v>
      </c>
      <c r="J18" s="37">
        <v>0</v>
      </c>
      <c r="K18" s="37">
        <v>0</v>
      </c>
      <c r="L18" s="37">
        <v>0</v>
      </c>
      <c r="M18" s="37">
        <v>0</v>
      </c>
      <c r="N18" s="37">
        <v>0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U18" s="37">
        <v>0</v>
      </c>
      <c r="V18" s="37">
        <v>0</v>
      </c>
      <c r="W18" s="37">
        <v>0</v>
      </c>
      <c r="X18" s="37">
        <v>0</v>
      </c>
      <c r="Y18" s="37">
        <v>0</v>
      </c>
      <c r="Z18" s="37">
        <v>0</v>
      </c>
    </row>
    <row r="19" s="35" customFormat="1" customHeight="1" spans="1:26">
      <c r="A19" s="38">
        <v>2.2</v>
      </c>
      <c r="B19" s="38" t="s">
        <v>514</v>
      </c>
      <c r="C19" s="39">
        <f>(c借款还本付息计划表!D44)</f>
        <v>1175</v>
      </c>
      <c r="D19" s="39">
        <f>(c借款还本付息计划表!E44)</f>
        <v>12765</v>
      </c>
      <c r="E19" s="39">
        <f>(c借款还本付息计划表!F44)</f>
        <v>21470</v>
      </c>
      <c r="F19" s="39">
        <f>(c借款还本付息计划表!G44)</f>
        <v>29000</v>
      </c>
      <c r="G19" s="39">
        <f>(c借款还本付息计划表!H44)</f>
        <v>29000</v>
      </c>
      <c r="H19" s="39">
        <f>(c借款还本付息计划表!I44)</f>
        <v>29000</v>
      </c>
      <c r="I19" s="39">
        <f>(c借款还本付息计划表!J44)</f>
        <v>29000</v>
      </c>
      <c r="J19" s="39">
        <f>(c借款还本付息计划表!K44)</f>
        <v>29000</v>
      </c>
      <c r="K19" s="39">
        <f>(c借款还本付息计划表!L44)</f>
        <v>29000</v>
      </c>
      <c r="L19" s="39">
        <f>(c借款还本付息计划表!M44)</f>
        <v>29000</v>
      </c>
      <c r="M19" s="39">
        <f>(c借款还本付息计划表!N44)</f>
        <v>29000</v>
      </c>
      <c r="N19" s="39">
        <f>(c借款还本付息计划表!O44)</f>
        <v>29000</v>
      </c>
      <c r="O19" s="39">
        <f>(c借款还本付息计划表!P44)</f>
        <v>29000</v>
      </c>
      <c r="P19" s="39">
        <f>(c借款还本付息计划表!Q44)</f>
        <v>29000</v>
      </c>
      <c r="Q19" s="39">
        <f>(c借款还本付息计划表!R44)</f>
        <v>29000</v>
      </c>
      <c r="R19" s="39">
        <f>(c借款还本付息计划表!S44)</f>
        <v>29000</v>
      </c>
      <c r="S19" s="39">
        <f>(c借款还本付息计划表!T44)</f>
        <v>29000</v>
      </c>
      <c r="T19" s="39">
        <f>(c借款还本付息计划表!U44)</f>
        <v>29000</v>
      </c>
      <c r="U19" s="39">
        <f>(c借款还本付息计划表!V44)</f>
        <v>29000</v>
      </c>
      <c r="V19" s="39">
        <f>(c借款还本付息计划表!W44)</f>
        <v>29000</v>
      </c>
      <c r="W19" s="39">
        <f>(c借款还本付息计划表!X44)</f>
        <v>27825</v>
      </c>
      <c r="X19" s="39">
        <f>(c借款还本付息计划表!Y44)</f>
        <v>16235</v>
      </c>
      <c r="Y19" s="39">
        <f>(c借款还本付息计划表!Z44)</f>
        <v>7530</v>
      </c>
      <c r="Z19" s="39">
        <f>(c借款还本付息计划表!AA44)</f>
        <v>0</v>
      </c>
    </row>
    <row r="20" customHeight="1" spans="1:26">
      <c r="A20" s="8">
        <v>2.3</v>
      </c>
      <c r="B20" s="8" t="s">
        <v>533</v>
      </c>
      <c r="C20" s="14">
        <f>D.4流动资金估算表!E15</f>
        <v>0</v>
      </c>
      <c r="D20" s="14">
        <f>D.4流动资金估算表!F15</f>
        <v>0</v>
      </c>
      <c r="E20" s="14">
        <f>D.4流动资金估算表!G15</f>
        <v>0</v>
      </c>
      <c r="F20" s="14">
        <f>D.4流动资金估算表!H15</f>
        <v>0</v>
      </c>
      <c r="G20" s="14">
        <f>D.4流动资金估算表!I15</f>
        <v>0</v>
      </c>
      <c r="H20" s="14">
        <f>D.4流动资金估算表!J15</f>
        <v>0</v>
      </c>
      <c r="I20" s="14">
        <f>D.4流动资金估算表!K15</f>
        <v>0</v>
      </c>
      <c r="J20" s="14">
        <f>D.4流动资金估算表!L15</f>
        <v>0</v>
      </c>
      <c r="K20" s="14">
        <f>D.4流动资金估算表!M15</f>
        <v>0</v>
      </c>
      <c r="L20" s="14">
        <f>D.4流动资金估算表!N15</f>
        <v>0</v>
      </c>
      <c r="M20" s="14">
        <f>D.4流动资金估算表!O15</f>
        <v>0</v>
      </c>
      <c r="N20" s="14">
        <f>D.4流动资金估算表!P15</f>
        <v>0</v>
      </c>
      <c r="O20" s="14">
        <f>D.4流动资金估算表!Q15</f>
        <v>0</v>
      </c>
      <c r="P20" s="14">
        <f>D.4流动资金估算表!R15</f>
        <v>0</v>
      </c>
      <c r="Q20" s="14">
        <f>D.4流动资金估算表!S15</f>
        <v>0</v>
      </c>
      <c r="R20" s="14">
        <f>D.4流动资金估算表!T15</f>
        <v>0</v>
      </c>
      <c r="S20" s="14">
        <f>D.4流动资金估算表!U15</f>
        <v>0</v>
      </c>
      <c r="T20" s="14">
        <f>D.4流动资金估算表!V15</f>
        <v>0</v>
      </c>
      <c r="U20" s="14">
        <f>D.4流动资金估算表!W15</f>
        <v>0</v>
      </c>
      <c r="V20" s="14">
        <f>D.4流动资金估算表!X15</f>
        <v>0</v>
      </c>
      <c r="W20" s="14">
        <f>D.4流动资金估算表!Y15</f>
        <v>0</v>
      </c>
      <c r="X20" s="14">
        <f>D.4流动资金估算表!Z15</f>
        <v>0</v>
      </c>
      <c r="Y20" s="14">
        <f>D.4流动资金估算表!AA15</f>
        <v>0</v>
      </c>
      <c r="Z20" s="14">
        <f>D.4流动资金估算表!AB15</f>
        <v>0</v>
      </c>
    </row>
    <row r="21" customHeight="1" spans="1:26">
      <c r="A21" s="8">
        <v>2.4</v>
      </c>
      <c r="B21" s="8" t="s">
        <v>534</v>
      </c>
      <c r="C21" s="14">
        <f t="shared" ref="C21:Z21" si="4">C14+C19+C20</f>
        <v>1175</v>
      </c>
      <c r="D21" s="14">
        <f t="shared" si="4"/>
        <v>12765</v>
      </c>
      <c r="E21" s="14">
        <f t="shared" si="4"/>
        <v>21470</v>
      </c>
      <c r="F21" s="14">
        <f t="shared" si="4"/>
        <v>29000</v>
      </c>
      <c r="G21" s="14">
        <f t="shared" si="4"/>
        <v>29000</v>
      </c>
      <c r="H21" s="14">
        <f t="shared" si="4"/>
        <v>29000</v>
      </c>
      <c r="I21" s="14">
        <f t="shared" si="4"/>
        <v>29000</v>
      </c>
      <c r="J21" s="14">
        <f t="shared" si="4"/>
        <v>29000</v>
      </c>
      <c r="K21" s="14">
        <f t="shared" si="4"/>
        <v>29000</v>
      </c>
      <c r="L21" s="14">
        <f t="shared" si="4"/>
        <v>29000</v>
      </c>
      <c r="M21" s="14">
        <f t="shared" si="4"/>
        <v>29000</v>
      </c>
      <c r="N21" s="14">
        <f t="shared" si="4"/>
        <v>29000</v>
      </c>
      <c r="O21" s="14">
        <f t="shared" si="4"/>
        <v>29000</v>
      </c>
      <c r="P21" s="14">
        <f t="shared" si="4"/>
        <v>29000</v>
      </c>
      <c r="Q21" s="14">
        <f t="shared" si="4"/>
        <v>29000</v>
      </c>
      <c r="R21" s="14">
        <f t="shared" si="4"/>
        <v>29000</v>
      </c>
      <c r="S21" s="14">
        <f t="shared" si="4"/>
        <v>29000</v>
      </c>
      <c r="T21" s="14">
        <f t="shared" si="4"/>
        <v>29000</v>
      </c>
      <c r="U21" s="14">
        <f t="shared" si="4"/>
        <v>29000</v>
      </c>
      <c r="V21" s="14">
        <f t="shared" si="4"/>
        <v>29000</v>
      </c>
      <c r="W21" s="14">
        <f t="shared" si="4"/>
        <v>27825</v>
      </c>
      <c r="X21" s="14">
        <f t="shared" si="4"/>
        <v>16235</v>
      </c>
      <c r="Y21" s="14">
        <f t="shared" si="4"/>
        <v>7530</v>
      </c>
      <c r="Z21" s="14">
        <f t="shared" si="4"/>
        <v>0</v>
      </c>
    </row>
    <row r="22" customHeight="1" spans="1:26">
      <c r="A22" s="8">
        <v>2.5</v>
      </c>
      <c r="B22" s="8" t="s">
        <v>535</v>
      </c>
      <c r="C22" s="14">
        <f t="shared" ref="C22:Z22" si="5">SUM(C23:C26)</f>
        <v>0</v>
      </c>
      <c r="D22" s="14">
        <f t="shared" si="5"/>
        <v>68.8284889454536</v>
      </c>
      <c r="E22" s="14">
        <f t="shared" si="5"/>
        <v>5163.54207040829</v>
      </c>
      <c r="F22" s="14">
        <f t="shared" si="5"/>
        <v>-7479.70451338515</v>
      </c>
      <c r="G22" s="14">
        <f t="shared" si="5"/>
        <v>-2786.15802384431</v>
      </c>
      <c r="H22" s="14">
        <f t="shared" si="5"/>
        <v>-2518.26111273632</v>
      </c>
      <c r="I22" s="14">
        <f t="shared" si="5"/>
        <v>-2518.26111273632</v>
      </c>
      <c r="J22" s="14">
        <f t="shared" si="5"/>
        <v>-2518.26111273632</v>
      </c>
      <c r="K22" s="14">
        <f t="shared" si="5"/>
        <v>-2518.26111273632</v>
      </c>
      <c r="L22" s="14">
        <f t="shared" si="5"/>
        <v>-2518.26111273632</v>
      </c>
      <c r="M22" s="14">
        <f t="shared" si="5"/>
        <v>-2518.26111273632</v>
      </c>
      <c r="N22" s="14">
        <f t="shared" si="5"/>
        <v>-2518.26111273632</v>
      </c>
      <c r="O22" s="14">
        <f t="shared" si="5"/>
        <v>-2518.26111273632</v>
      </c>
      <c r="P22" s="14">
        <f t="shared" si="5"/>
        <v>-2518.26111273632</v>
      </c>
      <c r="Q22" s="14">
        <f t="shared" si="5"/>
        <v>-2518.26111273632</v>
      </c>
      <c r="R22" s="14">
        <f t="shared" si="5"/>
        <v>-2518.26111273632</v>
      </c>
      <c r="S22" s="14">
        <f t="shared" si="5"/>
        <v>-2518.26111273632</v>
      </c>
      <c r="T22" s="14">
        <f t="shared" si="5"/>
        <v>-2518.26111273632</v>
      </c>
      <c r="U22" s="14">
        <f t="shared" si="5"/>
        <v>-2518.26111273632</v>
      </c>
      <c r="V22" s="14">
        <f t="shared" si="5"/>
        <v>-2518.26111273632</v>
      </c>
      <c r="W22" s="14">
        <f t="shared" si="5"/>
        <v>-2518.26111273632</v>
      </c>
      <c r="X22" s="14">
        <f t="shared" si="5"/>
        <v>-2518.26111273632</v>
      </c>
      <c r="Y22" s="14">
        <f t="shared" si="5"/>
        <v>-2518.26111273632</v>
      </c>
      <c r="Z22" s="14">
        <f t="shared" si="5"/>
        <v>-2518.26111273632</v>
      </c>
    </row>
    <row r="23" customHeight="1" spans="1:26">
      <c r="A23" s="8" t="s">
        <v>536</v>
      </c>
      <c r="B23" s="8" t="s">
        <v>537</v>
      </c>
      <c r="C23" s="14">
        <f>D.2项目总投资使用计划与资金筹措表!D8</f>
        <v>0</v>
      </c>
      <c r="D23" s="14">
        <f>D.2项目总投资使用计划与资金筹措表!E8</f>
        <v>68.8284889454536</v>
      </c>
      <c r="E23" s="14">
        <f>D.2项目总投资使用计划与资金筹措表!F8</f>
        <v>5712.41326298072</v>
      </c>
      <c r="F23" s="14">
        <f>D.2项目总投资使用计划与资金筹措表!G8</f>
        <v>-6461.52569296329</v>
      </c>
      <c r="G23" s="14">
        <f>D.2项目总投资使用计划与资金筹措表!H8</f>
        <v>0.000665150000000004</v>
      </c>
      <c r="H23" s="14">
        <f>D.2项目总投资使用计划与资金筹措表!I8</f>
        <v>0</v>
      </c>
      <c r="I23" s="14">
        <f>D.2项目总投资使用计划与资金筹措表!J8</f>
        <v>0</v>
      </c>
      <c r="J23" s="14">
        <f>D.2项目总投资使用计划与资金筹措表!K8</f>
        <v>0</v>
      </c>
      <c r="K23" s="14">
        <f>D.2项目总投资使用计划与资金筹措表!L8</f>
        <v>0</v>
      </c>
      <c r="L23" s="14">
        <f>D.2项目总投资使用计划与资金筹措表!M8</f>
        <v>0</v>
      </c>
      <c r="M23" s="14">
        <f>D.2项目总投资使用计划与资金筹措表!N8</f>
        <v>0</v>
      </c>
      <c r="N23" s="14">
        <f>D.2项目总投资使用计划与资金筹措表!O8</f>
        <v>0</v>
      </c>
      <c r="O23" s="14">
        <f>D.2项目总投资使用计划与资金筹措表!P8</f>
        <v>0</v>
      </c>
      <c r="P23" s="14">
        <f>D.2项目总投资使用计划与资金筹措表!Q8</f>
        <v>0</v>
      </c>
      <c r="Q23" s="14">
        <f>D.2项目总投资使用计划与资金筹措表!R8</f>
        <v>0</v>
      </c>
      <c r="R23" s="14">
        <f>D.2项目总投资使用计划与资金筹措表!S8</f>
        <v>0</v>
      </c>
      <c r="S23" s="14">
        <f>D.2项目总投资使用计划与资金筹措表!T8</f>
        <v>0</v>
      </c>
      <c r="T23" s="14">
        <f>D.2项目总投资使用计划与资金筹措表!U8</f>
        <v>0</v>
      </c>
      <c r="U23" s="14">
        <f>D.2项目总投资使用计划与资金筹措表!V8</f>
        <v>0</v>
      </c>
      <c r="V23" s="14">
        <f>D.2项目总投资使用计划与资金筹措表!W8</f>
        <v>0</v>
      </c>
      <c r="W23" s="14">
        <f>D.2项目总投资使用计划与资金筹措表!X8</f>
        <v>0</v>
      </c>
      <c r="X23" s="14">
        <f>D.2项目总投资使用计划与资金筹措表!Y8</f>
        <v>0</v>
      </c>
      <c r="Y23" s="14">
        <f>D.2项目总投资使用计划与资金筹措表!Z8</f>
        <v>0</v>
      </c>
      <c r="Z23" s="14">
        <f>D.2项目总投资使用计划与资金筹措表!AA8</f>
        <v>0</v>
      </c>
    </row>
    <row r="24" customHeight="1" spans="1:26">
      <c r="A24" s="8" t="s">
        <v>538</v>
      </c>
      <c r="B24" s="8" t="s">
        <v>539</v>
      </c>
      <c r="C24" s="14">
        <f>'b利润与利润分配表（损益和利润分配表）'!D15</f>
        <v>0</v>
      </c>
      <c r="D24" s="14">
        <f>'b利润与利润分配表（损益和利润分配表）'!E15</f>
        <v>0</v>
      </c>
      <c r="E24" s="14">
        <f>'b利润与利润分配表（损益和利润分配表）'!F15</f>
        <v>-54.8871192572431</v>
      </c>
      <c r="F24" s="14">
        <f>'b利润与利润分配表（损益和利润分配表）'!G15</f>
        <v>-54.8893950772431</v>
      </c>
      <c r="G24" s="14">
        <f>'b利润与利润分配表（损益和利润分配表）'!H15</f>
        <v>-184.756949143446</v>
      </c>
      <c r="H24" s="14">
        <f>'b利润与利润分配表（损益和利润分配表）'!I15</f>
        <v>0</v>
      </c>
      <c r="I24" s="14">
        <f>'b利润与利润分配表（损益和利润分配表）'!J15</f>
        <v>0</v>
      </c>
      <c r="J24" s="14">
        <f>'b利润与利润分配表（损益和利润分配表）'!K15</f>
        <v>0</v>
      </c>
      <c r="K24" s="14">
        <f>'b利润与利润分配表（损益和利润分配表）'!L15</f>
        <v>0</v>
      </c>
      <c r="L24" s="14">
        <f>'b利润与利润分配表（损益和利润分配表）'!M15</f>
        <v>0</v>
      </c>
      <c r="M24" s="14">
        <f>'b利润与利润分配表（损益和利润分配表）'!N15</f>
        <v>0</v>
      </c>
      <c r="N24" s="14">
        <f>'b利润与利润分配表（损益和利润分配表）'!O15</f>
        <v>0</v>
      </c>
      <c r="O24" s="14">
        <f>'b利润与利润分配表（损益和利润分配表）'!P15</f>
        <v>0</v>
      </c>
      <c r="P24" s="14">
        <f>'b利润与利润分配表（损益和利润分配表）'!Q15</f>
        <v>0</v>
      </c>
      <c r="Q24" s="14">
        <f>'b利润与利润分配表（损益和利润分配表）'!R15</f>
        <v>0</v>
      </c>
      <c r="R24" s="14">
        <f>'b利润与利润分配表（损益和利润分配表）'!S15</f>
        <v>0</v>
      </c>
      <c r="S24" s="14">
        <f>'b利润与利润分配表（损益和利润分配表）'!T15</f>
        <v>0</v>
      </c>
      <c r="T24" s="14">
        <f>'b利润与利润分配表（损益和利润分配表）'!U15</f>
        <v>0</v>
      </c>
      <c r="U24" s="14">
        <f>'b利润与利润分配表（损益和利润分配表）'!V15</f>
        <v>0</v>
      </c>
      <c r="V24" s="14">
        <f>'b利润与利润分配表（损益和利润分配表）'!W15</f>
        <v>0</v>
      </c>
      <c r="W24" s="14">
        <f>'b利润与利润分配表（损益和利润分配表）'!X15</f>
        <v>0</v>
      </c>
      <c r="X24" s="14">
        <f>'b利润与利润分配表（损益和利润分配表）'!Y15</f>
        <v>0</v>
      </c>
      <c r="Y24" s="14">
        <f>'b利润与利润分配表（损益和利润分配表）'!Z15</f>
        <v>0</v>
      </c>
      <c r="Z24" s="14">
        <f>'b利润与利润分配表（损益和利润分配表）'!AA15</f>
        <v>0</v>
      </c>
    </row>
    <row r="25" customHeight="1" spans="1:26">
      <c r="A25" s="8" t="s">
        <v>540</v>
      </c>
      <c r="B25" s="8" t="s">
        <v>541</v>
      </c>
      <c r="C25" s="14">
        <f>'b利润与利润分配表（损益和利润分配表）'!D18</f>
        <v>0</v>
      </c>
      <c r="D25" s="14">
        <f>'b利润与利润分配表（损益和利润分配表）'!E18</f>
        <v>0</v>
      </c>
      <c r="E25" s="14">
        <f>'b利润与利润分配表（损益和利润分配表）'!F18</f>
        <v>-24.6992036657594</v>
      </c>
      <c r="F25" s="14">
        <f>'b利润与利润分配表（损益和利润分配表）'!G18</f>
        <v>-24.7002277847594</v>
      </c>
      <c r="G25" s="14">
        <f>'b利润与利润分配表（损益和利润分配表）'!H18</f>
        <v>-83.1406271145505</v>
      </c>
      <c r="H25" s="14">
        <f>'b利润与利润分配表（损益和利润分配表）'!I18</f>
        <v>0</v>
      </c>
      <c r="I25" s="14">
        <f>'b利润与利润分配表（损益和利润分配表）'!J18</f>
        <v>0</v>
      </c>
      <c r="J25" s="14">
        <f>'b利润与利润分配表（损益和利润分配表）'!K18</f>
        <v>0</v>
      </c>
      <c r="K25" s="14">
        <f>'b利润与利润分配表（损益和利润分配表）'!L18</f>
        <v>0</v>
      </c>
      <c r="L25" s="14">
        <f>'b利润与利润分配表（损益和利润分配表）'!M18</f>
        <v>0</v>
      </c>
      <c r="M25" s="14">
        <f>'b利润与利润分配表（损益和利润分配表）'!N18</f>
        <v>0</v>
      </c>
      <c r="N25" s="14">
        <f>'b利润与利润分配表（损益和利润分配表）'!O18</f>
        <v>0</v>
      </c>
      <c r="O25" s="14">
        <f>'b利润与利润分配表（损益和利润分配表）'!P18</f>
        <v>0</v>
      </c>
      <c r="P25" s="14">
        <f>'b利润与利润分配表（损益和利润分配表）'!Q18</f>
        <v>0</v>
      </c>
      <c r="Q25" s="14">
        <f>'b利润与利润分配表（损益和利润分配表）'!R18</f>
        <v>0</v>
      </c>
      <c r="R25" s="14">
        <f>'b利润与利润分配表（损益和利润分配表）'!S18</f>
        <v>0</v>
      </c>
      <c r="S25" s="14">
        <f>'b利润与利润分配表（损益和利润分配表）'!T18</f>
        <v>0</v>
      </c>
      <c r="T25" s="14">
        <f>'b利润与利润分配表（损益和利润分配表）'!U18</f>
        <v>0</v>
      </c>
      <c r="U25" s="14">
        <f>'b利润与利润分配表（损益和利润分配表）'!V18</f>
        <v>0</v>
      </c>
      <c r="V25" s="14">
        <f>'b利润与利润分配表（损益和利润分配表）'!W18</f>
        <v>0</v>
      </c>
      <c r="W25" s="14">
        <f>'b利润与利润分配表（损益和利润分配表）'!X18</f>
        <v>0</v>
      </c>
      <c r="X25" s="14">
        <f>'b利润与利润分配表（损益和利润分配表）'!Y18</f>
        <v>0</v>
      </c>
      <c r="Y25" s="14">
        <f>'b利润与利润分配表（损益和利润分配表）'!Z18</f>
        <v>0</v>
      </c>
      <c r="Z25" s="14">
        <f>'b利润与利润分配表（损益和利润分配表）'!AA18</f>
        <v>0</v>
      </c>
    </row>
    <row r="26" customHeight="1" spans="1:26">
      <c r="A26" s="8" t="s">
        <v>542</v>
      </c>
      <c r="B26" s="8" t="s">
        <v>428</v>
      </c>
      <c r="C26" s="14">
        <f>'b利润与利润分配表（损益和利润分配表）'!D24</f>
        <v>0</v>
      </c>
      <c r="D26" s="14">
        <f>'b利润与利润分配表（损益和利润分配表）'!E24</f>
        <v>0</v>
      </c>
      <c r="E26" s="14">
        <f>'b利润与利润分配表（损益和利润分配表）'!F24</f>
        <v>-469.284869649428</v>
      </c>
      <c r="F26" s="14">
        <f>'b利润与利润分配表（损益和利润分配表）'!G24</f>
        <v>-938.589197559857</v>
      </c>
      <c r="G26" s="14">
        <f>'b利润与利润分配表（损益和利润分配表）'!H24</f>
        <v>-2518.26111273632</v>
      </c>
      <c r="H26" s="14">
        <f>'b利润与利润分配表（损益和利润分配表）'!I24</f>
        <v>-2518.26111273632</v>
      </c>
      <c r="I26" s="14">
        <f>'b利润与利润分配表（损益和利润分配表）'!J24</f>
        <v>-2518.26111273632</v>
      </c>
      <c r="J26" s="14">
        <f>'b利润与利润分配表（损益和利润分配表）'!K24</f>
        <v>-2518.26111273632</v>
      </c>
      <c r="K26" s="14">
        <f>'b利润与利润分配表（损益和利润分配表）'!L24</f>
        <v>-2518.26111273632</v>
      </c>
      <c r="L26" s="14">
        <f>'b利润与利润分配表（损益和利润分配表）'!M24</f>
        <v>-2518.26111273632</v>
      </c>
      <c r="M26" s="14">
        <f>'b利润与利润分配表（损益和利润分配表）'!N24</f>
        <v>-2518.26111273632</v>
      </c>
      <c r="N26" s="14">
        <f>'b利润与利润分配表（损益和利润分配表）'!O24</f>
        <v>-2518.26111273632</v>
      </c>
      <c r="O26" s="14">
        <f>'b利润与利润分配表（损益和利润分配表）'!P24</f>
        <v>-2518.26111273632</v>
      </c>
      <c r="P26" s="14">
        <f>'b利润与利润分配表（损益和利润分配表）'!Q24</f>
        <v>-2518.26111273632</v>
      </c>
      <c r="Q26" s="14">
        <f>'b利润与利润分配表（损益和利润分配表）'!R24</f>
        <v>-2518.26111273632</v>
      </c>
      <c r="R26" s="14">
        <f>'b利润与利润分配表（损益和利润分配表）'!S24</f>
        <v>-2518.26111273632</v>
      </c>
      <c r="S26" s="14">
        <f>'b利润与利润分配表（损益和利润分配表）'!T24</f>
        <v>-2518.26111273632</v>
      </c>
      <c r="T26" s="14">
        <f>'b利润与利润分配表（损益和利润分配表）'!U24</f>
        <v>-2518.26111273632</v>
      </c>
      <c r="U26" s="14">
        <f>'b利润与利润分配表（损益和利润分配表）'!V24</f>
        <v>-2518.26111273632</v>
      </c>
      <c r="V26" s="14">
        <f>'b利润与利润分配表（损益和利润分配表）'!W24</f>
        <v>-2518.26111273632</v>
      </c>
      <c r="W26" s="14">
        <f>'b利润与利润分配表（损益和利润分配表）'!X24</f>
        <v>-2518.26111273632</v>
      </c>
      <c r="X26" s="14">
        <f>'b利润与利润分配表（损益和利润分配表）'!Y24</f>
        <v>-2518.26111273632</v>
      </c>
      <c r="Y26" s="14">
        <f>'b利润与利润分配表（损益和利润分配表）'!Z24</f>
        <v>-2518.26111273632</v>
      </c>
      <c r="Z26" s="14">
        <f>'b利润与利润分配表（损益和利润分配表）'!AA24</f>
        <v>-2518.26111273632</v>
      </c>
    </row>
    <row r="27" customHeight="1" spans="1:26">
      <c r="A27" s="40" t="s">
        <v>543</v>
      </c>
      <c r="B27" s="4"/>
      <c r="C27" s="27">
        <f t="shared" ref="C27:Z27" si="6">C21/C3</f>
        <v>-9.40202804527158</v>
      </c>
      <c r="D27" s="27">
        <f t="shared" si="6"/>
        <v>1.05946506083738</v>
      </c>
      <c r="E27" s="27">
        <f t="shared" si="6"/>
        <v>0.845303387746753</v>
      </c>
      <c r="F27" s="27">
        <f t="shared" si="6"/>
        <v>2.46725610677327</v>
      </c>
      <c r="G27" s="27">
        <f t="shared" si="6"/>
        <v>1.29105066730558</v>
      </c>
      <c r="H27" s="27">
        <f t="shared" si="6"/>
        <v>63.309501047838</v>
      </c>
      <c r="I27" s="27">
        <f t="shared" si="6"/>
        <v>-185.028167810839</v>
      </c>
      <c r="J27" s="27">
        <f t="shared" si="6"/>
        <v>-37.5875095782635</v>
      </c>
      <c r="K27" s="27">
        <f t="shared" si="6"/>
        <v>-20.9184966681066</v>
      </c>
      <c r="L27" s="27">
        <f t="shared" si="6"/>
        <v>-14.4917911766855</v>
      </c>
      <c r="M27" s="27">
        <f t="shared" si="6"/>
        <v>-11.0859112935381</v>
      </c>
      <c r="N27" s="27">
        <f t="shared" si="6"/>
        <v>-8.9762914365862</v>
      </c>
      <c r="O27" s="27">
        <f t="shared" si="6"/>
        <v>-7.54121751341891</v>
      </c>
      <c r="P27" s="27">
        <f t="shared" si="6"/>
        <v>-6.50175686359151</v>
      </c>
      <c r="Q27" s="27">
        <f t="shared" si="6"/>
        <v>-5.71413608515507</v>
      </c>
      <c r="R27" s="27">
        <f t="shared" si="6"/>
        <v>-5.09672091852508</v>
      </c>
      <c r="S27" s="27">
        <f t="shared" si="6"/>
        <v>-4.59971905120378</v>
      </c>
      <c r="T27" s="27">
        <f t="shared" si="6"/>
        <v>-4.19103434423438</v>
      </c>
      <c r="U27" s="27">
        <f t="shared" si="6"/>
        <v>-3.84904681176419</v>
      </c>
      <c r="V27" s="27">
        <f t="shared" si="6"/>
        <v>-3.5586608270236</v>
      </c>
      <c r="W27" s="27">
        <f t="shared" si="6"/>
        <v>-2.79959632487437</v>
      </c>
      <c r="X27" s="27">
        <f t="shared" si="6"/>
        <v>-0.73399023441012</v>
      </c>
      <c r="Y27" s="27">
        <f t="shared" si="6"/>
        <v>-0.241593904578956</v>
      </c>
      <c r="Z27" s="27">
        <f t="shared" si="6"/>
        <v>0</v>
      </c>
    </row>
    <row r="28" customHeight="1" spans="10:10">
      <c r="J28" t="s">
        <v>544</v>
      </c>
    </row>
  </sheetData>
  <mergeCells count="2">
    <mergeCell ref="A1:G1"/>
    <mergeCell ref="A27:B27"/>
  </mergeCell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tabColor rgb="FFFFC000"/>
  </sheetPr>
  <dimension ref="A1:G4"/>
  <sheetViews>
    <sheetView workbookViewId="0">
      <selection activeCell="J17" sqref="J17"/>
    </sheetView>
  </sheetViews>
  <sheetFormatPr defaultColWidth="14.7818181818182" defaultRowHeight="28.05" customHeight="1" outlineLevelRow="3" outlineLevelCol="6"/>
  <cols>
    <col min="1" max="1" width="20.2181818181818" style="1" customWidth="1"/>
    <col min="2" max="2" width="14.7818181818182" style="1" customWidth="1"/>
    <col min="3" max="3" width="17.7818181818182" style="1" customWidth="1"/>
    <col min="4" max="4" width="14.7818181818182" style="1" customWidth="1"/>
  </cols>
  <sheetData>
    <row r="1" customHeight="1" spans="1:7">
      <c r="A1" s="2" t="s">
        <v>545</v>
      </c>
      <c r="B1" s="3"/>
      <c r="C1" s="3"/>
      <c r="D1" s="3"/>
      <c r="E1" s="3"/>
      <c r="F1" s="3"/>
      <c r="G1" s="4"/>
    </row>
    <row r="2" customHeight="1" spans="1:7">
      <c r="A2" s="5" t="s">
        <v>546</v>
      </c>
      <c r="B2" s="5" t="s">
        <v>547</v>
      </c>
      <c r="C2" s="5" t="s">
        <v>113</v>
      </c>
      <c r="D2" s="5" t="s">
        <v>548</v>
      </c>
      <c r="E2" s="5" t="s">
        <v>140</v>
      </c>
      <c r="F2" s="5" t="s">
        <v>146</v>
      </c>
      <c r="G2" s="5" t="s">
        <v>80</v>
      </c>
    </row>
    <row r="3" customHeight="1" spans="1:7">
      <c r="A3" s="8" t="s">
        <v>549</v>
      </c>
      <c r="B3" s="9">
        <f>D.1建设投资!F3</f>
        <v>24474.93</v>
      </c>
      <c r="C3" s="9">
        <f>D.1建设投资!F16</f>
        <v>380</v>
      </c>
      <c r="D3" s="9">
        <f>D.1建设投资!F38</f>
        <v>772.736</v>
      </c>
      <c r="E3" s="9">
        <f>D.2项目总投资使用计划与资金筹措表!C5</f>
        <v>965.176853333333</v>
      </c>
      <c r="F3" s="9">
        <f>D.2项目总投资使用计划与资金筹措表!C6</f>
        <v>0.00256166666666667</v>
      </c>
      <c r="G3" s="9">
        <f>SUM(B3:F3)</f>
        <v>26592.845415</v>
      </c>
    </row>
    <row r="4" customHeight="1" spans="1:7">
      <c r="A4" s="8" t="s">
        <v>550</v>
      </c>
      <c r="B4" s="27">
        <f>B3/$G$3</f>
        <v>0.920357698397879</v>
      </c>
      <c r="C4" s="27">
        <f>C3/$G$3</f>
        <v>0.0142895577389269</v>
      </c>
      <c r="D4" s="27">
        <f>D3/$G$3</f>
        <v>0.0290580412867037</v>
      </c>
      <c r="E4" s="27">
        <f>E3/$G$3</f>
        <v>0.0362946062473222</v>
      </c>
      <c r="F4" s="27">
        <f>F3/$G$3</f>
        <v>9.63291677400468e-8</v>
      </c>
      <c r="G4" s="27" t="s">
        <v>161</v>
      </c>
    </row>
  </sheetData>
  <mergeCells count="1">
    <mergeCell ref="A1:G1"/>
  </mergeCells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tabColor rgb="FFFFC000"/>
  </sheetPr>
  <dimension ref="A1:G10"/>
  <sheetViews>
    <sheetView workbookViewId="0">
      <selection activeCell="G6" sqref="G6"/>
    </sheetView>
  </sheetViews>
  <sheetFormatPr defaultColWidth="14.7818181818182" defaultRowHeight="28.05" customHeight="1" outlineLevelCol="6"/>
  <cols>
    <col min="1" max="1" width="22" style="1" customWidth="1"/>
    <col min="2" max="2" width="15.6636363636364" style="1" customWidth="1"/>
  </cols>
  <sheetData>
    <row r="1" ht="18" customHeight="1" spans="1:7">
      <c r="A1" s="2" t="s">
        <v>551</v>
      </c>
      <c r="B1" s="3"/>
      <c r="C1" s="3"/>
      <c r="D1" s="3"/>
      <c r="E1" s="3"/>
      <c r="F1" s="4"/>
      <c r="G1" s="15" t="s">
        <v>552</v>
      </c>
    </row>
    <row r="2" ht="16.5" customHeight="1" spans="1:6">
      <c r="A2" s="5" t="s">
        <v>553</v>
      </c>
      <c r="B2" s="32">
        <v>2025</v>
      </c>
      <c r="C2" s="32">
        <v>2026</v>
      </c>
      <c r="D2" s="32">
        <v>2027</v>
      </c>
      <c r="E2" s="5" t="s">
        <v>80</v>
      </c>
      <c r="F2" s="5" t="s">
        <v>554</v>
      </c>
    </row>
    <row r="3" ht="16.5" customHeight="1" spans="1:6">
      <c r="A3" s="8" t="s">
        <v>555</v>
      </c>
      <c r="B3" s="33"/>
      <c r="C3" s="33"/>
      <c r="D3" s="33"/>
      <c r="E3" s="9">
        <f t="shared" ref="E3:E8" si="0">SUM(B3:D3)</f>
        <v>0</v>
      </c>
      <c r="F3" s="27" t="e">
        <f>E3/E9</f>
        <v>#DIV/0!</v>
      </c>
    </row>
    <row r="4" ht="16.5" customHeight="1" spans="1:6">
      <c r="A4" s="8" t="s">
        <v>556</v>
      </c>
      <c r="B4" s="14"/>
      <c r="C4" s="14"/>
      <c r="D4" s="14"/>
      <c r="E4" s="14">
        <f t="shared" si="0"/>
        <v>0</v>
      </c>
      <c r="F4" s="27" t="e">
        <f>E4/E9</f>
        <v>#DIV/0!</v>
      </c>
    </row>
    <row r="5" ht="39" customHeight="1" spans="1:6">
      <c r="A5" s="34" t="s">
        <v>557</v>
      </c>
      <c r="B5" s="33"/>
      <c r="C5" s="33"/>
      <c r="D5" s="33"/>
      <c r="E5" s="9">
        <f t="shared" si="0"/>
        <v>0</v>
      </c>
      <c r="F5" s="27" t="e">
        <f>E5/E9</f>
        <v>#DIV/0!</v>
      </c>
    </row>
    <row r="6" ht="39" customHeight="1" spans="1:6">
      <c r="A6" s="34" t="s">
        <v>558</v>
      </c>
      <c r="B6" s="9"/>
      <c r="C6" s="9"/>
      <c r="D6" s="9"/>
      <c r="E6" s="9">
        <f t="shared" si="0"/>
        <v>0</v>
      </c>
      <c r="F6" s="27" t="e">
        <f>E6/E9</f>
        <v>#DIV/0!</v>
      </c>
    </row>
    <row r="7" ht="16.5" customHeight="1" spans="1:6">
      <c r="A7" s="8" t="s">
        <v>559</v>
      </c>
      <c r="B7" s="33"/>
      <c r="C7" s="33"/>
      <c r="D7" s="33"/>
      <c r="E7" s="9">
        <f t="shared" si="0"/>
        <v>0</v>
      </c>
      <c r="F7" s="27" t="e">
        <f>E7/E9</f>
        <v>#DIV/0!</v>
      </c>
    </row>
    <row r="8" ht="16.5" customHeight="1" spans="1:6">
      <c r="A8" s="8" t="s">
        <v>560</v>
      </c>
      <c r="B8" s="33"/>
      <c r="C8" s="33"/>
      <c r="D8" s="33"/>
      <c r="E8" s="9">
        <f t="shared" si="0"/>
        <v>0</v>
      </c>
      <c r="F8" s="27" t="e">
        <f>E8/E9</f>
        <v>#DIV/0!</v>
      </c>
    </row>
    <row r="9" ht="16.5" customHeight="1" spans="1:6">
      <c r="A9" s="8" t="s">
        <v>80</v>
      </c>
      <c r="B9" s="9">
        <f>SUM(B3:B8)</f>
        <v>0</v>
      </c>
      <c r="C9" s="9">
        <f>SUM(C3:C8)</f>
        <v>0</v>
      </c>
      <c r="D9" s="9">
        <f>SUM(D3:D8)</f>
        <v>0</v>
      </c>
      <c r="E9" s="9">
        <f>SUM(E3:E8)</f>
        <v>0</v>
      </c>
      <c r="F9" s="8" t="s">
        <v>161</v>
      </c>
    </row>
    <row r="10" ht="16.5" customHeight="1" spans="1:6">
      <c r="A10" s="8" t="s">
        <v>561</v>
      </c>
      <c r="B10" s="27" t="e">
        <f>B9/E9</f>
        <v>#DIV/0!</v>
      </c>
      <c r="C10" s="27" t="e">
        <f>C9/E9</f>
        <v>#DIV/0!</v>
      </c>
      <c r="D10" s="27" t="e">
        <f>D9/E9</f>
        <v>#DIV/0!</v>
      </c>
      <c r="E10" s="8" t="s">
        <v>161</v>
      </c>
      <c r="F10" s="8" t="s">
        <v>161</v>
      </c>
    </row>
  </sheetData>
  <mergeCells count="1">
    <mergeCell ref="A1:F1"/>
  </mergeCells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tabColor rgb="FFFFC000"/>
  </sheetPr>
  <dimension ref="A1:Z6"/>
  <sheetViews>
    <sheetView workbookViewId="0">
      <pane xSplit="1" ySplit="3" topLeftCell="G4" activePane="bottomRight" state="frozen"/>
      <selection/>
      <selection pane="topRight"/>
      <selection pane="bottomLeft"/>
      <selection pane="bottomRight" activeCell="Z1" sqref="Z1"/>
    </sheetView>
  </sheetViews>
  <sheetFormatPr defaultColWidth="15.7818181818182" defaultRowHeight="28.05" customHeight="1" outlineLevelRow="5"/>
  <cols>
    <col min="1" max="1" width="15.7818181818182" style="1" customWidth="1"/>
    <col min="2" max="2" width="6.44545454545455" style="1" customWidth="1"/>
    <col min="3" max="25" width="8.78181818181818" style="1" customWidth="1"/>
  </cols>
  <sheetData>
    <row r="1" customHeight="1" spans="1:26">
      <c r="A1" s="16" t="s">
        <v>562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1" t="s">
        <v>563</v>
      </c>
    </row>
    <row r="2" customHeight="1" spans="1:25">
      <c r="A2" s="5" t="s">
        <v>564</v>
      </c>
      <c r="B2" s="29" t="s">
        <v>565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customHeight="1" spans="1:25">
      <c r="A3" s="17"/>
      <c r="B3" s="30">
        <v>2025</v>
      </c>
      <c r="C3" s="30">
        <v>2026</v>
      </c>
      <c r="D3" s="30">
        <v>2027</v>
      </c>
      <c r="E3" s="30">
        <v>2028</v>
      </c>
      <c r="F3" s="30">
        <v>2029</v>
      </c>
      <c r="G3" s="30">
        <v>2030</v>
      </c>
      <c r="H3" s="30">
        <v>2031</v>
      </c>
      <c r="I3" s="30">
        <v>2032</v>
      </c>
      <c r="J3" s="30">
        <v>2033</v>
      </c>
      <c r="K3" s="30">
        <v>2034</v>
      </c>
      <c r="L3" s="30">
        <v>2035</v>
      </c>
      <c r="M3" s="30">
        <v>2036</v>
      </c>
      <c r="N3" s="30">
        <v>2037</v>
      </c>
      <c r="O3" s="30">
        <v>2038</v>
      </c>
      <c r="P3" s="30">
        <v>2039</v>
      </c>
      <c r="Q3" s="30">
        <v>2040</v>
      </c>
      <c r="R3" s="30">
        <v>2041</v>
      </c>
      <c r="S3" s="30">
        <v>2042</v>
      </c>
      <c r="T3" s="30">
        <v>2043</v>
      </c>
      <c r="U3" s="30">
        <v>2044</v>
      </c>
      <c r="V3" s="30">
        <v>2045</v>
      </c>
      <c r="W3" s="30">
        <v>2046</v>
      </c>
      <c r="X3" s="30">
        <v>2047</v>
      </c>
      <c r="Y3" s="30">
        <v>2048</v>
      </c>
    </row>
    <row r="4" customHeight="1" spans="1:25">
      <c r="A4" s="8" t="s">
        <v>566</v>
      </c>
      <c r="B4" s="9">
        <f>F项目收入!D24</f>
        <v>0</v>
      </c>
      <c r="C4" s="9">
        <f>F项目收入!E24</f>
        <v>0</v>
      </c>
      <c r="D4" s="9">
        <f>F项目收入!F24</f>
        <v>0</v>
      </c>
      <c r="E4" s="9">
        <f>F项目收入!G24</f>
        <v>0</v>
      </c>
      <c r="F4" s="9">
        <f>F项目收入!H24</f>
        <v>0</v>
      </c>
      <c r="G4" s="9" t="e">
        <f>F项目收入!#REF!</f>
        <v>#REF!</v>
      </c>
      <c r="H4" s="9" t="e">
        <f>F项目收入!#REF!</f>
        <v>#REF!</v>
      </c>
      <c r="I4" s="9" t="e">
        <f>F项目收入!#REF!</f>
        <v>#REF!</v>
      </c>
      <c r="J4" s="9" t="e">
        <f>F项目收入!#REF!</f>
        <v>#REF!</v>
      </c>
      <c r="K4" s="9" t="e">
        <f>F项目收入!#REF!</f>
        <v>#REF!</v>
      </c>
      <c r="L4" s="9" t="e">
        <f>F项目收入!#REF!</f>
        <v>#REF!</v>
      </c>
      <c r="M4" s="9" t="e">
        <f>F项目收入!#REF!</f>
        <v>#REF!</v>
      </c>
      <c r="N4" s="9" t="e">
        <f>F项目收入!#REF!</f>
        <v>#REF!</v>
      </c>
      <c r="O4" s="9" t="e">
        <f>F项目收入!#REF!</f>
        <v>#REF!</v>
      </c>
      <c r="P4" s="9" t="e">
        <f>F项目收入!#REF!</f>
        <v>#REF!</v>
      </c>
      <c r="Q4" s="9" t="e">
        <f>F项目收入!#REF!</f>
        <v>#REF!</v>
      </c>
      <c r="R4" s="9" t="e">
        <f>F项目收入!#REF!</f>
        <v>#REF!</v>
      </c>
      <c r="S4" s="9" t="e">
        <f>F项目收入!#REF!</f>
        <v>#REF!</v>
      </c>
      <c r="T4" s="9" t="e">
        <f>F项目收入!#REF!</f>
        <v>#REF!</v>
      </c>
      <c r="U4" s="9" t="e">
        <f>F项目收入!#REF!</f>
        <v>#REF!</v>
      </c>
      <c r="V4" s="9" t="e">
        <f>F项目收入!#REF!</f>
        <v>#REF!</v>
      </c>
      <c r="W4" s="9" t="e">
        <f>F项目收入!#REF!</f>
        <v>#REF!</v>
      </c>
      <c r="X4" s="9" t="e">
        <f>F项目收入!#REF!</f>
        <v>#REF!</v>
      </c>
      <c r="Y4" s="9" t="e">
        <f>F项目收入!#REF!</f>
        <v>#REF!</v>
      </c>
    </row>
    <row r="5" customHeight="1" spans="1:25">
      <c r="A5" s="8" t="s">
        <v>567</v>
      </c>
      <c r="B5" s="9">
        <v>0</v>
      </c>
      <c r="C5" s="9">
        <v>0</v>
      </c>
      <c r="D5" s="9">
        <v>0</v>
      </c>
      <c r="E5" s="9">
        <v>0</v>
      </c>
      <c r="F5" s="9">
        <v>0</v>
      </c>
      <c r="G5" s="9">
        <v>0</v>
      </c>
      <c r="H5" s="9">
        <v>0</v>
      </c>
      <c r="I5" s="9">
        <v>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U5" s="9">
        <v>0</v>
      </c>
      <c r="V5" s="9">
        <v>0</v>
      </c>
      <c r="W5" s="9">
        <v>0</v>
      </c>
      <c r="X5" s="9">
        <v>0</v>
      </c>
      <c r="Y5" s="9">
        <v>0</v>
      </c>
    </row>
    <row r="6" customHeight="1" spans="1:25">
      <c r="A6" s="8" t="s">
        <v>80</v>
      </c>
      <c r="B6" s="9">
        <f t="shared" ref="B6:Y6" si="0">SUM(B4:B5)</f>
        <v>0</v>
      </c>
      <c r="C6" s="9">
        <f t="shared" si="0"/>
        <v>0</v>
      </c>
      <c r="D6" s="9">
        <f t="shared" si="0"/>
        <v>0</v>
      </c>
      <c r="E6" s="9">
        <f t="shared" si="0"/>
        <v>0</v>
      </c>
      <c r="F6" s="9">
        <f t="shared" si="0"/>
        <v>0</v>
      </c>
      <c r="G6" s="9" t="e">
        <f t="shared" si="0"/>
        <v>#REF!</v>
      </c>
      <c r="H6" s="9" t="e">
        <f t="shared" si="0"/>
        <v>#REF!</v>
      </c>
      <c r="I6" s="9" t="e">
        <f t="shared" si="0"/>
        <v>#REF!</v>
      </c>
      <c r="J6" s="9" t="e">
        <f t="shared" si="0"/>
        <v>#REF!</v>
      </c>
      <c r="K6" s="9" t="e">
        <f t="shared" si="0"/>
        <v>#REF!</v>
      </c>
      <c r="L6" s="9" t="e">
        <f t="shared" si="0"/>
        <v>#REF!</v>
      </c>
      <c r="M6" s="9" t="e">
        <f t="shared" si="0"/>
        <v>#REF!</v>
      </c>
      <c r="N6" s="9" t="e">
        <f t="shared" si="0"/>
        <v>#REF!</v>
      </c>
      <c r="O6" s="9" t="e">
        <f t="shared" si="0"/>
        <v>#REF!</v>
      </c>
      <c r="P6" s="9" t="e">
        <f t="shared" si="0"/>
        <v>#REF!</v>
      </c>
      <c r="Q6" s="9" t="e">
        <f t="shared" si="0"/>
        <v>#REF!</v>
      </c>
      <c r="R6" s="9" t="e">
        <f t="shared" si="0"/>
        <v>#REF!</v>
      </c>
      <c r="S6" s="9" t="e">
        <f t="shared" si="0"/>
        <v>#REF!</v>
      </c>
      <c r="T6" s="9" t="e">
        <f t="shared" si="0"/>
        <v>#REF!</v>
      </c>
      <c r="U6" s="9" t="e">
        <f t="shared" si="0"/>
        <v>#REF!</v>
      </c>
      <c r="V6" s="9" t="e">
        <f t="shared" si="0"/>
        <v>#REF!</v>
      </c>
      <c r="W6" s="9" t="e">
        <f t="shared" si="0"/>
        <v>#REF!</v>
      </c>
      <c r="X6" s="9" t="e">
        <f t="shared" si="0"/>
        <v>#REF!</v>
      </c>
      <c r="Y6" s="9" t="e">
        <f t="shared" si="0"/>
        <v>#REF!</v>
      </c>
    </row>
  </sheetData>
  <mergeCells count="3">
    <mergeCell ref="A1:Y1"/>
    <mergeCell ref="B2:Y2"/>
    <mergeCell ref="A2:A3"/>
  </mergeCells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>
    <tabColor rgb="FFFFC000"/>
  </sheetPr>
  <dimension ref="A1:AG23"/>
  <sheetViews>
    <sheetView zoomScale="70" zoomScaleNormal="70" topLeftCell="U7" workbookViewId="0">
      <selection activeCell="AH13" sqref="AH13"/>
    </sheetView>
  </sheetViews>
  <sheetFormatPr defaultColWidth="13.7818181818182" defaultRowHeight="28.05" customHeight="1"/>
  <cols>
    <col min="1" max="1" width="13.6636363636364" style="1" customWidth="1"/>
    <col min="2" max="2" width="11.2181818181818" style="1" customWidth="1"/>
    <col min="3" max="3" width="44.2181818181818" style="18" customWidth="1"/>
    <col min="4" max="4" width="43.8909090909091" style="18" customWidth="1"/>
    <col min="5" max="16374" width="13.7818181818182" style="1" customWidth="1"/>
  </cols>
  <sheetData>
    <row r="1" customHeight="1" spans="1:33">
      <c r="A1" s="19" t="s">
        <v>568</v>
      </c>
      <c r="AG1" s="28" t="s">
        <v>569</v>
      </c>
    </row>
    <row r="2" customHeight="1" spans="1:32">
      <c r="A2" s="20" t="s">
        <v>220</v>
      </c>
      <c r="B2" s="20" t="s">
        <v>1</v>
      </c>
      <c r="C2" s="21" t="s">
        <v>143</v>
      </c>
      <c r="D2" s="21" t="s">
        <v>221</v>
      </c>
      <c r="E2" s="20" t="s">
        <v>86</v>
      </c>
      <c r="F2" s="21" t="s">
        <v>222</v>
      </c>
      <c r="G2" s="5" t="s">
        <v>275</v>
      </c>
      <c r="H2" s="22">
        <v>2025</v>
      </c>
      <c r="I2" s="26">
        <v>2026</v>
      </c>
      <c r="J2" s="22">
        <v>2027</v>
      </c>
      <c r="K2" s="26">
        <v>2028</v>
      </c>
      <c r="L2" s="22">
        <v>2029</v>
      </c>
      <c r="M2" s="26">
        <v>2030</v>
      </c>
      <c r="N2" s="22">
        <v>2031</v>
      </c>
      <c r="O2" s="26">
        <v>2032</v>
      </c>
      <c r="P2" s="22">
        <v>2033</v>
      </c>
      <c r="Q2" s="26">
        <v>2034</v>
      </c>
      <c r="R2" s="22">
        <v>2035</v>
      </c>
      <c r="S2" s="26">
        <v>2036</v>
      </c>
      <c r="T2" s="22">
        <v>2037</v>
      </c>
      <c r="U2" s="26">
        <v>2038</v>
      </c>
      <c r="V2" s="22">
        <v>2039</v>
      </c>
      <c r="W2" s="26">
        <v>2040</v>
      </c>
      <c r="X2" s="22">
        <v>2041</v>
      </c>
      <c r="Y2" s="26">
        <v>2042</v>
      </c>
      <c r="Z2" s="26">
        <v>2043</v>
      </c>
      <c r="AA2" s="26">
        <v>2044</v>
      </c>
      <c r="AB2" s="26">
        <v>2045</v>
      </c>
      <c r="AC2" s="26">
        <v>2046</v>
      </c>
      <c r="AD2" s="26">
        <v>2047</v>
      </c>
      <c r="AE2" s="26">
        <v>2048</v>
      </c>
      <c r="AF2" s="20" t="s">
        <v>80</v>
      </c>
    </row>
    <row r="3" customHeight="1" spans="1:32">
      <c r="A3" s="17"/>
      <c r="B3" s="17"/>
      <c r="C3" s="17"/>
      <c r="D3" s="17"/>
      <c r="E3" s="17"/>
      <c r="F3" s="17"/>
      <c r="G3" s="17"/>
      <c r="H3" s="23" t="s">
        <v>224</v>
      </c>
      <c r="I3" s="27">
        <f>E.1项目运营期费用!I3</f>
        <v>0.7</v>
      </c>
      <c r="J3" s="27">
        <f>E.1项目运营期费用!J3</f>
        <v>0.7</v>
      </c>
      <c r="K3" s="27">
        <f>E.1项目运营期费用!K3</f>
        <v>0.8</v>
      </c>
      <c r="L3" s="27">
        <f>E.1项目运营期费用!L3</f>
        <v>0.9</v>
      </c>
      <c r="M3" s="27" t="e">
        <f>E.1项目运营期费用!#REF!</f>
        <v>#REF!</v>
      </c>
      <c r="N3" s="27" t="e">
        <f>E.1项目运营期费用!#REF!</f>
        <v>#REF!</v>
      </c>
      <c r="O3" s="27" t="e">
        <f>E.1项目运营期费用!#REF!</f>
        <v>#REF!</v>
      </c>
      <c r="P3" s="27" t="e">
        <f>E.1项目运营期费用!#REF!</f>
        <v>#REF!</v>
      </c>
      <c r="Q3" s="27" t="e">
        <f>E.1项目运营期费用!#REF!</f>
        <v>#REF!</v>
      </c>
      <c r="R3" s="27" t="e">
        <f>E.1项目运营期费用!#REF!</f>
        <v>#REF!</v>
      </c>
      <c r="S3" s="27" t="e">
        <f>E.1项目运营期费用!#REF!</f>
        <v>#REF!</v>
      </c>
      <c r="T3" s="27" t="e">
        <f>E.1项目运营期费用!#REF!</f>
        <v>#REF!</v>
      </c>
      <c r="U3" s="27" t="e">
        <f>E.1项目运营期费用!#REF!</f>
        <v>#REF!</v>
      </c>
      <c r="V3" s="27" t="e">
        <f>E.1项目运营期费用!#REF!</f>
        <v>#REF!</v>
      </c>
      <c r="W3" s="27" t="e">
        <f>E.1项目运营期费用!#REF!</f>
        <v>#REF!</v>
      </c>
      <c r="X3" s="27" t="e">
        <f>E.1项目运营期费用!#REF!</f>
        <v>#REF!</v>
      </c>
      <c r="Y3" s="27" t="e">
        <f>E.1项目运营期费用!#REF!</f>
        <v>#REF!</v>
      </c>
      <c r="Z3" s="27" t="e">
        <f>E.1项目运营期费用!#REF!</f>
        <v>#REF!</v>
      </c>
      <c r="AA3" s="27" t="e">
        <f>E.1项目运营期费用!#REF!</f>
        <v>#REF!</v>
      </c>
      <c r="AB3" s="27" t="e">
        <f>E.1项目运营期费用!#REF!</f>
        <v>#REF!</v>
      </c>
      <c r="AC3" s="27" t="e">
        <f>E.1项目运营期费用!#REF!</f>
        <v>#REF!</v>
      </c>
      <c r="AD3" s="27" t="e">
        <f>E.1项目运营期费用!#REF!</f>
        <v>#REF!</v>
      </c>
      <c r="AE3" s="27" t="e">
        <f>E.1项目运营期费用!#REF!</f>
        <v>#REF!</v>
      </c>
      <c r="AF3" s="8" t="s">
        <v>161</v>
      </c>
    </row>
    <row r="4" customHeight="1" spans="1:32">
      <c r="A4" s="13" t="str">
        <f>E.1项目运营期费用!A4</f>
        <v>场地维护成本</v>
      </c>
      <c r="B4" s="13">
        <f>E.1项目运营期费用!B4</f>
        <v>1</v>
      </c>
      <c r="C4" s="24" t="str">
        <f>E.1项目运营期费用!C4</f>
        <v>场地租金</v>
      </c>
      <c r="D4" s="24" t="str">
        <f>E.1项目运营期费用!D4</f>
        <v>按面积×租金单价</v>
      </c>
      <c r="E4" s="8">
        <f>E.1项目运营期费用!E4</f>
        <v>0</v>
      </c>
      <c r="F4" s="8">
        <f>E.1项目运营期费用!F4</f>
        <v>0</v>
      </c>
      <c r="G4" s="8">
        <f>E.1项目运营期费用!G4</f>
        <v>0</v>
      </c>
      <c r="H4" s="8">
        <f>E.1项目运营期费用!H4</f>
        <v>0</v>
      </c>
      <c r="I4" s="8">
        <f>E.1项目运营期费用!I4</f>
        <v>0</v>
      </c>
      <c r="J4" s="8">
        <f>E.1项目运营期费用!J4</f>
        <v>0</v>
      </c>
      <c r="K4" s="8">
        <f>E.1项目运营期费用!K4</f>
        <v>0</v>
      </c>
      <c r="L4" s="8">
        <f>E.1项目运营期费用!L4</f>
        <v>0</v>
      </c>
      <c r="M4" s="8" t="e">
        <f>E.1项目运营期费用!#REF!</f>
        <v>#REF!</v>
      </c>
      <c r="N4" s="8" t="e">
        <f>E.1项目运营期费用!#REF!</f>
        <v>#REF!</v>
      </c>
      <c r="O4" s="8" t="e">
        <f>E.1项目运营期费用!#REF!</f>
        <v>#REF!</v>
      </c>
      <c r="P4" s="8" t="e">
        <f>E.1项目运营期费用!#REF!</f>
        <v>#REF!</v>
      </c>
      <c r="Q4" s="8" t="e">
        <f>E.1项目运营期费用!#REF!</f>
        <v>#REF!</v>
      </c>
      <c r="R4" s="8" t="e">
        <f>E.1项目运营期费用!#REF!</f>
        <v>#REF!</v>
      </c>
      <c r="S4" s="8" t="e">
        <f>E.1项目运营期费用!#REF!</f>
        <v>#REF!</v>
      </c>
      <c r="T4" s="8" t="e">
        <f>E.1项目运营期费用!#REF!</f>
        <v>#REF!</v>
      </c>
      <c r="U4" s="8" t="e">
        <f>E.1项目运营期费用!#REF!</f>
        <v>#REF!</v>
      </c>
      <c r="V4" s="8" t="e">
        <f>E.1项目运营期费用!#REF!</f>
        <v>#REF!</v>
      </c>
      <c r="W4" s="8" t="e">
        <f>E.1项目运营期费用!#REF!</f>
        <v>#REF!</v>
      </c>
      <c r="X4" s="8" t="e">
        <f>E.1项目运营期费用!#REF!</f>
        <v>#REF!</v>
      </c>
      <c r="Y4" s="8" t="e">
        <f>E.1项目运营期费用!#REF!</f>
        <v>#REF!</v>
      </c>
      <c r="Z4" s="8" t="e">
        <f>E.1项目运营期费用!#REF!</f>
        <v>#REF!</v>
      </c>
      <c r="AA4" s="8" t="e">
        <f>E.1项目运营期费用!#REF!</f>
        <v>#REF!</v>
      </c>
      <c r="AB4" s="8" t="e">
        <f>E.1项目运营期费用!#REF!</f>
        <v>#REF!</v>
      </c>
      <c r="AC4" s="8" t="e">
        <f>E.1项目运营期费用!#REF!</f>
        <v>#REF!</v>
      </c>
      <c r="AD4" s="8" t="e">
        <f>E.1项目运营期费用!#REF!</f>
        <v>#REF!</v>
      </c>
      <c r="AE4" s="8" t="e">
        <f>E.1项目运营期费用!#REF!</f>
        <v>#REF!</v>
      </c>
      <c r="AF4" s="8">
        <f>E.1项目运营期费用!M4</f>
        <v>0</v>
      </c>
    </row>
    <row r="5" customHeight="1" spans="1:32">
      <c r="A5" s="25"/>
      <c r="B5" s="13">
        <f>E.1项目运营期费用!B5</f>
        <v>2</v>
      </c>
      <c r="C5" s="24" t="str">
        <f>E.1项目运营期费用!C5</f>
        <v>场地日常维护（停机坪/起降场/交通枢纽/飞行营地/指挥中心等）</v>
      </c>
      <c r="D5" s="24" t="str">
        <f>E.1项目运营期费用!D5</f>
        <v>按面积 × 单位维护单价（元 / ㎡・年）</v>
      </c>
      <c r="E5" s="8">
        <f>E.1项目运营期费用!E5</f>
        <v>0</v>
      </c>
      <c r="F5" s="8">
        <f>E.1项目运营期费用!F5</f>
        <v>0</v>
      </c>
      <c r="G5" s="8">
        <f>E.1项目运营期费用!G5</f>
        <v>0</v>
      </c>
      <c r="H5" s="8">
        <f>E.1项目运营期费用!H5</f>
        <v>0</v>
      </c>
      <c r="I5" s="8">
        <f>E.1项目运营期费用!I5</f>
        <v>0</v>
      </c>
      <c r="J5" s="8">
        <f>E.1项目运营期费用!J5</f>
        <v>0</v>
      </c>
      <c r="K5" s="8">
        <f>E.1项目运营期费用!K5</f>
        <v>0</v>
      </c>
      <c r="L5" s="8">
        <f>E.1项目运营期费用!L5</f>
        <v>0</v>
      </c>
      <c r="M5" s="8" t="e">
        <f>E.1项目运营期费用!#REF!</f>
        <v>#REF!</v>
      </c>
      <c r="N5" s="8" t="e">
        <f>E.1项目运营期费用!#REF!</f>
        <v>#REF!</v>
      </c>
      <c r="O5" s="8" t="e">
        <f>E.1项目运营期费用!#REF!</f>
        <v>#REF!</v>
      </c>
      <c r="P5" s="8" t="e">
        <f>E.1项目运营期费用!#REF!</f>
        <v>#REF!</v>
      </c>
      <c r="Q5" s="8" t="e">
        <f>E.1项目运营期费用!#REF!</f>
        <v>#REF!</v>
      </c>
      <c r="R5" s="8" t="e">
        <f>E.1项目运营期费用!#REF!</f>
        <v>#REF!</v>
      </c>
      <c r="S5" s="8" t="e">
        <f>E.1项目运营期费用!#REF!</f>
        <v>#REF!</v>
      </c>
      <c r="T5" s="8" t="e">
        <f>E.1项目运营期费用!#REF!</f>
        <v>#REF!</v>
      </c>
      <c r="U5" s="8" t="e">
        <f>E.1项目运营期费用!#REF!</f>
        <v>#REF!</v>
      </c>
      <c r="V5" s="8" t="e">
        <f>E.1项目运营期费用!#REF!</f>
        <v>#REF!</v>
      </c>
      <c r="W5" s="8" t="e">
        <f>E.1项目运营期费用!#REF!</f>
        <v>#REF!</v>
      </c>
      <c r="X5" s="8" t="e">
        <f>E.1项目运营期费用!#REF!</f>
        <v>#REF!</v>
      </c>
      <c r="Y5" s="8" t="e">
        <f>E.1项目运营期费用!#REF!</f>
        <v>#REF!</v>
      </c>
      <c r="Z5" s="8" t="e">
        <f>E.1项目运营期费用!#REF!</f>
        <v>#REF!</v>
      </c>
      <c r="AA5" s="8" t="e">
        <f>E.1项目运营期费用!#REF!</f>
        <v>#REF!</v>
      </c>
      <c r="AB5" s="8" t="e">
        <f>E.1项目运营期费用!#REF!</f>
        <v>#REF!</v>
      </c>
      <c r="AC5" s="8" t="e">
        <f>E.1项目运营期费用!#REF!</f>
        <v>#REF!</v>
      </c>
      <c r="AD5" s="8" t="e">
        <f>E.1项目运营期费用!#REF!</f>
        <v>#REF!</v>
      </c>
      <c r="AE5" s="8" t="e">
        <f>E.1项目运营期费用!#REF!</f>
        <v>#REF!</v>
      </c>
      <c r="AF5" s="8">
        <f>E.1项目运营期费用!M5</f>
        <v>0</v>
      </c>
    </row>
    <row r="6" customHeight="1" spans="1:32">
      <c r="A6" s="25"/>
      <c r="B6" s="13">
        <f>E.1项目运营期费用!B6</f>
        <v>3</v>
      </c>
      <c r="C6" s="24" t="str">
        <f>E.1项目运营期费用!C6</f>
        <v>消防设施年检</v>
      </c>
      <c r="D6" s="24" t="str">
        <f>E.1项目运营期费用!D6</f>
        <v>按设备数量 × 单台年检费（元 / 台・次）</v>
      </c>
      <c r="E6" s="8">
        <f>E.1项目运营期费用!E6</f>
        <v>0</v>
      </c>
      <c r="F6" s="8">
        <f>E.1项目运营期费用!F6</f>
        <v>0</v>
      </c>
      <c r="G6" s="8">
        <f>E.1项目运营期费用!G6</f>
        <v>0</v>
      </c>
      <c r="H6" s="8">
        <f>E.1项目运营期费用!H6</f>
        <v>0</v>
      </c>
      <c r="I6" s="8">
        <f>E.1项目运营期费用!I6</f>
        <v>0</v>
      </c>
      <c r="J6" s="8">
        <f>E.1项目运营期费用!J6</f>
        <v>0</v>
      </c>
      <c r="K6" s="8">
        <f>E.1项目运营期费用!K6</f>
        <v>0</v>
      </c>
      <c r="L6" s="8">
        <f>E.1项目运营期费用!L6</f>
        <v>0</v>
      </c>
      <c r="M6" s="8" t="e">
        <f>E.1项目运营期费用!#REF!</f>
        <v>#REF!</v>
      </c>
      <c r="N6" s="8" t="e">
        <f>E.1项目运营期费用!#REF!</f>
        <v>#REF!</v>
      </c>
      <c r="O6" s="8" t="e">
        <f>E.1项目运营期费用!#REF!</f>
        <v>#REF!</v>
      </c>
      <c r="P6" s="8" t="e">
        <f>E.1项目运营期费用!#REF!</f>
        <v>#REF!</v>
      </c>
      <c r="Q6" s="8" t="e">
        <f>E.1项目运营期费用!#REF!</f>
        <v>#REF!</v>
      </c>
      <c r="R6" s="8" t="e">
        <f>E.1项目运营期费用!#REF!</f>
        <v>#REF!</v>
      </c>
      <c r="S6" s="8" t="e">
        <f>E.1项目运营期费用!#REF!</f>
        <v>#REF!</v>
      </c>
      <c r="T6" s="8" t="e">
        <f>E.1项目运营期费用!#REF!</f>
        <v>#REF!</v>
      </c>
      <c r="U6" s="8" t="e">
        <f>E.1项目运营期费用!#REF!</f>
        <v>#REF!</v>
      </c>
      <c r="V6" s="8" t="e">
        <f>E.1项目运营期费用!#REF!</f>
        <v>#REF!</v>
      </c>
      <c r="W6" s="8" t="e">
        <f>E.1项目运营期费用!#REF!</f>
        <v>#REF!</v>
      </c>
      <c r="X6" s="8" t="e">
        <f>E.1项目运营期费用!#REF!</f>
        <v>#REF!</v>
      </c>
      <c r="Y6" s="8" t="e">
        <f>E.1项目运营期费用!#REF!</f>
        <v>#REF!</v>
      </c>
      <c r="Z6" s="8" t="e">
        <f>E.1项目运营期费用!#REF!</f>
        <v>#REF!</v>
      </c>
      <c r="AA6" s="8" t="e">
        <f>E.1项目运营期费用!#REF!</f>
        <v>#REF!</v>
      </c>
      <c r="AB6" s="8" t="e">
        <f>E.1项目运营期费用!#REF!</f>
        <v>#REF!</v>
      </c>
      <c r="AC6" s="8" t="e">
        <f>E.1项目运营期费用!#REF!</f>
        <v>#REF!</v>
      </c>
      <c r="AD6" s="8" t="e">
        <f>E.1项目运营期费用!#REF!</f>
        <v>#REF!</v>
      </c>
      <c r="AE6" s="8" t="e">
        <f>E.1项目运营期费用!#REF!</f>
        <v>#REF!</v>
      </c>
      <c r="AF6" s="8">
        <f>E.1项目运营期费用!M6</f>
        <v>0</v>
      </c>
    </row>
    <row r="7" customHeight="1" spans="1:32">
      <c r="A7" s="17"/>
      <c r="B7" s="13">
        <f>E.1项目运营期费用!B7</f>
        <v>4</v>
      </c>
      <c r="C7" s="24" t="str">
        <f>E.1项目运营期费用!C7</f>
        <v>防鸟措施（驱鸟器维护）</v>
      </c>
      <c r="D7" s="24" t="str">
        <f>E.1项目运营期费用!D7</f>
        <v>按套数 × 年费（元 / 套・年）+ 耗材费（如驱鸟剂）</v>
      </c>
      <c r="E7" s="8">
        <f>E.1项目运营期费用!E7</f>
        <v>0</v>
      </c>
      <c r="F7" s="8">
        <f>E.1项目运营期费用!F7</f>
        <v>0</v>
      </c>
      <c r="G7" s="8">
        <f>E.1项目运营期费用!G7</f>
        <v>0</v>
      </c>
      <c r="H7" s="8">
        <f>E.1项目运营期费用!H7</f>
        <v>0</v>
      </c>
      <c r="I7" s="8">
        <f>E.1项目运营期费用!I7</f>
        <v>0</v>
      </c>
      <c r="J7" s="8">
        <f>E.1项目运营期费用!J7</f>
        <v>0</v>
      </c>
      <c r="K7" s="8">
        <f>E.1项目运营期费用!K7</f>
        <v>0</v>
      </c>
      <c r="L7" s="8">
        <f>E.1项目运营期费用!L7</f>
        <v>0</v>
      </c>
      <c r="M7" s="8" t="e">
        <f>E.1项目运营期费用!#REF!</f>
        <v>#REF!</v>
      </c>
      <c r="N7" s="8" t="e">
        <f>E.1项目运营期费用!#REF!</f>
        <v>#REF!</v>
      </c>
      <c r="O7" s="8" t="e">
        <f>E.1项目运营期费用!#REF!</f>
        <v>#REF!</v>
      </c>
      <c r="P7" s="8" t="e">
        <f>E.1项目运营期费用!#REF!</f>
        <v>#REF!</v>
      </c>
      <c r="Q7" s="8" t="e">
        <f>E.1项目运营期费用!#REF!</f>
        <v>#REF!</v>
      </c>
      <c r="R7" s="8" t="e">
        <f>E.1项目运营期费用!#REF!</f>
        <v>#REF!</v>
      </c>
      <c r="S7" s="8" t="e">
        <f>E.1项目运营期费用!#REF!</f>
        <v>#REF!</v>
      </c>
      <c r="T7" s="8" t="e">
        <f>E.1项目运营期费用!#REF!</f>
        <v>#REF!</v>
      </c>
      <c r="U7" s="8" t="e">
        <f>E.1项目运营期费用!#REF!</f>
        <v>#REF!</v>
      </c>
      <c r="V7" s="8" t="e">
        <f>E.1项目运营期费用!#REF!</f>
        <v>#REF!</v>
      </c>
      <c r="W7" s="8" t="e">
        <f>E.1项目运营期费用!#REF!</f>
        <v>#REF!</v>
      </c>
      <c r="X7" s="8" t="e">
        <f>E.1项目运营期费用!#REF!</f>
        <v>#REF!</v>
      </c>
      <c r="Y7" s="8" t="e">
        <f>E.1项目运营期费用!#REF!</f>
        <v>#REF!</v>
      </c>
      <c r="Z7" s="8" t="e">
        <f>E.1项目运营期费用!#REF!</f>
        <v>#REF!</v>
      </c>
      <c r="AA7" s="8" t="e">
        <f>E.1项目运营期费用!#REF!</f>
        <v>#REF!</v>
      </c>
      <c r="AB7" s="8" t="e">
        <f>E.1项目运营期费用!#REF!</f>
        <v>#REF!</v>
      </c>
      <c r="AC7" s="8" t="e">
        <f>E.1项目运营期费用!#REF!</f>
        <v>#REF!</v>
      </c>
      <c r="AD7" s="8" t="e">
        <f>E.1项目运营期费用!#REF!</f>
        <v>#REF!</v>
      </c>
      <c r="AE7" s="8" t="e">
        <f>E.1项目运营期费用!#REF!</f>
        <v>#REF!</v>
      </c>
      <c r="AF7" s="8">
        <f>E.1项目运营期费用!M7</f>
        <v>0</v>
      </c>
    </row>
    <row r="8" customHeight="1" spans="1:32">
      <c r="A8" s="13" t="str">
        <f>E.1项目运营期费用!A8</f>
        <v>燃料动力费</v>
      </c>
      <c r="B8" s="13">
        <f>E.1项目运营期费用!B8</f>
        <v>5</v>
      </c>
      <c r="C8" s="24" t="str">
        <f>E.1项目运营期费用!C8</f>
        <v>飞行器能耗</v>
      </c>
      <c r="D8" s="24" t="str">
        <f>E.1项目运营期费用!D8</f>
        <v>按电耗或油耗计算</v>
      </c>
      <c r="E8" s="8">
        <f>E.1项目运营期费用!E8</f>
        <v>0</v>
      </c>
      <c r="F8" s="8">
        <f>E.1项目运营期费用!F8</f>
        <v>0</v>
      </c>
      <c r="G8" s="8">
        <f>E.1项目运营期费用!G8</f>
        <v>0</v>
      </c>
      <c r="H8" s="8">
        <f>E.1项目运营期费用!H8</f>
        <v>0</v>
      </c>
      <c r="I8" s="8">
        <f>E.1项目运营期费用!I8</f>
        <v>0</v>
      </c>
      <c r="J8" s="8">
        <f>E.1项目运营期费用!J8</f>
        <v>0</v>
      </c>
      <c r="K8" s="8">
        <f>E.1项目运营期费用!K8</f>
        <v>0</v>
      </c>
      <c r="L8" s="8">
        <f>E.1项目运营期费用!L8</f>
        <v>0</v>
      </c>
      <c r="M8" s="8" t="e">
        <f>E.1项目运营期费用!#REF!</f>
        <v>#REF!</v>
      </c>
      <c r="N8" s="8" t="e">
        <f>E.1项目运营期费用!#REF!</f>
        <v>#REF!</v>
      </c>
      <c r="O8" s="8" t="e">
        <f>E.1项目运营期费用!#REF!</f>
        <v>#REF!</v>
      </c>
      <c r="P8" s="8" t="e">
        <f>E.1项目运营期费用!#REF!</f>
        <v>#REF!</v>
      </c>
      <c r="Q8" s="8" t="e">
        <f>E.1项目运营期费用!#REF!</f>
        <v>#REF!</v>
      </c>
      <c r="R8" s="8" t="e">
        <f>E.1项目运营期费用!#REF!</f>
        <v>#REF!</v>
      </c>
      <c r="S8" s="8" t="e">
        <f>E.1项目运营期费用!#REF!</f>
        <v>#REF!</v>
      </c>
      <c r="T8" s="8" t="e">
        <f>E.1项目运营期费用!#REF!</f>
        <v>#REF!</v>
      </c>
      <c r="U8" s="8" t="e">
        <f>E.1项目运营期费用!#REF!</f>
        <v>#REF!</v>
      </c>
      <c r="V8" s="8" t="e">
        <f>E.1项目运营期费用!#REF!</f>
        <v>#REF!</v>
      </c>
      <c r="W8" s="8" t="e">
        <f>E.1项目运营期费用!#REF!</f>
        <v>#REF!</v>
      </c>
      <c r="X8" s="8" t="e">
        <f>E.1项目运营期费用!#REF!</f>
        <v>#REF!</v>
      </c>
      <c r="Y8" s="8" t="e">
        <f>E.1项目运营期费用!#REF!</f>
        <v>#REF!</v>
      </c>
      <c r="Z8" s="8" t="e">
        <f>E.1项目运营期费用!#REF!</f>
        <v>#REF!</v>
      </c>
      <c r="AA8" s="8" t="e">
        <f>E.1项目运营期费用!#REF!</f>
        <v>#REF!</v>
      </c>
      <c r="AB8" s="8" t="e">
        <f>E.1项目运营期费用!#REF!</f>
        <v>#REF!</v>
      </c>
      <c r="AC8" s="8" t="e">
        <f>E.1项目运营期费用!#REF!</f>
        <v>#REF!</v>
      </c>
      <c r="AD8" s="8" t="e">
        <f>E.1项目运营期费用!#REF!</f>
        <v>#REF!</v>
      </c>
      <c r="AE8" s="8" t="e">
        <f>E.1项目运营期费用!#REF!</f>
        <v>#REF!</v>
      </c>
      <c r="AF8" s="8">
        <f>E.1项目运营期费用!M8</f>
        <v>0</v>
      </c>
    </row>
    <row r="9" customHeight="1" spans="1:32">
      <c r="A9" s="25"/>
      <c r="B9" s="13">
        <f>E.1项目运营期费用!B9</f>
        <v>6</v>
      </c>
      <c r="C9" s="24" t="str">
        <f>E.1项目运营期费用!C9</f>
        <v>核心设备电力能耗</v>
      </c>
      <c r="D9" s="24" t="str">
        <f>E.1项目运营期费用!D9</f>
        <v>按实际用电量 × 电价（元 / 千瓦 时）</v>
      </c>
      <c r="E9" s="8">
        <f>E.1项目运营期费用!E9</f>
        <v>0</v>
      </c>
      <c r="F9" s="8">
        <f>E.1项目运营期费用!F9</f>
        <v>0</v>
      </c>
      <c r="G9" s="8">
        <f>E.1项目运营期费用!G9</f>
        <v>0</v>
      </c>
      <c r="H9" s="8">
        <f>E.1项目运营期费用!H9</f>
        <v>0</v>
      </c>
      <c r="I9" s="8">
        <f>E.1项目运营期费用!I9</f>
        <v>0</v>
      </c>
      <c r="J9" s="8">
        <f>E.1项目运营期费用!J9</f>
        <v>0</v>
      </c>
      <c r="K9" s="8">
        <f>E.1项目运营期费用!K9</f>
        <v>0</v>
      </c>
      <c r="L9" s="8">
        <f>E.1项目运营期费用!L9</f>
        <v>0</v>
      </c>
      <c r="M9" s="8" t="e">
        <f>E.1项目运营期费用!#REF!</f>
        <v>#REF!</v>
      </c>
      <c r="N9" s="8" t="e">
        <f>E.1项目运营期费用!#REF!</f>
        <v>#REF!</v>
      </c>
      <c r="O9" s="8" t="e">
        <f>E.1项目运营期费用!#REF!</f>
        <v>#REF!</v>
      </c>
      <c r="P9" s="8" t="e">
        <f>E.1项目运营期费用!#REF!</f>
        <v>#REF!</v>
      </c>
      <c r="Q9" s="8" t="e">
        <f>E.1项目运营期费用!#REF!</f>
        <v>#REF!</v>
      </c>
      <c r="R9" s="8" t="e">
        <f>E.1项目运营期费用!#REF!</f>
        <v>#REF!</v>
      </c>
      <c r="S9" s="8" t="e">
        <f>E.1项目运营期费用!#REF!</f>
        <v>#REF!</v>
      </c>
      <c r="T9" s="8" t="e">
        <f>E.1项目运营期费用!#REF!</f>
        <v>#REF!</v>
      </c>
      <c r="U9" s="8" t="e">
        <f>E.1项目运营期费用!#REF!</f>
        <v>#REF!</v>
      </c>
      <c r="V9" s="8" t="e">
        <f>E.1项目运营期费用!#REF!</f>
        <v>#REF!</v>
      </c>
      <c r="W9" s="8" t="e">
        <f>E.1项目运营期费用!#REF!</f>
        <v>#REF!</v>
      </c>
      <c r="X9" s="8" t="e">
        <f>E.1项目运营期费用!#REF!</f>
        <v>#REF!</v>
      </c>
      <c r="Y9" s="8" t="e">
        <f>E.1项目运营期费用!#REF!</f>
        <v>#REF!</v>
      </c>
      <c r="Z9" s="8" t="e">
        <f>E.1项目运营期费用!#REF!</f>
        <v>#REF!</v>
      </c>
      <c r="AA9" s="8" t="e">
        <f>E.1项目运营期费用!#REF!</f>
        <v>#REF!</v>
      </c>
      <c r="AB9" s="8" t="e">
        <f>E.1项目运营期费用!#REF!</f>
        <v>#REF!</v>
      </c>
      <c r="AC9" s="8" t="e">
        <f>E.1项目运营期费用!#REF!</f>
        <v>#REF!</v>
      </c>
      <c r="AD9" s="8" t="e">
        <f>E.1项目运营期费用!#REF!</f>
        <v>#REF!</v>
      </c>
      <c r="AE9" s="8" t="e">
        <f>E.1项目运营期费用!#REF!</f>
        <v>#REF!</v>
      </c>
      <c r="AF9" s="8">
        <f>E.1项目运营期费用!M9</f>
        <v>0</v>
      </c>
    </row>
    <row r="10" customHeight="1" spans="1:32">
      <c r="A10" s="17"/>
      <c r="B10" s="13">
        <f>E.1项目运营期费用!B10</f>
        <v>7</v>
      </c>
      <c r="C10" s="24" t="str">
        <f>E.1项目运营期费用!C10</f>
        <v>水电能耗</v>
      </c>
      <c r="D10" s="24" t="str">
        <f>E.1项目运营期费用!D10</f>
        <v>按面积估算</v>
      </c>
      <c r="E10" s="8">
        <f>E.1项目运营期费用!E10</f>
        <v>0</v>
      </c>
      <c r="F10" s="8">
        <f>E.1项目运营期费用!F10</f>
        <v>0</v>
      </c>
      <c r="G10" s="8">
        <f>E.1项目运营期费用!G10</f>
        <v>0</v>
      </c>
      <c r="H10" s="8">
        <f>E.1项目运营期费用!H10</f>
        <v>0</v>
      </c>
      <c r="I10" s="8">
        <f>E.1项目运营期费用!I10</f>
        <v>0</v>
      </c>
      <c r="J10" s="8">
        <f>E.1项目运营期费用!J10</f>
        <v>0</v>
      </c>
      <c r="K10" s="8">
        <f>E.1项目运营期费用!K10</f>
        <v>0</v>
      </c>
      <c r="L10" s="8">
        <f>E.1项目运营期费用!L10</f>
        <v>0</v>
      </c>
      <c r="M10" s="8" t="e">
        <f>E.1项目运营期费用!#REF!</f>
        <v>#REF!</v>
      </c>
      <c r="N10" s="8" t="e">
        <f>E.1项目运营期费用!#REF!</f>
        <v>#REF!</v>
      </c>
      <c r="O10" s="8" t="e">
        <f>E.1项目运营期费用!#REF!</f>
        <v>#REF!</v>
      </c>
      <c r="P10" s="8" t="e">
        <f>E.1项目运营期费用!#REF!</f>
        <v>#REF!</v>
      </c>
      <c r="Q10" s="8" t="e">
        <f>E.1项目运营期费用!#REF!</f>
        <v>#REF!</v>
      </c>
      <c r="R10" s="8" t="e">
        <f>E.1项目运营期费用!#REF!</f>
        <v>#REF!</v>
      </c>
      <c r="S10" s="8" t="e">
        <f>E.1项目运营期费用!#REF!</f>
        <v>#REF!</v>
      </c>
      <c r="T10" s="8" t="e">
        <f>E.1项目运营期费用!#REF!</f>
        <v>#REF!</v>
      </c>
      <c r="U10" s="8" t="e">
        <f>E.1项目运营期费用!#REF!</f>
        <v>#REF!</v>
      </c>
      <c r="V10" s="8" t="e">
        <f>E.1项目运营期费用!#REF!</f>
        <v>#REF!</v>
      </c>
      <c r="W10" s="8" t="e">
        <f>E.1项目运营期费用!#REF!</f>
        <v>#REF!</v>
      </c>
      <c r="X10" s="8" t="e">
        <f>E.1项目运营期费用!#REF!</f>
        <v>#REF!</v>
      </c>
      <c r="Y10" s="8" t="e">
        <f>E.1项目运营期费用!#REF!</f>
        <v>#REF!</v>
      </c>
      <c r="Z10" s="8" t="e">
        <f>E.1项目运营期费用!#REF!</f>
        <v>#REF!</v>
      </c>
      <c r="AA10" s="8" t="e">
        <f>E.1项目运营期费用!#REF!</f>
        <v>#REF!</v>
      </c>
      <c r="AB10" s="8" t="e">
        <f>E.1项目运营期费用!#REF!</f>
        <v>#REF!</v>
      </c>
      <c r="AC10" s="8" t="e">
        <f>E.1项目运营期费用!#REF!</f>
        <v>#REF!</v>
      </c>
      <c r="AD10" s="8" t="e">
        <f>E.1项目运营期费用!#REF!</f>
        <v>#REF!</v>
      </c>
      <c r="AE10" s="8" t="e">
        <f>E.1项目运营期费用!#REF!</f>
        <v>#REF!</v>
      </c>
      <c r="AF10" s="8">
        <f>E.1项目运营期费用!M10</f>
        <v>0</v>
      </c>
    </row>
    <row r="11" customHeight="1" spans="1:32">
      <c r="A11" s="13" t="str">
        <f>E.1项目运营期费用!A11</f>
        <v>网络费</v>
      </c>
      <c r="B11" s="13">
        <f>E.1项目运营期费用!B11</f>
        <v>8</v>
      </c>
      <c r="C11" s="24" t="str">
        <f>E.1项目运营期费用!C11</f>
        <v>网络通信费用</v>
      </c>
      <c r="D11" s="24" t="str">
        <f>E.1项目运营期费用!D11</f>
        <v>按年计算租金</v>
      </c>
      <c r="E11" s="8">
        <f>E.1项目运营期费用!E11</f>
        <v>0</v>
      </c>
      <c r="F11" s="8">
        <f>E.1项目运营期费用!F11</f>
        <v>0</v>
      </c>
      <c r="G11" s="8">
        <f>E.1项目运营期费用!G11</f>
        <v>0</v>
      </c>
      <c r="H11" s="8">
        <f>E.1项目运营期费用!H11</f>
        <v>0</v>
      </c>
      <c r="I11" s="8">
        <f>E.1项目运营期费用!I11</f>
        <v>0</v>
      </c>
      <c r="J11" s="8">
        <f>E.1项目运营期费用!J11</f>
        <v>0</v>
      </c>
      <c r="K11" s="8">
        <f>E.1项目运营期费用!K11</f>
        <v>0</v>
      </c>
      <c r="L11" s="8">
        <f>E.1项目运营期费用!L11</f>
        <v>0</v>
      </c>
      <c r="M11" s="8" t="e">
        <f>E.1项目运营期费用!#REF!</f>
        <v>#REF!</v>
      </c>
      <c r="N11" s="8" t="e">
        <f>E.1项目运营期费用!#REF!</f>
        <v>#REF!</v>
      </c>
      <c r="O11" s="8" t="e">
        <f>E.1项目运营期费用!#REF!</f>
        <v>#REF!</v>
      </c>
      <c r="P11" s="8" t="e">
        <f>E.1项目运营期费用!#REF!</f>
        <v>#REF!</v>
      </c>
      <c r="Q11" s="8" t="e">
        <f>E.1项目运营期费用!#REF!</f>
        <v>#REF!</v>
      </c>
      <c r="R11" s="8" t="e">
        <f>E.1项目运营期费用!#REF!</f>
        <v>#REF!</v>
      </c>
      <c r="S11" s="8" t="e">
        <f>E.1项目运营期费用!#REF!</f>
        <v>#REF!</v>
      </c>
      <c r="T11" s="8" t="e">
        <f>E.1项目运营期费用!#REF!</f>
        <v>#REF!</v>
      </c>
      <c r="U11" s="8" t="e">
        <f>E.1项目运营期费用!#REF!</f>
        <v>#REF!</v>
      </c>
      <c r="V11" s="8" t="e">
        <f>E.1项目运营期费用!#REF!</f>
        <v>#REF!</v>
      </c>
      <c r="W11" s="8" t="e">
        <f>E.1项目运营期费用!#REF!</f>
        <v>#REF!</v>
      </c>
      <c r="X11" s="8" t="e">
        <f>E.1项目运营期费用!#REF!</f>
        <v>#REF!</v>
      </c>
      <c r="Y11" s="8" t="e">
        <f>E.1项目运营期费用!#REF!</f>
        <v>#REF!</v>
      </c>
      <c r="Z11" s="8" t="e">
        <f>E.1项目运营期费用!#REF!</f>
        <v>#REF!</v>
      </c>
      <c r="AA11" s="8" t="e">
        <f>E.1项目运营期费用!#REF!</f>
        <v>#REF!</v>
      </c>
      <c r="AB11" s="8" t="e">
        <f>E.1项目运营期费用!#REF!</f>
        <v>#REF!</v>
      </c>
      <c r="AC11" s="8" t="e">
        <f>E.1项目运营期费用!#REF!</f>
        <v>#REF!</v>
      </c>
      <c r="AD11" s="8" t="e">
        <f>E.1项目运营期费用!#REF!</f>
        <v>#REF!</v>
      </c>
      <c r="AE11" s="8" t="e">
        <f>E.1项目运营期费用!#REF!</f>
        <v>#REF!</v>
      </c>
      <c r="AF11" s="8">
        <f>E.1项目运营期费用!M11</f>
        <v>0</v>
      </c>
    </row>
    <row r="12" customHeight="1" spans="1:32">
      <c r="A12" s="13" t="str">
        <f>E.1项目运营期费用!A12</f>
        <v>硬件维护成本</v>
      </c>
      <c r="B12" s="13">
        <f>E.1项目运营期费用!B12</f>
        <v>9</v>
      </c>
      <c r="C12" s="24" t="str">
        <f>E.1项目运营期费用!C12</f>
        <v>硬件设备维护</v>
      </c>
      <c r="D12" s="24" t="str">
        <f>E.1项目运营期费用!D12</f>
        <v>按照固定资产15%计算</v>
      </c>
      <c r="E12" s="8">
        <f>E.1项目运营期费用!E12</f>
        <v>0</v>
      </c>
      <c r="F12" s="8">
        <f>E.1项目运营期费用!F12</f>
        <v>0</v>
      </c>
      <c r="G12" s="8">
        <f>E.1项目运营期费用!G12</f>
        <v>0</v>
      </c>
      <c r="H12" s="8">
        <f>E.1项目运营期费用!H12</f>
        <v>0</v>
      </c>
      <c r="I12" s="8">
        <f>E.1项目运营期费用!I12</f>
        <v>0</v>
      </c>
      <c r="J12" s="8">
        <f>E.1项目运营期费用!J12</f>
        <v>0</v>
      </c>
      <c r="K12" s="8">
        <f>E.1项目运营期费用!K12</f>
        <v>0</v>
      </c>
      <c r="L12" s="8">
        <f>E.1项目运营期费用!L12</f>
        <v>0</v>
      </c>
      <c r="M12" s="8" t="e">
        <f>E.1项目运营期费用!#REF!</f>
        <v>#REF!</v>
      </c>
      <c r="N12" s="8" t="e">
        <f>E.1项目运营期费用!#REF!</f>
        <v>#REF!</v>
      </c>
      <c r="O12" s="8" t="e">
        <f>E.1项目运营期费用!#REF!</f>
        <v>#REF!</v>
      </c>
      <c r="P12" s="8" t="e">
        <f>E.1项目运营期费用!#REF!</f>
        <v>#REF!</v>
      </c>
      <c r="Q12" s="8" t="e">
        <f>E.1项目运营期费用!#REF!</f>
        <v>#REF!</v>
      </c>
      <c r="R12" s="8" t="e">
        <f>E.1项目运营期费用!#REF!</f>
        <v>#REF!</v>
      </c>
      <c r="S12" s="8" t="e">
        <f>E.1项目运营期费用!#REF!</f>
        <v>#REF!</v>
      </c>
      <c r="T12" s="8" t="e">
        <f>E.1项目运营期费用!#REF!</f>
        <v>#REF!</v>
      </c>
      <c r="U12" s="8" t="e">
        <f>E.1项目运营期费用!#REF!</f>
        <v>#REF!</v>
      </c>
      <c r="V12" s="8" t="e">
        <f>E.1项目运营期费用!#REF!</f>
        <v>#REF!</v>
      </c>
      <c r="W12" s="8" t="e">
        <f>E.1项目运营期费用!#REF!</f>
        <v>#REF!</v>
      </c>
      <c r="X12" s="8" t="e">
        <f>E.1项目运营期费用!#REF!</f>
        <v>#REF!</v>
      </c>
      <c r="Y12" s="8" t="e">
        <f>E.1项目运营期费用!#REF!</f>
        <v>#REF!</v>
      </c>
      <c r="Z12" s="8" t="e">
        <f>E.1项目运营期费用!#REF!</f>
        <v>#REF!</v>
      </c>
      <c r="AA12" s="8" t="e">
        <f>E.1项目运营期费用!#REF!</f>
        <v>#REF!</v>
      </c>
      <c r="AB12" s="8" t="e">
        <f>E.1项目运营期费用!#REF!</f>
        <v>#REF!</v>
      </c>
      <c r="AC12" s="8" t="e">
        <f>E.1项目运营期费用!#REF!</f>
        <v>#REF!</v>
      </c>
      <c r="AD12" s="8" t="e">
        <f>E.1项目运营期费用!#REF!</f>
        <v>#REF!</v>
      </c>
      <c r="AE12" s="8" t="e">
        <f>E.1项目运营期费用!#REF!</f>
        <v>#REF!</v>
      </c>
      <c r="AF12" s="8">
        <f>E.1项目运营期费用!M12</f>
        <v>0</v>
      </c>
    </row>
    <row r="13" customHeight="1" spans="1:32">
      <c r="A13" s="17"/>
      <c r="B13" s="13">
        <f>E.1项目运营期费用!B13</f>
        <v>10</v>
      </c>
      <c r="C13" s="24" t="str">
        <f>E.1项目运营期费用!C13</f>
        <v>备品备件储备</v>
      </c>
      <c r="D13" s="24" t="str">
        <f>E.1项目运营期费用!D13</f>
        <v>按年度设备维护预算 × 储备比例 （10%-20%）</v>
      </c>
      <c r="E13" s="8">
        <f>E.1项目运营期费用!E13</f>
        <v>0</v>
      </c>
      <c r="F13" s="8">
        <f>E.1项目运营期费用!F13</f>
        <v>0</v>
      </c>
      <c r="G13" s="8">
        <f>E.1项目运营期费用!G13</f>
        <v>0</v>
      </c>
      <c r="H13" s="8">
        <f>E.1项目运营期费用!H13</f>
        <v>0</v>
      </c>
      <c r="I13" s="8">
        <f>E.1项目运营期费用!I13</f>
        <v>0</v>
      </c>
      <c r="J13" s="8">
        <f>E.1项目运营期费用!J13</f>
        <v>0</v>
      </c>
      <c r="K13" s="8">
        <f>E.1项目运营期费用!K13</f>
        <v>0</v>
      </c>
      <c r="L13" s="8">
        <f>E.1项目运营期费用!L13</f>
        <v>0</v>
      </c>
      <c r="M13" s="8" t="e">
        <f>E.1项目运营期费用!#REF!</f>
        <v>#REF!</v>
      </c>
      <c r="N13" s="8" t="e">
        <f>E.1项目运营期费用!#REF!</f>
        <v>#REF!</v>
      </c>
      <c r="O13" s="8" t="e">
        <f>E.1项目运营期费用!#REF!</f>
        <v>#REF!</v>
      </c>
      <c r="P13" s="8" t="e">
        <f>E.1项目运营期费用!#REF!</f>
        <v>#REF!</v>
      </c>
      <c r="Q13" s="8" t="e">
        <f>E.1项目运营期费用!#REF!</f>
        <v>#REF!</v>
      </c>
      <c r="R13" s="8" t="e">
        <f>E.1项目运营期费用!#REF!</f>
        <v>#REF!</v>
      </c>
      <c r="S13" s="8" t="e">
        <f>E.1项目运营期费用!#REF!</f>
        <v>#REF!</v>
      </c>
      <c r="T13" s="8" t="e">
        <f>E.1项目运营期费用!#REF!</f>
        <v>#REF!</v>
      </c>
      <c r="U13" s="8" t="e">
        <f>E.1项目运营期费用!#REF!</f>
        <v>#REF!</v>
      </c>
      <c r="V13" s="8" t="e">
        <f>E.1项目运营期费用!#REF!</f>
        <v>#REF!</v>
      </c>
      <c r="W13" s="8" t="e">
        <f>E.1项目运营期费用!#REF!</f>
        <v>#REF!</v>
      </c>
      <c r="X13" s="8" t="e">
        <f>E.1项目运营期费用!#REF!</f>
        <v>#REF!</v>
      </c>
      <c r="Y13" s="8" t="e">
        <f>E.1项目运营期费用!#REF!</f>
        <v>#REF!</v>
      </c>
      <c r="Z13" s="8" t="e">
        <f>E.1项目运营期费用!#REF!</f>
        <v>#REF!</v>
      </c>
      <c r="AA13" s="8" t="e">
        <f>E.1项目运营期费用!#REF!</f>
        <v>#REF!</v>
      </c>
      <c r="AB13" s="8" t="e">
        <f>E.1项目运营期费用!#REF!</f>
        <v>#REF!</v>
      </c>
      <c r="AC13" s="8" t="e">
        <f>E.1项目运营期费用!#REF!</f>
        <v>#REF!</v>
      </c>
      <c r="AD13" s="8" t="e">
        <f>E.1项目运营期费用!#REF!</f>
        <v>#REF!</v>
      </c>
      <c r="AE13" s="8" t="e">
        <f>E.1项目运营期费用!#REF!</f>
        <v>#REF!</v>
      </c>
      <c r="AF13" s="8">
        <f>E.1项目运营期费用!M13</f>
        <v>0</v>
      </c>
    </row>
    <row r="14" customHeight="1" spans="1:32">
      <c r="A14" s="13" t="str">
        <f>E.1项目运营期费用!A14</f>
        <v>软件维护费</v>
      </c>
      <c r="B14" s="13">
        <f>E.1项目运营期费用!B14</f>
        <v>11</v>
      </c>
      <c r="C14" s="24" t="str">
        <f>E.1项目运营期费用!C14</f>
        <v>软件维护</v>
      </c>
      <c r="D14" s="24" t="str">
        <f>E.1项目运营期费用!D14</f>
        <v>按无形资产造价的20%计算</v>
      </c>
      <c r="E14" s="8">
        <f>E.1项目运营期费用!E14</f>
        <v>0</v>
      </c>
      <c r="F14" s="8">
        <f>E.1项目运营期费用!F14</f>
        <v>0</v>
      </c>
      <c r="G14" s="8">
        <f>E.1项目运营期费用!G14</f>
        <v>0</v>
      </c>
      <c r="H14" s="8">
        <f>E.1项目运营期费用!H14</f>
        <v>0</v>
      </c>
      <c r="I14" s="8">
        <f>E.1项目运营期费用!I14</f>
        <v>0</v>
      </c>
      <c r="J14" s="8">
        <f>E.1项目运营期费用!J14</f>
        <v>0</v>
      </c>
      <c r="K14" s="8">
        <f>E.1项目运营期费用!K14</f>
        <v>0</v>
      </c>
      <c r="L14" s="8">
        <f>E.1项目运营期费用!L14</f>
        <v>0</v>
      </c>
      <c r="M14" s="8" t="e">
        <f>E.1项目运营期费用!#REF!</f>
        <v>#REF!</v>
      </c>
      <c r="N14" s="8" t="e">
        <f>E.1项目运营期费用!#REF!</f>
        <v>#REF!</v>
      </c>
      <c r="O14" s="8" t="e">
        <f>E.1项目运营期费用!#REF!</f>
        <v>#REF!</v>
      </c>
      <c r="P14" s="8" t="e">
        <f>E.1项目运营期费用!#REF!</f>
        <v>#REF!</v>
      </c>
      <c r="Q14" s="8" t="e">
        <f>E.1项目运营期费用!#REF!</f>
        <v>#REF!</v>
      </c>
      <c r="R14" s="8" t="e">
        <f>E.1项目运营期费用!#REF!</f>
        <v>#REF!</v>
      </c>
      <c r="S14" s="8" t="e">
        <f>E.1项目运营期费用!#REF!</f>
        <v>#REF!</v>
      </c>
      <c r="T14" s="8" t="e">
        <f>E.1项目运营期费用!#REF!</f>
        <v>#REF!</v>
      </c>
      <c r="U14" s="8" t="e">
        <f>E.1项目运营期费用!#REF!</f>
        <v>#REF!</v>
      </c>
      <c r="V14" s="8" t="e">
        <f>E.1项目运营期费用!#REF!</f>
        <v>#REF!</v>
      </c>
      <c r="W14" s="8" t="e">
        <f>E.1项目运营期费用!#REF!</f>
        <v>#REF!</v>
      </c>
      <c r="X14" s="8" t="e">
        <f>E.1项目运营期费用!#REF!</f>
        <v>#REF!</v>
      </c>
      <c r="Y14" s="8" t="e">
        <f>E.1项目运营期费用!#REF!</f>
        <v>#REF!</v>
      </c>
      <c r="Z14" s="8" t="e">
        <f>E.1项目运营期费用!#REF!</f>
        <v>#REF!</v>
      </c>
      <c r="AA14" s="8" t="e">
        <f>E.1项目运营期费用!#REF!</f>
        <v>#REF!</v>
      </c>
      <c r="AB14" s="8" t="e">
        <f>E.1项目运营期费用!#REF!</f>
        <v>#REF!</v>
      </c>
      <c r="AC14" s="8" t="e">
        <f>E.1项目运营期费用!#REF!</f>
        <v>#REF!</v>
      </c>
      <c r="AD14" s="8" t="e">
        <f>E.1项目运营期费用!#REF!</f>
        <v>#REF!</v>
      </c>
      <c r="AE14" s="8" t="e">
        <f>E.1项目运营期费用!#REF!</f>
        <v>#REF!</v>
      </c>
      <c r="AF14" s="8">
        <f>E.1项目运营期费用!M14</f>
        <v>0</v>
      </c>
    </row>
    <row r="15" customHeight="1" spans="1:32">
      <c r="A15" s="13" t="str">
        <f>E.1项目运营期费用!A15</f>
        <v>营销费用</v>
      </c>
      <c r="B15" s="13">
        <f>E.1项目运营期费用!B15</f>
        <v>12</v>
      </c>
      <c r="C15" s="24" t="str">
        <f>E.1项目运营期费用!C15</f>
        <v>营销及活动</v>
      </c>
      <c r="D15" s="24" t="str">
        <f>E.1项目运营期费用!D15</f>
        <v>按年平均营业收入的2%计算</v>
      </c>
      <c r="E15" s="8">
        <f>E.1项目运营期费用!E15</f>
        <v>0</v>
      </c>
      <c r="F15" s="8">
        <f>E.1项目运营期费用!F15</f>
        <v>0</v>
      </c>
      <c r="G15" s="8">
        <f>E.1项目运营期费用!G15</f>
        <v>0</v>
      </c>
      <c r="H15" s="8">
        <f>E.1项目运营期费用!H15</f>
        <v>0</v>
      </c>
      <c r="I15" s="8">
        <f>E.1项目运营期费用!I15</f>
        <v>0</v>
      </c>
      <c r="J15" s="8">
        <f>E.1项目运营期费用!J15</f>
        <v>0</v>
      </c>
      <c r="K15" s="8">
        <f>E.1项目运营期费用!K15</f>
        <v>0</v>
      </c>
      <c r="L15" s="8">
        <f>E.1项目运营期费用!L15</f>
        <v>0</v>
      </c>
      <c r="M15" s="8" t="e">
        <f>E.1项目运营期费用!#REF!</f>
        <v>#REF!</v>
      </c>
      <c r="N15" s="8" t="e">
        <f>E.1项目运营期费用!#REF!</f>
        <v>#REF!</v>
      </c>
      <c r="O15" s="8" t="e">
        <f>E.1项目运营期费用!#REF!</f>
        <v>#REF!</v>
      </c>
      <c r="P15" s="8" t="e">
        <f>E.1项目运营期费用!#REF!</f>
        <v>#REF!</v>
      </c>
      <c r="Q15" s="8" t="e">
        <f>E.1项目运营期费用!#REF!</f>
        <v>#REF!</v>
      </c>
      <c r="R15" s="8" t="e">
        <f>E.1项目运营期费用!#REF!</f>
        <v>#REF!</v>
      </c>
      <c r="S15" s="8" t="e">
        <f>E.1项目运营期费用!#REF!</f>
        <v>#REF!</v>
      </c>
      <c r="T15" s="8" t="e">
        <f>E.1项目运营期费用!#REF!</f>
        <v>#REF!</v>
      </c>
      <c r="U15" s="8" t="e">
        <f>E.1项目运营期费用!#REF!</f>
        <v>#REF!</v>
      </c>
      <c r="V15" s="8" t="e">
        <f>E.1项目运营期费用!#REF!</f>
        <v>#REF!</v>
      </c>
      <c r="W15" s="8" t="e">
        <f>E.1项目运营期费用!#REF!</f>
        <v>#REF!</v>
      </c>
      <c r="X15" s="8" t="e">
        <f>E.1项目运营期费用!#REF!</f>
        <v>#REF!</v>
      </c>
      <c r="Y15" s="8" t="e">
        <f>E.1项目运营期费用!#REF!</f>
        <v>#REF!</v>
      </c>
      <c r="Z15" s="8" t="e">
        <f>E.1项目运营期费用!#REF!</f>
        <v>#REF!</v>
      </c>
      <c r="AA15" s="8" t="e">
        <f>E.1项目运营期费用!#REF!</f>
        <v>#REF!</v>
      </c>
      <c r="AB15" s="8" t="e">
        <f>E.1项目运营期费用!#REF!</f>
        <v>#REF!</v>
      </c>
      <c r="AC15" s="8" t="e">
        <f>E.1项目运营期费用!#REF!</f>
        <v>#REF!</v>
      </c>
      <c r="AD15" s="8" t="e">
        <f>E.1项目运营期费用!#REF!</f>
        <v>#REF!</v>
      </c>
      <c r="AE15" s="8" t="e">
        <f>E.1项目运营期费用!#REF!</f>
        <v>#REF!</v>
      </c>
      <c r="AF15" s="8">
        <f>E.1项目运营期费用!M15</f>
        <v>0</v>
      </c>
    </row>
    <row r="16" customHeight="1" spans="1:32">
      <c r="A16" s="13" t="str">
        <f>E.1项目运营期费用!A16</f>
        <v>工资及福利费</v>
      </c>
      <c r="B16" s="13">
        <f>E.1项目运营期费用!B16</f>
        <v>13</v>
      </c>
      <c r="C16" s="24" t="str">
        <f>E.1项目运营期费用!C16</f>
        <v>人员薪酬</v>
      </c>
      <c r="D16" s="24" t="str">
        <f>E.1项目运营期费用!D16</f>
        <v>按岗位月薪 ×12 + 福利（月薪 ×20%-30%）</v>
      </c>
      <c r="E16" s="8">
        <f>E.1项目运营期费用!E16</f>
        <v>0</v>
      </c>
      <c r="F16" s="8">
        <f>E.1项目运营期费用!F16</f>
        <v>0</v>
      </c>
      <c r="G16" s="8">
        <f>E.1项目运营期费用!G16</f>
        <v>0</v>
      </c>
      <c r="H16" s="8">
        <f>E.1项目运营期费用!H16</f>
        <v>0</v>
      </c>
      <c r="I16" s="8">
        <f>E.1项目运营期费用!I16</f>
        <v>0</v>
      </c>
      <c r="J16" s="8">
        <f>E.1项目运营期费用!J16</f>
        <v>0</v>
      </c>
      <c r="K16" s="8">
        <f>E.1项目运营期费用!K16</f>
        <v>0</v>
      </c>
      <c r="L16" s="8">
        <f>E.1项目运营期费用!L16</f>
        <v>0</v>
      </c>
      <c r="M16" s="8" t="e">
        <f>E.1项目运营期费用!#REF!</f>
        <v>#REF!</v>
      </c>
      <c r="N16" s="8" t="e">
        <f>E.1项目运营期费用!#REF!</f>
        <v>#REF!</v>
      </c>
      <c r="O16" s="8" t="e">
        <f>E.1项目运营期费用!#REF!</f>
        <v>#REF!</v>
      </c>
      <c r="P16" s="8" t="e">
        <f>E.1项目运营期费用!#REF!</f>
        <v>#REF!</v>
      </c>
      <c r="Q16" s="8" t="e">
        <f>E.1项目运营期费用!#REF!</f>
        <v>#REF!</v>
      </c>
      <c r="R16" s="8" t="e">
        <f>E.1项目运营期费用!#REF!</f>
        <v>#REF!</v>
      </c>
      <c r="S16" s="8" t="e">
        <f>E.1项目运营期费用!#REF!</f>
        <v>#REF!</v>
      </c>
      <c r="T16" s="8" t="e">
        <f>E.1项目运营期费用!#REF!</f>
        <v>#REF!</v>
      </c>
      <c r="U16" s="8" t="e">
        <f>E.1项目运营期费用!#REF!</f>
        <v>#REF!</v>
      </c>
      <c r="V16" s="8" t="e">
        <f>E.1项目运营期费用!#REF!</f>
        <v>#REF!</v>
      </c>
      <c r="W16" s="8" t="e">
        <f>E.1项目运营期费用!#REF!</f>
        <v>#REF!</v>
      </c>
      <c r="X16" s="8" t="e">
        <f>E.1项目运营期费用!#REF!</f>
        <v>#REF!</v>
      </c>
      <c r="Y16" s="8" t="e">
        <f>E.1项目运营期费用!#REF!</f>
        <v>#REF!</v>
      </c>
      <c r="Z16" s="8" t="e">
        <f>E.1项目运营期费用!#REF!</f>
        <v>#REF!</v>
      </c>
      <c r="AA16" s="8" t="e">
        <f>E.1项目运营期费用!#REF!</f>
        <v>#REF!</v>
      </c>
      <c r="AB16" s="8" t="e">
        <f>E.1项目运营期费用!#REF!</f>
        <v>#REF!</v>
      </c>
      <c r="AC16" s="8" t="e">
        <f>E.1项目运营期费用!#REF!</f>
        <v>#REF!</v>
      </c>
      <c r="AD16" s="8" t="e">
        <f>E.1项目运营期费用!#REF!</f>
        <v>#REF!</v>
      </c>
      <c r="AE16" s="8" t="e">
        <f>E.1项目运营期费用!#REF!</f>
        <v>#REF!</v>
      </c>
      <c r="AF16" s="8">
        <f>E.1项目运营期费用!M16</f>
        <v>0</v>
      </c>
    </row>
    <row r="17" customHeight="1" spans="1:32">
      <c r="A17" s="25"/>
      <c r="B17" s="13">
        <f>E.1项目运营期费用!B17</f>
        <v>14</v>
      </c>
      <c r="C17" s="24" t="str">
        <f>E.1项目运营期费用!C17</f>
        <v>培训与资质认证</v>
      </c>
      <c r="D17" s="24" t="str">
        <f>E.1项目运营期费用!D17</f>
        <v>按人次 × 人均培训费（元 / 人 次）</v>
      </c>
      <c r="E17" s="8">
        <f>E.1项目运营期费用!E17</f>
        <v>0</v>
      </c>
      <c r="F17" s="8">
        <f>E.1项目运营期费用!F17</f>
        <v>0</v>
      </c>
      <c r="G17" s="8">
        <f>E.1项目运营期费用!G17</f>
        <v>0</v>
      </c>
      <c r="H17" s="8">
        <f>E.1项目运营期费用!H17</f>
        <v>0</v>
      </c>
      <c r="I17" s="8">
        <f>E.1项目运营期费用!I17</f>
        <v>0</v>
      </c>
      <c r="J17" s="8">
        <f>E.1项目运营期费用!J17</f>
        <v>0</v>
      </c>
      <c r="K17" s="8">
        <f>E.1项目运营期费用!K17</f>
        <v>0</v>
      </c>
      <c r="L17" s="8">
        <f>E.1项目运营期费用!L17</f>
        <v>0</v>
      </c>
      <c r="M17" s="8" t="e">
        <f>E.1项目运营期费用!#REF!</f>
        <v>#REF!</v>
      </c>
      <c r="N17" s="8" t="e">
        <f>E.1项目运营期费用!#REF!</f>
        <v>#REF!</v>
      </c>
      <c r="O17" s="8" t="e">
        <f>E.1项目运营期费用!#REF!</f>
        <v>#REF!</v>
      </c>
      <c r="P17" s="8" t="e">
        <f>E.1项目运营期费用!#REF!</f>
        <v>#REF!</v>
      </c>
      <c r="Q17" s="8" t="e">
        <f>E.1项目运营期费用!#REF!</f>
        <v>#REF!</v>
      </c>
      <c r="R17" s="8" t="e">
        <f>E.1项目运营期费用!#REF!</f>
        <v>#REF!</v>
      </c>
      <c r="S17" s="8" t="e">
        <f>E.1项目运营期费用!#REF!</f>
        <v>#REF!</v>
      </c>
      <c r="T17" s="8" t="e">
        <f>E.1项目运营期费用!#REF!</f>
        <v>#REF!</v>
      </c>
      <c r="U17" s="8" t="e">
        <f>E.1项目运营期费用!#REF!</f>
        <v>#REF!</v>
      </c>
      <c r="V17" s="8" t="e">
        <f>E.1项目运营期费用!#REF!</f>
        <v>#REF!</v>
      </c>
      <c r="W17" s="8" t="e">
        <f>E.1项目运营期费用!#REF!</f>
        <v>#REF!</v>
      </c>
      <c r="X17" s="8" t="e">
        <f>E.1项目运营期费用!#REF!</f>
        <v>#REF!</v>
      </c>
      <c r="Y17" s="8" t="e">
        <f>E.1项目运营期费用!#REF!</f>
        <v>#REF!</v>
      </c>
      <c r="Z17" s="8" t="e">
        <f>E.1项目运营期费用!#REF!</f>
        <v>#REF!</v>
      </c>
      <c r="AA17" s="8" t="e">
        <f>E.1项目运营期费用!#REF!</f>
        <v>#REF!</v>
      </c>
      <c r="AB17" s="8" t="e">
        <f>E.1项目运营期费用!#REF!</f>
        <v>#REF!</v>
      </c>
      <c r="AC17" s="8" t="e">
        <f>E.1项目运营期费用!#REF!</f>
        <v>#REF!</v>
      </c>
      <c r="AD17" s="8" t="e">
        <f>E.1项目运营期费用!#REF!</f>
        <v>#REF!</v>
      </c>
      <c r="AE17" s="8" t="e">
        <f>E.1项目运营期费用!#REF!</f>
        <v>#REF!</v>
      </c>
      <c r="AF17" s="8">
        <f>E.1项目运营期费用!M17</f>
        <v>0</v>
      </c>
    </row>
    <row r="18" customHeight="1" spans="1:32">
      <c r="A18" s="17"/>
      <c r="B18" s="13">
        <f>E.1项目运营期费用!B18</f>
        <v>15</v>
      </c>
      <c r="C18" s="24" t="str">
        <f>E.1项目运营期费用!C18</f>
        <v>办公与行政支出</v>
      </c>
      <c r="D18" s="24" t="str">
        <f>E.1项目运营期费用!D18</f>
        <v>按人员数量 × 人均办公费（元 / 人・月）</v>
      </c>
      <c r="E18" s="8">
        <f>E.1项目运营期费用!E18</f>
        <v>0</v>
      </c>
      <c r="F18" s="8">
        <f>E.1项目运营期费用!F18</f>
        <v>0</v>
      </c>
      <c r="G18" s="8">
        <f>E.1项目运营期费用!G18</f>
        <v>0</v>
      </c>
      <c r="H18" s="8">
        <f>E.1项目运营期费用!H18</f>
        <v>0</v>
      </c>
      <c r="I18" s="8">
        <f>E.1项目运营期费用!I18</f>
        <v>0</v>
      </c>
      <c r="J18" s="8">
        <f>E.1项目运营期费用!J18</f>
        <v>0</v>
      </c>
      <c r="K18" s="8">
        <f>E.1项目运营期费用!K18</f>
        <v>0</v>
      </c>
      <c r="L18" s="8">
        <f>E.1项目运营期费用!L18</f>
        <v>0</v>
      </c>
      <c r="M18" s="8" t="e">
        <f>E.1项目运营期费用!#REF!</f>
        <v>#REF!</v>
      </c>
      <c r="N18" s="8" t="e">
        <f>E.1项目运营期费用!#REF!</f>
        <v>#REF!</v>
      </c>
      <c r="O18" s="8" t="e">
        <f>E.1项目运营期费用!#REF!</f>
        <v>#REF!</v>
      </c>
      <c r="P18" s="8" t="e">
        <f>E.1项目运营期费用!#REF!</f>
        <v>#REF!</v>
      </c>
      <c r="Q18" s="8" t="e">
        <f>E.1项目运营期费用!#REF!</f>
        <v>#REF!</v>
      </c>
      <c r="R18" s="8" t="e">
        <f>E.1项目运营期费用!#REF!</f>
        <v>#REF!</v>
      </c>
      <c r="S18" s="8" t="e">
        <f>E.1项目运营期费用!#REF!</f>
        <v>#REF!</v>
      </c>
      <c r="T18" s="8" t="e">
        <f>E.1项目运营期费用!#REF!</f>
        <v>#REF!</v>
      </c>
      <c r="U18" s="8" t="e">
        <f>E.1项目运营期费用!#REF!</f>
        <v>#REF!</v>
      </c>
      <c r="V18" s="8" t="e">
        <f>E.1项目运营期费用!#REF!</f>
        <v>#REF!</v>
      </c>
      <c r="W18" s="8" t="e">
        <f>E.1项目运营期费用!#REF!</f>
        <v>#REF!</v>
      </c>
      <c r="X18" s="8" t="e">
        <f>E.1项目运营期费用!#REF!</f>
        <v>#REF!</v>
      </c>
      <c r="Y18" s="8" t="e">
        <f>E.1项目运营期费用!#REF!</f>
        <v>#REF!</v>
      </c>
      <c r="Z18" s="8" t="e">
        <f>E.1项目运营期费用!#REF!</f>
        <v>#REF!</v>
      </c>
      <c r="AA18" s="8" t="e">
        <f>E.1项目运营期费用!#REF!</f>
        <v>#REF!</v>
      </c>
      <c r="AB18" s="8" t="e">
        <f>E.1项目运营期费用!#REF!</f>
        <v>#REF!</v>
      </c>
      <c r="AC18" s="8" t="e">
        <f>E.1项目运营期费用!#REF!</f>
        <v>#REF!</v>
      </c>
      <c r="AD18" s="8" t="e">
        <f>E.1项目运营期费用!#REF!</f>
        <v>#REF!</v>
      </c>
      <c r="AE18" s="8" t="e">
        <f>E.1项目运营期费用!#REF!</f>
        <v>#REF!</v>
      </c>
      <c r="AF18" s="8">
        <f>E.1项目运营期费用!M18</f>
        <v>0</v>
      </c>
    </row>
    <row r="19" customHeight="1" spans="1:32">
      <c r="A19" s="13" t="str">
        <f>E.1项目运营期费用!A19</f>
        <v>合规性与安全成本</v>
      </c>
      <c r="B19" s="13">
        <f>E.1项目运营期费用!B19</f>
        <v>16</v>
      </c>
      <c r="C19" s="24" t="str">
        <f>E.1项目运营期费用!C19</f>
        <v>空域使用审批费</v>
      </c>
      <c r="D19" s="24" t="str">
        <f>E.1项目运营期费用!D19</f>
        <v>按空域面积 × 年费率（元 / 平方 公里・年）</v>
      </c>
      <c r="E19" s="8">
        <f>E.1项目运营期费用!E19</f>
        <v>0</v>
      </c>
      <c r="F19" s="8">
        <f>E.1项目运营期费用!F19</f>
        <v>0</v>
      </c>
      <c r="G19" s="8">
        <f>E.1项目运营期费用!G19</f>
        <v>0</v>
      </c>
      <c r="H19" s="8">
        <f>E.1项目运营期费用!H19</f>
        <v>0</v>
      </c>
      <c r="I19" s="8">
        <f>E.1项目运营期费用!I19</f>
        <v>0</v>
      </c>
      <c r="J19" s="8">
        <f>E.1项目运营期费用!J19</f>
        <v>0</v>
      </c>
      <c r="K19" s="8">
        <f>E.1项目运营期费用!K19</f>
        <v>0</v>
      </c>
      <c r="L19" s="8">
        <f>E.1项目运营期费用!L19</f>
        <v>0</v>
      </c>
      <c r="M19" s="8" t="e">
        <f>E.1项目运营期费用!#REF!</f>
        <v>#REF!</v>
      </c>
      <c r="N19" s="8" t="e">
        <f>E.1项目运营期费用!#REF!</f>
        <v>#REF!</v>
      </c>
      <c r="O19" s="8" t="e">
        <f>E.1项目运营期费用!#REF!</f>
        <v>#REF!</v>
      </c>
      <c r="P19" s="8" t="e">
        <f>E.1项目运营期费用!#REF!</f>
        <v>#REF!</v>
      </c>
      <c r="Q19" s="8" t="e">
        <f>E.1项目运营期费用!#REF!</f>
        <v>#REF!</v>
      </c>
      <c r="R19" s="8" t="e">
        <f>E.1项目运营期费用!#REF!</f>
        <v>#REF!</v>
      </c>
      <c r="S19" s="8" t="e">
        <f>E.1项目运营期费用!#REF!</f>
        <v>#REF!</v>
      </c>
      <c r="T19" s="8" t="e">
        <f>E.1项目运营期费用!#REF!</f>
        <v>#REF!</v>
      </c>
      <c r="U19" s="8" t="e">
        <f>E.1项目运营期费用!#REF!</f>
        <v>#REF!</v>
      </c>
      <c r="V19" s="8" t="e">
        <f>E.1项目运营期费用!#REF!</f>
        <v>#REF!</v>
      </c>
      <c r="W19" s="8" t="e">
        <f>E.1项目运营期费用!#REF!</f>
        <v>#REF!</v>
      </c>
      <c r="X19" s="8" t="e">
        <f>E.1项目运营期费用!#REF!</f>
        <v>#REF!</v>
      </c>
      <c r="Y19" s="8" t="e">
        <f>E.1项目运营期费用!#REF!</f>
        <v>#REF!</v>
      </c>
      <c r="Z19" s="8" t="e">
        <f>E.1项目运营期费用!#REF!</f>
        <v>#REF!</v>
      </c>
      <c r="AA19" s="8" t="e">
        <f>E.1项目运营期费用!#REF!</f>
        <v>#REF!</v>
      </c>
      <c r="AB19" s="8" t="e">
        <f>E.1项目运营期费用!#REF!</f>
        <v>#REF!</v>
      </c>
      <c r="AC19" s="8" t="e">
        <f>E.1项目运营期费用!#REF!</f>
        <v>#REF!</v>
      </c>
      <c r="AD19" s="8" t="e">
        <f>E.1项目运营期费用!#REF!</f>
        <v>#REF!</v>
      </c>
      <c r="AE19" s="8" t="e">
        <f>E.1项目运营期费用!#REF!</f>
        <v>#REF!</v>
      </c>
      <c r="AF19" s="8">
        <f>E.1项目运营期费用!M19</f>
        <v>0</v>
      </c>
    </row>
    <row r="20" customHeight="1" spans="1:32">
      <c r="A20" s="25"/>
      <c r="B20" s="13">
        <f>E.1项目运营期费用!B20</f>
        <v>17</v>
      </c>
      <c r="C20" s="24" t="str">
        <f>E.1项目运营期费用!C20</f>
        <v>场地责任险</v>
      </c>
      <c r="D20" s="24" t="str">
        <f>E.1项目运营期费用!D20</f>
        <v>按保额 × 保险费率（年费率 0.1%-0.3%）</v>
      </c>
      <c r="E20" s="8">
        <f>E.1项目运营期费用!E20</f>
        <v>0</v>
      </c>
      <c r="F20" s="8">
        <f>E.1项目运营期费用!F20</f>
        <v>0</v>
      </c>
      <c r="G20" s="8">
        <f>E.1项目运营期费用!G20</f>
        <v>0</v>
      </c>
      <c r="H20" s="8">
        <f>E.1项目运营期费用!H20</f>
        <v>0</v>
      </c>
      <c r="I20" s="8">
        <f>E.1项目运营期费用!I20</f>
        <v>0</v>
      </c>
      <c r="J20" s="8">
        <f>E.1项目运营期费用!J20</f>
        <v>0</v>
      </c>
      <c r="K20" s="8">
        <f>E.1项目运营期费用!K20</f>
        <v>0</v>
      </c>
      <c r="L20" s="8">
        <f>E.1项目运营期费用!L20</f>
        <v>0</v>
      </c>
      <c r="M20" s="8" t="e">
        <f>E.1项目运营期费用!#REF!</f>
        <v>#REF!</v>
      </c>
      <c r="N20" s="8" t="e">
        <f>E.1项目运营期费用!#REF!</f>
        <v>#REF!</v>
      </c>
      <c r="O20" s="8" t="e">
        <f>E.1项目运营期费用!#REF!</f>
        <v>#REF!</v>
      </c>
      <c r="P20" s="8" t="e">
        <f>E.1项目运营期费用!#REF!</f>
        <v>#REF!</v>
      </c>
      <c r="Q20" s="8" t="e">
        <f>E.1项目运营期费用!#REF!</f>
        <v>#REF!</v>
      </c>
      <c r="R20" s="8" t="e">
        <f>E.1项目运营期费用!#REF!</f>
        <v>#REF!</v>
      </c>
      <c r="S20" s="8" t="e">
        <f>E.1项目运营期费用!#REF!</f>
        <v>#REF!</v>
      </c>
      <c r="T20" s="8" t="e">
        <f>E.1项目运营期费用!#REF!</f>
        <v>#REF!</v>
      </c>
      <c r="U20" s="8" t="e">
        <f>E.1项目运营期费用!#REF!</f>
        <v>#REF!</v>
      </c>
      <c r="V20" s="8" t="e">
        <f>E.1项目运营期费用!#REF!</f>
        <v>#REF!</v>
      </c>
      <c r="W20" s="8" t="e">
        <f>E.1项目运营期费用!#REF!</f>
        <v>#REF!</v>
      </c>
      <c r="X20" s="8" t="e">
        <f>E.1项目运营期费用!#REF!</f>
        <v>#REF!</v>
      </c>
      <c r="Y20" s="8" t="e">
        <f>E.1项目运营期费用!#REF!</f>
        <v>#REF!</v>
      </c>
      <c r="Z20" s="8" t="e">
        <f>E.1项目运营期费用!#REF!</f>
        <v>#REF!</v>
      </c>
      <c r="AA20" s="8" t="e">
        <f>E.1项目运营期费用!#REF!</f>
        <v>#REF!</v>
      </c>
      <c r="AB20" s="8" t="e">
        <f>E.1项目运营期费用!#REF!</f>
        <v>#REF!</v>
      </c>
      <c r="AC20" s="8" t="e">
        <f>E.1项目运营期费用!#REF!</f>
        <v>#REF!</v>
      </c>
      <c r="AD20" s="8" t="e">
        <f>E.1项目运营期费用!#REF!</f>
        <v>#REF!</v>
      </c>
      <c r="AE20" s="8" t="e">
        <f>E.1项目运营期费用!#REF!</f>
        <v>#REF!</v>
      </c>
      <c r="AF20" s="8">
        <f>E.1项目运营期费用!M20</f>
        <v>0</v>
      </c>
    </row>
    <row r="21" customHeight="1" spans="1:32">
      <c r="A21" s="17"/>
      <c r="B21" s="13">
        <f>E.1项目运营期费用!B21</f>
        <v>18</v>
      </c>
      <c r="C21" s="24" t="str">
        <f>E.1项目运营期费用!C21</f>
        <v>安全演练与应急处置</v>
      </c>
      <c r="D21" s="24" t="str">
        <f>E.1项目运营期费用!D21</f>
        <v>按次数 × 单次演练成本（元 / 次）</v>
      </c>
      <c r="E21" s="8">
        <f>E.1项目运营期费用!E21</f>
        <v>0</v>
      </c>
      <c r="F21" s="8">
        <f>E.1项目运营期费用!F21</f>
        <v>0</v>
      </c>
      <c r="G21" s="8">
        <f>E.1项目运营期费用!G21</f>
        <v>0</v>
      </c>
      <c r="H21" s="8">
        <f>E.1项目运营期费用!H21</f>
        <v>0</v>
      </c>
      <c r="I21" s="8">
        <f>E.1项目运营期费用!I21</f>
        <v>0</v>
      </c>
      <c r="J21" s="8">
        <f>E.1项目运营期费用!J21</f>
        <v>0</v>
      </c>
      <c r="K21" s="8">
        <f>E.1项目运营期费用!K21</f>
        <v>0</v>
      </c>
      <c r="L21" s="8">
        <f>E.1项目运营期费用!L21</f>
        <v>0</v>
      </c>
      <c r="M21" s="8" t="e">
        <f>E.1项目运营期费用!#REF!</f>
        <v>#REF!</v>
      </c>
      <c r="N21" s="8" t="e">
        <f>E.1项目运营期费用!#REF!</f>
        <v>#REF!</v>
      </c>
      <c r="O21" s="8" t="e">
        <f>E.1项目运营期费用!#REF!</f>
        <v>#REF!</v>
      </c>
      <c r="P21" s="8" t="e">
        <f>E.1项目运营期费用!#REF!</f>
        <v>#REF!</v>
      </c>
      <c r="Q21" s="8" t="e">
        <f>E.1项目运营期费用!#REF!</f>
        <v>#REF!</v>
      </c>
      <c r="R21" s="8" t="e">
        <f>E.1项目运营期费用!#REF!</f>
        <v>#REF!</v>
      </c>
      <c r="S21" s="8" t="e">
        <f>E.1项目运营期费用!#REF!</f>
        <v>#REF!</v>
      </c>
      <c r="T21" s="8" t="e">
        <f>E.1项目运营期费用!#REF!</f>
        <v>#REF!</v>
      </c>
      <c r="U21" s="8" t="e">
        <f>E.1项目运营期费用!#REF!</f>
        <v>#REF!</v>
      </c>
      <c r="V21" s="8" t="e">
        <f>E.1项目运营期费用!#REF!</f>
        <v>#REF!</v>
      </c>
      <c r="W21" s="8" t="e">
        <f>E.1项目运营期费用!#REF!</f>
        <v>#REF!</v>
      </c>
      <c r="X21" s="8" t="e">
        <f>E.1项目运营期费用!#REF!</f>
        <v>#REF!</v>
      </c>
      <c r="Y21" s="8" t="e">
        <f>E.1项目运营期费用!#REF!</f>
        <v>#REF!</v>
      </c>
      <c r="Z21" s="8" t="e">
        <f>E.1项目运营期费用!#REF!</f>
        <v>#REF!</v>
      </c>
      <c r="AA21" s="8" t="e">
        <f>E.1项目运营期费用!#REF!</f>
        <v>#REF!</v>
      </c>
      <c r="AB21" s="8" t="e">
        <f>E.1项目运营期费用!#REF!</f>
        <v>#REF!</v>
      </c>
      <c r="AC21" s="8" t="e">
        <f>E.1项目运营期费用!#REF!</f>
        <v>#REF!</v>
      </c>
      <c r="AD21" s="8" t="e">
        <f>E.1项目运营期费用!#REF!</f>
        <v>#REF!</v>
      </c>
      <c r="AE21" s="8" t="e">
        <f>E.1项目运营期费用!#REF!</f>
        <v>#REF!</v>
      </c>
      <c r="AF21" s="8">
        <f>E.1项目运营期费用!M21</f>
        <v>0</v>
      </c>
    </row>
    <row r="22" customHeight="1" spans="1:32">
      <c r="A22" s="13" t="str">
        <f>E.1项目运营期费用!A22</f>
        <v>其他费用</v>
      </c>
      <c r="B22" s="13">
        <f>E.1项目运营期费用!B22</f>
        <v>19</v>
      </c>
      <c r="C22" s="24" t="str">
        <f>E.1项目运营期费用!C22</f>
        <v>第三方安全评估</v>
      </c>
      <c r="D22" s="24" t="str">
        <f>E.1项目运营期费用!D22</f>
        <v>按项目投资额 × 评估费率 （0.1%-0.3%）</v>
      </c>
      <c r="E22" s="8">
        <f>E.1项目运营期费用!E22</f>
        <v>0</v>
      </c>
      <c r="F22" s="8">
        <f>E.1项目运营期费用!F22</f>
        <v>0</v>
      </c>
      <c r="G22" s="8">
        <f>E.1项目运营期费用!G22</f>
        <v>0</v>
      </c>
      <c r="H22" s="8">
        <f>E.1项目运营期费用!H22</f>
        <v>0</v>
      </c>
      <c r="I22" s="8">
        <f>E.1项目运营期费用!I22</f>
        <v>0</v>
      </c>
      <c r="J22" s="8">
        <f>E.1项目运营期费用!J22</f>
        <v>0</v>
      </c>
      <c r="K22" s="8">
        <f>E.1项目运营期费用!K22</f>
        <v>0</v>
      </c>
      <c r="L22" s="8">
        <f>E.1项目运营期费用!L22</f>
        <v>0</v>
      </c>
      <c r="M22" s="8" t="e">
        <f>E.1项目运营期费用!#REF!</f>
        <v>#REF!</v>
      </c>
      <c r="N22" s="8" t="e">
        <f>E.1项目运营期费用!#REF!</f>
        <v>#REF!</v>
      </c>
      <c r="O22" s="8" t="e">
        <f>E.1项目运营期费用!#REF!</f>
        <v>#REF!</v>
      </c>
      <c r="P22" s="8" t="e">
        <f>E.1项目运营期费用!#REF!</f>
        <v>#REF!</v>
      </c>
      <c r="Q22" s="8" t="e">
        <f>E.1项目运营期费用!#REF!</f>
        <v>#REF!</v>
      </c>
      <c r="R22" s="8" t="e">
        <f>E.1项目运营期费用!#REF!</f>
        <v>#REF!</v>
      </c>
      <c r="S22" s="8" t="e">
        <f>E.1项目运营期费用!#REF!</f>
        <v>#REF!</v>
      </c>
      <c r="T22" s="8" t="e">
        <f>E.1项目运营期费用!#REF!</f>
        <v>#REF!</v>
      </c>
      <c r="U22" s="8" t="e">
        <f>E.1项目运营期费用!#REF!</f>
        <v>#REF!</v>
      </c>
      <c r="V22" s="8" t="e">
        <f>E.1项目运营期费用!#REF!</f>
        <v>#REF!</v>
      </c>
      <c r="W22" s="8" t="e">
        <f>E.1项目运营期费用!#REF!</f>
        <v>#REF!</v>
      </c>
      <c r="X22" s="8" t="e">
        <f>E.1项目运营期费用!#REF!</f>
        <v>#REF!</v>
      </c>
      <c r="Y22" s="8" t="e">
        <f>E.1项目运营期费用!#REF!</f>
        <v>#REF!</v>
      </c>
      <c r="Z22" s="8" t="e">
        <f>E.1项目运营期费用!#REF!</f>
        <v>#REF!</v>
      </c>
      <c r="AA22" s="8" t="e">
        <f>E.1项目运营期费用!#REF!</f>
        <v>#REF!</v>
      </c>
      <c r="AB22" s="8" t="e">
        <f>E.1项目运营期费用!#REF!</f>
        <v>#REF!</v>
      </c>
      <c r="AC22" s="8" t="e">
        <f>E.1项目运营期费用!#REF!</f>
        <v>#REF!</v>
      </c>
      <c r="AD22" s="8" t="e">
        <f>E.1项目运营期费用!#REF!</f>
        <v>#REF!</v>
      </c>
      <c r="AE22" s="8" t="e">
        <f>E.1项目运营期费用!#REF!</f>
        <v>#REF!</v>
      </c>
      <c r="AF22" s="8">
        <f>E.1项目运营期费用!M22</f>
        <v>0</v>
      </c>
    </row>
    <row r="23" customHeight="1" spans="1:32">
      <c r="A23" s="17"/>
      <c r="B23" s="13">
        <f>E.1项目运营期费用!B23</f>
        <v>20</v>
      </c>
      <c r="C23" s="24" t="str">
        <f>E.1项目运营期费用!C23</f>
        <v>不可预见支出</v>
      </c>
      <c r="D23" s="24" t="str">
        <f>E.1项目运营期费用!D23</f>
        <v>按年度总成本 × 计提比例 （5%-10%）</v>
      </c>
      <c r="E23" s="8">
        <f>E.1项目运营期费用!E23</f>
        <v>0</v>
      </c>
      <c r="F23" s="8">
        <f>E.1项目运营期费用!F23</f>
        <v>0</v>
      </c>
      <c r="G23" s="8">
        <f>E.1项目运营期费用!G23</f>
        <v>0</v>
      </c>
      <c r="H23" s="8">
        <f>E.1项目运营期费用!H23</f>
        <v>0</v>
      </c>
      <c r="I23" s="8">
        <f>E.1项目运营期费用!I23</f>
        <v>0</v>
      </c>
      <c r="J23" s="8">
        <f>E.1项目运营期费用!J23</f>
        <v>0</v>
      </c>
      <c r="K23" s="8">
        <f>E.1项目运营期费用!K23</f>
        <v>0</v>
      </c>
      <c r="L23" s="8">
        <f>E.1项目运营期费用!L23</f>
        <v>0</v>
      </c>
      <c r="M23" s="8" t="e">
        <f>E.1项目运营期费用!#REF!</f>
        <v>#REF!</v>
      </c>
      <c r="N23" s="8" t="e">
        <f>E.1项目运营期费用!#REF!</f>
        <v>#REF!</v>
      </c>
      <c r="O23" s="8" t="e">
        <f>E.1项目运营期费用!#REF!</f>
        <v>#REF!</v>
      </c>
      <c r="P23" s="8" t="e">
        <f>E.1项目运营期费用!#REF!</f>
        <v>#REF!</v>
      </c>
      <c r="Q23" s="8" t="e">
        <f>E.1项目运营期费用!#REF!</f>
        <v>#REF!</v>
      </c>
      <c r="R23" s="8" t="e">
        <f>E.1项目运营期费用!#REF!</f>
        <v>#REF!</v>
      </c>
      <c r="S23" s="8" t="e">
        <f>E.1项目运营期费用!#REF!</f>
        <v>#REF!</v>
      </c>
      <c r="T23" s="8" t="e">
        <f>E.1项目运营期费用!#REF!</f>
        <v>#REF!</v>
      </c>
      <c r="U23" s="8" t="e">
        <f>E.1项目运营期费用!#REF!</f>
        <v>#REF!</v>
      </c>
      <c r="V23" s="8" t="e">
        <f>E.1项目运营期费用!#REF!</f>
        <v>#REF!</v>
      </c>
      <c r="W23" s="8" t="e">
        <f>E.1项目运营期费用!#REF!</f>
        <v>#REF!</v>
      </c>
      <c r="X23" s="8" t="e">
        <f>E.1项目运营期费用!#REF!</f>
        <v>#REF!</v>
      </c>
      <c r="Y23" s="8" t="e">
        <f>E.1项目运营期费用!#REF!</f>
        <v>#REF!</v>
      </c>
      <c r="Z23" s="8" t="e">
        <f>E.1项目运营期费用!#REF!</f>
        <v>#REF!</v>
      </c>
      <c r="AA23" s="8" t="e">
        <f>E.1项目运营期费用!#REF!</f>
        <v>#REF!</v>
      </c>
      <c r="AB23" s="8" t="e">
        <f>E.1项目运营期费用!#REF!</f>
        <v>#REF!</v>
      </c>
      <c r="AC23" s="8" t="e">
        <f>E.1项目运营期费用!#REF!</f>
        <v>#REF!</v>
      </c>
      <c r="AD23" s="8" t="e">
        <f>E.1项目运营期费用!#REF!</f>
        <v>#REF!</v>
      </c>
      <c r="AE23" s="8" t="e">
        <f>E.1项目运营期费用!#REF!</f>
        <v>#REF!</v>
      </c>
      <c r="AF23" s="8">
        <f>E.1项目运营期费用!M23</f>
        <v>0</v>
      </c>
    </row>
  </sheetData>
  <mergeCells count="14">
    <mergeCell ref="A1:AF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>
    <tabColor rgb="FFFFC000"/>
  </sheetPr>
  <dimension ref="A1:Y6"/>
  <sheetViews>
    <sheetView zoomScale="85" zoomScaleNormal="85" workbookViewId="0">
      <selection activeCell="B4" sqref="B4"/>
    </sheetView>
  </sheetViews>
  <sheetFormatPr defaultColWidth="14.7818181818182" defaultRowHeight="28.05" customHeight="1" outlineLevelRow="5"/>
  <cols>
    <col min="1" max="1" width="14.7818181818182" style="1" customWidth="1"/>
    <col min="2" max="2" width="6.44545454545455" style="1" customWidth="1"/>
    <col min="3" max="4" width="8.66363636363636" style="1" customWidth="1"/>
    <col min="5" max="12" width="9.55454545454545" style="1" customWidth="1"/>
    <col min="13" max="24" width="8.66363636363636" style="1" customWidth="1"/>
    <col min="25" max="25" width="11.5545454545455" style="1" customWidth="1"/>
    <col min="26" max="26" width="14.7818181818182" style="1" customWidth="1"/>
  </cols>
  <sheetData>
    <row r="1" customHeight="1" spans="1:25">
      <c r="A1" s="16" t="s">
        <v>570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customHeight="1" spans="1:25">
      <c r="A2" s="5" t="s">
        <v>571</v>
      </c>
      <c r="B2" s="5" t="s">
        <v>565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4"/>
    </row>
    <row r="3" customHeight="1" spans="1:25">
      <c r="A3" s="17"/>
      <c r="B3" s="13">
        <v>2025</v>
      </c>
      <c r="C3" s="13">
        <v>2026</v>
      </c>
      <c r="D3" s="13">
        <v>2027</v>
      </c>
      <c r="E3" s="13">
        <v>2028</v>
      </c>
      <c r="F3" s="13">
        <v>2029</v>
      </c>
      <c r="G3" s="13">
        <v>2030</v>
      </c>
      <c r="H3" s="13">
        <v>2031</v>
      </c>
      <c r="I3" s="13">
        <v>2032</v>
      </c>
      <c r="J3" s="13">
        <v>2033</v>
      </c>
      <c r="K3" s="13">
        <v>2034</v>
      </c>
      <c r="L3" s="13">
        <v>2035</v>
      </c>
      <c r="M3" s="13">
        <v>2036</v>
      </c>
      <c r="N3" s="13">
        <v>2037</v>
      </c>
      <c r="O3" s="13">
        <v>2038</v>
      </c>
      <c r="P3" s="13">
        <v>2039</v>
      </c>
      <c r="Q3" s="13">
        <v>2040</v>
      </c>
      <c r="R3" s="13">
        <v>2041</v>
      </c>
      <c r="S3" s="13">
        <v>2042</v>
      </c>
      <c r="T3" s="13">
        <v>2043</v>
      </c>
      <c r="U3" s="13">
        <v>2044</v>
      </c>
      <c r="V3" s="13">
        <v>2045</v>
      </c>
      <c r="W3" s="13">
        <v>2046</v>
      </c>
      <c r="X3" s="13">
        <v>2047</v>
      </c>
      <c r="Y3" s="13">
        <v>2048</v>
      </c>
    </row>
    <row r="4" customHeight="1" spans="1:25">
      <c r="A4" s="8" t="s">
        <v>572</v>
      </c>
      <c r="B4" s="14">
        <f>Ⅲ项目分年度收入合计表!B6</f>
        <v>0</v>
      </c>
      <c r="C4" s="14">
        <f>Ⅲ项目分年度收入合计表!C6</f>
        <v>0</v>
      </c>
      <c r="D4" s="14">
        <f>Ⅲ项目分年度收入合计表!D6</f>
        <v>0</v>
      </c>
      <c r="E4" s="14">
        <f>Ⅲ项目分年度收入合计表!E6</f>
        <v>0</v>
      </c>
      <c r="F4" s="14">
        <f>Ⅲ项目分年度收入合计表!F6</f>
        <v>0</v>
      </c>
      <c r="G4" s="14" t="e">
        <f>Ⅲ项目分年度收入合计表!G6</f>
        <v>#REF!</v>
      </c>
      <c r="H4" s="14" t="e">
        <f>Ⅲ项目分年度收入合计表!H6</f>
        <v>#REF!</v>
      </c>
      <c r="I4" s="14" t="e">
        <f>Ⅲ项目分年度收入合计表!I6</f>
        <v>#REF!</v>
      </c>
      <c r="J4" s="14" t="e">
        <f>Ⅲ项目分年度收入合计表!J6</f>
        <v>#REF!</v>
      </c>
      <c r="K4" s="14" t="e">
        <f>Ⅲ项目分年度收入合计表!K6</f>
        <v>#REF!</v>
      </c>
      <c r="L4" s="14" t="e">
        <f>Ⅲ项目分年度收入合计表!L6</f>
        <v>#REF!</v>
      </c>
      <c r="M4" s="14" t="e">
        <f>Ⅲ项目分年度收入合计表!M6</f>
        <v>#REF!</v>
      </c>
      <c r="N4" s="14" t="e">
        <f>Ⅲ项目分年度收入合计表!N6</f>
        <v>#REF!</v>
      </c>
      <c r="O4" s="14" t="e">
        <f>Ⅲ项目分年度收入合计表!O6</f>
        <v>#REF!</v>
      </c>
      <c r="P4" s="14" t="e">
        <f>Ⅲ项目分年度收入合计表!P6</f>
        <v>#REF!</v>
      </c>
      <c r="Q4" s="14" t="e">
        <f>Ⅲ项目分年度收入合计表!Q6</f>
        <v>#REF!</v>
      </c>
      <c r="R4" s="14" t="e">
        <f>Ⅲ项目分年度收入合计表!R6</f>
        <v>#REF!</v>
      </c>
      <c r="S4" s="14" t="e">
        <f>Ⅲ项目分年度收入合计表!S6</f>
        <v>#REF!</v>
      </c>
      <c r="T4" s="14" t="e">
        <f>Ⅲ项目分年度收入合计表!T6</f>
        <v>#REF!</v>
      </c>
      <c r="U4" s="14" t="e">
        <f>Ⅲ项目分年度收入合计表!U6</f>
        <v>#REF!</v>
      </c>
      <c r="V4" s="14" t="e">
        <f>Ⅲ项目分年度收入合计表!V6</f>
        <v>#REF!</v>
      </c>
      <c r="W4" s="14" t="e">
        <f>Ⅲ项目分年度收入合计表!W6</f>
        <v>#REF!</v>
      </c>
      <c r="X4" s="14" t="e">
        <f>Ⅲ项目分年度收入合计表!X6</f>
        <v>#REF!</v>
      </c>
      <c r="Y4" s="14" t="e">
        <f>Ⅲ项目分年度收入合计表!Y6</f>
        <v>#REF!</v>
      </c>
    </row>
    <row r="5" customHeight="1" spans="1:25">
      <c r="A5" s="8" t="s">
        <v>573</v>
      </c>
      <c r="B5" s="14">
        <f>E总成本费用估算表!C15</f>
        <v>0</v>
      </c>
      <c r="C5" s="14">
        <f>E总成本费用估算表!D15</f>
        <v>0</v>
      </c>
      <c r="D5" s="14">
        <f>E总成本费用估算表!E15</f>
        <v>548.871192572431</v>
      </c>
      <c r="E5" s="14">
        <f>E总成本费用估算表!F15</f>
        <v>548.893950772431</v>
      </c>
      <c r="F5" s="14">
        <f>E总成本费用估算表!G15</f>
        <v>1847.56949143446</v>
      </c>
      <c r="G5" s="14" t="e">
        <f>E总成本费用估算表!#REF!</f>
        <v>#REF!</v>
      </c>
      <c r="H5" s="14" t="e">
        <f>E总成本费用估算表!#REF!</f>
        <v>#REF!</v>
      </c>
      <c r="I5" s="14" t="e">
        <f>E总成本费用估算表!#REF!</f>
        <v>#REF!</v>
      </c>
      <c r="J5" s="14" t="e">
        <f>E总成本费用估算表!#REF!</f>
        <v>#REF!</v>
      </c>
      <c r="K5" s="14" t="e">
        <f>E总成本费用估算表!#REF!</f>
        <v>#REF!</v>
      </c>
      <c r="L5" s="14" t="e">
        <f>E总成本费用估算表!#REF!</f>
        <v>#REF!</v>
      </c>
      <c r="M5" s="14" t="e">
        <f>E总成本费用估算表!#REF!</f>
        <v>#REF!</v>
      </c>
      <c r="N5" s="14" t="e">
        <f>E总成本费用估算表!#REF!</f>
        <v>#REF!</v>
      </c>
      <c r="O5" s="14" t="e">
        <f>E总成本费用估算表!#REF!</f>
        <v>#REF!</v>
      </c>
      <c r="P5" s="14" t="e">
        <f>E总成本费用估算表!#REF!</f>
        <v>#REF!</v>
      </c>
      <c r="Q5" s="14" t="e">
        <f>E总成本费用估算表!#REF!</f>
        <v>#REF!</v>
      </c>
      <c r="R5" s="14" t="e">
        <f>E总成本费用估算表!#REF!</f>
        <v>#REF!</v>
      </c>
      <c r="S5" s="14" t="e">
        <f>E总成本费用估算表!#REF!</f>
        <v>#REF!</v>
      </c>
      <c r="T5" s="14" t="e">
        <f>E总成本费用估算表!#REF!</f>
        <v>#REF!</v>
      </c>
      <c r="U5" s="14" t="e">
        <f>E总成本费用估算表!#REF!</f>
        <v>#REF!</v>
      </c>
      <c r="V5" s="14" t="e">
        <f>E总成本费用估算表!#REF!</f>
        <v>#REF!</v>
      </c>
      <c r="W5" s="14" t="e">
        <f>E总成本费用估算表!#REF!</f>
        <v>#REF!</v>
      </c>
      <c r="X5" s="14" t="e">
        <f>E总成本费用估算表!#REF!</f>
        <v>#REF!</v>
      </c>
      <c r="Y5" s="14" t="e">
        <f>E总成本费用估算表!#REF!</f>
        <v>#REF!</v>
      </c>
    </row>
    <row r="6" customHeight="1" spans="1:25">
      <c r="A6" s="8" t="s">
        <v>574</v>
      </c>
      <c r="B6" s="14">
        <f t="shared" ref="B6:Y6" si="0">B4-B5</f>
        <v>0</v>
      </c>
      <c r="C6" s="14">
        <f t="shared" si="0"/>
        <v>0</v>
      </c>
      <c r="D6" s="14">
        <f t="shared" si="0"/>
        <v>-548.871192572431</v>
      </c>
      <c r="E6" s="14">
        <f t="shared" si="0"/>
        <v>-548.893950772431</v>
      </c>
      <c r="F6" s="14">
        <f t="shared" si="0"/>
        <v>-1847.56949143446</v>
      </c>
      <c r="G6" s="14" t="e">
        <f t="shared" si="0"/>
        <v>#REF!</v>
      </c>
      <c r="H6" s="14" t="e">
        <f t="shared" si="0"/>
        <v>#REF!</v>
      </c>
      <c r="I6" s="14" t="e">
        <f t="shared" si="0"/>
        <v>#REF!</v>
      </c>
      <c r="J6" s="14" t="e">
        <f t="shared" si="0"/>
        <v>#REF!</v>
      </c>
      <c r="K6" s="14" t="e">
        <f t="shared" si="0"/>
        <v>#REF!</v>
      </c>
      <c r="L6" s="14" t="e">
        <f t="shared" si="0"/>
        <v>#REF!</v>
      </c>
      <c r="M6" s="14" t="e">
        <f t="shared" si="0"/>
        <v>#REF!</v>
      </c>
      <c r="N6" s="14" t="e">
        <f t="shared" si="0"/>
        <v>#REF!</v>
      </c>
      <c r="O6" s="14" t="e">
        <f t="shared" si="0"/>
        <v>#REF!</v>
      </c>
      <c r="P6" s="14" t="e">
        <f t="shared" si="0"/>
        <v>#REF!</v>
      </c>
      <c r="Q6" s="14" t="e">
        <f t="shared" si="0"/>
        <v>#REF!</v>
      </c>
      <c r="R6" s="14" t="e">
        <f t="shared" si="0"/>
        <v>#REF!</v>
      </c>
      <c r="S6" s="14" t="e">
        <f t="shared" si="0"/>
        <v>#REF!</v>
      </c>
      <c r="T6" s="14" t="e">
        <f t="shared" si="0"/>
        <v>#REF!</v>
      </c>
      <c r="U6" s="14" t="e">
        <f t="shared" si="0"/>
        <v>#REF!</v>
      </c>
      <c r="V6" s="14" t="e">
        <f t="shared" si="0"/>
        <v>#REF!</v>
      </c>
      <c r="W6" s="14" t="e">
        <f t="shared" si="0"/>
        <v>#REF!</v>
      </c>
      <c r="X6" s="14" t="e">
        <f t="shared" si="0"/>
        <v>#REF!</v>
      </c>
      <c r="Y6" s="14" t="e">
        <f t="shared" si="0"/>
        <v>#REF!</v>
      </c>
    </row>
  </sheetData>
  <mergeCells count="3">
    <mergeCell ref="A1:Y1"/>
    <mergeCell ref="B2:Y2"/>
    <mergeCell ref="A2:A3"/>
  </mergeCells>
  <pageMargins left="0.75" right="0.75" top="1" bottom="1" header="0.5" footer="0.5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>
    <tabColor rgb="FFFFC000"/>
  </sheetPr>
  <dimension ref="A1:Z8"/>
  <sheetViews>
    <sheetView zoomScale="70" zoomScaleNormal="70" topLeftCell="B1" workbookViewId="0">
      <selection activeCell="Y3" sqref="Y3"/>
    </sheetView>
  </sheetViews>
  <sheetFormatPr defaultColWidth="14.7818181818182" defaultRowHeight="28.95" customHeight="1" outlineLevelRow="7"/>
  <cols>
    <col min="2" max="2" width="9.89090909090909" style="1" customWidth="1"/>
    <col min="3" max="22" width="11.2181818181818" style="1" customWidth="1"/>
    <col min="23" max="24" width="12.2181818181818" style="1" customWidth="1"/>
    <col min="25" max="25" width="11.2181818181818" style="1" customWidth="1"/>
  </cols>
  <sheetData>
    <row r="1" customHeight="1" spans="1:25">
      <c r="A1" s="11" t="s">
        <v>575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</row>
    <row r="2" customHeight="1" spans="1:25">
      <c r="A2" s="5" t="s">
        <v>576</v>
      </c>
      <c r="B2" s="13">
        <v>2025</v>
      </c>
      <c r="C2" s="13">
        <v>2026</v>
      </c>
      <c r="D2" s="13">
        <v>2027</v>
      </c>
      <c r="E2" s="13">
        <v>2028</v>
      </c>
      <c r="F2" s="13">
        <v>2029</v>
      </c>
      <c r="G2" s="13">
        <v>2030</v>
      </c>
      <c r="H2" s="13">
        <v>2031</v>
      </c>
      <c r="I2" s="13">
        <v>2032</v>
      </c>
      <c r="J2" s="13">
        <v>2033</v>
      </c>
      <c r="K2" s="13">
        <v>2034</v>
      </c>
      <c r="L2" s="13">
        <v>2035</v>
      </c>
      <c r="M2" s="13">
        <v>2036</v>
      </c>
      <c r="N2" s="13">
        <v>2037</v>
      </c>
      <c r="O2" s="13">
        <v>2038</v>
      </c>
      <c r="P2" s="13">
        <v>2039</v>
      </c>
      <c r="Q2" s="13">
        <v>2040</v>
      </c>
      <c r="R2" s="13">
        <v>2041</v>
      </c>
      <c r="S2" s="13">
        <v>2042</v>
      </c>
      <c r="T2" s="13">
        <v>2043</v>
      </c>
      <c r="U2" s="13">
        <v>2044</v>
      </c>
      <c r="V2" s="13">
        <v>2045</v>
      </c>
      <c r="W2" s="13">
        <v>2046</v>
      </c>
      <c r="X2" s="13">
        <v>2047</v>
      </c>
      <c r="Y2" s="13">
        <v>2048</v>
      </c>
    </row>
    <row r="3" customHeight="1" spans="1:26">
      <c r="A3" s="5" t="s">
        <v>577</v>
      </c>
      <c r="B3" s="14">
        <f>c借款还本付息计划表!E40-c借款还本付息计划表!D40</f>
        <v>1175</v>
      </c>
      <c r="C3" s="14">
        <f>c借款还本付息计划表!F40-c借款还本付息计划表!E40</f>
        <v>11590</v>
      </c>
      <c r="D3" s="14">
        <f>c借款还本付息计划表!G40-c借款还本付息计划表!F40</f>
        <v>8705</v>
      </c>
      <c r="E3" s="14">
        <f>c借款还本付息计划表!H40-c借款还本付息计划表!G40</f>
        <v>7530</v>
      </c>
      <c r="F3" s="14">
        <f>c借款还本付息计划表!I40-c借款还本付息计划表!H40</f>
        <v>0</v>
      </c>
      <c r="G3" s="14">
        <f>c借款还本付息计划表!J40-c借款还本付息计划表!I40</f>
        <v>0</v>
      </c>
      <c r="H3" s="14">
        <f>c借款还本付息计划表!K40-c借款还本付息计划表!J40</f>
        <v>0</v>
      </c>
      <c r="I3" s="14">
        <f>c借款还本付息计划表!L40-c借款还本付息计划表!K40</f>
        <v>0</v>
      </c>
      <c r="J3" s="14">
        <f>c借款还本付息计划表!M40-c借款还本付息计划表!L40</f>
        <v>0</v>
      </c>
      <c r="K3" s="14">
        <f>c借款还本付息计划表!N40-c借款还本付息计划表!M40</f>
        <v>0</v>
      </c>
      <c r="L3" s="14">
        <f>c借款还本付息计划表!O40-c借款还本付息计划表!N40</f>
        <v>0</v>
      </c>
      <c r="M3" s="14">
        <f>c借款还本付息计划表!P40-c借款还本付息计划表!O40</f>
        <v>0</v>
      </c>
      <c r="N3" s="14">
        <f>c借款还本付息计划表!Q40-c借款还本付息计划表!P40</f>
        <v>0</v>
      </c>
      <c r="O3" s="14">
        <f>c借款还本付息计划表!R40-c借款还本付息计划表!Q40</f>
        <v>0</v>
      </c>
      <c r="P3" s="14">
        <f>c借款还本付息计划表!S40-c借款还本付息计划表!R40</f>
        <v>0</v>
      </c>
      <c r="Q3" s="14">
        <f>c借款还本付息计划表!T40-c借款还本付息计划表!S40</f>
        <v>0</v>
      </c>
      <c r="R3" s="14">
        <f>c借款还本付息计划表!U40-c借款还本付息计划表!T40</f>
        <v>0</v>
      </c>
      <c r="S3" s="14">
        <f>c借款还本付息计划表!V40-c借款还本付息计划表!U40</f>
        <v>0</v>
      </c>
      <c r="T3" s="14">
        <f>c借款还本付息计划表!W40-c借款还本付息计划表!V40</f>
        <v>0</v>
      </c>
      <c r="U3" s="14">
        <f>c借款还本付息计划表!X40-c借款还本付息计划表!W40</f>
        <v>0</v>
      </c>
      <c r="V3" s="14">
        <f>c借款还本付息计划表!Y40-c借款还本付息计划表!X40</f>
        <v>-1175</v>
      </c>
      <c r="W3" s="14">
        <f>c借款还本付息计划表!Z40-c借款还本付息计划表!Y40</f>
        <v>-11590</v>
      </c>
      <c r="X3" s="14">
        <f>c借款还本付息计划表!AA40-c借款还本付息计划表!Z40</f>
        <v>-8705</v>
      </c>
      <c r="Y3" s="14">
        <v>0</v>
      </c>
      <c r="Z3" s="15" t="s">
        <v>578</v>
      </c>
    </row>
    <row r="4" customHeight="1" spans="1:26">
      <c r="A4" s="5" t="s">
        <v>579</v>
      </c>
      <c r="B4" s="14">
        <f>c借款还本付息计划表!D42</f>
        <v>0</v>
      </c>
      <c r="C4" s="14">
        <f>c借款还本付息计划表!E42</f>
        <v>0</v>
      </c>
      <c r="D4" s="14">
        <f>c借款还本付息计划表!F42</f>
        <v>0</v>
      </c>
      <c r="E4" s="14">
        <f>c借款还本付息计划表!G42</f>
        <v>0</v>
      </c>
      <c r="F4" s="14">
        <f>c借款还本付息计划表!H42</f>
        <v>0</v>
      </c>
      <c r="G4" s="14">
        <f>c借款还本付息计划表!I42</f>
        <v>0</v>
      </c>
      <c r="H4" s="14">
        <f>c借款还本付息计划表!J42</f>
        <v>0</v>
      </c>
      <c r="I4" s="14">
        <f>c借款还本付息计划表!K42</f>
        <v>0</v>
      </c>
      <c r="J4" s="14">
        <f>c借款还本付息计划表!L42</f>
        <v>0</v>
      </c>
      <c r="K4" s="14">
        <f>c借款还本付息计划表!M42</f>
        <v>0</v>
      </c>
      <c r="L4" s="14">
        <f>c借款还本付息计划表!N42</f>
        <v>0</v>
      </c>
      <c r="M4" s="14">
        <f>c借款还本付息计划表!O42</f>
        <v>0</v>
      </c>
      <c r="N4" s="14">
        <f>c借款还本付息计划表!P42</f>
        <v>0</v>
      </c>
      <c r="O4" s="14">
        <f>c借款还本付息计划表!Q42</f>
        <v>0</v>
      </c>
      <c r="P4" s="14">
        <f>c借款还本付息计划表!R42</f>
        <v>0</v>
      </c>
      <c r="Q4" s="14">
        <f>c借款还本付息计划表!S42</f>
        <v>0</v>
      </c>
      <c r="R4" s="14">
        <f>c借款还本付息计划表!T42</f>
        <v>0</v>
      </c>
      <c r="S4" s="14">
        <f>c借款还本付息计划表!U42</f>
        <v>0</v>
      </c>
      <c r="T4" s="14">
        <f>c借款还本付息计划表!V42</f>
        <v>0</v>
      </c>
      <c r="U4" s="14">
        <f>c借款还本付息计划表!W42</f>
        <v>0</v>
      </c>
      <c r="V4" s="14">
        <f>c借款还本付息计划表!X42</f>
        <v>1175</v>
      </c>
      <c r="W4" s="14">
        <f>c借款还本付息计划表!Y42</f>
        <v>11590</v>
      </c>
      <c r="X4" s="14">
        <f>c借款还本付息计划表!Z42</f>
        <v>8705</v>
      </c>
      <c r="Y4" s="14">
        <f>c借款还本付息计划表!AA42</f>
        <v>7530</v>
      </c>
      <c r="Z4" s="15" t="s">
        <v>580</v>
      </c>
    </row>
    <row r="5" customHeight="1" spans="1:25">
      <c r="A5" s="5" t="s">
        <v>581</v>
      </c>
      <c r="B5" s="14">
        <f>c借款还本付息计划表!D44</f>
        <v>1175</v>
      </c>
      <c r="C5" s="14">
        <f>c借款还本付息计划表!E44</f>
        <v>12765</v>
      </c>
      <c r="D5" s="14">
        <f>c借款还本付息计划表!F44</f>
        <v>21470</v>
      </c>
      <c r="E5" s="14">
        <f>c借款还本付息计划表!G44</f>
        <v>29000</v>
      </c>
      <c r="F5" s="14">
        <f>c借款还本付息计划表!H44</f>
        <v>29000</v>
      </c>
      <c r="G5" s="14">
        <f>c借款还本付息计划表!I44</f>
        <v>29000</v>
      </c>
      <c r="H5" s="14">
        <f>c借款还本付息计划表!J44</f>
        <v>29000</v>
      </c>
      <c r="I5" s="14">
        <f>c借款还本付息计划表!K44</f>
        <v>29000</v>
      </c>
      <c r="J5" s="14">
        <f>c借款还本付息计划表!L44</f>
        <v>29000</v>
      </c>
      <c r="K5" s="14">
        <f>c借款还本付息计划表!M44</f>
        <v>29000</v>
      </c>
      <c r="L5" s="14">
        <f>c借款还本付息计划表!N44</f>
        <v>29000</v>
      </c>
      <c r="M5" s="14">
        <f>c借款还本付息计划表!O44</f>
        <v>29000</v>
      </c>
      <c r="N5" s="14">
        <f>c借款还本付息计划表!P44</f>
        <v>29000</v>
      </c>
      <c r="O5" s="14">
        <f>c借款还本付息计划表!Q44</f>
        <v>29000</v>
      </c>
      <c r="P5" s="14">
        <f>c借款还本付息计划表!R44</f>
        <v>29000</v>
      </c>
      <c r="Q5" s="14">
        <f>c借款还本付息计划表!S44</f>
        <v>29000</v>
      </c>
      <c r="R5" s="14">
        <f>c借款还本付息计划表!T44</f>
        <v>29000</v>
      </c>
      <c r="S5" s="14">
        <f>c借款还本付息计划表!U44</f>
        <v>29000</v>
      </c>
      <c r="T5" s="14">
        <f>c借款还本付息计划表!V44</f>
        <v>29000</v>
      </c>
      <c r="U5" s="14">
        <f>c借款还本付息计划表!W44</f>
        <v>29000</v>
      </c>
      <c r="V5" s="14">
        <f>c借款还本付息计划表!X44</f>
        <v>27825</v>
      </c>
      <c r="W5" s="14">
        <f>c借款还本付息计划表!Y44</f>
        <v>16235</v>
      </c>
      <c r="X5" s="14">
        <f>c借款还本付息计划表!Z44</f>
        <v>7530</v>
      </c>
      <c r="Y5" s="14">
        <f>c借款还本付息计划表!AA44</f>
        <v>0</v>
      </c>
    </row>
    <row r="6" customHeight="1" spans="1:25">
      <c r="A6" s="5" t="s">
        <v>582</v>
      </c>
      <c r="B6" s="10">
        <v>0.0212</v>
      </c>
      <c r="C6" s="10">
        <v>0.0212</v>
      </c>
      <c r="D6" s="10">
        <v>0.0212</v>
      </c>
      <c r="E6" s="10">
        <v>0.0212</v>
      </c>
      <c r="F6" s="10">
        <v>0.0212</v>
      </c>
      <c r="G6" s="10">
        <v>0.0212</v>
      </c>
      <c r="H6" s="10">
        <v>0.0212</v>
      </c>
      <c r="I6" s="10">
        <v>0.0212</v>
      </c>
      <c r="J6" s="10">
        <v>0.0212</v>
      </c>
      <c r="K6" s="10">
        <v>0.0212</v>
      </c>
      <c r="L6" s="10">
        <v>0.0212</v>
      </c>
      <c r="M6" s="10">
        <v>0.0212</v>
      </c>
      <c r="N6" s="10">
        <v>0.0212</v>
      </c>
      <c r="O6" s="10">
        <v>0.0212</v>
      </c>
      <c r="P6" s="10">
        <v>0.0212</v>
      </c>
      <c r="Q6" s="10">
        <v>0.0212</v>
      </c>
      <c r="R6" s="10">
        <v>0.0212</v>
      </c>
      <c r="S6" s="10">
        <v>0.0212</v>
      </c>
      <c r="T6" s="10">
        <v>0.0212</v>
      </c>
      <c r="U6" s="10">
        <v>0.0212</v>
      </c>
      <c r="V6" s="10">
        <v>0.0212</v>
      </c>
      <c r="W6" s="10">
        <v>0.0212</v>
      </c>
      <c r="X6" s="10">
        <v>0.0212</v>
      </c>
      <c r="Y6" s="10">
        <v>0.0212</v>
      </c>
    </row>
    <row r="7" customHeight="1" spans="1:25">
      <c r="A7" s="5" t="s">
        <v>467</v>
      </c>
      <c r="B7" s="14">
        <f>c借款还本付息计划表!D43</f>
        <v>0</v>
      </c>
      <c r="C7" s="14">
        <f>c借款还本付息计划表!E43</f>
        <v>24.91</v>
      </c>
      <c r="D7" s="14">
        <f>c借款还本付息计划表!F43</f>
        <v>270.618</v>
      </c>
      <c r="E7" s="14">
        <f>c借款还本付息计划表!G43</f>
        <v>455.164</v>
      </c>
      <c r="F7" s="14">
        <f>c借款还本付息计划表!H43</f>
        <v>614.8</v>
      </c>
      <c r="G7" s="14">
        <f>c借款还本付息计划表!I43</f>
        <v>614.8</v>
      </c>
      <c r="H7" s="14">
        <f>c借款还本付息计划表!J43</f>
        <v>614.8</v>
      </c>
      <c r="I7" s="14">
        <f>c借款还本付息计划表!K43</f>
        <v>614.8</v>
      </c>
      <c r="J7" s="14">
        <f>c借款还本付息计划表!L43</f>
        <v>614.8</v>
      </c>
      <c r="K7" s="14">
        <f>c借款还本付息计划表!M43</f>
        <v>614.8</v>
      </c>
      <c r="L7" s="14">
        <f>c借款还本付息计划表!N43</f>
        <v>614.8</v>
      </c>
      <c r="M7" s="14">
        <f>c借款还本付息计划表!O43</f>
        <v>614.8</v>
      </c>
      <c r="N7" s="14">
        <f>c借款还本付息计划表!P43</f>
        <v>614.8</v>
      </c>
      <c r="O7" s="14">
        <f>c借款还本付息计划表!Q43</f>
        <v>614.8</v>
      </c>
      <c r="P7" s="14">
        <f>c借款还本付息计划表!R43</f>
        <v>614.8</v>
      </c>
      <c r="Q7" s="14">
        <f>c借款还本付息计划表!S43</f>
        <v>614.8</v>
      </c>
      <c r="R7" s="14">
        <f>c借款还本付息计划表!T43</f>
        <v>614.8</v>
      </c>
      <c r="S7" s="14">
        <f>c借款还本付息计划表!U43</f>
        <v>614.8</v>
      </c>
      <c r="T7" s="14">
        <f>c借款还本付息计划表!V43</f>
        <v>614.8</v>
      </c>
      <c r="U7" s="14">
        <f>c借款还本付息计划表!W43</f>
        <v>614.8</v>
      </c>
      <c r="V7" s="14">
        <f>c借款还本付息计划表!X43</f>
        <v>614.8</v>
      </c>
      <c r="W7" s="14">
        <f>c借款还本付息计划表!Y43</f>
        <v>589.89</v>
      </c>
      <c r="X7" s="14">
        <f>c借款还本付息计划表!Z43</f>
        <v>344.182</v>
      </c>
      <c r="Y7" s="14">
        <f>c借款还本付息计划表!AA43</f>
        <v>159.636</v>
      </c>
    </row>
    <row r="8" customHeight="1" spans="1:25">
      <c r="A8" s="5" t="s">
        <v>583</v>
      </c>
      <c r="B8" s="14">
        <f t="shared" ref="B8:Y8" si="0">B7+B4</f>
        <v>0</v>
      </c>
      <c r="C8" s="14">
        <f t="shared" si="0"/>
        <v>24.91</v>
      </c>
      <c r="D8" s="14">
        <f t="shared" si="0"/>
        <v>270.618</v>
      </c>
      <c r="E8" s="14">
        <f t="shared" si="0"/>
        <v>455.164</v>
      </c>
      <c r="F8" s="14">
        <f t="shared" si="0"/>
        <v>614.8</v>
      </c>
      <c r="G8" s="14">
        <f t="shared" si="0"/>
        <v>614.8</v>
      </c>
      <c r="H8" s="14">
        <f t="shared" si="0"/>
        <v>614.8</v>
      </c>
      <c r="I8" s="14">
        <f t="shared" si="0"/>
        <v>614.8</v>
      </c>
      <c r="J8" s="14">
        <f t="shared" si="0"/>
        <v>614.8</v>
      </c>
      <c r="K8" s="14">
        <f t="shared" si="0"/>
        <v>614.8</v>
      </c>
      <c r="L8" s="14">
        <f t="shared" si="0"/>
        <v>614.8</v>
      </c>
      <c r="M8" s="14">
        <f t="shared" si="0"/>
        <v>614.8</v>
      </c>
      <c r="N8" s="14">
        <f t="shared" si="0"/>
        <v>614.8</v>
      </c>
      <c r="O8" s="14">
        <f t="shared" si="0"/>
        <v>614.8</v>
      </c>
      <c r="P8" s="14">
        <f t="shared" si="0"/>
        <v>614.8</v>
      </c>
      <c r="Q8" s="14">
        <f t="shared" si="0"/>
        <v>614.8</v>
      </c>
      <c r="R8" s="14">
        <f t="shared" si="0"/>
        <v>614.8</v>
      </c>
      <c r="S8" s="14">
        <f t="shared" si="0"/>
        <v>614.8</v>
      </c>
      <c r="T8" s="14">
        <f t="shared" si="0"/>
        <v>614.8</v>
      </c>
      <c r="U8" s="14">
        <f t="shared" si="0"/>
        <v>614.8</v>
      </c>
      <c r="V8" s="14">
        <f t="shared" si="0"/>
        <v>1789.8</v>
      </c>
      <c r="W8" s="14">
        <f t="shared" si="0"/>
        <v>12179.89</v>
      </c>
      <c r="X8" s="14">
        <f t="shared" si="0"/>
        <v>9049.182</v>
      </c>
      <c r="Y8" s="14">
        <f t="shared" si="0"/>
        <v>7689.636</v>
      </c>
    </row>
  </sheetData>
  <mergeCells count="1">
    <mergeCell ref="A1:Y1"/>
  </mergeCells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>
    <tabColor rgb="FFFFC000"/>
  </sheetPr>
  <dimension ref="A3"/>
  <sheetViews>
    <sheetView workbookViewId="0">
      <selection activeCell="I12" sqref="I12"/>
    </sheetView>
  </sheetViews>
  <sheetFormatPr defaultColWidth="15.7818181818182" defaultRowHeight="28.05" customHeight="1" outlineLevelRow="2"/>
  <sheetData>
    <row r="3" ht="40.95" customHeight="1"/>
  </sheetData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>
    <tabColor rgb="FFFFC000"/>
  </sheetPr>
  <dimension ref="A1:H13"/>
  <sheetViews>
    <sheetView zoomScale="85" zoomScaleNormal="85" workbookViewId="0">
      <selection activeCell="J6" sqref="J6"/>
    </sheetView>
  </sheetViews>
  <sheetFormatPr defaultColWidth="15.7818181818182" defaultRowHeight="28.05" customHeight="1" outlineLevelCol="7"/>
  <cols>
    <col min="1" max="1" width="29.6636363636364" style="1" customWidth="1"/>
    <col min="2" max="2" width="12.6636363636364" style="1" customWidth="1"/>
    <col min="3" max="3" width="15.7818181818182" style="1" customWidth="1"/>
  </cols>
  <sheetData>
    <row r="1" customHeight="1" spans="1:8">
      <c r="A1" s="2" t="s">
        <v>584</v>
      </c>
      <c r="B1" s="3"/>
      <c r="C1" s="3"/>
      <c r="D1" s="3"/>
      <c r="E1" s="3"/>
      <c r="F1" s="3"/>
      <c r="G1" s="3"/>
      <c r="H1" s="4"/>
    </row>
    <row r="2" customHeight="1" spans="1:8">
      <c r="A2" s="5" t="s">
        <v>585</v>
      </c>
      <c r="B2" s="6">
        <v>-0.15</v>
      </c>
      <c r="C2" s="6">
        <v>-0.1</v>
      </c>
      <c r="D2" s="6">
        <v>-0.05</v>
      </c>
      <c r="E2" s="6">
        <v>0</v>
      </c>
      <c r="F2" s="6">
        <v>0.05</v>
      </c>
      <c r="G2" s="6">
        <v>0.1</v>
      </c>
      <c r="H2" s="6">
        <v>0.15</v>
      </c>
    </row>
    <row r="3" customHeight="1" spans="1:8">
      <c r="A3" s="7" t="s">
        <v>586</v>
      </c>
      <c r="B3" s="3"/>
      <c r="C3" s="3"/>
      <c r="D3" s="3"/>
      <c r="E3" s="3"/>
      <c r="F3" s="3"/>
      <c r="G3" s="3"/>
      <c r="H3" s="4"/>
    </row>
    <row r="4" customHeight="1" spans="1:8">
      <c r="A4" s="8" t="s">
        <v>587</v>
      </c>
      <c r="B4" s="9">
        <v>1.01384088611287</v>
      </c>
      <c r="C4" s="9">
        <v>1.07755630035954</v>
      </c>
      <c r="D4" s="9">
        <v>1.1412717146062</v>
      </c>
      <c r="E4" s="9">
        <v>1.20498712885287</v>
      </c>
      <c r="F4" s="9">
        <v>1.26870254309954</v>
      </c>
      <c r="G4" s="9">
        <v>1.33241795734621</v>
      </c>
      <c r="H4" s="9">
        <v>1.39613337159288</v>
      </c>
    </row>
    <row r="5" customHeight="1" spans="1:8">
      <c r="A5" s="7" t="s">
        <v>588</v>
      </c>
      <c r="B5" s="3"/>
      <c r="C5" s="3"/>
      <c r="D5" s="3"/>
      <c r="E5" s="3"/>
      <c r="F5" s="3"/>
      <c r="G5" s="3"/>
      <c r="H5" s="4"/>
    </row>
    <row r="6" customHeight="1" spans="1:8">
      <c r="A6" s="8" t="s">
        <v>587</v>
      </c>
      <c r="B6" s="9">
        <v>1.24975542898756</v>
      </c>
      <c r="C6" s="9">
        <v>1.234832662276</v>
      </c>
      <c r="D6" s="9">
        <v>1.21990989556444</v>
      </c>
      <c r="E6" s="9">
        <v>1.20498712885287</v>
      </c>
      <c r="F6" s="9">
        <v>1.19006436214131</v>
      </c>
      <c r="G6" s="9">
        <v>1.17514159542975</v>
      </c>
      <c r="H6" s="9">
        <v>1.16021882871819</v>
      </c>
    </row>
    <row r="7" customHeight="1" spans="1:8">
      <c r="A7" s="7" t="s">
        <v>589</v>
      </c>
      <c r="B7" s="3"/>
      <c r="C7" s="3"/>
      <c r="D7" s="3"/>
      <c r="E7" s="3"/>
      <c r="F7" s="3"/>
      <c r="G7" s="3"/>
      <c r="H7" s="4"/>
    </row>
    <row r="8" customHeight="1" spans="1:8">
      <c r="A8" s="8" t="s">
        <v>587</v>
      </c>
      <c r="B8" s="9">
        <v>1.24912145043156</v>
      </c>
      <c r="C8" s="9">
        <v>1.23395690645851</v>
      </c>
      <c r="D8" s="9">
        <v>1.21925233776385</v>
      </c>
      <c r="E8" s="9">
        <v>1.20498712885287</v>
      </c>
      <c r="F8" s="9">
        <v>1.1911418780433</v>
      </c>
      <c r="G8" s="9">
        <v>1.17769830942666</v>
      </c>
      <c r="H8" s="9">
        <v>1.16463919238266</v>
      </c>
    </row>
    <row r="11" customHeight="1" spans="1:3">
      <c r="A11" s="8"/>
      <c r="B11" s="8"/>
      <c r="C11" s="10"/>
    </row>
    <row r="12" customHeight="1" spans="1:3">
      <c r="A12" s="8"/>
      <c r="B12" s="8"/>
      <c r="C12" s="10"/>
    </row>
    <row r="13" customHeight="1" spans="1:3">
      <c r="A13" s="8" t="s">
        <v>590</v>
      </c>
      <c r="B13" s="8"/>
      <c r="C13" s="10"/>
    </row>
  </sheetData>
  <mergeCells count="4">
    <mergeCell ref="A1:H1"/>
    <mergeCell ref="A3:H3"/>
    <mergeCell ref="A5:H5"/>
    <mergeCell ref="A7:H7"/>
  </mergeCells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A财务假设</vt:lpstr>
      <vt:lpstr>B项目信息</vt:lpstr>
      <vt:lpstr>C.1项目融资信息</vt:lpstr>
      <vt:lpstr>C.2项目每年借款信息</vt:lpstr>
      <vt:lpstr>D.1建设投资</vt:lpstr>
      <vt:lpstr>D.2项目总投资使用计划与资金筹措表</vt:lpstr>
      <vt:lpstr>D.3建设投资分年计划表</vt:lpstr>
      <vt:lpstr>D.4流动资金估算表</vt:lpstr>
      <vt:lpstr>E总成本费用估算表</vt:lpstr>
      <vt:lpstr>E.1项目运营期费用</vt:lpstr>
      <vt:lpstr>E.1.1项目运营期费用(不含税）</vt:lpstr>
      <vt:lpstr>E.2固定资产折旧费估算表</vt:lpstr>
      <vt:lpstr>E.3无形资产和其他资产摊销费估算表</vt:lpstr>
      <vt:lpstr>E.4建设投资税后金额表</vt:lpstr>
      <vt:lpstr>F项目收入</vt:lpstr>
      <vt:lpstr>F.1项目单项收入信息</vt:lpstr>
      <vt:lpstr>G.税金及附加测算表</vt:lpstr>
      <vt:lpstr>G.1进项增值税率-建设投资</vt:lpstr>
      <vt:lpstr>G.2进项增值税率-运营成本</vt:lpstr>
      <vt:lpstr>G.3销项增值税率</vt:lpstr>
      <vt:lpstr>a.1财务现金流量表</vt:lpstr>
      <vt:lpstr>a.2项目资本金现金流量表</vt:lpstr>
      <vt:lpstr>b利润与利润分配表（损益和利润分配表）</vt:lpstr>
      <vt:lpstr>c借款还本付息计划表</vt:lpstr>
      <vt:lpstr>d财务计划现金流量表</vt:lpstr>
      <vt:lpstr>e资产负债表</vt:lpstr>
      <vt:lpstr>Ⅰ项目投资估算构成表</vt:lpstr>
      <vt:lpstr>Ⅱ项目分年度资金筹措计划表</vt:lpstr>
      <vt:lpstr>Ⅲ项目分年度收入合计表</vt:lpstr>
      <vt:lpstr>Ⅳ项目分年度成本明细表</vt:lpstr>
      <vt:lpstr>Ⅴ项目分年度收益表</vt:lpstr>
      <vt:lpstr>Ⅵ专项债券应付本息情况表</vt:lpstr>
      <vt:lpstr>Ⅶ专项债券资金收益与融资平衡情况表</vt:lpstr>
      <vt:lpstr>VIII债券资金覆盖率压力测试表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周亮;谢玉君</dc:creator>
  <cp:lastModifiedBy>lenovo</cp:lastModifiedBy>
  <dcterms:created xsi:type="dcterms:W3CDTF">2025-07-25T07:38:00Z</dcterms:created>
  <dcterms:modified xsi:type="dcterms:W3CDTF">2025-09-02T07:12:15Z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CAD7EA0AF44745D39D71613E23D48B70_13</vt:lpwstr>
  </property>
  <property fmtid="{D5CDD505-2E9C-101B-9397-08002B2CF9AE}" pid="3" name="KSOProductBuildVer">
    <vt:lpwstr>2052-12.8.2.18205</vt:lpwstr>
  </property>
</Properties>
</file>