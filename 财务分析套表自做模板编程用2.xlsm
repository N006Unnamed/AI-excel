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8200" tabRatio="826" firstSheet="27" activeTab="31"/>
  </bookViews>
  <sheets>
    <sheet name="A财务假设" sheetId="1" r:id="rId1"/>
    <sheet name="B项目信息" sheetId="2" r:id="rId2"/>
    <sheet name="C.1项目融资信息" sheetId="3" r:id="rId3"/>
    <sheet name="C.2项目每年借款信息" sheetId="4" r:id="rId4"/>
    <sheet name="D.1建设投资" sheetId="5" r:id="rId5"/>
    <sheet name="D.2项目总投资使用计划与资金筹措表" sheetId="6" r:id="rId6"/>
    <sheet name="D.3建设投资分年计划表" sheetId="7" r:id="rId7"/>
    <sheet name="D.4流动资金估算表" sheetId="8" r:id="rId8"/>
    <sheet name="E总成本费用估算表" sheetId="9" r:id="rId9"/>
    <sheet name="E.1项目运营期费用" sheetId="10" r:id="rId10"/>
    <sheet name="E.1.1项目运营期费用(不含税）" sheetId="11" r:id="rId11"/>
    <sheet name="E.2固定资产折旧费估算表" sheetId="12" r:id="rId12"/>
    <sheet name="E.3无形资产和其他资产摊销费估算表" sheetId="13" r:id="rId13"/>
    <sheet name="E.4建设投资税后金额表" sheetId="14" r:id="rId14"/>
    <sheet name="F项目收入" sheetId="15" r:id="rId15"/>
    <sheet name="F.1项目单项收入信息" sheetId="16" r:id="rId16"/>
    <sheet name="G.税金及附加测算表" sheetId="17" r:id="rId17"/>
    <sheet name="G.1进项增值税率-建设投资" sheetId="18" r:id="rId18"/>
    <sheet name="G.2进项增值税率-运营成本" sheetId="19" r:id="rId19"/>
    <sheet name="G.3销项增值税率" sheetId="20" r:id="rId20"/>
    <sheet name="a.1财务现金流量表" sheetId="21" r:id="rId21"/>
    <sheet name="a.2项目资本金现金流量表" sheetId="22" r:id="rId22"/>
    <sheet name="b利润与利润分配表（损益和利润分配表）" sheetId="23" r:id="rId23"/>
    <sheet name="c借款还本付息计划表" sheetId="24" r:id="rId24"/>
    <sheet name="d财务计划现金流量表" sheetId="25" r:id="rId25"/>
    <sheet name="e资产负债表" sheetId="26" r:id="rId26"/>
    <sheet name="Ⅰ项目投资估算构成表" sheetId="27" r:id="rId27"/>
    <sheet name="Ⅱ项目分年度资金筹措计划表" sheetId="28" r:id="rId28"/>
    <sheet name="Ⅲ项目分年度收入合计表" sheetId="29" r:id="rId29"/>
    <sheet name="Ⅳ项目分年度成本明细表" sheetId="30" r:id="rId30"/>
    <sheet name="Ⅴ项目分年度收益表" sheetId="31" r:id="rId31"/>
    <sheet name="Ⅵ专项债券应付本息情况表" sheetId="32" r:id="rId32"/>
    <sheet name="Ⅶ专项债券资金收益与融资平衡情况表" sheetId="33" state="hidden" r:id="rId33"/>
    <sheet name="VIII债券资金覆盖率压力测试表" sheetId="34" r:id="rId34"/>
  </sheets>
  <externalReferences>
    <externalReference r:id="rId35"/>
    <externalReference r:id="rId3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周亮</author>
  </authors>
  <commentList>
    <comment ref="D10" authorId="0">
      <text>
        <r>
          <rPr>
            <sz val="10"/>
            <rFont val="宋体"/>
            <charset val="134"/>
          </rPr>
          <t>周亮:
建设期利息不能用专项债
优先将2.2债务资金用于2.2.1建设投资
纯专项债项目，2.2.2建设期利息均为0，建设期利息要用资本金支付，即2.1.2
建设投资不够的部分，再使用资本金，即2.1.1
纯专项债项目，专项债资金不能用于流动资金，故2.2.3为0</t>
        </r>
      </text>
    </comment>
  </commentList>
</comments>
</file>

<file path=xl/sharedStrings.xml><?xml version="1.0" encoding="utf-8"?>
<sst xmlns="http://schemas.openxmlformats.org/spreadsheetml/2006/main" count="1239" uniqueCount="564">
  <si>
    <t>A财务假设</t>
  </si>
  <si>
    <t>序号</t>
  </si>
  <si>
    <t>名称</t>
  </si>
  <si>
    <t>解释</t>
  </si>
  <si>
    <t>参考值</t>
  </si>
  <si>
    <t>项目投资财务基准收益率(税前)</t>
  </si>
  <si>
    <t>国家发改委《建设项目财务基准收益率取值表》</t>
  </si>
  <si>
    <t>8%</t>
  </si>
  <si>
    <t>项目投资财务基准收益率(税后)</t>
  </si>
  <si>
    <t>项目资本金财务基准收益率</t>
  </si>
  <si>
    <t>项目资本金财务基准收益率应体现项目发起人（代表项目所有权益投资者）
对投资获利的最低期望值（也称最低可接受收益率）。当项目资本金财务
内部收益率大于或等于该最低可接受收益率时，说明在该融资方案下，项目
资本金获利水平超过或达到了要求，该融资方案是可以接受的。</t>
  </si>
  <si>
    <t>城市维护建设税税率</t>
  </si>
  <si>
    <t>市区：7%；县城、镇：5%；
不在市区、县城或者镇：1% ；
缴纳基数为：增值税税额+营业税税额+消费税税额</t>
  </si>
  <si>
    <t>7%</t>
  </si>
  <si>
    <t>教育费附加费率</t>
  </si>
  <si>
    <t>缴纳基数为：增值税税额+营业税税额+消费税税额</t>
  </si>
  <si>
    <t>3%</t>
  </si>
  <si>
    <t>地方教育费附加费率</t>
  </si>
  <si>
    <t>2%</t>
  </si>
  <si>
    <t>企业所得税率</t>
  </si>
  <si>
    <t>是针对企业应纳税所得额征收的税种</t>
  </si>
  <si>
    <t>25%</t>
  </si>
  <si>
    <t>法定盈余公积提取比例</t>
  </si>
  <si>
    <t>企业应按照一定的比例从税后利润中提取盈余公积</t>
  </si>
  <si>
    <t>10%</t>
  </si>
  <si>
    <t>任意盈余公积提取比例</t>
  </si>
  <si>
    <t>提取比例由企业自主决定，没有固定标</t>
  </si>
  <si>
    <t>5%</t>
  </si>
  <si>
    <t>残值率</t>
  </si>
  <si>
    <t>资产在预计使用寿命结束时的剩余价值占其原始成本的百分比</t>
  </si>
  <si>
    <t>资本金用于流动资金比例</t>
  </si>
  <si>
    <t>不低于30%，但专项债资金不能用于流动资金，故设为 100%</t>
  </si>
  <si>
    <t>100%</t>
  </si>
  <si>
    <t>折现率</t>
  </si>
  <si>
    <t>投资者要求的最低收益率，可参考基准收益率，是由国家或行业主管部门制
定的，针对特定行业的标准折现率（如《建设项目经济评价方法与参数》中
规定的行业基准值）</t>
  </si>
  <si>
    <t>债券发行手续费率</t>
  </si>
  <si>
    <t xml:space="preserve"> 3年期及以下债券发行手续费为发行额的0.04%</t>
  </si>
  <si>
    <t>0.04%</t>
  </si>
  <si>
    <t>债券发行手续费率2</t>
  </si>
  <si>
    <t>5年期及以上债券发行手续费为发行额的0.08%</t>
  </si>
  <si>
    <t>0.08%</t>
  </si>
  <si>
    <t>债券发行登记服务费率</t>
  </si>
  <si>
    <t>债券发行登记服务费为发行额的0.0064%</t>
  </si>
  <si>
    <t>0.0064%</t>
  </si>
  <si>
    <t>债券还本付息兑付手续费率</t>
  </si>
  <si>
    <t>金额为本息和的0.005%</t>
  </si>
  <si>
    <t>0.005%</t>
  </si>
  <si>
    <t>成本浮动系数</t>
  </si>
  <si>
    <t>用于压力测试表中对应的系数填写</t>
  </si>
  <si>
    <t>收入浮动系数</t>
  </si>
  <si>
    <t>贷款利率浮动系数</t>
  </si>
  <si>
    <t>B项目信息</t>
  </si>
  <si>
    <t>值</t>
  </si>
  <si>
    <t>建设分期一</t>
  </si>
  <si>
    <t>建设开始年月</t>
  </si>
  <si>
    <t>本期建设开始时间</t>
  </si>
  <si>
    <t>建设完成年月</t>
  </si>
  <si>
    <t>本期建设完成时间</t>
  </si>
  <si>
    <t>建设期（月）</t>
  </si>
  <si>
    <t>建设完成年月-建设开始年月</t>
  </si>
  <si>
    <t>运营开始年月</t>
  </si>
  <si>
    <t>开始有运营收入的时间，可以在建设期间</t>
  </si>
  <si>
    <t>运营期（年）</t>
  </si>
  <si>
    <t>按照债务周期为截止时间，折旧年限等同于运营期</t>
  </si>
  <si>
    <t>总借款年限-运营开始年限+1</t>
  </si>
  <si>
    <t>建设分期二</t>
  </si>
  <si>
    <t>建设分期三</t>
  </si>
  <si>
    <t>C.1项目融资信息</t>
  </si>
  <si>
    <t>借款名称</t>
  </si>
  <si>
    <t>借款类别</t>
  </si>
  <si>
    <t>借款金额
（万元）</t>
  </si>
  <si>
    <t>开始时间</t>
  </si>
  <si>
    <t>结束时间</t>
  </si>
  <si>
    <t>借款周期（年）</t>
  </si>
  <si>
    <t>借款利率</t>
  </si>
  <si>
    <t>还款方式</t>
  </si>
  <si>
    <t>首年计息月份</t>
  </si>
  <si>
    <t>债券发行费（万元）</t>
  </si>
  <si>
    <t>债券发行登记服务费
（万元）</t>
  </si>
  <si>
    <t>债券还本付息兑付手续费
（万元）</t>
  </si>
  <si>
    <t>地方政府专项债
/市场化融资</t>
  </si>
  <si>
    <t>1,2,3,5,7,10,15,20,30
根据实际需要选择</t>
  </si>
  <si>
    <t>专项债按发行前5个
工作日国债均价利率，
选择性上浮10%</t>
  </si>
  <si>
    <t>允许地方结合实际情况，采取
到期还本（10年期以下按年付息，10年期以上按半年付息）、提前还本、分年还本等不同还本方式</t>
  </si>
  <si>
    <t>3年期及以下债券发行手续费
为发行额的0.04%，5年期及以
上债券发行手续费为发行额的0.08%</t>
  </si>
  <si>
    <t>发行额的0.0064%</t>
  </si>
  <si>
    <t>在每年还本付息时支付，
金额为本息和的0.005%</t>
  </si>
  <si>
    <t>借款1</t>
  </si>
  <si>
    <t>地方政府专项债</t>
  </si>
  <si>
    <t>到期一次性还清</t>
  </si>
  <si>
    <t>对应好c</t>
  </si>
  <si>
    <t>借款2</t>
  </si>
  <si>
    <t>借款3</t>
  </si>
  <si>
    <t>C.2项目每年借款信息（万元）</t>
  </si>
  <si>
    <t>计算期年序</t>
  </si>
  <si>
    <t>合计</t>
  </si>
  <si>
    <t>D.1建设投资（万元）</t>
  </si>
  <si>
    <t>（此表不需要填写，复制D.3的前4列，如果D.3有修改，此表也要同步复制）</t>
  </si>
  <si>
    <t>D.2项目总投资使用计划与资金筹措表（万元）</t>
  </si>
  <si>
    <t>科目</t>
  </si>
  <si>
    <t>总投资</t>
  </si>
  <si>
    <t>建设投资</t>
  </si>
  <si>
    <t>建设期利息</t>
  </si>
  <si>
    <t>流动资金</t>
  </si>
  <si>
    <t>资金筹措</t>
  </si>
  <si>
    <t>项目资本金</t>
  </si>
  <si>
    <t>2.1.1</t>
  </si>
  <si>
    <t>用于建设投资</t>
  </si>
  <si>
    <t>2.1.2</t>
  </si>
  <si>
    <t>用于建设期利息</t>
  </si>
  <si>
    <t>2.1.3</t>
  </si>
  <si>
    <t>用于流动资金</t>
  </si>
  <si>
    <t>债务资金</t>
  </si>
  <si>
    <t>2.2.1</t>
  </si>
  <si>
    <t>2.2.2</t>
  </si>
  <si>
    <t>2.2.3</t>
  </si>
  <si>
    <t>其他资金</t>
  </si>
  <si>
    <t>资本金基数总投资</t>
  </si>
  <si>
    <t>/</t>
  </si>
  <si>
    <t>铺底流动资金</t>
  </si>
  <si>
    <t>资本金比例
（不能少于20%）</t>
  </si>
  <si>
    <t>D.3建设投资分年计划表（万元）</t>
  </si>
  <si>
    <t>分项费用</t>
  </si>
  <si>
    <t>说明</t>
  </si>
  <si>
    <t>金额</t>
  </si>
  <si>
    <t>一</t>
  </si>
  <si>
    <t>工程建设费用</t>
  </si>
  <si>
    <t>工程类费用</t>
  </si>
  <si>
    <t>建筑工程费</t>
  </si>
  <si>
    <t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t>
  </si>
  <si>
    <t>设备购置费</t>
  </si>
  <si>
    <t>安装工程费</t>
  </si>
  <si>
    <t>指的是建筑工程中的管线安装、设备安装（如空调、电线、水管等），以及室内装修、园林绿化等方面的费用。</t>
  </si>
  <si>
    <t>信息化建设费用</t>
  </si>
  <si>
    <t>硬件类</t>
  </si>
  <si>
    <t>包括服务器、存储、网络等设备</t>
  </si>
  <si>
    <t>软件类</t>
  </si>
  <si>
    <t>安全类</t>
  </si>
  <si>
    <t>数据类</t>
  </si>
  <si>
    <t>二</t>
  </si>
  <si>
    <t>工程建设其他费用</t>
  </si>
  <si>
    <t>建设单位管理费</t>
  </si>
  <si>
    <t>前期咨询费</t>
  </si>
  <si>
    <t>工程设计费</t>
  </si>
  <si>
    <t>工程监理费</t>
  </si>
  <si>
    <t>......</t>
  </si>
  <si>
    <t>三</t>
  </si>
  <si>
    <t>预备费</t>
  </si>
  <si>
    <t>基本预备费</t>
  </si>
  <si>
    <t>总计</t>
  </si>
  <si>
    <t>D.4流动资金估算表（万元）</t>
  </si>
  <si>
    <t>项目</t>
  </si>
  <si>
    <t>最低周转天数(天)</t>
  </si>
  <si>
    <t>周转次数</t>
  </si>
  <si>
    <t>流动资产</t>
  </si>
  <si>
    <t>30</t>
  </si>
  <si>
    <t>应收账款</t>
  </si>
  <si>
    <t>45</t>
  </si>
  <si>
    <t>存货</t>
  </si>
  <si>
    <t>60</t>
  </si>
  <si>
    <t>1.2.1</t>
  </si>
  <si>
    <t>原材料</t>
  </si>
  <si>
    <t>20</t>
  </si>
  <si>
    <t>1.2.2</t>
  </si>
  <si>
    <t>燃料动力</t>
  </si>
  <si>
    <t>15</t>
  </si>
  <si>
    <t>1.2.3</t>
  </si>
  <si>
    <t>在产品</t>
  </si>
  <si>
    <t>1.2.4</t>
  </si>
  <si>
    <t>产成品</t>
  </si>
  <si>
    <t>现金</t>
  </si>
  <si>
    <t>5</t>
  </si>
  <si>
    <t>流动负债</t>
  </si>
  <si>
    <t>应付账款</t>
  </si>
  <si>
    <t>流动资金（1-2）</t>
  </si>
  <si>
    <t>流动资金当年增加额</t>
  </si>
  <si>
    <t>10</t>
  </si>
  <si>
    <t>流动资金贷款</t>
  </si>
  <si>
    <t>E总成本费用估算表（万元）</t>
  </si>
  <si>
    <t>外购原材料费</t>
  </si>
  <si>
    <t>外购燃料及动力费</t>
  </si>
  <si>
    <t>工资福利费</t>
  </si>
  <si>
    <t>修理费</t>
  </si>
  <si>
    <t>其他费用 （5.1+5.2+5.3）</t>
  </si>
  <si>
    <t>其他制造费用</t>
  </si>
  <si>
    <t>其他管理费用</t>
  </si>
  <si>
    <t>其他营业费用</t>
  </si>
  <si>
    <t>经营成本 （1+2+3+4+5）</t>
  </si>
  <si>
    <t>折旧费</t>
  </si>
  <si>
    <t>摊销费</t>
  </si>
  <si>
    <t>利息支出</t>
  </si>
  <si>
    <t>总成本费用 （6+7+8+9）</t>
  </si>
  <si>
    <t>其中固定成本 （10-10.2）</t>
  </si>
  <si>
    <t>其中可变成本 （1+2+3+5.3）</t>
  </si>
  <si>
    <t>E.1项目运营期费用（万元）</t>
  </si>
  <si>
    <t>成本类别</t>
  </si>
  <si>
    <t>取费计算方式</t>
  </si>
  <si>
    <t>数量</t>
  </si>
  <si>
    <t>单价</t>
  </si>
  <si>
    <t>浮动系数</t>
  </si>
  <si>
    <t>负荷系数</t>
  </si>
  <si>
    <t>场地维护成本</t>
  </si>
  <si>
    <t>场地租金</t>
  </si>
  <si>
    <t>按面积×租金单价</t>
  </si>
  <si>
    <t>场地日常维护（停机坪/起降场/交通枢纽/飞行营地/指挥中心等）</t>
  </si>
  <si>
    <t>按面积 × 单位维护单价（元 / ㎡・年）</t>
  </si>
  <si>
    <t>消防设施年检</t>
  </si>
  <si>
    <t>按设备数量 × 单台年检费（元 / 台・次）</t>
  </si>
  <si>
    <t>防鸟措施（驱鸟器维护）</t>
  </si>
  <si>
    <t>按套数 × 年费（元 / 套・年）+ 耗材费（如驱鸟剂）</t>
  </si>
  <si>
    <t>燃料动力费</t>
  </si>
  <si>
    <t>飞行器能耗</t>
  </si>
  <si>
    <t>按电耗或油耗计算</t>
  </si>
  <si>
    <t>核心设备电力能耗</t>
  </si>
  <si>
    <t>按实际用电量 × 电价（元 / 千瓦 时）</t>
  </si>
  <si>
    <t>水电能耗</t>
  </si>
  <si>
    <t>按面积估算</t>
  </si>
  <si>
    <t>网络费</t>
  </si>
  <si>
    <t>网络通信费用</t>
  </si>
  <si>
    <t>按年计算租金</t>
  </si>
  <si>
    <t>硬件维护成本</t>
  </si>
  <si>
    <t>硬件设备维护</t>
  </si>
  <si>
    <t>按照固定资产15%计算</t>
  </si>
  <si>
    <t>备品备件储备</t>
  </si>
  <si>
    <t>按年度设备维护预算 × 储备比例 （10%-20%）</t>
  </si>
  <si>
    <t>软件维护费</t>
  </si>
  <si>
    <t>软件维护</t>
  </si>
  <si>
    <t>按无形资产造价的20%计算</t>
  </si>
  <si>
    <t>营销费用</t>
  </si>
  <si>
    <t>营销及活动</t>
  </si>
  <si>
    <t>按年平均营业收入的2%计算</t>
  </si>
  <si>
    <t>工资及福利费</t>
  </si>
  <si>
    <t>人员薪酬</t>
  </si>
  <si>
    <t>按岗位月薪 ×12 + 福利（月薪 ×20%-30%）</t>
  </si>
  <si>
    <t>培训与资质认证</t>
  </si>
  <si>
    <t>按人次 × 人均培训费（元 / 人 次）</t>
  </si>
  <si>
    <t>办公与行政支出</t>
  </si>
  <si>
    <t>按人员数量 × 人均办公费（元 / 人・月）</t>
  </si>
  <si>
    <t>合规性与安全成本</t>
  </si>
  <si>
    <t>空域使用审批费</t>
  </si>
  <si>
    <t>按空域面积 × 年费率（元 / 平方 公里・年）</t>
  </si>
  <si>
    <t>场地责任险</t>
  </si>
  <si>
    <t>按保额 × 保险费率（年费率 0.1%-0.3%）</t>
  </si>
  <si>
    <t>安全演练与应急处置</t>
  </si>
  <si>
    <t>按次数 × 单次演练成本（元 / 次）</t>
  </si>
  <si>
    <t>其他费用</t>
  </si>
  <si>
    <t>第三方安全评估</t>
  </si>
  <si>
    <t>按项目投资额 × 评估费率 （0.1%-0.3%）</t>
  </si>
  <si>
    <t>不可预见支出</t>
  </si>
  <si>
    <t>按年度总成本 × 计提比例 （5%-10%）</t>
  </si>
  <si>
    <t>E.1.1项目运营期费用(不含税）（万元）</t>
  </si>
  <si>
    <t>浮动后单价</t>
  </si>
  <si>
    <t>E.2固定资产折旧费估算表（万元）</t>
  </si>
  <si>
    <t>原值</t>
  </si>
  <si>
    <t>年折旧率</t>
  </si>
  <si>
    <t>年折旧额</t>
  </si>
  <si>
    <t>净值（原值-年折旧额*n）</t>
  </si>
  <si>
    <t>不含税（固定资产金额）+不含税（工程其他费）+预备费 + c建设期利息及发行费</t>
  </si>
  <si>
    <t>1 /B 折旧年限 × 100%
（折旧年限等同于运营期）</t>
  </si>
  <si>
    <t>原值 × A~（1-残值残值率）× 年折旧率）</t>
  </si>
  <si>
    <t>建设期1</t>
  </si>
  <si>
    <t>固定资产投资</t>
  </si>
  <si>
    <t>建设期2</t>
  </si>
  <si>
    <t>建设期3</t>
  </si>
  <si>
    <t>净值合计</t>
  </si>
  <si>
    <t/>
  </si>
  <si>
    <t>折旧额合计</t>
  </si>
  <si>
    <t>E.3无形资产和其他资产摊销费估算表</t>
  </si>
  <si>
    <t>净值</t>
  </si>
  <si>
    <t>不含税(软件类)+不含税(安全类软件)+不含税 (数据类)+专利费+土地使用权费+商标权、著作权费</t>
  </si>
  <si>
    <t>原值×年折旧率</t>
  </si>
  <si>
    <t>合计1</t>
  </si>
  <si>
    <t>1.1</t>
  </si>
  <si>
    <t>无形资产</t>
  </si>
  <si>
    <t>1.1.1</t>
  </si>
  <si>
    <t>土地使用权</t>
  </si>
  <si>
    <t>1.1.2</t>
  </si>
  <si>
    <t>专利技术</t>
  </si>
  <si>
    <t>1.1.3</t>
  </si>
  <si>
    <t>软件及其他无形资产</t>
  </si>
  <si>
    <t>1.2</t>
  </si>
  <si>
    <t>其他资产</t>
  </si>
  <si>
    <t>项目开办费</t>
  </si>
  <si>
    <t>合计2</t>
  </si>
  <si>
    <t>2.1</t>
  </si>
  <si>
    <t>2.2</t>
  </si>
  <si>
    <t>合计3</t>
  </si>
  <si>
    <t>3.1</t>
  </si>
  <si>
    <t>3.1.1</t>
  </si>
  <si>
    <t>3.1.2</t>
  </si>
  <si>
    <t>3.1.3</t>
  </si>
  <si>
    <t>3.2</t>
  </si>
  <si>
    <t>3.2.1</t>
  </si>
  <si>
    <t>E.4建设投资税后金额表（万元）</t>
  </si>
  <si>
    <t>（此表不需要填写，复制D.3的对应列，如果D.3有修改，此表也要同步复制）</t>
  </si>
  <si>
    <t>增值税率</t>
  </si>
  <si>
    <t>2025
（税后）</t>
  </si>
  <si>
    <t>2026
（税后）</t>
  </si>
  <si>
    <t>2027
（税后）</t>
  </si>
  <si>
    <t>H I J列税后计算的税率引用需对应</t>
  </si>
  <si>
    <t>F项目收入（万元）</t>
  </si>
  <si>
    <t>收入类别</t>
  </si>
  <si>
    <t>含税/不含税</t>
  </si>
  <si>
    <t>含税</t>
  </si>
  <si>
    <t>不含税</t>
  </si>
  <si>
    <t>……</t>
  </si>
  <si>
    <t>补贴收入</t>
  </si>
  <si>
    <t>年度合计（含税）</t>
  </si>
  <si>
    <t>年度合计（不含税）</t>
  </si>
  <si>
    <t>F.1项目单项收入信息</t>
  </si>
  <si>
    <t>单价（万元/年）</t>
  </si>
  <si>
    <t>浮动后单价（万元）</t>
  </si>
  <si>
    <t>单价年增长情况</t>
  </si>
  <si>
    <t>增长比例</t>
  </si>
  <si>
    <t>租赁收入</t>
  </si>
  <si>
    <t>不增长</t>
  </si>
  <si>
    <t>年度负荷</t>
  </si>
  <si>
    <t>停车收入</t>
  </si>
  <si>
    <t>每年增长</t>
  </si>
  <si>
    <t>充电桩收入</t>
  </si>
  <si>
    <t>每3年增长</t>
  </si>
  <si>
    <t>广告收入</t>
  </si>
  <si>
    <t>每5年增长</t>
  </si>
  <si>
    <t>...</t>
  </si>
  <si>
    <t>G.税金及附加测算表（万元）</t>
  </si>
  <si>
    <t>建设投资进项税</t>
  </si>
  <si>
    <t xml:space="preserve">2025
</t>
  </si>
  <si>
    <t xml:space="preserve">2026
</t>
  </si>
  <si>
    <t xml:space="preserve">2027
</t>
  </si>
  <si>
    <t xml:space="preserve">2028
</t>
  </si>
  <si>
    <t xml:space="preserve">2029
</t>
  </si>
  <si>
    <t xml:space="preserve">2030
</t>
  </si>
  <si>
    <t>G.1 进项税总计-建设投资
可一直累进抵扣，直至为0</t>
  </si>
  <si>
    <t>当期进项税额</t>
  </si>
  <si>
    <t>当期销项税额</t>
  </si>
  <si>
    <t>当期应缴增值税</t>
  </si>
  <si>
    <t>城建税及教育费附加</t>
  </si>
  <si>
    <t>G.1进项增值税率-建设投资</t>
  </si>
  <si>
    <t>行分项跟随D.3修改</t>
  </si>
  <si>
    <t>增值税（万元）</t>
  </si>
  <si>
    <t>进项税总计-建设投资</t>
  </si>
  <si>
    <t>G.2进项增值税率-运营成本</t>
  </si>
  <si>
    <t>行分项跟随E.1修改</t>
  </si>
  <si>
    <t>6%</t>
  </si>
  <si>
    <t>G.3销项增值税率</t>
  </si>
  <si>
    <t>行分项跟随F修改</t>
  </si>
  <si>
    <t>政务服务收入</t>
  </si>
  <si>
    <t>企业服务收入</t>
  </si>
  <si>
    <t>文旅服务收入</t>
  </si>
  <si>
    <t>飞行服务收入</t>
  </si>
  <si>
    <t>数据收入</t>
  </si>
  <si>
    <t>产学研成果转化及输入收入</t>
  </si>
  <si>
    <t>a.1财务现金流量表（万元）</t>
  </si>
  <si>
    <t>现金流入</t>
  </si>
  <si>
    <t>营业收入</t>
  </si>
  <si>
    <t>回收固定资产余值</t>
  </si>
  <si>
    <t>回收流动资金</t>
  </si>
  <si>
    <t>现金流出</t>
  </si>
  <si>
    <t>经营成本</t>
  </si>
  <si>
    <t>营业税金及附加</t>
  </si>
  <si>
    <t>增值税</t>
  </si>
  <si>
    <t>维持运营投资</t>
  </si>
  <si>
    <t>所得税前净现金流量（1-2）</t>
  </si>
  <si>
    <t>累计所得税前净现金流量</t>
  </si>
  <si>
    <t>调整所得税</t>
  </si>
  <si>
    <t>所得税后净现金流量（3-5）</t>
  </si>
  <si>
    <t>累计所得税后净现金流量</t>
  </si>
  <si>
    <t>折现值-所得税前净现金流量</t>
  </si>
  <si>
    <t>折现值-累计所得税前净现金流量</t>
  </si>
  <si>
    <t>折现值-所得税后净现金流量</t>
  </si>
  <si>
    <t>折现值-累计所得税后净现金流量</t>
  </si>
  <si>
    <t>Ⅰ</t>
  </si>
  <si>
    <t>项目投资财务内部收益率（%）
（所得税前）</t>
  </si>
  <si>
    <t>Ⅱ</t>
  </si>
  <si>
    <t>项目投资财务内部收益率（%）
（所得税后）</t>
  </si>
  <si>
    <t>Ⅲ</t>
  </si>
  <si>
    <t>项目投资财务净现值（所得税前）
（ic = %）</t>
  </si>
  <si>
    <t>ic参考表A</t>
  </si>
  <si>
    <t>Ⅳ</t>
  </si>
  <si>
    <t>项目投资财务净现值（所得税后）
（ic = %）</t>
  </si>
  <si>
    <t>Ⅴ</t>
  </si>
  <si>
    <t>项目静态投资回收期（年）
（所得税前）</t>
  </si>
  <si>
    <t>看A列序号：行4转正年份 - 2025 + 行4[行4转正年份-1] / 行3[行4转正年份]</t>
  </si>
  <si>
    <t>Ⅵ</t>
  </si>
  <si>
    <t>项目动态投资回收期（年）
（所得税前）</t>
  </si>
  <si>
    <t>看A列序号：行9转正年份 - 2025 + 行9[行9转正年份-1] / 行8[行9转正年份]</t>
  </si>
  <si>
    <t>Ⅶ</t>
  </si>
  <si>
    <t>★项目静态投资回收期（年）
（所得税后）</t>
  </si>
  <si>
    <t>看A列序号：行7转正年份 - 2025 + 行7[行7转正年份-1] / 行6[行7转正年份]</t>
  </si>
  <si>
    <t>Ⅷ</t>
  </si>
  <si>
    <t>★项目动态投资回收期（年）
（所得税后）</t>
  </si>
  <si>
    <t>看A列序号：行11转正年份 - 2025 + 行11[行11转正年份-1] / 行10[行11转正年份]</t>
  </si>
  <si>
    <t>a.2项目资本金现金流量表（万元）</t>
  </si>
  <si>
    <t>借款本金偿还</t>
  </si>
  <si>
    <t>借款利息支付</t>
  </si>
  <si>
    <t>所得税</t>
  </si>
  <si>
    <t>净现金流量</t>
  </si>
  <si>
    <t>资本金财务内部收益率（%）</t>
  </si>
  <si>
    <t>b利润与利润分配表（损益和利润分配表）（万元）</t>
  </si>
  <si>
    <t>营业收入（不含增值税）</t>
  </si>
  <si>
    <t>总成本费用（不含增值税）</t>
  </si>
  <si>
    <t>利润总额（1-2-3+4）</t>
  </si>
  <si>
    <t>弥补以前年度亏损</t>
  </si>
  <si>
    <t>期末未弥补亏损</t>
  </si>
  <si>
    <t>应纳税所得额（5-6）</t>
  </si>
  <si>
    <t>净利润（5-8）</t>
  </si>
  <si>
    <t>期初未分配利润</t>
  </si>
  <si>
    <t>可供分配的利润（9+10）</t>
  </si>
  <si>
    <t>提取法定盈余公积金</t>
  </si>
  <si>
    <t>可供投资者分配的利润（11-12）</t>
  </si>
  <si>
    <t>应付优先股股利</t>
  </si>
  <si>
    <t>提取任意盈余公积金</t>
  </si>
  <si>
    <t>应付普通股股利（13-14-15）</t>
  </si>
  <si>
    <t>各投资方利润分配：</t>
  </si>
  <si>
    <t>其中：投资方</t>
  </si>
  <si>
    <t>未分配利润（13-14-15-17）</t>
  </si>
  <si>
    <t>其中：偿还借款</t>
  </si>
  <si>
    <t>累计未分配利润</t>
  </si>
  <si>
    <t>息税前利润
（利润总额+利息支出）</t>
  </si>
  <si>
    <t>息税折旧摊销前利润
（息税前利润+折旧+摊销）</t>
  </si>
  <si>
    <t>本息覆盖倍数</t>
  </si>
  <si>
    <t>期初借款余额</t>
  </si>
  <si>
    <t>当期还本付息</t>
  </si>
  <si>
    <t>其中：还本</t>
  </si>
  <si>
    <t>付息</t>
  </si>
  <si>
    <t>1.3</t>
  </si>
  <si>
    <t>期末借款余额</t>
  </si>
  <si>
    <t>1.4</t>
  </si>
  <si>
    <t>还本付息兑付手续费</t>
  </si>
  <si>
    <t>1.5</t>
  </si>
  <si>
    <t>债券发行及服务费</t>
  </si>
  <si>
    <t>1.6</t>
  </si>
  <si>
    <t>应付利息</t>
  </si>
  <si>
    <t>2.3</t>
  </si>
  <si>
    <t>2.4</t>
  </si>
  <si>
    <t>2.5</t>
  </si>
  <si>
    <t>2.6</t>
  </si>
  <si>
    <t>3.2.2</t>
  </si>
  <si>
    <t>3.3</t>
  </si>
  <si>
    <t>3.4</t>
  </si>
  <si>
    <t>3.5</t>
  </si>
  <si>
    <t>3.6</t>
  </si>
  <si>
    <t>借款总结</t>
  </si>
  <si>
    <t>4.1</t>
  </si>
  <si>
    <t>4.2</t>
  </si>
  <si>
    <t>4.2.1</t>
  </si>
  <si>
    <t>4.2.2</t>
  </si>
  <si>
    <t>4.3</t>
  </si>
  <si>
    <t>4.4</t>
  </si>
  <si>
    <t>4.5</t>
  </si>
  <si>
    <t>4.6</t>
  </si>
  <si>
    <t>计算指标</t>
  </si>
  <si>
    <t>利息备付率（%）</t>
  </si>
  <si>
    <t>偿债备付率（%）</t>
  </si>
  <si>
    <t>d财务计划现金流量表（万元）</t>
  </si>
  <si>
    <t>经营活动净现金流量(1.1-1.2)</t>
  </si>
  <si>
    <t>增值税销项税额</t>
  </si>
  <si>
    <t>1.1.4</t>
  </si>
  <si>
    <t>其他流入</t>
  </si>
  <si>
    <t>增值税进项税额</t>
  </si>
  <si>
    <t>1.2.5</t>
  </si>
  <si>
    <t>1.2.6</t>
  </si>
  <si>
    <t>其他流出</t>
  </si>
  <si>
    <t>投资活动净现金流量(2.1-2.2)</t>
  </si>
  <si>
    <t>2.2.4</t>
  </si>
  <si>
    <t>筹资活动净现金流量(3.1-3.2)</t>
  </si>
  <si>
    <t>项目资本金投入</t>
  </si>
  <si>
    <t>建设投资借款</t>
  </si>
  <si>
    <t>各种利息支出</t>
  </si>
  <si>
    <t>偿还债务本金</t>
  </si>
  <si>
    <t>净现金流量(1+2+3)</t>
  </si>
  <si>
    <t>累计盈余资金</t>
  </si>
  <si>
    <t>e资产负债表（万元）</t>
  </si>
  <si>
    <t>资产</t>
  </si>
  <si>
    <t>流动资产总额</t>
  </si>
  <si>
    <t>货币资金</t>
  </si>
  <si>
    <t>预付账款</t>
  </si>
  <si>
    <t>1.1.5</t>
  </si>
  <si>
    <t>其他</t>
  </si>
  <si>
    <t>在建工程</t>
  </si>
  <si>
    <t>固定资产净值</t>
  </si>
  <si>
    <t>无形及其他资产净值</t>
  </si>
  <si>
    <t>负债及所有者权益(2.4+2.5)</t>
  </si>
  <si>
    <t>流动负债总额</t>
  </si>
  <si>
    <t>短期借款</t>
  </si>
  <si>
    <t>预收账款</t>
  </si>
  <si>
    <t>2.1.4</t>
  </si>
  <si>
    <t>流动资金借款</t>
  </si>
  <si>
    <t>负债小计(2.1+2.2+2.3)</t>
  </si>
  <si>
    <t>所有者权益</t>
  </si>
  <si>
    <t>2.5.1</t>
  </si>
  <si>
    <t>资本金</t>
  </si>
  <si>
    <t>2.5.2</t>
  </si>
  <si>
    <t>资本公积</t>
  </si>
  <si>
    <t>2.5.3</t>
  </si>
  <si>
    <t>累计盈余公积金</t>
  </si>
  <si>
    <t>2.5.4</t>
  </si>
  <si>
    <t>计算指标：资产负债率</t>
  </si>
  <si>
    <t>Ⅰ项目投资估算构成表</t>
  </si>
  <si>
    <t>投资构成类别</t>
  </si>
  <si>
    <t>工程费用</t>
  </si>
  <si>
    <t>预备费用</t>
  </si>
  <si>
    <t>投资估算金额（万元）</t>
  </si>
  <si>
    <t>占比</t>
  </si>
  <si>
    <t>Ⅱ项目分年度资金筹措计划表（万元）</t>
  </si>
  <si>
    <t>注：此表依据D.2自行填写，一般财政预算资金和单位自有资金二选一</t>
  </si>
  <si>
    <t>资金来源类型</t>
  </si>
  <si>
    <t>各类型占比</t>
  </si>
  <si>
    <t>财政预算资金</t>
  </si>
  <si>
    <t>单位自有资金</t>
  </si>
  <si>
    <t>专项债券
（用作项目资本金）</t>
  </si>
  <si>
    <t>专项债券
（不用做项目资本金）</t>
  </si>
  <si>
    <t>银行贷款</t>
  </si>
  <si>
    <t>其他来源资金</t>
  </si>
  <si>
    <t>分年度占比</t>
  </si>
  <si>
    <t>Ⅲ项目分年度收入合计表（经营性收入+补贴收入）（万元）</t>
  </si>
  <si>
    <t>收入类型</t>
  </si>
  <si>
    <t>分年收入</t>
  </si>
  <si>
    <t>经营性收入</t>
  </si>
  <si>
    <t>政府补贴收入</t>
  </si>
  <si>
    <t>Ⅳ项目分年度成本明细表</t>
  </si>
  <si>
    <t>复制E.1</t>
  </si>
  <si>
    <t>单价
（万元）</t>
  </si>
  <si>
    <t>2025（万元）</t>
  </si>
  <si>
    <t>2026（万元）</t>
  </si>
  <si>
    <t>2027（万元）</t>
  </si>
  <si>
    <t>2028（万元）</t>
  </si>
  <si>
    <t>2029（万元）</t>
  </si>
  <si>
    <t>2030（万元）</t>
  </si>
  <si>
    <t>2031（万元）</t>
  </si>
  <si>
    <t>2032（万元）</t>
  </si>
  <si>
    <t>2033（万元）</t>
  </si>
  <si>
    <t>2034（万元）</t>
  </si>
  <si>
    <t>2035（万元）</t>
  </si>
  <si>
    <t>2036（万元）</t>
  </si>
  <si>
    <t>2037（万元）</t>
  </si>
  <si>
    <t>2038（万元）</t>
  </si>
  <si>
    <t>2039（万元）</t>
  </si>
  <si>
    <t>2040（万元）</t>
  </si>
  <si>
    <t>2041（万元）</t>
  </si>
  <si>
    <t>2042（万元）</t>
  </si>
  <si>
    <t>2043（万元）</t>
  </si>
  <si>
    <t>2044（万元）</t>
  </si>
  <si>
    <t>2045（万元）</t>
  </si>
  <si>
    <t>2046（万元）</t>
  </si>
  <si>
    <t>2047（万元）</t>
  </si>
  <si>
    <t>Ⅴ项目分年度收益表（万元）</t>
  </si>
  <si>
    <t>类别</t>
  </si>
  <si>
    <t>项目收入</t>
  </si>
  <si>
    <t>运营成本</t>
  </si>
  <si>
    <t>项目收益</t>
  </si>
  <si>
    <t>Ⅵ专项债券应付本息情况表（万元）</t>
  </si>
  <si>
    <t>年度</t>
  </si>
  <si>
    <t>本期新增</t>
  </si>
  <si>
    <t>本期偿还</t>
  </si>
  <si>
    <t>期末本金</t>
  </si>
  <si>
    <t>融资利率</t>
  </si>
  <si>
    <t>应付本息</t>
  </si>
  <si>
    <t>VIII债券资金覆盖率压力测试表</t>
  </si>
  <si>
    <t>资金覆盖率-压力测试</t>
  </si>
  <si>
    <t>运营收入变动敏感性分析</t>
  </si>
  <si>
    <t>专项债券本息覆盖倍数</t>
  </si>
  <si>
    <t>运营成本变动敏感性分析</t>
  </si>
  <si>
    <t>债券利率变动敏感新分析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</si>
</sst>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9">
    <numFmt numFmtId="8" formatCode="&quot;￥&quot;#,##0.00;[Red]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);[Red]\(0.00\)"/>
    <numFmt numFmtId="177" formatCode="0.00_ "/>
    <numFmt numFmtId="178" formatCode="0.0000%"/>
    <numFmt numFmtId="179" formatCode="0.000%"/>
  </numFmts>
  <fonts count="36">
    <font>
      <sz val="11"/>
      <color theme="1"/>
      <name val="宋体"/>
      <charset val="134"/>
      <scheme val="minor"/>
    </font>
    <font>
      <b/>
      <sz val="13"/>
      <color theme="0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rgb="FFFF0000"/>
      <name val="微软雅黑"/>
      <charset val="134"/>
    </font>
    <font>
      <b/>
      <sz val="11"/>
      <color rgb="FFFF0000"/>
      <name val="微软雅黑"/>
      <charset val="134"/>
    </font>
    <font>
      <b/>
      <sz val="11"/>
      <color rgb="FF0070C0"/>
      <name val="宋体"/>
      <charset val="134"/>
      <scheme val="minor"/>
    </font>
    <font>
      <b/>
      <sz val="14"/>
      <color theme="0"/>
      <name val="微软雅黑"/>
      <charset val="134"/>
    </font>
    <font>
      <sz val="11"/>
      <name val="微软雅黑"/>
      <charset val="134"/>
    </font>
    <font>
      <b/>
      <sz val="16"/>
      <color theme="0"/>
      <name val="微软雅黑"/>
      <charset val="134"/>
    </font>
    <font>
      <b/>
      <sz val="11"/>
      <color rgb="FF0070C0"/>
      <name val="微软雅黑"/>
      <charset val="134"/>
    </font>
    <font>
      <sz val="10"/>
      <color rgb="FFFF0000"/>
      <name val="微软雅黑"/>
      <charset val="134"/>
    </font>
    <font>
      <sz val="11"/>
      <color theme="1"/>
      <name val="宋体"/>
      <charset val="134"/>
    </font>
    <font>
      <b/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2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C6E6"/>
        <bgColor rgb="FFADC6E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>
      <alignment vertical="center"/>
    </xf>
    <xf numFmtId="44" fontId="0" fillId="0" borderId="0">
      <alignment vertical="center"/>
    </xf>
    <xf numFmtId="9" fontId="0" fillId="0" borderId="0">
      <alignment vertical="center"/>
    </xf>
    <xf numFmtId="41" fontId="0" fillId="0" borderId="0">
      <alignment vertical="center"/>
    </xf>
    <xf numFmtId="42" fontId="0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0" fillId="10" borderId="13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20" fillId="0" borderId="0">
      <alignment vertical="center"/>
    </xf>
    <xf numFmtId="0" fontId="21" fillId="0" borderId="14">
      <alignment vertical="center"/>
    </xf>
    <xf numFmtId="0" fontId="22" fillId="0" borderId="14">
      <alignment vertical="center"/>
    </xf>
    <xf numFmtId="0" fontId="23" fillId="0" borderId="15">
      <alignment vertical="center"/>
    </xf>
    <xf numFmtId="0" fontId="23" fillId="0" borderId="0">
      <alignment vertical="center"/>
    </xf>
    <xf numFmtId="0" fontId="24" fillId="11" borderId="16">
      <alignment vertical="center"/>
    </xf>
    <xf numFmtId="0" fontId="25" fillId="12" borderId="17">
      <alignment vertical="center"/>
    </xf>
    <xf numFmtId="0" fontId="26" fillId="12" borderId="16">
      <alignment vertical="center"/>
    </xf>
    <xf numFmtId="0" fontId="27" fillId="13" borderId="18">
      <alignment vertical="center"/>
    </xf>
    <xf numFmtId="0" fontId="28" fillId="0" borderId="19">
      <alignment vertical="center"/>
    </xf>
    <xf numFmtId="0" fontId="29" fillId="0" borderId="20">
      <alignment vertical="center"/>
    </xf>
    <xf numFmtId="0" fontId="30" fillId="14" borderId="0">
      <alignment vertical="center"/>
    </xf>
    <xf numFmtId="0" fontId="31" fillId="15" borderId="0">
      <alignment vertical="center"/>
    </xf>
    <xf numFmtId="0" fontId="32" fillId="16" borderId="0">
      <alignment vertical="center"/>
    </xf>
    <xf numFmtId="0" fontId="33" fillId="17" borderId="0">
      <alignment vertical="center"/>
    </xf>
    <xf numFmtId="0" fontId="34" fillId="18" borderId="0">
      <alignment vertical="center"/>
    </xf>
    <xf numFmtId="0" fontId="34" fillId="3" borderId="0">
      <alignment vertical="center"/>
    </xf>
    <xf numFmtId="0" fontId="33" fillId="19" borderId="0">
      <alignment vertical="center"/>
    </xf>
    <xf numFmtId="0" fontId="33" fillId="20" borderId="0">
      <alignment vertical="center"/>
    </xf>
    <xf numFmtId="0" fontId="34" fillId="21" borderId="0">
      <alignment vertical="center"/>
    </xf>
    <xf numFmtId="0" fontId="34" fillId="22" borderId="0">
      <alignment vertical="center"/>
    </xf>
    <xf numFmtId="0" fontId="33" fillId="23" borderId="0">
      <alignment vertical="center"/>
    </xf>
    <xf numFmtId="0" fontId="33" fillId="24" borderId="0">
      <alignment vertical="center"/>
    </xf>
    <xf numFmtId="0" fontId="34" fillId="25" borderId="0">
      <alignment vertical="center"/>
    </xf>
    <xf numFmtId="0" fontId="34" fillId="26" borderId="0">
      <alignment vertical="center"/>
    </xf>
    <xf numFmtId="0" fontId="33" fillId="27" borderId="0">
      <alignment vertical="center"/>
    </xf>
    <xf numFmtId="0" fontId="33" fillId="28" borderId="0">
      <alignment vertical="center"/>
    </xf>
    <xf numFmtId="0" fontId="34" fillId="29" borderId="0">
      <alignment vertical="center"/>
    </xf>
    <xf numFmtId="0" fontId="34" fillId="30" borderId="0">
      <alignment vertical="center"/>
    </xf>
    <xf numFmtId="0" fontId="33" fillId="31" borderId="0">
      <alignment vertical="center"/>
    </xf>
    <xf numFmtId="0" fontId="33" fillId="32" borderId="0">
      <alignment vertical="center"/>
    </xf>
    <xf numFmtId="0" fontId="34" fillId="33" borderId="0">
      <alignment vertical="center"/>
    </xf>
    <xf numFmtId="0" fontId="34" fillId="34" borderId="0">
      <alignment vertical="center"/>
    </xf>
    <xf numFmtId="0" fontId="33" fillId="35" borderId="0">
      <alignment vertical="center"/>
    </xf>
    <xf numFmtId="0" fontId="33" fillId="36" borderId="0">
      <alignment vertical="center"/>
    </xf>
    <xf numFmtId="0" fontId="34" fillId="37" borderId="0">
      <alignment vertical="center"/>
    </xf>
    <xf numFmtId="0" fontId="34" fillId="38" borderId="0">
      <alignment vertical="center"/>
    </xf>
    <xf numFmtId="0" fontId="33" fillId="39" borderId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/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/>
    <xf numFmtId="0" fontId="0" fillId="0" borderId="3" xfId="0" applyBorder="1" applyAlignment="1"/>
    <xf numFmtId="0" fontId="2" fillId="3" borderId="1" xfId="0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1" fillId="2" borderId="4" xfId="0" applyFont="1" applyFill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8" xfId="0" applyBorder="1" applyAlignment="1"/>
    <xf numFmtId="0" fontId="5" fillId="3" borderId="6" xfId="0" applyFont="1" applyFill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7" fontId="8" fillId="6" borderId="1" xfId="0" applyNumberFormat="1" applyFont="1" applyFill="1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0" borderId="4" xfId="0" applyBorder="1" applyAlignment="1"/>
    <xf numFmtId="9" fontId="3" fillId="5" borderId="1" xfId="0" applyNumberFormat="1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8" fontId="3" fillId="5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2" fontId="3" fillId="5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10" fontId="4" fillId="6" borderId="1" xfId="0" applyNumberFormat="1" applyFont="1" applyFill="1" applyBorder="1" applyAlignment="1">
      <alignment horizontal="center" vertical="center"/>
    </xf>
    <xf numFmtId="176" fontId="8" fillId="6" borderId="1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3" fillId="6" borderId="5" xfId="0" applyFont="1" applyFill="1" applyBorder="1" applyAlignment="1">
      <alignment vertical="center"/>
    </xf>
    <xf numFmtId="0" fontId="3" fillId="6" borderId="3" xfId="0" applyFont="1" applyFill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7" fillId="7" borderId="1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 wrapText="1"/>
    </xf>
    <xf numFmtId="10" fontId="3" fillId="6" borderId="1" xfId="0" applyNumberFormat="1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/>
    </xf>
    <xf numFmtId="10" fontId="8" fillId="6" borderId="1" xfId="0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 wrapText="1"/>
    </xf>
    <xf numFmtId="10" fontId="8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176" fontId="4" fillId="5" borderId="1" xfId="0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10" fontId="4" fillId="0" borderId="1" xfId="0" applyNumberFormat="1" applyFont="1" applyBorder="1" applyAlignment="1">
      <alignment horizontal="center" vertical="center" wrapText="1"/>
    </xf>
    <xf numFmtId="176" fontId="3" fillId="5" borderId="1" xfId="0" applyNumberFormat="1" applyFont="1" applyFill="1" applyBorder="1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/>
    </xf>
    <xf numFmtId="0" fontId="0" fillId="0" borderId="0" xfId="0" applyAlignment="1"/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/>
    </xf>
    <xf numFmtId="0" fontId="0" fillId="0" borderId="6" xfId="0" applyBorder="1" applyAlignment="1"/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/>
    </xf>
    <xf numFmtId="0" fontId="0" fillId="0" borderId="8" xfId="0" applyBorder="1" applyAlignment="1"/>
    <xf numFmtId="0" fontId="5" fillId="3" borderId="6" xfId="0" applyFont="1" applyFill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12" fillId="0" borderId="0" xfId="0" applyFont="1" applyAlignment="1"/>
    <xf numFmtId="0" fontId="3" fillId="0" borderId="0" xfId="0" applyFont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6" fontId="8" fillId="6" borderId="1" xfId="0" applyNumberFormat="1" applyFont="1" applyFill="1" applyBorder="1" applyAlignment="1">
      <alignment horizontal="center" vertical="center" wrapText="1"/>
    </xf>
    <xf numFmtId="176" fontId="8" fillId="0" borderId="1" xfId="0" applyNumberFormat="1" applyFont="1" applyBorder="1" applyAlignment="1">
      <alignment horizontal="center" vertical="center" wrapText="1"/>
    </xf>
    <xf numFmtId="10" fontId="4" fillId="0" borderId="1" xfId="0" applyNumberFormat="1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8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10" fontId="3" fillId="4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177" fontId="8" fillId="0" borderId="1" xfId="0" applyNumberFormat="1" applyFont="1" applyBorder="1" applyAlignment="1">
      <alignment horizontal="center" vertical="center"/>
    </xf>
    <xf numFmtId="177" fontId="8" fillId="4" borderId="1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1" xfId="0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57" fontId="4" fillId="0" borderId="1" xfId="0" applyNumberFormat="1" applyFont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0" fillId="0" borderId="12" xfId="0" applyBorder="1" applyAlignment="1"/>
    <xf numFmtId="0" fontId="15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178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0" Type="http://schemas.openxmlformats.org/officeDocument/2006/relationships/styles" Target="styles.xml"/><Relationship Id="rId4" Type="http://schemas.openxmlformats.org/officeDocument/2006/relationships/worksheet" Target="worksheets/sheet4.xml"/><Relationship Id="rId39" Type="http://schemas.microsoft.com/office/2006/relationships/vbaProject" Target="vbaProject.bin"/><Relationship Id="rId38" Type="http://schemas.openxmlformats.org/officeDocument/2006/relationships/sharedStrings" Target="sharedStrings.xml"/><Relationship Id="rId37" Type="http://schemas.openxmlformats.org/officeDocument/2006/relationships/theme" Target="theme/theme1.xml"/><Relationship Id="rId36" Type="http://schemas.openxmlformats.org/officeDocument/2006/relationships/externalLink" Target="externalLinks/externalLink2.xml"/><Relationship Id="rId35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8</xdr:col>
          <xdr:colOff>50800</xdr:colOff>
          <xdr:row>4</xdr:row>
          <xdr:rowOff>660400</xdr:rowOff>
        </xdr:to>
        <xdr:sp macro="[0]!ProcessWorkbookForExternalShare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9418320" y="1066800"/>
              <a:ext cx="1685290" cy="5080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400" b="1">
                  <a:solidFill>
                    <a:srgbClr val="FF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生成外发文件</a:t>
              </a:r>
              <a:endParaRPr lang="zh-CN" altLang="en-US" sz="1400" b="1">
                <a:solidFill>
                  <a:srgbClr val="FF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10</xdr:row>
          <xdr:rowOff>63500</xdr:rowOff>
        </xdr:from>
        <xdr:to>
          <xdr:col>7</xdr:col>
          <xdr:colOff>965200</xdr:colOff>
          <xdr:row>11</xdr:row>
          <xdr:rowOff>6350</xdr:rowOff>
        </xdr:to>
        <xdr:sp macro="[0]!Cal_Click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8557260" y="3625850"/>
              <a:ext cx="876300" cy="29908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b="1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计算</a:t>
              </a:r>
              <a:endParaRPr lang="zh-CN" altLang="en-US" b="1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63500</xdr:rowOff>
        </xdr:from>
        <xdr:to>
          <xdr:col>6</xdr:col>
          <xdr:colOff>965200</xdr:colOff>
          <xdr:row>11</xdr:row>
          <xdr:rowOff>12700</xdr:rowOff>
        </xdr:to>
        <xdr:sp macro="[0]!ClearAll_Click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7480300" y="3625850"/>
              <a:ext cx="850900" cy="30543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b="1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清空</a:t>
              </a:r>
              <a:endParaRPr lang="zh-CN" altLang="en-US" b="1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ai&#32534;&#31243;excel\&#32599;&#28246;(0820v5x)%20-%20&#21407;&#29256;(25.%2008.%202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30;&#21153;&#20998;&#26512;&#22871;&#34920;&#33258;&#20570;&#27169;&#26495;&#32534;&#31243;&#2999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财务假设"/>
      <sheetName val="B项目信息"/>
      <sheetName val="C.1项目融资信息"/>
      <sheetName val="C.2项目每年借款信息"/>
      <sheetName val="D.1建设投资"/>
      <sheetName val="D.2项目总投资使用计划与资金筹措表"/>
      <sheetName val="D.3建设投资分年计划表"/>
      <sheetName val="D.4流动资金估算表"/>
      <sheetName val="E总成本费用估算表"/>
      <sheetName val="E.1项目运营期费用"/>
      <sheetName val="E.1.1项目运营期费用(不含税）"/>
      <sheetName val="E.2固定资产折旧费估算表"/>
      <sheetName val="E.3无形资产和其他资产摊销费估算表"/>
      <sheetName val="E.4建设投资税后金额表"/>
      <sheetName val="F项目收入"/>
      <sheetName val="F.1项目单项收入信息"/>
      <sheetName val="G.税金及附加测算表"/>
      <sheetName val="G.1进项增值税率-建设投资"/>
      <sheetName val="G.2进项增值税率-运营成本"/>
      <sheetName val="G.3销项增值税率"/>
      <sheetName val="a.1财务现金流量表"/>
      <sheetName val="a.2项目资本金现金流量表"/>
      <sheetName val="b利润与利润分配表（损益和利润分配表）"/>
      <sheetName val="c借款还本付息计划表"/>
      <sheetName val="d财务计划现金流量表"/>
      <sheetName val="e资产负债表"/>
      <sheetName val="Ⅰ项目投资估算构成表"/>
      <sheetName val="Ⅱ项目分年度资金筹措计划表"/>
      <sheetName val="Ⅲ项目分年度收入合计表"/>
      <sheetName val="Ⅳ项目分年度成本明细表"/>
      <sheetName val="Ⅴ项目分年度收益表"/>
      <sheetName val="Ⅵ专项债券应付本息情况表"/>
      <sheetName val="Ⅶ专项债券资金收益与融资平衡情况表"/>
      <sheetName val="VIII债券资金覆盖率压力测试表"/>
    </sheetNames>
    <sheetDataSet>
      <sheetData sheetId="0">
        <row r="19">
          <cell r="D19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财务假设"/>
      <sheetName val="B项目信息"/>
      <sheetName val="C.1项目融资信息"/>
      <sheetName val="C.2项目每年借款信息"/>
      <sheetName val="D.1建设投资"/>
      <sheetName val="D.2项目总投资使用计划与资金筹措表"/>
      <sheetName val="D.3建设投资分年计划表"/>
      <sheetName val="D.4流动资金估算表"/>
      <sheetName val="E总成本费用估算表"/>
      <sheetName val="E.1项目运营期费用"/>
      <sheetName val="E.1.1项目运营期费用(不含税）"/>
      <sheetName val="E.2固定资产折旧费估算表"/>
      <sheetName val="E.3无形资产和其他资产摊销费估算表"/>
      <sheetName val="E.4建设投资税后金额表"/>
      <sheetName val="F项目收入"/>
      <sheetName val="F.1项目单项收入信息"/>
      <sheetName val="G.税金及附加测算表"/>
      <sheetName val="G.1进项增值税率-建设投资"/>
      <sheetName val="G.2进项增值税率-运营成本"/>
      <sheetName val="G.3销项增值税率"/>
      <sheetName val="a.1财务现金流量表"/>
      <sheetName val="a.2项目资本金现金流量表"/>
      <sheetName val="b利润与利润分配表（损益和利润分配表）"/>
      <sheetName val="c借款还本付息计划表"/>
      <sheetName val="d财务计划现金流量表"/>
      <sheetName val="e资产负债表"/>
      <sheetName val="Ⅰ项目投资估算构成表"/>
      <sheetName val="Ⅱ项目分年度资金筹措计划表"/>
      <sheetName val="Ⅲ项目分年度收入合计表"/>
      <sheetName val="Ⅳ项目分年度成本明细表"/>
      <sheetName val="Ⅴ项目分年度收益表"/>
      <sheetName val="Ⅵ专项债券应付本息情况表"/>
      <sheetName val="Ⅶ专项债券资金收益与融资平衡情况表"/>
      <sheetName val="VIII债券资金覆盖率压力测试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I3">
            <v>0.7</v>
          </cell>
          <cell r="J3">
            <v>0.7</v>
          </cell>
          <cell r="K3">
            <v>0.8</v>
          </cell>
          <cell r="L3">
            <v>0.9</v>
          </cell>
          <cell r="M3">
            <v>1</v>
          </cell>
          <cell r="N3">
            <v>0.8</v>
          </cell>
          <cell r="O3">
            <v>0.7</v>
          </cell>
          <cell r="P3">
            <v>0.7</v>
          </cell>
          <cell r="Q3">
            <v>0.8</v>
          </cell>
          <cell r="R3">
            <v>0.7</v>
          </cell>
          <cell r="S3">
            <v>0.7</v>
          </cell>
          <cell r="T3">
            <v>0.8</v>
          </cell>
          <cell r="U3">
            <v>0.7</v>
          </cell>
          <cell r="V3">
            <v>0.7</v>
          </cell>
          <cell r="W3">
            <v>0.8</v>
          </cell>
          <cell r="X3">
            <v>0.7</v>
          </cell>
          <cell r="Y3">
            <v>0.7</v>
          </cell>
          <cell r="Z3">
            <v>0.8</v>
          </cell>
          <cell r="AA3">
            <v>0.7</v>
          </cell>
          <cell r="AB3">
            <v>0.7</v>
          </cell>
          <cell r="AC3">
            <v>0.7</v>
          </cell>
          <cell r="AD3">
            <v>0.7</v>
          </cell>
          <cell r="AE3">
            <v>0.7</v>
          </cell>
        </row>
        <row r="4">
          <cell r="B4">
            <v>1</v>
          </cell>
          <cell r="C4" t="str">
            <v>场地租金</v>
          </cell>
          <cell r="D4" t="str">
            <v>按面积×租金单价</v>
          </cell>
        </row>
        <row r="4">
          <cell r="G4">
            <v>0</v>
          </cell>
          <cell r="H4">
            <v>0</v>
          </cell>
          <cell r="I4">
            <v>0</v>
          </cell>
          <cell r="J4">
            <v>120</v>
          </cell>
          <cell r="K4">
            <v>160</v>
          </cell>
          <cell r="L4">
            <v>162.4</v>
          </cell>
          <cell r="M4">
            <v>164.836</v>
          </cell>
          <cell r="N4">
            <v>167.30854</v>
          </cell>
          <cell r="O4">
            <v>169.8181681</v>
          </cell>
          <cell r="P4">
            <v>172.3654406215</v>
          </cell>
          <cell r="Q4">
            <v>174.950922230822</v>
          </cell>
          <cell r="R4">
            <v>177.575186064285</v>
          </cell>
          <cell r="S4">
            <v>180.238813855249</v>
          </cell>
          <cell r="T4">
            <v>182.942396063078</v>
          </cell>
          <cell r="U4">
            <v>185.686532004024</v>
          </cell>
          <cell r="V4">
            <v>188.471829984084</v>
          </cell>
          <cell r="W4">
            <v>191.298907433845</v>
          </cell>
          <cell r="X4">
            <v>194.168391045353</v>
          </cell>
          <cell r="Y4">
            <v>197.080916911033</v>
          </cell>
          <cell r="Z4">
            <v>200.037130664699</v>
          </cell>
          <cell r="AA4">
            <v>203.037687624669</v>
          </cell>
          <cell r="AB4">
            <v>206.083252939039</v>
          </cell>
          <cell r="AC4">
            <v>209.174501733125</v>
          </cell>
          <cell r="AD4">
            <v>212.312119259122</v>
          </cell>
          <cell r="AE4">
            <v>215.496801048009</v>
          </cell>
        </row>
        <row r="5">
          <cell r="B5">
            <v>2</v>
          </cell>
          <cell r="C5" t="str">
            <v>场地日常维护（停机坪/起降场/交通枢纽/飞行营地/指挥中心等）</v>
          </cell>
          <cell r="D5" t="str">
            <v>按面积 × 单位维护单价（元 / ㎡・年）</v>
          </cell>
        </row>
        <row r="6">
          <cell r="B6">
            <v>3</v>
          </cell>
          <cell r="C6" t="str">
            <v>消防设施年检</v>
          </cell>
          <cell r="D6" t="str">
            <v>按设备数量 × 单台年检费（元 / 台・次）</v>
          </cell>
        </row>
        <row r="7">
          <cell r="B7">
            <v>4</v>
          </cell>
          <cell r="C7" t="str">
            <v>防鸟措施（驱鸟器维护）</v>
          </cell>
          <cell r="D7" t="str">
            <v>按套数 × 年费（元 / 套・年）+ 耗材费（如驱鸟剂）</v>
          </cell>
        </row>
        <row r="8">
          <cell r="B8">
            <v>5</v>
          </cell>
          <cell r="C8" t="str">
            <v>飞行器能耗</v>
          </cell>
          <cell r="D8" t="str">
            <v>按电耗或油耗计算</v>
          </cell>
        </row>
        <row r="9">
          <cell r="B9">
            <v>6</v>
          </cell>
          <cell r="C9" t="str">
            <v>核心设备电力能耗</v>
          </cell>
          <cell r="D9" t="str">
            <v>按实际用电量 × 电价（元 / 千瓦 时）</v>
          </cell>
        </row>
        <row r="10">
          <cell r="B10">
            <v>7</v>
          </cell>
          <cell r="C10" t="str">
            <v>水电能耗</v>
          </cell>
          <cell r="D10" t="str">
            <v>按面积估算</v>
          </cell>
        </row>
        <row r="10">
          <cell r="G10">
            <v>0</v>
          </cell>
          <cell r="H10">
            <v>0</v>
          </cell>
          <cell r="I10">
            <v>0</v>
          </cell>
          <cell r="J10">
            <v>10</v>
          </cell>
          <cell r="K10">
            <v>10</v>
          </cell>
          <cell r="L10">
            <v>10.15</v>
          </cell>
          <cell r="M10">
            <v>10.30225</v>
          </cell>
          <cell r="N10">
            <v>10.45678375</v>
          </cell>
          <cell r="O10">
            <v>10.61363550625</v>
          </cell>
          <cell r="P10">
            <v>10.7728400388437</v>
          </cell>
          <cell r="Q10">
            <v>10.9344326394264</v>
          </cell>
          <cell r="R10">
            <v>11.0984491290178</v>
          </cell>
          <cell r="S10">
            <v>11.2649258659531</v>
          </cell>
          <cell r="T10">
            <v>11.4338997539424</v>
          </cell>
          <cell r="U10">
            <v>11.6054082502515</v>
          </cell>
          <cell r="V10">
            <v>11.7794893740053</v>
          </cell>
          <cell r="W10">
            <v>11.9561817146153</v>
          </cell>
          <cell r="X10">
            <v>12.1355244403346</v>
          </cell>
          <cell r="Y10">
            <v>12.3175573069396</v>
          </cell>
          <cell r="Z10">
            <v>12.5023206665437</v>
          </cell>
          <cell r="AA10">
            <v>12.6898554765418</v>
          </cell>
          <cell r="AB10">
            <v>12.88020330869</v>
          </cell>
          <cell r="AC10">
            <v>13.0734063583203</v>
          </cell>
          <cell r="AD10">
            <v>13.2695074536951</v>
          </cell>
          <cell r="AE10">
            <v>13.4685500655005</v>
          </cell>
        </row>
        <row r="11">
          <cell r="B11">
            <v>8</v>
          </cell>
          <cell r="C11" t="str">
            <v>网络通信费用</v>
          </cell>
          <cell r="D11" t="str">
            <v>按年计算租金</v>
          </cell>
        </row>
        <row r="11">
          <cell r="G11">
            <v>0</v>
          </cell>
          <cell r="H11">
            <v>0</v>
          </cell>
          <cell r="I11">
            <v>0</v>
          </cell>
          <cell r="J11">
            <v>10</v>
          </cell>
          <cell r="K11">
            <v>10</v>
          </cell>
          <cell r="L11">
            <v>10.15</v>
          </cell>
          <cell r="M11">
            <v>10.30225</v>
          </cell>
          <cell r="N11">
            <v>10.45678375</v>
          </cell>
          <cell r="O11">
            <v>10.61363550625</v>
          </cell>
          <cell r="P11">
            <v>10.7728400388437</v>
          </cell>
          <cell r="Q11">
            <v>10.9344326394264</v>
          </cell>
          <cell r="R11">
            <v>11.0984491290178</v>
          </cell>
          <cell r="S11">
            <v>11.2649258659531</v>
          </cell>
          <cell r="T11">
            <v>11.4338997539424</v>
          </cell>
          <cell r="U11">
            <v>11.6054082502515</v>
          </cell>
          <cell r="V11">
            <v>11.7794893740053</v>
          </cell>
          <cell r="W11">
            <v>11.9561817146153</v>
          </cell>
          <cell r="X11">
            <v>12.1355244403346</v>
          </cell>
          <cell r="Y11">
            <v>12.3175573069396</v>
          </cell>
          <cell r="Z11">
            <v>12.5023206665437</v>
          </cell>
          <cell r="AA11">
            <v>12.6898554765418</v>
          </cell>
          <cell r="AB11">
            <v>12.88020330869</v>
          </cell>
          <cell r="AC11">
            <v>13.0734063583203</v>
          </cell>
          <cell r="AD11">
            <v>13.2695074536951</v>
          </cell>
          <cell r="AE11">
            <v>13.4685500655005</v>
          </cell>
        </row>
        <row r="12">
          <cell r="B12">
            <v>9</v>
          </cell>
          <cell r="C12" t="str">
            <v>硬件设备维护</v>
          </cell>
          <cell r="D12" t="str">
            <v>按照固定资产15%计算</v>
          </cell>
        </row>
        <row r="12">
          <cell r="G12">
            <v>0</v>
          </cell>
          <cell r="H12">
            <v>0</v>
          </cell>
          <cell r="I12">
            <v>0</v>
          </cell>
          <cell r="J12">
            <v>361.575</v>
          </cell>
          <cell r="K12">
            <v>482.1</v>
          </cell>
          <cell r="L12">
            <v>489.3315</v>
          </cell>
          <cell r="M12">
            <v>496.6714725</v>
          </cell>
          <cell r="N12">
            <v>504.1215445875</v>
          </cell>
          <cell r="O12">
            <v>511.683367756312</v>
          </cell>
          <cell r="P12">
            <v>519.358618272657</v>
          </cell>
          <cell r="Q12">
            <v>527.148997546747</v>
          </cell>
          <cell r="R12">
            <v>535.056232509948</v>
          </cell>
          <cell r="S12">
            <v>543.082075997597</v>
          </cell>
          <cell r="T12">
            <v>551.228307137561</v>
          </cell>
          <cell r="U12">
            <v>559.496731744624</v>
          </cell>
          <cell r="V12">
            <v>567.889182720794</v>
          </cell>
          <cell r="W12">
            <v>576.407520461605</v>
          </cell>
          <cell r="X12">
            <v>585.05363326853</v>
          </cell>
          <cell r="Y12">
            <v>593.829437767557</v>
          </cell>
          <cell r="Z12">
            <v>602.736879334071</v>
          </cell>
          <cell r="AA12">
            <v>611.777932524082</v>
          </cell>
          <cell r="AB12">
            <v>620.954601511943</v>
          </cell>
          <cell r="AC12">
            <v>630.268920534622</v>
          </cell>
          <cell r="AD12">
            <v>639.722954342641</v>
          </cell>
          <cell r="AE12">
            <v>649.318798657781</v>
          </cell>
        </row>
        <row r="13">
          <cell r="B13">
            <v>10</v>
          </cell>
          <cell r="C13" t="str">
            <v>备品备件储备</v>
          </cell>
          <cell r="D13" t="str">
            <v>按年度设备维护预算 × 储备比例 （10%-20%）</v>
          </cell>
        </row>
        <row r="14">
          <cell r="B14">
            <v>11</v>
          </cell>
          <cell r="C14" t="str">
            <v>软件维护</v>
          </cell>
          <cell r="D14" t="str">
            <v>按无形资产造价的20%计算</v>
          </cell>
        </row>
        <row r="15">
          <cell r="B15">
            <v>12</v>
          </cell>
          <cell r="C15" t="str">
            <v>营销及活动</v>
          </cell>
          <cell r="D15" t="str">
            <v>按年平均营业收入的2%计算</v>
          </cell>
        </row>
        <row r="16">
          <cell r="B16">
            <v>13</v>
          </cell>
          <cell r="C16" t="str">
            <v>人员薪酬</v>
          </cell>
          <cell r="D16" t="str">
            <v>按岗位月薪 ×12 + 福利（月薪 ×20%-30%）</v>
          </cell>
        </row>
        <row r="16">
          <cell r="G16">
            <v>0</v>
          </cell>
          <cell r="H16">
            <v>0</v>
          </cell>
          <cell r="I16">
            <v>0</v>
          </cell>
          <cell r="J16">
            <v>60</v>
          </cell>
          <cell r="K16">
            <v>60</v>
          </cell>
          <cell r="L16">
            <v>60.9</v>
          </cell>
          <cell r="M16">
            <v>61.8135</v>
          </cell>
          <cell r="N16">
            <v>62.7407025</v>
          </cell>
          <cell r="O16">
            <v>63.6818130375</v>
          </cell>
          <cell r="P16">
            <v>64.6370402330625</v>
          </cell>
          <cell r="Q16">
            <v>65.6065958365584</v>
          </cell>
          <cell r="R16">
            <v>66.5906947741068</v>
          </cell>
          <cell r="S16">
            <v>67.5895551957184</v>
          </cell>
          <cell r="T16">
            <v>68.6033985236541</v>
          </cell>
          <cell r="U16">
            <v>69.6324495015089</v>
          </cell>
          <cell r="V16">
            <v>70.6769362440316</v>
          </cell>
          <cell r="W16">
            <v>71.737090287692</v>
          </cell>
          <cell r="X16">
            <v>72.8131466420074</v>
          </cell>
          <cell r="Y16">
            <v>73.9053438416375</v>
          </cell>
          <cell r="Z16">
            <v>75.0139239992621</v>
          </cell>
          <cell r="AA16">
            <v>76.139132859251</v>
          </cell>
          <cell r="AB16">
            <v>77.2812198521398</v>
          </cell>
          <cell r="AC16">
            <v>78.4404381499218</v>
          </cell>
          <cell r="AD16">
            <v>79.6170447221707</v>
          </cell>
          <cell r="AE16">
            <v>80.8113003930032</v>
          </cell>
        </row>
        <row r="17">
          <cell r="B17">
            <v>14</v>
          </cell>
          <cell r="C17" t="str">
            <v>培训与资质认证</v>
          </cell>
          <cell r="D17" t="str">
            <v>按人次 × 人均培训费（元 / 人 次）</v>
          </cell>
        </row>
        <row r="18">
          <cell r="B18">
            <v>15</v>
          </cell>
          <cell r="C18" t="str">
            <v>办公与行政支出</v>
          </cell>
          <cell r="D18" t="str">
            <v>按人员数量 × 人均办公费（元 / 人・月）</v>
          </cell>
        </row>
        <row r="19">
          <cell r="B19">
            <v>16</v>
          </cell>
          <cell r="C19" t="str">
            <v>空域使用审批费</v>
          </cell>
          <cell r="D19" t="str">
            <v>按空域面积 × 年费率（元 / 平方 公里・年）</v>
          </cell>
        </row>
        <row r="20">
          <cell r="B20">
            <v>17</v>
          </cell>
          <cell r="C20" t="str">
            <v>场地责任险</v>
          </cell>
          <cell r="D20" t="str">
            <v>按保额 × 保险费率（年费率 0.1%-0.3%）</v>
          </cell>
        </row>
        <row r="21">
          <cell r="B21">
            <v>18</v>
          </cell>
          <cell r="C21" t="str">
            <v>安全演练与应急处置</v>
          </cell>
          <cell r="D21" t="str">
            <v>按次数 × 单次演练成本（元 / 次）</v>
          </cell>
        </row>
        <row r="22">
          <cell r="B22">
            <v>19</v>
          </cell>
          <cell r="C22" t="str">
            <v>第三方安全评估</v>
          </cell>
          <cell r="D22" t="str">
            <v>按项目投资额 × 评估费率 （0.1%-0.3%）</v>
          </cell>
        </row>
        <row r="23">
          <cell r="B23">
            <v>20</v>
          </cell>
          <cell r="C23" t="str">
            <v>不可预见支出</v>
          </cell>
          <cell r="D23" t="str">
            <v>按年度总成本 × 计提比例 （5%-10%）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C3">
            <v>0.09</v>
          </cell>
        </row>
        <row r="4">
          <cell r="C4">
            <v>0.06</v>
          </cell>
        </row>
        <row r="5">
          <cell r="C5">
            <v>0.06</v>
          </cell>
        </row>
        <row r="6">
          <cell r="C6">
            <v>0.06</v>
          </cell>
        </row>
        <row r="7">
          <cell r="C7">
            <v>0.13</v>
          </cell>
        </row>
        <row r="8">
          <cell r="C8">
            <v>0.13</v>
          </cell>
        </row>
        <row r="9">
          <cell r="C9">
            <v>0.09</v>
          </cell>
        </row>
        <row r="10">
          <cell r="C10">
            <v>0.09</v>
          </cell>
        </row>
        <row r="11">
          <cell r="C11">
            <v>0.13</v>
          </cell>
        </row>
        <row r="12">
          <cell r="C12">
            <v>0.13</v>
          </cell>
        </row>
        <row r="13">
          <cell r="C13">
            <v>0.06</v>
          </cell>
        </row>
        <row r="14">
          <cell r="C14">
            <v>0.06</v>
          </cell>
        </row>
        <row r="15">
          <cell r="C15">
            <v>0</v>
          </cell>
        </row>
        <row r="16">
          <cell r="C16">
            <v>0.06</v>
          </cell>
        </row>
        <row r="17">
          <cell r="C17">
            <v>0.13</v>
          </cell>
        </row>
        <row r="18">
          <cell r="C18">
            <v>0</v>
          </cell>
        </row>
        <row r="19">
          <cell r="C19">
            <v>0.06</v>
          </cell>
        </row>
        <row r="20">
          <cell r="C20">
            <v>0.06</v>
          </cell>
        </row>
        <row r="21">
          <cell r="C21">
            <v>0.06</v>
          </cell>
        </row>
        <row r="22">
          <cell r="C22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  <pageSetUpPr fitToPage="1"/>
  </sheetPr>
  <dimension ref="A1:D21"/>
  <sheetViews>
    <sheetView zoomScale="65" zoomScaleNormal="65" workbookViewId="0">
      <selection activeCell="I9" sqref="I9"/>
    </sheetView>
  </sheetViews>
  <sheetFormatPr defaultColWidth="8.89090909090909" defaultRowHeight="30" customHeight="1" outlineLevelCol="3"/>
  <cols>
    <col min="2" max="2" width="30.3363636363636" style="1" customWidth="1"/>
    <col min="3" max="3" width="70.6636363636364" style="1" customWidth="1"/>
    <col min="4" max="4" width="12.7818181818182" style="1" customWidth="1"/>
    <col min="9" max="9" width="29.2181818181818" style="1" customWidth="1"/>
  </cols>
  <sheetData>
    <row r="1" s="98" customFormat="1" ht="22.5" customHeight="1" spans="1:4">
      <c r="A1" s="144" t="s">
        <v>0</v>
      </c>
      <c r="D1" s="145"/>
    </row>
    <row r="2" s="98" customFormat="1" ht="16.5" customHeight="1" spans="1:4">
      <c r="A2" s="146" t="s">
        <v>1</v>
      </c>
      <c r="B2" s="146" t="s">
        <v>2</v>
      </c>
      <c r="C2" s="146" t="s">
        <v>3</v>
      </c>
      <c r="D2" s="146" t="s">
        <v>4</v>
      </c>
    </row>
    <row r="3" s="98" customFormat="1" ht="16.5" customHeight="1" spans="1:4">
      <c r="A3" s="8">
        <v>1</v>
      </c>
      <c r="B3" s="8" t="s">
        <v>5</v>
      </c>
      <c r="C3" s="8" t="s">
        <v>6</v>
      </c>
      <c r="D3" s="61" t="s">
        <v>7</v>
      </c>
    </row>
    <row r="4" s="98" customFormat="1" ht="16.5" customHeight="1" spans="1:4">
      <c r="A4" s="8">
        <v>2</v>
      </c>
      <c r="B4" s="8" t="s">
        <v>8</v>
      </c>
      <c r="C4" s="8" t="s">
        <v>6</v>
      </c>
      <c r="D4" s="61" t="s">
        <v>7</v>
      </c>
    </row>
    <row r="5" s="98" customFormat="1" ht="78" customHeight="1" spans="1:4">
      <c r="A5" s="8">
        <v>3</v>
      </c>
      <c r="B5" s="8" t="s">
        <v>9</v>
      </c>
      <c r="C5" s="64" t="s">
        <v>10</v>
      </c>
      <c r="D5" s="61" t="s">
        <v>7</v>
      </c>
    </row>
    <row r="6" s="98" customFormat="1" ht="55.05" customHeight="1" spans="1:4">
      <c r="A6" s="8">
        <v>4</v>
      </c>
      <c r="B6" s="8" t="s">
        <v>11</v>
      </c>
      <c r="C6" s="36" t="s">
        <v>12</v>
      </c>
      <c r="D6" s="61" t="s">
        <v>13</v>
      </c>
    </row>
    <row r="7" s="98" customFormat="1" ht="16.5" customHeight="1" spans="1:4">
      <c r="A7" s="8">
        <v>5</v>
      </c>
      <c r="B7" s="8" t="s">
        <v>14</v>
      </c>
      <c r="C7" s="8" t="s">
        <v>15</v>
      </c>
      <c r="D7" s="61" t="s">
        <v>16</v>
      </c>
    </row>
    <row r="8" s="98" customFormat="1" ht="16.5" customHeight="1" spans="1:4">
      <c r="A8" s="8">
        <v>6</v>
      </c>
      <c r="B8" s="8" t="s">
        <v>17</v>
      </c>
      <c r="C8" s="8" t="s">
        <v>15</v>
      </c>
      <c r="D8" s="61" t="s">
        <v>18</v>
      </c>
    </row>
    <row r="9" s="98" customFormat="1" ht="16.5" customHeight="1" spans="1:4">
      <c r="A9" s="8">
        <v>7</v>
      </c>
      <c r="B9" s="8" t="s">
        <v>19</v>
      </c>
      <c r="C9" s="8" t="s">
        <v>20</v>
      </c>
      <c r="D9" s="61" t="s">
        <v>21</v>
      </c>
    </row>
    <row r="10" s="98" customFormat="1" ht="16.5" customHeight="1" spans="1:4">
      <c r="A10" s="8">
        <v>8</v>
      </c>
      <c r="B10" s="8" t="s">
        <v>22</v>
      </c>
      <c r="C10" s="8" t="s">
        <v>23</v>
      </c>
      <c r="D10" s="61" t="s">
        <v>24</v>
      </c>
    </row>
    <row r="11" s="98" customFormat="1" ht="16.5" customHeight="1" spans="1:4">
      <c r="A11" s="8">
        <v>9</v>
      </c>
      <c r="B11" s="8" t="s">
        <v>25</v>
      </c>
      <c r="C11" s="8" t="s">
        <v>26</v>
      </c>
      <c r="D11" s="61" t="s">
        <v>27</v>
      </c>
    </row>
    <row r="12" s="98" customFormat="1" ht="16.5" customHeight="1" spans="1:4">
      <c r="A12" s="8">
        <v>10</v>
      </c>
      <c r="B12" s="8" t="s">
        <v>28</v>
      </c>
      <c r="C12" s="8" t="s">
        <v>29</v>
      </c>
      <c r="D12" s="61" t="s">
        <v>27</v>
      </c>
    </row>
    <row r="13" s="98" customFormat="1" ht="16.5" customHeight="1" spans="1:4">
      <c r="A13" s="8">
        <v>11</v>
      </c>
      <c r="B13" s="8" t="s">
        <v>30</v>
      </c>
      <c r="C13" s="8" t="s">
        <v>31</v>
      </c>
      <c r="D13" s="61" t="s">
        <v>32</v>
      </c>
    </row>
    <row r="14" ht="61.95" customHeight="1" spans="1:4">
      <c r="A14" s="8">
        <v>12</v>
      </c>
      <c r="B14" s="8" t="s">
        <v>33</v>
      </c>
      <c r="C14" s="64" t="s">
        <v>34</v>
      </c>
      <c r="D14" s="61" t="s">
        <v>7</v>
      </c>
    </row>
    <row r="15" ht="34.95" customHeight="1" spans="1:4">
      <c r="A15" s="55">
        <v>13</v>
      </c>
      <c r="B15" s="55" t="s">
        <v>35</v>
      </c>
      <c r="C15" s="36" t="s">
        <v>36</v>
      </c>
      <c r="D15" s="13" t="s">
        <v>37</v>
      </c>
    </row>
    <row r="16" ht="33" customHeight="1" spans="1:4">
      <c r="A16" s="55">
        <v>14</v>
      </c>
      <c r="B16" s="147" t="s">
        <v>38</v>
      </c>
      <c r="C16" s="36" t="s">
        <v>39</v>
      </c>
      <c r="D16" s="13" t="s">
        <v>40</v>
      </c>
    </row>
    <row r="17" ht="16.5" customHeight="1" spans="1:4">
      <c r="A17" s="55">
        <v>15</v>
      </c>
      <c r="B17" s="8" t="s">
        <v>41</v>
      </c>
      <c r="C17" s="8" t="s">
        <v>42</v>
      </c>
      <c r="D17" s="148" t="s">
        <v>43</v>
      </c>
    </row>
    <row r="18" ht="16.5" customHeight="1" spans="1:4">
      <c r="A18" s="55">
        <v>16</v>
      </c>
      <c r="B18" s="8" t="s">
        <v>44</v>
      </c>
      <c r="C18" s="8" t="s">
        <v>45</v>
      </c>
      <c r="D18" s="149" t="s">
        <v>46</v>
      </c>
    </row>
    <row r="19" ht="16.5" customHeight="1" spans="1:4">
      <c r="A19" s="55">
        <v>17</v>
      </c>
      <c r="B19" s="8" t="s">
        <v>47</v>
      </c>
      <c r="C19" s="8" t="s">
        <v>48</v>
      </c>
      <c r="D19" s="13" t="s">
        <v>27</v>
      </c>
    </row>
    <row r="20" ht="16.5" customHeight="1" spans="1:4">
      <c r="A20" s="55">
        <v>18</v>
      </c>
      <c r="B20" s="8" t="s">
        <v>49</v>
      </c>
      <c r="C20" s="8" t="s">
        <v>48</v>
      </c>
      <c r="D20" s="13" t="s">
        <v>27</v>
      </c>
    </row>
    <row r="21" ht="16.5" customHeight="1" spans="1:4">
      <c r="A21" s="55">
        <v>19</v>
      </c>
      <c r="B21" s="8" t="s">
        <v>50</v>
      </c>
      <c r="C21" s="8" t="s">
        <v>48</v>
      </c>
      <c r="D21" s="13" t="s">
        <v>24</v>
      </c>
    </row>
  </sheetData>
  <mergeCells count="1">
    <mergeCell ref="A1:D1"/>
  </mergeCells>
  <pageMargins left="0.75" right="0.75" top="1" bottom="1" header="0.5" footer="0.5"/>
  <pageSetup paperSize="9" scale="44" fitToHeight="0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name="Button 1" r:id="rId3">
              <controlPr print="0" defaultSize="0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8</xdr:col>
                    <xdr:colOff>50800</xdr:colOff>
                    <xdr:row>4</xdr:row>
                    <xdr:rowOff>660400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</sheetPr>
  <dimension ref="A1:E20"/>
  <sheetViews>
    <sheetView zoomScale="70" zoomScaleNormal="70" workbookViewId="0">
      <selection activeCell="D6" sqref="D6"/>
    </sheetView>
  </sheetViews>
  <sheetFormatPr defaultColWidth="8.89090909090909" defaultRowHeight="28.05" customHeight="1" outlineLevelCol="4"/>
  <cols>
    <col min="2" max="2" width="22.6636363636364" style="1" customWidth="1"/>
    <col min="3" max="3" width="58.4454545454545" style="1" customWidth="1"/>
    <col min="4" max="4" width="17.1090909090909" style="1" customWidth="1"/>
    <col min="5" max="5" width="29.8909090909091" style="1" customWidth="1"/>
  </cols>
  <sheetData>
    <row r="1" customHeight="1" spans="1:4">
      <c r="A1" s="53" t="s">
        <v>51</v>
      </c>
      <c r="B1" s="3"/>
      <c r="C1" s="3"/>
      <c r="D1" s="4"/>
    </row>
    <row r="2" customHeight="1" spans="1:4">
      <c r="A2" s="142" t="s">
        <v>1</v>
      </c>
      <c r="B2" s="142" t="s">
        <v>2</v>
      </c>
      <c r="C2" s="142" t="s">
        <v>3</v>
      </c>
      <c r="D2" s="142" t="s">
        <v>52</v>
      </c>
    </row>
    <row r="3" customHeight="1" spans="1:4">
      <c r="A3" s="143">
        <v>1</v>
      </c>
      <c r="B3" s="143" t="s">
        <v>53</v>
      </c>
      <c r="C3" s="47"/>
      <c r="D3" s="47"/>
    </row>
    <row r="4" customHeight="1" spans="1:4">
      <c r="A4" s="8">
        <v>1.1</v>
      </c>
      <c r="B4" s="8" t="s">
        <v>54</v>
      </c>
      <c r="C4" s="141" t="s">
        <v>55</v>
      </c>
      <c r="D4" s="141">
        <v>45901</v>
      </c>
    </row>
    <row r="5" customHeight="1" spans="1:4">
      <c r="A5" s="8">
        <v>1.2</v>
      </c>
      <c r="B5" s="8" t="s">
        <v>56</v>
      </c>
      <c r="C5" s="141" t="s">
        <v>57</v>
      </c>
      <c r="D5" s="141">
        <v>46022</v>
      </c>
    </row>
    <row r="6" customHeight="1" spans="1:4">
      <c r="A6" s="8">
        <v>1.3</v>
      </c>
      <c r="B6" s="8" t="s">
        <v>58</v>
      </c>
      <c r="C6" s="41" t="s">
        <v>59</v>
      </c>
      <c r="D6" s="71">
        <v>4</v>
      </c>
    </row>
    <row r="7" customHeight="1" spans="1:4">
      <c r="A7" s="8">
        <v>1.4</v>
      </c>
      <c r="B7" s="8" t="s">
        <v>60</v>
      </c>
      <c r="C7" s="8" t="s">
        <v>61</v>
      </c>
      <c r="D7" s="141">
        <f>D5+31</f>
        <v>46053</v>
      </c>
    </row>
    <row r="8" customHeight="1" spans="1:5">
      <c r="A8" s="8">
        <v>1.5</v>
      </c>
      <c r="B8" s="8" t="s">
        <v>62</v>
      </c>
      <c r="C8" s="8" t="s">
        <v>63</v>
      </c>
      <c r="D8" s="11">
        <v>22</v>
      </c>
      <c r="E8" s="33" t="s">
        <v>64</v>
      </c>
    </row>
    <row r="9" customHeight="1" spans="1:4">
      <c r="A9" s="143">
        <v>2</v>
      </c>
      <c r="B9" s="143" t="s">
        <v>65</v>
      </c>
      <c r="C9" s="47"/>
      <c r="D9" s="143"/>
    </row>
    <row r="10" customHeight="1" spans="1:4">
      <c r="A10" s="8">
        <v>2.1</v>
      </c>
      <c r="B10" s="8" t="s">
        <v>54</v>
      </c>
      <c r="C10" s="141" t="s">
        <v>55</v>
      </c>
      <c r="D10" s="141">
        <v>46023</v>
      </c>
    </row>
    <row r="11" customHeight="1" spans="1:4">
      <c r="A11" s="8">
        <v>2.2</v>
      </c>
      <c r="B11" s="8" t="s">
        <v>56</v>
      </c>
      <c r="C11" s="141" t="s">
        <v>57</v>
      </c>
      <c r="D11" s="141">
        <v>46387</v>
      </c>
    </row>
    <row r="12" customHeight="1" spans="1:4">
      <c r="A12" s="8">
        <v>2.3</v>
      </c>
      <c r="B12" s="8" t="s">
        <v>58</v>
      </c>
      <c r="C12" s="41" t="s">
        <v>59</v>
      </c>
      <c r="D12" s="71">
        <v>12</v>
      </c>
    </row>
    <row r="13" customHeight="1" spans="1:4">
      <c r="A13" s="8">
        <v>2.4</v>
      </c>
      <c r="B13" s="8" t="s">
        <v>60</v>
      </c>
      <c r="C13" s="8" t="s">
        <v>61</v>
      </c>
      <c r="D13" s="141">
        <f>D11+31</f>
        <v>46418</v>
      </c>
    </row>
    <row r="14" customHeight="1" spans="1:5">
      <c r="A14" s="8">
        <v>2.5</v>
      </c>
      <c r="B14" s="8" t="s">
        <v>62</v>
      </c>
      <c r="C14" s="8" t="s">
        <v>63</v>
      </c>
      <c r="D14" s="11">
        <v>21</v>
      </c>
      <c r="E14" s="33" t="s">
        <v>64</v>
      </c>
    </row>
    <row r="15" customHeight="1" spans="1:4">
      <c r="A15" s="143">
        <v>3</v>
      </c>
      <c r="B15" s="143" t="s">
        <v>66</v>
      </c>
      <c r="C15" s="47"/>
      <c r="D15" s="143"/>
    </row>
    <row r="16" customHeight="1" spans="1:4">
      <c r="A16" s="8">
        <v>3.1</v>
      </c>
      <c r="B16" s="8" t="s">
        <v>54</v>
      </c>
      <c r="C16" s="141" t="s">
        <v>55</v>
      </c>
      <c r="D16" s="141">
        <v>46388</v>
      </c>
    </row>
    <row r="17" customHeight="1" spans="1:4">
      <c r="A17" s="8">
        <v>3.2</v>
      </c>
      <c r="B17" s="8" t="s">
        <v>56</v>
      </c>
      <c r="C17" s="141" t="s">
        <v>57</v>
      </c>
      <c r="D17" s="141">
        <v>46752</v>
      </c>
    </row>
    <row r="18" customHeight="1" spans="1:4">
      <c r="A18" s="8">
        <v>3.3</v>
      </c>
      <c r="B18" s="8" t="s">
        <v>58</v>
      </c>
      <c r="C18" s="41" t="s">
        <v>59</v>
      </c>
      <c r="D18" s="71">
        <v>12</v>
      </c>
    </row>
    <row r="19" customHeight="1" spans="1:4">
      <c r="A19" s="8">
        <v>3.4</v>
      </c>
      <c r="B19" s="8" t="s">
        <v>60</v>
      </c>
      <c r="C19" s="8" t="s">
        <v>61</v>
      </c>
      <c r="D19" s="141">
        <f>D17+31</f>
        <v>46783</v>
      </c>
    </row>
    <row r="20" customHeight="1" spans="1:5">
      <c r="A20" s="8">
        <v>3.5</v>
      </c>
      <c r="B20" s="8" t="s">
        <v>62</v>
      </c>
      <c r="C20" s="8" t="s">
        <v>63</v>
      </c>
      <c r="D20" s="11">
        <v>20</v>
      </c>
      <c r="E20" s="33" t="s">
        <v>64</v>
      </c>
    </row>
  </sheetData>
  <mergeCells count="1">
    <mergeCell ref="A1:D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FF00"/>
  </sheetPr>
  <dimension ref="A1:N6"/>
  <sheetViews>
    <sheetView zoomScale="80" zoomScaleNormal="80" workbookViewId="0">
      <selection activeCell="G12" sqref="G12"/>
    </sheetView>
  </sheetViews>
  <sheetFormatPr defaultColWidth="8.89090909090909" defaultRowHeight="28.05" customHeight="1" outlineLevelRow="5"/>
  <cols>
    <col min="1" max="1" width="7.78181818181818" style="1" customWidth="1"/>
    <col min="2" max="2" width="9.55454545454545" style="1" customWidth="1"/>
    <col min="3" max="3" width="16.5545454545455" style="1" customWidth="1"/>
    <col min="4" max="4" width="15.6636363636364" style="1" customWidth="1"/>
    <col min="5" max="5" width="11.3363636363636" style="1" customWidth="1"/>
    <col min="6" max="6" width="12.7818181818182" style="1" customWidth="1"/>
    <col min="7" max="7" width="21.7818181818182" style="1" customWidth="1"/>
    <col min="8" max="8" width="21.8909090909091" style="1" customWidth="1"/>
    <col min="9" max="9" width="28.6636363636364" style="1" customWidth="1"/>
    <col min="10" max="10" width="13.7818181818182" style="1" hidden="1" customWidth="1"/>
    <col min="11" max="11" width="34.8909090909091" style="1" customWidth="1"/>
    <col min="12" max="12" width="23.2181818181818" style="1" customWidth="1"/>
    <col min="13" max="13" width="26" style="1" customWidth="1"/>
    <col min="15" max="15" width="18.8909090909091" style="1" customWidth="1"/>
  </cols>
  <sheetData>
    <row r="1" s="45" customFormat="1" ht="22.5" customHeight="1" spans="1:13">
      <c r="A1" s="53" t="s">
        <v>67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4"/>
    </row>
    <row r="2" s="45" customFormat="1" ht="40.05" customHeight="1" spans="1:13">
      <c r="A2" s="5" t="s">
        <v>1</v>
      </c>
      <c r="B2" s="5" t="s">
        <v>68</v>
      </c>
      <c r="C2" s="5" t="s">
        <v>69</v>
      </c>
      <c r="D2" s="140" t="s">
        <v>70</v>
      </c>
      <c r="E2" s="5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140" t="s">
        <v>78</v>
      </c>
      <c r="M2" s="140" t="s">
        <v>79</v>
      </c>
    </row>
    <row r="3" s="45" customFormat="1" ht="82.5" customHeight="1" spans="1:13">
      <c r="A3" s="47"/>
      <c r="B3" s="47"/>
      <c r="C3" s="132" t="s">
        <v>80</v>
      </c>
      <c r="D3" s="47"/>
      <c r="E3" s="47"/>
      <c r="F3" s="47"/>
      <c r="G3" s="132" t="s">
        <v>81</v>
      </c>
      <c r="H3" s="132" t="s">
        <v>82</v>
      </c>
      <c r="I3" s="132" t="s">
        <v>83</v>
      </c>
      <c r="J3" s="47"/>
      <c r="K3" s="132" t="s">
        <v>84</v>
      </c>
      <c r="L3" s="132" t="s">
        <v>85</v>
      </c>
      <c r="M3" s="132" t="s">
        <v>86</v>
      </c>
    </row>
    <row r="4" s="45" customFormat="1" ht="16.5" customHeight="1" spans="1:14">
      <c r="A4" s="8">
        <v>1</v>
      </c>
      <c r="B4" s="11" t="s">
        <v>87</v>
      </c>
      <c r="C4" s="11" t="s">
        <v>88</v>
      </c>
      <c r="D4" s="39">
        <v>2000</v>
      </c>
      <c r="E4" s="141">
        <v>45901</v>
      </c>
      <c r="F4" s="141">
        <f>DATE(YEAR(E4)+G4,MONTH(E4),DAY(E4))</f>
        <v>53206</v>
      </c>
      <c r="G4" s="11">
        <v>20</v>
      </c>
      <c r="H4" s="13">
        <f>2.12%*(1+A财务假设!$D$21)</f>
        <v>0.02332</v>
      </c>
      <c r="I4" s="71" t="s">
        <v>89</v>
      </c>
      <c r="J4" s="141">
        <f>IF(G4&lt;10,DATE(YEAR(E4)+1,MONTH(E4),DAY(E4)),DATE(YEAR(E4),MONTH(E4)+6,DAY(E4)))</f>
        <v>46082</v>
      </c>
      <c r="K4" s="48">
        <f>IF(G4&gt;4,D4*A财务假设!$D$16,D4*A财务假设!$D$15)</f>
        <v>1.6</v>
      </c>
      <c r="L4" s="41">
        <f>D4*A财务假设!$D$17</f>
        <v>0.128</v>
      </c>
      <c r="M4" s="12">
        <f>(c借款还本付息计划表!C9)</f>
        <v>0.14664</v>
      </c>
      <c r="N4" s="63" t="s">
        <v>90</v>
      </c>
    </row>
    <row r="5" s="45" customFormat="1" ht="16.5" customHeight="1" spans="1:14">
      <c r="A5" s="8">
        <v>2</v>
      </c>
      <c r="B5" s="11" t="s">
        <v>91</v>
      </c>
      <c r="C5" s="11" t="s">
        <v>88</v>
      </c>
      <c r="D5" s="39">
        <v>10000</v>
      </c>
      <c r="E5" s="141">
        <v>46266</v>
      </c>
      <c r="F5" s="141">
        <f>DATE(YEAR(E5)+G5,MONTH(E5),DAY(E5))</f>
        <v>53571</v>
      </c>
      <c r="G5" s="11">
        <v>20</v>
      </c>
      <c r="H5" s="13">
        <f>2.12%*(1+A财务假设!$D$21)</f>
        <v>0.02332</v>
      </c>
      <c r="I5" s="71" t="s">
        <v>89</v>
      </c>
      <c r="J5" s="141">
        <f>IF(G5&lt;10,DATE(YEAR(E5)+1,MONTH(E5),DAY(E5)),DATE(YEAR(E5),MONTH(E5)+6,DAY(E5)))</f>
        <v>46447</v>
      </c>
      <c r="K5" s="48">
        <f>IF(G5&gt;4,D5*A财务假设!$D$16,D5*A财务假设!$D$15)</f>
        <v>8</v>
      </c>
      <c r="L5" s="41">
        <f>D5*A财务假设!$D$17</f>
        <v>0.64</v>
      </c>
      <c r="M5" s="12">
        <f>(c借款还本付息计划表!C18)</f>
        <v>0.7332</v>
      </c>
      <c r="N5" s="63" t="s">
        <v>90</v>
      </c>
    </row>
    <row r="6" s="45" customFormat="1" ht="16.5" customHeight="1" spans="1:14">
      <c r="A6" s="8">
        <v>3</v>
      </c>
      <c r="B6" s="11" t="s">
        <v>92</v>
      </c>
      <c r="C6" s="11" t="s">
        <v>88</v>
      </c>
      <c r="D6" s="39">
        <v>10000</v>
      </c>
      <c r="E6" s="141">
        <v>46631</v>
      </c>
      <c r="F6" s="141">
        <f>DATE(YEAR(E6)+G6,MONTH(E6),DAY(E6))</f>
        <v>53936</v>
      </c>
      <c r="G6" s="11">
        <v>20</v>
      </c>
      <c r="H6" s="13">
        <f>2.12%*(1+A财务假设!$D$21)</f>
        <v>0.02332</v>
      </c>
      <c r="I6" s="71" t="s">
        <v>89</v>
      </c>
      <c r="J6" s="141">
        <f>IF(G6&lt;10,DATE(YEAR(E6)+1,MONTH(E6),DAY(E6)),DATE(YEAR(E6),MONTH(E6)+6,DAY(E6)))</f>
        <v>46813</v>
      </c>
      <c r="K6" s="48">
        <f>IF(G6&gt;4,D6*A财务假设!$D$16,D6*A财务假设!$D$15)</f>
        <v>8</v>
      </c>
      <c r="L6" s="41">
        <f>D6*A财务假设!$D$17</f>
        <v>0.64</v>
      </c>
      <c r="M6" s="12">
        <f>(c借款还本付息计划表!C27)</f>
        <v>0.7332</v>
      </c>
      <c r="N6" s="63" t="s">
        <v>90</v>
      </c>
    </row>
  </sheetData>
  <mergeCells count="1">
    <mergeCell ref="A1:M1"/>
  </mergeCells>
  <dataValidations count="1">
    <dataValidation type="list" allowBlank="1" showInputMessage="1" showErrorMessage="1" sqref="I4:I6">
      <formula1>"贷款期内本期等额本金还款,贷款期内本期等额本息还款,后五年每年还本20%,后十年每年还本10%,后二十年每年还本5%,到期一次性还清,自定义还款"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FF00"/>
  </sheetPr>
  <dimension ref="A1:E6"/>
  <sheetViews>
    <sheetView workbookViewId="0">
      <selection activeCell="I6" sqref="I6"/>
    </sheetView>
  </sheetViews>
  <sheetFormatPr defaultColWidth="15.3363636363636" defaultRowHeight="28.05" customHeight="1" outlineLevelRow="5" outlineLevelCol="4"/>
  <sheetData>
    <row r="1" customHeight="1" spans="1:5">
      <c r="A1" s="38" t="s">
        <v>93</v>
      </c>
      <c r="B1" s="3"/>
      <c r="C1" s="3"/>
      <c r="D1" s="3"/>
      <c r="E1" s="4"/>
    </row>
    <row r="2" s="137" customFormat="1" customHeight="1" spans="1:5">
      <c r="A2" s="5" t="s">
        <v>1</v>
      </c>
      <c r="B2" s="5" t="s">
        <v>94</v>
      </c>
      <c r="C2" s="34">
        <v>2025</v>
      </c>
      <c r="D2" s="34">
        <v>2026</v>
      </c>
      <c r="E2" s="34">
        <v>2027</v>
      </c>
    </row>
    <row r="3" customHeight="1" spans="1:5">
      <c r="A3" s="8">
        <v>1</v>
      </c>
      <c r="B3" s="11" t="s">
        <v>87</v>
      </c>
      <c r="C3" s="39">
        <f>C.1项目融资信息!D4</f>
        <v>2000</v>
      </c>
      <c r="D3" s="39"/>
      <c r="E3" s="39"/>
    </row>
    <row r="4" customHeight="1" spans="1:5">
      <c r="A4" s="8">
        <v>2</v>
      </c>
      <c r="B4" s="11" t="s">
        <v>91</v>
      </c>
      <c r="C4" s="39"/>
      <c r="D4" s="39">
        <f>C.1项目融资信息!D5</f>
        <v>10000</v>
      </c>
      <c r="E4" s="39"/>
    </row>
    <row r="5" customHeight="1" spans="1:5">
      <c r="A5" s="8">
        <v>2</v>
      </c>
      <c r="B5" s="11" t="s">
        <v>92</v>
      </c>
      <c r="C5" s="39"/>
      <c r="D5" s="39"/>
      <c r="E5" s="39">
        <v>10000</v>
      </c>
    </row>
    <row r="6" customHeight="1" spans="1:5">
      <c r="A6" s="138">
        <v>4</v>
      </c>
      <c r="B6" s="138" t="s">
        <v>95</v>
      </c>
      <c r="C6" s="139">
        <f>SUM(C3:C5)</f>
        <v>2000</v>
      </c>
      <c r="D6" s="139">
        <f>SUM(D3:D5)</f>
        <v>10000</v>
      </c>
      <c r="E6" s="139">
        <f>SUM(E3:E5)</f>
        <v>10000</v>
      </c>
    </row>
  </sheetData>
  <mergeCells count="1">
    <mergeCell ref="A1:E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70C0"/>
  </sheetPr>
  <dimension ref="A1:E21"/>
  <sheetViews>
    <sheetView zoomScale="85" zoomScaleNormal="85" workbookViewId="0">
      <selection activeCell="F8" sqref="F8"/>
    </sheetView>
  </sheetViews>
  <sheetFormatPr defaultColWidth="8.89090909090909" defaultRowHeight="28.05" customHeight="1" outlineLevelCol="4"/>
  <cols>
    <col min="2" max="2" width="20.6636363636364" style="1" customWidth="1"/>
    <col min="3" max="3" width="55.6636363636364" style="1" customWidth="1"/>
    <col min="4" max="4" width="18.8909090909091" style="1" customWidth="1"/>
    <col min="7" max="7" width="10.4454545454545" style="1" customWidth="1"/>
  </cols>
  <sheetData>
    <row r="1" s="98" customFormat="1" ht="22.5" customHeight="1" spans="1:5">
      <c r="A1" s="53" t="s">
        <v>96</v>
      </c>
      <c r="B1" s="3"/>
      <c r="C1" s="3"/>
      <c r="D1" s="4"/>
      <c r="E1" s="63" t="s">
        <v>97</v>
      </c>
    </row>
    <row r="2" s="98" customFormat="1" ht="16.5" customHeight="1" spans="1:4">
      <c r="A2" s="5" t="str">
        <f>D.3建设投资分年计划表!A2</f>
        <v>序号</v>
      </c>
      <c r="B2" s="5" t="str">
        <f>D.3建设投资分年计划表!B2</f>
        <v>分项费用</v>
      </c>
      <c r="C2" s="5" t="str">
        <f>D.3建设投资分年计划表!C2</f>
        <v>说明</v>
      </c>
      <c r="D2" s="5" t="str">
        <f>D.3建设投资分年计划表!D2</f>
        <v>金额</v>
      </c>
    </row>
    <row r="3" s="98" customFormat="1" ht="16.5" customHeight="1" spans="1:4">
      <c r="A3" s="8" t="str">
        <f>D.3建设投资分年计划表!A3</f>
        <v>一</v>
      </c>
      <c r="B3" s="8" t="str">
        <f>D.3建设投资分年计划表!B3</f>
        <v>工程建设费用</v>
      </c>
      <c r="C3" s="134" t="str">
        <f>IF(D.3建设投资分年计划表!C3=0,"",D.3建设投资分年计划表!C3)</f>
        <v/>
      </c>
      <c r="D3" s="135">
        <f>D.3建设投资分年计划表!D3</f>
        <v>1824</v>
      </c>
    </row>
    <row r="4" s="98" customFormat="1" ht="16.5" customHeight="1" spans="1:4">
      <c r="A4" s="47">
        <f>D.3建设投资分年计划表!A4</f>
        <v>1</v>
      </c>
      <c r="B4" s="47" t="str">
        <f>D.3建设投资分年计划表!B4</f>
        <v>工程类费用</v>
      </c>
      <c r="C4" s="47" t="str">
        <f>IF(D.3建设投资分年计划表!C4=0,"",D.3建设投资分年计划表!C4)</f>
        <v/>
      </c>
      <c r="D4" s="136">
        <f>D.3建设投资分年计划表!D4</f>
        <v>1800</v>
      </c>
    </row>
    <row r="5" s="98" customFormat="1" ht="87" customHeight="1" spans="1:4">
      <c r="A5" s="8">
        <f>D.3建设投资分年计划表!A5</f>
        <v>1.1</v>
      </c>
      <c r="B5" s="11" t="str">
        <f>D.3建设投资分年计划表!B5</f>
        <v>建筑工程费</v>
      </c>
      <c r="C5" s="64" t="str">
        <f>IF(D.3建设投资分年计划表!C5=0,"",D.3建设投资分年计划表!C5)</f>
        <v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v>
      </c>
      <c r="D5" s="39">
        <f>D.3建设投资分年计划表!D5</f>
        <v>600</v>
      </c>
    </row>
    <row r="6" s="98" customFormat="1" ht="16.5" customHeight="1" spans="1:4">
      <c r="A6" s="8">
        <f>D.3建设投资分年计划表!A6</f>
        <v>1.2</v>
      </c>
      <c r="B6" s="11" t="str">
        <f>D.3建设投资分年计划表!B6</f>
        <v>设备购置费</v>
      </c>
      <c r="C6" s="8" t="str">
        <f>IF(D.3建设投资分年计划表!C6=0,"",D.3建设投资分年计划表!C6)</f>
        <v/>
      </c>
      <c r="D6" s="39">
        <f>D.3建设投资分年计划表!D6</f>
        <v>600</v>
      </c>
    </row>
    <row r="7" s="98" customFormat="1" ht="46.95" customHeight="1" spans="1:4">
      <c r="A7" s="8">
        <f>D.3建设投资分年计划表!A7</f>
        <v>1.3</v>
      </c>
      <c r="B7" s="11" t="str">
        <f>D.3建设投资分年计划表!B7</f>
        <v>安装工程费</v>
      </c>
      <c r="C7" s="64" t="str">
        <f>IF(D.3建设投资分年计划表!C7=0,"",D.3建设投资分年计划表!C7)</f>
        <v>指的是建筑工程中的管线安装、设备安装（如空调、电线、水管等），以及室内装修、园林绿化等方面的费用。</v>
      </c>
      <c r="D7" s="39">
        <f>D.3建设投资分年计划表!D7</f>
        <v>600</v>
      </c>
    </row>
    <row r="8" s="98" customFormat="1" ht="16.5" customHeight="1" spans="1:4">
      <c r="A8" s="47">
        <f>D.3建设投资分年计划表!A8</f>
        <v>2</v>
      </c>
      <c r="B8" s="47" t="str">
        <f>D.3建设投资分年计划表!B8</f>
        <v>信息化建设费用</v>
      </c>
      <c r="C8" s="47" t="str">
        <f>IF(D.3建设投资分年计划表!C8=0,"",D.3建设投资分年计划表!C8)</f>
        <v/>
      </c>
      <c r="D8" s="136">
        <f>D.3建设投资分年计划表!D8</f>
        <v>24</v>
      </c>
    </row>
    <row r="9" s="98" customFormat="1" ht="52.05" customHeight="1" spans="1:4">
      <c r="A9" s="8">
        <f>D.3建设投资分年计划表!A9</f>
        <v>2.1</v>
      </c>
      <c r="B9" s="11" t="str">
        <f>D.3建设投资分年计划表!B9</f>
        <v>硬件类</v>
      </c>
      <c r="C9" s="64" t="str">
        <f>IF(D.3建设投资分年计划表!C9=0,"",D.3建设投资分年计划表!C9)</f>
        <v>包括服务器、存储、网络等设备</v>
      </c>
      <c r="D9" s="39">
        <f>D.3建设投资分年计划表!D9</f>
        <v>6</v>
      </c>
    </row>
    <row r="10" s="98" customFormat="1" ht="16.5" customHeight="1" spans="1:4">
      <c r="A10" s="8">
        <f>D.3建设投资分年计划表!A10</f>
        <v>2.2</v>
      </c>
      <c r="B10" s="11" t="str">
        <f>D.3建设投资分年计划表!B10</f>
        <v>软件类</v>
      </c>
      <c r="C10" s="8" t="str">
        <f>IF(D.3建设投资分年计划表!C10=0,"",D.3建设投资分年计划表!C10)</f>
        <v/>
      </c>
      <c r="D10" s="39">
        <f>D.3建设投资分年计划表!D10</f>
        <v>6</v>
      </c>
    </row>
    <row r="11" s="98" customFormat="1" ht="16.5" customHeight="1" spans="1:4">
      <c r="A11" s="8">
        <f>D.3建设投资分年计划表!A11</f>
        <v>2.3</v>
      </c>
      <c r="B11" s="11" t="str">
        <f>D.3建设投资分年计划表!B11</f>
        <v>安全类</v>
      </c>
      <c r="C11" s="8" t="str">
        <f>IF(D.3建设投资分年计划表!C11=0,"",D.3建设投资分年计划表!C11)</f>
        <v/>
      </c>
      <c r="D11" s="39">
        <f>D.3建设投资分年计划表!D11</f>
        <v>6</v>
      </c>
    </row>
    <row r="12" s="98" customFormat="1" ht="16.5" customHeight="1" spans="1:4">
      <c r="A12" s="8">
        <f>D.3建设投资分年计划表!A12</f>
        <v>2.4</v>
      </c>
      <c r="B12" s="11" t="str">
        <f>D.3建设投资分年计划表!B12</f>
        <v>数据类</v>
      </c>
      <c r="C12" s="8" t="str">
        <f>IF(D.3建设投资分年计划表!C12=0,"",D.3建设投资分年计划表!C12)</f>
        <v/>
      </c>
      <c r="D12" s="39">
        <f>D.3建设投资分年计划表!D12</f>
        <v>6</v>
      </c>
    </row>
    <row r="13" s="98" customFormat="1" ht="16.5" customHeight="1" spans="1:4">
      <c r="A13" s="47" t="str">
        <f>D.3建设投资分年计划表!A13</f>
        <v>二</v>
      </c>
      <c r="B13" s="47" t="str">
        <f>D.3建设投资分年计划表!B13</f>
        <v>工程建设其他费用</v>
      </c>
      <c r="C13" s="47" t="str">
        <f>IF(D.3建设投资分年计划表!C13=0,"",D.3建设投资分年计划表!C13)</f>
        <v/>
      </c>
      <c r="D13" s="136">
        <f>D.3建设投资分年计划表!D13</f>
        <v>24</v>
      </c>
    </row>
    <row r="14" s="98" customFormat="1" ht="16.5" customHeight="1" spans="1:4">
      <c r="A14" s="8">
        <f>D.3建设投资分年计划表!A14</f>
        <v>1</v>
      </c>
      <c r="B14" s="11" t="str">
        <f>D.3建设投资分年计划表!B14</f>
        <v>建设单位管理费</v>
      </c>
      <c r="C14" s="8" t="str">
        <f>IF(D.3建设投资分年计划表!C14=0,"",D.3建设投资分年计划表!C14)</f>
        <v/>
      </c>
      <c r="D14" s="39">
        <f>D.3建设投资分年计划表!D14</f>
        <v>6</v>
      </c>
    </row>
    <row r="15" s="98" customFormat="1" ht="16.5" customHeight="1" spans="1:4">
      <c r="A15" s="8">
        <f>D.3建设投资分年计划表!A15</f>
        <v>2</v>
      </c>
      <c r="B15" s="11" t="str">
        <f>D.3建设投资分年计划表!B15</f>
        <v>前期咨询费</v>
      </c>
      <c r="C15" s="8" t="str">
        <f>IF(D.3建设投资分年计划表!C15=0,"",D.3建设投资分年计划表!C15)</f>
        <v/>
      </c>
      <c r="D15" s="39">
        <f>D.3建设投资分年计划表!D15</f>
        <v>6</v>
      </c>
    </row>
    <row r="16" s="98" customFormat="1" ht="16.5" customHeight="1" spans="1:4">
      <c r="A16" s="8">
        <f>D.3建设投资分年计划表!A16</f>
        <v>3</v>
      </c>
      <c r="B16" s="11" t="str">
        <f>D.3建设投资分年计划表!B16</f>
        <v>工程设计费</v>
      </c>
      <c r="C16" s="8" t="str">
        <f>IF(D.3建设投资分年计划表!C16=0,"",D.3建设投资分年计划表!C16)</f>
        <v/>
      </c>
      <c r="D16" s="39">
        <f>D.3建设投资分年计划表!D16</f>
        <v>6</v>
      </c>
    </row>
    <row r="17" s="98" customFormat="1" ht="16.5" customHeight="1" spans="1:4">
      <c r="A17" s="8">
        <f>D.3建设投资分年计划表!A17</f>
        <v>4</v>
      </c>
      <c r="B17" s="11" t="str">
        <f>D.3建设投资分年计划表!B17</f>
        <v>工程监理费</v>
      </c>
      <c r="C17" s="8" t="str">
        <f>IF(D.3建设投资分年计划表!C17=0,"",D.3建设投资分年计划表!C17)</f>
        <v/>
      </c>
      <c r="D17" s="39">
        <f>D.3建设投资分年计划表!D17</f>
        <v>6</v>
      </c>
    </row>
    <row r="18" s="98" customFormat="1" ht="16.5" customHeight="1" spans="1:4">
      <c r="A18" s="8">
        <f>D.3建设投资分年计划表!A18</f>
        <v>5</v>
      </c>
      <c r="B18" s="11" t="str">
        <f>D.3建设投资分年计划表!B18</f>
        <v>......</v>
      </c>
      <c r="C18" s="8" t="str">
        <f>IF(D.3建设投资分年计划表!C18=0,"",D.3建设投资分年计划表!C18)</f>
        <v/>
      </c>
      <c r="D18" s="39">
        <f>D.3建设投资分年计划表!D18</f>
        <v>0</v>
      </c>
    </row>
    <row r="19" s="98" customFormat="1" ht="16.5" customHeight="1" spans="1:4">
      <c r="A19" s="47" t="str">
        <f>D.3建设投资分年计划表!A19</f>
        <v>三</v>
      </c>
      <c r="B19" s="47" t="str">
        <f>D.3建设投资分年计划表!B19</f>
        <v>预备费</v>
      </c>
      <c r="C19" s="47" t="str">
        <f>IF(D.3建设投资分年计划表!C19=0,"",D.3建设投资分年计划表!C19)</f>
        <v/>
      </c>
      <c r="D19" s="136">
        <f>D.3建设投资分年计划表!D19</f>
        <v>6</v>
      </c>
    </row>
    <row r="20" s="98" customFormat="1" ht="16.5" customHeight="1" spans="1:4">
      <c r="A20" s="8">
        <f>D.3建设投资分年计划表!A20</f>
        <v>1</v>
      </c>
      <c r="B20" s="8" t="str">
        <f>D.3建设投资分年计划表!B20</f>
        <v>基本预备费</v>
      </c>
      <c r="C20" s="8" t="str">
        <f>IF(D.3建设投资分年计划表!C20=0,"",D.3建设投资分年计划表!C20)</f>
        <v/>
      </c>
      <c r="D20" s="135">
        <f>D.3建设投资分年计划表!D20</f>
        <v>6</v>
      </c>
    </row>
    <row r="21" s="98" customFormat="1" ht="16.5" customHeight="1" spans="1:4">
      <c r="A21" s="8" t="str">
        <f>D.3建设投资分年计划表!B21</f>
        <v>总计</v>
      </c>
      <c r="B21" s="3"/>
      <c r="C21" s="4"/>
      <c r="D21" s="135">
        <f>D.3建设投资分年计划表!D21</f>
        <v>1854</v>
      </c>
    </row>
  </sheetData>
  <mergeCells count="2">
    <mergeCell ref="A1:D1"/>
    <mergeCell ref="A21:C21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FF00"/>
  </sheetPr>
  <dimension ref="A1:Z22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J6" sqref="J6"/>
    </sheetView>
  </sheetViews>
  <sheetFormatPr defaultColWidth="16" defaultRowHeight="28.05" customHeight="1"/>
  <cols>
    <col min="2" max="2" width="21.4454545454545" style="1" customWidth="1"/>
  </cols>
  <sheetData>
    <row r="1" s="45" customFormat="1" ht="22.5" customHeight="1" spans="1:11">
      <c r="A1" s="130" t="s">
        <v>98</v>
      </c>
      <c r="B1" s="51"/>
      <c r="C1" s="51"/>
      <c r="D1" s="51"/>
      <c r="E1" s="51"/>
      <c r="F1" s="51"/>
      <c r="G1" s="51"/>
      <c r="H1" s="51"/>
      <c r="I1" s="51"/>
      <c r="J1"/>
      <c r="K1"/>
    </row>
    <row r="2" s="45" customFormat="1" ht="16.5" customHeight="1" spans="1:26">
      <c r="A2" s="5" t="s">
        <v>1</v>
      </c>
      <c r="B2" s="5" t="s">
        <v>99</v>
      </c>
      <c r="C2" s="5" t="s">
        <v>95</v>
      </c>
      <c r="D2" s="34">
        <v>2025</v>
      </c>
      <c r="E2" s="34">
        <v>2026</v>
      </c>
      <c r="F2" s="34">
        <v>2027</v>
      </c>
      <c r="G2" s="34">
        <v>2028</v>
      </c>
      <c r="H2" s="34">
        <v>2029</v>
      </c>
      <c r="I2" s="34">
        <v>2030</v>
      </c>
      <c r="J2" s="34">
        <v>2031</v>
      </c>
      <c r="K2" s="34">
        <v>2032</v>
      </c>
      <c r="L2" s="34">
        <v>2033</v>
      </c>
      <c r="M2" s="34">
        <v>2034</v>
      </c>
      <c r="N2" s="34">
        <v>2035</v>
      </c>
      <c r="O2" s="34">
        <v>2036</v>
      </c>
      <c r="P2" s="34">
        <v>2037</v>
      </c>
      <c r="Q2" s="34">
        <v>2038</v>
      </c>
      <c r="R2" s="34">
        <v>2039</v>
      </c>
      <c r="S2" s="34">
        <v>2040</v>
      </c>
      <c r="T2" s="34">
        <v>2041</v>
      </c>
      <c r="U2" s="34">
        <v>2042</v>
      </c>
      <c r="V2" s="34">
        <v>2043</v>
      </c>
      <c r="W2" s="34">
        <v>2044</v>
      </c>
      <c r="X2" s="34">
        <v>2045</v>
      </c>
      <c r="Y2" s="34">
        <v>2046</v>
      </c>
      <c r="Z2" s="34">
        <v>2047</v>
      </c>
    </row>
    <row r="3" s="45" customFormat="1" ht="16.5" customHeight="1" spans="1:26">
      <c r="A3" s="47">
        <v>1</v>
      </c>
      <c r="B3" s="47" t="s">
        <v>100</v>
      </c>
      <c r="C3" s="82">
        <f t="shared" ref="C3:C16" si="0">(SUM(D3:Z3))</f>
        <v>2422.05829890165</v>
      </c>
      <c r="D3" s="82">
        <f t="shared" ref="D3:Z3" si="1">SUM(D4:D6)</f>
        <v>335.274666666667</v>
      </c>
      <c r="E3" s="82">
        <f t="shared" si="1"/>
        <v>796.950995277778</v>
      </c>
      <c r="F3" s="82">
        <f t="shared" si="1"/>
        <v>1339.03214432751</v>
      </c>
      <c r="G3" s="82">
        <f t="shared" si="1"/>
        <v>25.5057459260237</v>
      </c>
      <c r="H3" s="82">
        <f t="shared" si="1"/>
        <v>2.00294906213635</v>
      </c>
      <c r="I3" s="82">
        <f t="shared" si="1"/>
        <v>1.70540852306837</v>
      </c>
      <c r="J3" s="82">
        <f t="shared" si="1"/>
        <v>-89.3683061750856</v>
      </c>
      <c r="K3" s="82">
        <f t="shared" si="1"/>
        <v>0.609007333288098</v>
      </c>
      <c r="L3" s="82">
        <f t="shared" si="1"/>
        <v>0.618142443287468</v>
      </c>
      <c r="M3" s="82">
        <f t="shared" si="1"/>
        <v>0.627414579936733</v>
      </c>
      <c r="N3" s="82">
        <f t="shared" si="1"/>
        <v>0.636825798635861</v>
      </c>
      <c r="O3" s="82">
        <f t="shared" si="1"/>
        <v>0.646378185615319</v>
      </c>
      <c r="P3" s="82">
        <f t="shared" si="1"/>
        <v>0.656073858399608</v>
      </c>
      <c r="Q3" s="82">
        <f t="shared" si="1"/>
        <v>0.66591496627553</v>
      </c>
      <c r="R3" s="82">
        <f t="shared" si="1"/>
        <v>0.675903690769722</v>
      </c>
      <c r="S3" s="82">
        <f t="shared" si="1"/>
        <v>0.686042246131201</v>
      </c>
      <c r="T3" s="82">
        <f t="shared" si="1"/>
        <v>0.696332879823281</v>
      </c>
      <c r="U3" s="82">
        <f t="shared" si="1"/>
        <v>0.706777873020513</v>
      </c>
      <c r="V3" s="82">
        <f t="shared" si="1"/>
        <v>0.717379541115946</v>
      </c>
      <c r="W3" s="82">
        <f t="shared" si="1"/>
        <v>0.728140234232569</v>
      </c>
      <c r="X3" s="82">
        <f t="shared" si="1"/>
        <v>0.746006782190548</v>
      </c>
      <c r="Y3" s="82">
        <f t="shared" si="1"/>
        <v>0.777764106145639</v>
      </c>
      <c r="Z3" s="82">
        <f t="shared" si="1"/>
        <v>0.76059077468225</v>
      </c>
    </row>
    <row r="4" s="45" customFormat="1" ht="16.5" customHeight="1" spans="1:26">
      <c r="A4" s="8">
        <v>1.1</v>
      </c>
      <c r="B4" s="8" t="s">
        <v>101</v>
      </c>
      <c r="C4" s="82">
        <f t="shared" si="0"/>
        <v>1854</v>
      </c>
      <c r="D4" s="14">
        <f>(D.3建设投资分年计划表!E21)</f>
        <v>318</v>
      </c>
      <c r="E4" s="14">
        <f>(D.3建设投资分年计划表!F21)</f>
        <v>618</v>
      </c>
      <c r="F4" s="14">
        <f>(D.3建设投资分年计划表!G21)</f>
        <v>918</v>
      </c>
      <c r="G4" s="14">
        <f>(D.3建设投资分年计划表!H21)</f>
        <v>0</v>
      </c>
      <c r="H4" s="14">
        <f>(D.3建设投资分年计划表!I21)</f>
        <v>0</v>
      </c>
      <c r="I4" s="14">
        <f>(D.3建设投资分年计划表!J21)</f>
        <v>0</v>
      </c>
      <c r="J4" s="14">
        <f>(D.3建设投资分年计划表!K21)</f>
        <v>0</v>
      </c>
      <c r="K4" s="14">
        <f>(D.3建设投资分年计划表!L21)</f>
        <v>0</v>
      </c>
      <c r="L4" s="14">
        <f>(D.3建设投资分年计划表!M21)</f>
        <v>0</v>
      </c>
      <c r="M4" s="14">
        <f>(D.3建设投资分年计划表!N21)</f>
        <v>0</v>
      </c>
      <c r="N4" s="14">
        <f>(D.3建设投资分年计划表!O21)</f>
        <v>0</v>
      </c>
      <c r="O4" s="14">
        <f>(D.3建设投资分年计划表!P21)</f>
        <v>0</v>
      </c>
      <c r="P4" s="14">
        <f>(D.3建设投资分年计划表!Q21)</f>
        <v>0</v>
      </c>
      <c r="Q4" s="14">
        <f>(D.3建设投资分年计划表!R21)</f>
        <v>0</v>
      </c>
      <c r="R4" s="14">
        <f>(D.3建设投资分年计划表!S21)</f>
        <v>0</v>
      </c>
      <c r="S4" s="14">
        <f>(D.3建设投资分年计划表!T21)</f>
        <v>0</v>
      </c>
      <c r="T4" s="14">
        <f>(D.3建设投资分年计划表!U21)</f>
        <v>0</v>
      </c>
      <c r="U4" s="14">
        <f>(D.3建设投资分年计划表!V21)</f>
        <v>0</v>
      </c>
      <c r="V4" s="14">
        <f>(D.3建设投资分年计划表!W21)</f>
        <v>0</v>
      </c>
      <c r="W4" s="14">
        <f>(D.3建设投资分年计划表!X21)</f>
        <v>0</v>
      </c>
      <c r="X4" s="14">
        <f>(D.3建设投资分年计划表!Y21)</f>
        <v>0</v>
      </c>
      <c r="Y4" s="14">
        <f>(D.3建设投资分年计划表!Z21)</f>
        <v>0</v>
      </c>
      <c r="Z4" s="14">
        <f>(D.3建设投资分年计划表!AA21)</f>
        <v>0</v>
      </c>
    </row>
    <row r="5" s="45" customFormat="1" ht="16.5" customHeight="1" spans="1:26">
      <c r="A5" s="8">
        <v>1.2</v>
      </c>
      <c r="B5" s="8" t="s">
        <v>102</v>
      </c>
      <c r="C5" s="82">
        <f t="shared" si="0"/>
        <v>516.501333333333</v>
      </c>
      <c r="D5" s="12">
        <f>(c借款还本付息计划表!D38+c借款还本付息计划表!D37)</f>
        <v>17.2746666666667</v>
      </c>
      <c r="E5" s="12">
        <f>(c借款还本付息计划表!E38+c借款还本付息计划表!E37)</f>
        <v>133.013333333333</v>
      </c>
      <c r="F5" s="12">
        <f>(c借款还本付息计划表!F38+c借款还本付息计划表!F37)</f>
        <v>366.213333333333</v>
      </c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="45" customFormat="1" ht="16.5" customHeight="1" spans="1:26">
      <c r="A6" s="8">
        <v>1.3</v>
      </c>
      <c r="B6" s="8" t="s">
        <v>103</v>
      </c>
      <c r="C6" s="82">
        <f t="shared" si="0"/>
        <v>51.5569655683145</v>
      </c>
      <c r="D6" s="14">
        <f>D.4流动资金估算表!E14</f>
        <v>0</v>
      </c>
      <c r="E6" s="14">
        <f>D.4流动资金估算表!F14</f>
        <v>45.9376619444444</v>
      </c>
      <c r="F6" s="14">
        <f>D.4流动资金估算表!G14</f>
        <v>54.818810994177</v>
      </c>
      <c r="G6" s="14">
        <f>D.4流动资金估算表!H14</f>
        <v>25.5057459260237</v>
      </c>
      <c r="H6" s="14">
        <f>D.4流动资金估算表!I14</f>
        <v>2.00294906213635</v>
      </c>
      <c r="I6" s="14">
        <f>D.4流动资金估算表!J14</f>
        <v>1.70540852306837</v>
      </c>
      <c r="J6" s="14">
        <f>D.4流动资金估算表!K14</f>
        <v>-89.3683061750856</v>
      </c>
      <c r="K6" s="14">
        <f>D.4流动资金估算表!L14</f>
        <v>0.609007333288098</v>
      </c>
      <c r="L6" s="14">
        <f>D.4流动资金估算表!M14</f>
        <v>0.618142443287468</v>
      </c>
      <c r="M6" s="14">
        <f>D.4流动资金估算表!N14</f>
        <v>0.627414579936733</v>
      </c>
      <c r="N6" s="14">
        <f>D.4流动资金估算表!O14</f>
        <v>0.636825798635861</v>
      </c>
      <c r="O6" s="14">
        <f>D.4流动资金估算表!P14</f>
        <v>0.646378185615319</v>
      </c>
      <c r="P6" s="14">
        <f>D.4流动资金估算表!Q14</f>
        <v>0.656073858399608</v>
      </c>
      <c r="Q6" s="14">
        <f>D.4流动资金估算表!R14</f>
        <v>0.66591496627553</v>
      </c>
      <c r="R6" s="14">
        <f>D.4流动资金估算表!S14</f>
        <v>0.675903690769722</v>
      </c>
      <c r="S6" s="14">
        <f>D.4流动资金估算表!T14</f>
        <v>0.686042246131201</v>
      </c>
      <c r="T6" s="14">
        <f>D.4流动资金估算表!U14</f>
        <v>0.696332879823281</v>
      </c>
      <c r="U6" s="14">
        <f>D.4流动资金估算表!V14</f>
        <v>0.706777873020513</v>
      </c>
      <c r="V6" s="14">
        <f>D.4流动资金估算表!W14</f>
        <v>0.717379541115946</v>
      </c>
      <c r="W6" s="14">
        <f>D.4流动资金估算表!X14</f>
        <v>0.728140234232569</v>
      </c>
      <c r="X6" s="14">
        <f>D.4流动资金估算表!Y14</f>
        <v>0.746006782190548</v>
      </c>
      <c r="Y6" s="14">
        <f>D.4流动资金估算表!Z14</f>
        <v>0.777764106145639</v>
      </c>
      <c r="Z6" s="14">
        <f>D.4流动资金估算表!AA14</f>
        <v>0.76059077468225</v>
      </c>
    </row>
    <row r="7" s="45" customFormat="1" ht="16.5" customHeight="1" spans="1:26">
      <c r="A7" s="47">
        <v>2</v>
      </c>
      <c r="B7" s="47" t="s">
        <v>104</v>
      </c>
      <c r="C7" s="82">
        <f t="shared" si="0"/>
        <v>2422.05829890165</v>
      </c>
      <c r="D7" s="82">
        <f t="shared" ref="D7:Z7" si="2">D8+D12+D16</f>
        <v>335.274666666667</v>
      </c>
      <c r="E7" s="82">
        <f t="shared" si="2"/>
        <v>796.950995277777</v>
      </c>
      <c r="F7" s="82">
        <f t="shared" si="2"/>
        <v>1339.03214432751</v>
      </c>
      <c r="G7" s="82">
        <f t="shared" si="2"/>
        <v>25.5057459260237</v>
      </c>
      <c r="H7" s="82">
        <f t="shared" si="2"/>
        <v>2.00294906213635</v>
      </c>
      <c r="I7" s="82">
        <f t="shared" si="2"/>
        <v>1.70540852306837</v>
      </c>
      <c r="J7" s="82">
        <f t="shared" si="2"/>
        <v>-89.3683061750856</v>
      </c>
      <c r="K7" s="82">
        <f t="shared" si="2"/>
        <v>0.609007333288098</v>
      </c>
      <c r="L7" s="82">
        <f t="shared" si="2"/>
        <v>0.618142443287468</v>
      </c>
      <c r="M7" s="82">
        <f t="shared" si="2"/>
        <v>0.627414579936733</v>
      </c>
      <c r="N7" s="82">
        <f t="shared" si="2"/>
        <v>0.636825798635861</v>
      </c>
      <c r="O7" s="82">
        <f t="shared" si="2"/>
        <v>0.646378185615319</v>
      </c>
      <c r="P7" s="82">
        <f t="shared" si="2"/>
        <v>0.656073858399608</v>
      </c>
      <c r="Q7" s="82">
        <f t="shared" si="2"/>
        <v>0.66591496627553</v>
      </c>
      <c r="R7" s="82">
        <f t="shared" si="2"/>
        <v>0.675903690769722</v>
      </c>
      <c r="S7" s="82">
        <f t="shared" si="2"/>
        <v>0.686042246131201</v>
      </c>
      <c r="T7" s="82">
        <f t="shared" si="2"/>
        <v>0.696332879823281</v>
      </c>
      <c r="U7" s="82">
        <f t="shared" si="2"/>
        <v>0.706777873020513</v>
      </c>
      <c r="V7" s="82">
        <f t="shared" si="2"/>
        <v>0.717379541115946</v>
      </c>
      <c r="W7" s="82">
        <f t="shared" si="2"/>
        <v>0.728140234232569</v>
      </c>
      <c r="X7" s="82">
        <f t="shared" si="2"/>
        <v>0.746006782190548</v>
      </c>
      <c r="Y7" s="82">
        <f t="shared" si="2"/>
        <v>0.777764106145639</v>
      </c>
      <c r="Z7" s="82">
        <f t="shared" si="2"/>
        <v>0.76059077468225</v>
      </c>
    </row>
    <row r="8" s="45" customFormat="1" ht="16.5" customHeight="1" spans="1:26">
      <c r="A8" s="8">
        <v>2.1</v>
      </c>
      <c r="B8" s="8" t="s">
        <v>105</v>
      </c>
      <c r="C8" s="82">
        <f t="shared" si="0"/>
        <v>-19577.9417010983</v>
      </c>
      <c r="D8" s="14">
        <f t="shared" ref="D8:Z8" si="3">SUM(D9:D11)</f>
        <v>-1664.72533333333</v>
      </c>
      <c r="E8" s="14">
        <f t="shared" si="3"/>
        <v>-9203.04900472222</v>
      </c>
      <c r="F8" s="14">
        <f t="shared" si="3"/>
        <v>-8660.96785567249</v>
      </c>
      <c r="G8" s="14">
        <f t="shared" si="3"/>
        <v>25.5057459260237</v>
      </c>
      <c r="H8" s="14">
        <f t="shared" si="3"/>
        <v>2.00294906213635</v>
      </c>
      <c r="I8" s="14">
        <f t="shared" si="3"/>
        <v>1.70540852306837</v>
      </c>
      <c r="J8" s="14">
        <f t="shared" si="3"/>
        <v>-89.3683061750856</v>
      </c>
      <c r="K8" s="14">
        <f t="shared" si="3"/>
        <v>0.609007333288098</v>
      </c>
      <c r="L8" s="14">
        <f t="shared" si="3"/>
        <v>0.618142443287468</v>
      </c>
      <c r="M8" s="14">
        <f t="shared" si="3"/>
        <v>0.627414579936733</v>
      </c>
      <c r="N8" s="14">
        <f t="shared" si="3"/>
        <v>0.636825798635861</v>
      </c>
      <c r="O8" s="14">
        <f t="shared" si="3"/>
        <v>0.646378185615319</v>
      </c>
      <c r="P8" s="14">
        <f t="shared" si="3"/>
        <v>0.656073858399608</v>
      </c>
      <c r="Q8" s="14">
        <f t="shared" si="3"/>
        <v>0.66591496627553</v>
      </c>
      <c r="R8" s="14">
        <f t="shared" si="3"/>
        <v>0.675903690769722</v>
      </c>
      <c r="S8" s="14">
        <f t="shared" si="3"/>
        <v>0.686042246131201</v>
      </c>
      <c r="T8" s="14">
        <f t="shared" si="3"/>
        <v>0.696332879823281</v>
      </c>
      <c r="U8" s="14">
        <f t="shared" si="3"/>
        <v>0.706777873020513</v>
      </c>
      <c r="V8" s="14">
        <f t="shared" si="3"/>
        <v>0.717379541115946</v>
      </c>
      <c r="W8" s="14">
        <f t="shared" si="3"/>
        <v>0.728140234232569</v>
      </c>
      <c r="X8" s="14">
        <f t="shared" si="3"/>
        <v>0.746006782190548</v>
      </c>
      <c r="Y8" s="14">
        <f t="shared" si="3"/>
        <v>0.777764106145639</v>
      </c>
      <c r="Z8" s="14">
        <f t="shared" si="3"/>
        <v>0.76059077468225</v>
      </c>
    </row>
    <row r="9" s="45" customFormat="1" ht="16.5" customHeight="1" spans="1:26">
      <c r="A9" s="8" t="s">
        <v>106</v>
      </c>
      <c r="B9" s="8" t="s">
        <v>107</v>
      </c>
      <c r="C9" s="82">
        <f t="shared" si="0"/>
        <v>-20146</v>
      </c>
      <c r="D9" s="46">
        <f t="shared" ref="D9:Z9" si="4">D4-D13</f>
        <v>-1682</v>
      </c>
      <c r="E9" s="46">
        <f t="shared" si="4"/>
        <v>-9382</v>
      </c>
      <c r="F9" s="46">
        <f t="shared" si="4"/>
        <v>-9082</v>
      </c>
      <c r="G9" s="46">
        <f t="shared" si="4"/>
        <v>0</v>
      </c>
      <c r="H9" s="46">
        <f t="shared" si="4"/>
        <v>0</v>
      </c>
      <c r="I9" s="46">
        <f t="shared" si="4"/>
        <v>0</v>
      </c>
      <c r="J9" s="46">
        <f t="shared" si="4"/>
        <v>0</v>
      </c>
      <c r="K9" s="46">
        <f t="shared" si="4"/>
        <v>0</v>
      </c>
      <c r="L9" s="46">
        <f t="shared" si="4"/>
        <v>0</v>
      </c>
      <c r="M9" s="46">
        <f t="shared" si="4"/>
        <v>0</v>
      </c>
      <c r="N9" s="46">
        <f t="shared" si="4"/>
        <v>0</v>
      </c>
      <c r="O9" s="46">
        <f t="shared" si="4"/>
        <v>0</v>
      </c>
      <c r="P9" s="46">
        <f t="shared" si="4"/>
        <v>0</v>
      </c>
      <c r="Q9" s="46">
        <f t="shared" si="4"/>
        <v>0</v>
      </c>
      <c r="R9" s="46">
        <f t="shared" si="4"/>
        <v>0</v>
      </c>
      <c r="S9" s="46">
        <f t="shared" si="4"/>
        <v>0</v>
      </c>
      <c r="T9" s="46">
        <f t="shared" si="4"/>
        <v>0</v>
      </c>
      <c r="U9" s="46">
        <f t="shared" si="4"/>
        <v>0</v>
      </c>
      <c r="V9" s="46">
        <f t="shared" si="4"/>
        <v>0</v>
      </c>
      <c r="W9" s="46">
        <f t="shared" si="4"/>
        <v>0</v>
      </c>
      <c r="X9" s="46">
        <f t="shared" si="4"/>
        <v>0</v>
      </c>
      <c r="Y9" s="46">
        <f t="shared" si="4"/>
        <v>0</v>
      </c>
      <c r="Z9" s="46">
        <f t="shared" si="4"/>
        <v>0</v>
      </c>
    </row>
    <row r="10" s="45" customFormat="1" ht="16.5" customHeight="1" spans="1:26">
      <c r="A10" s="8" t="s">
        <v>108</v>
      </c>
      <c r="B10" s="8" t="s">
        <v>109</v>
      </c>
      <c r="C10" s="82">
        <f t="shared" si="0"/>
        <v>516.501333333333</v>
      </c>
      <c r="D10" s="39">
        <f t="shared" ref="D10:Z10" si="5">D5</f>
        <v>17.2746666666667</v>
      </c>
      <c r="E10" s="39">
        <f t="shared" si="5"/>
        <v>133.013333333333</v>
      </c>
      <c r="F10" s="39">
        <f t="shared" si="5"/>
        <v>366.213333333333</v>
      </c>
      <c r="G10" s="39">
        <f t="shared" si="5"/>
        <v>0</v>
      </c>
      <c r="H10" s="39">
        <f t="shared" si="5"/>
        <v>0</v>
      </c>
      <c r="I10" s="39">
        <f t="shared" si="5"/>
        <v>0</v>
      </c>
      <c r="J10" s="39">
        <f t="shared" si="5"/>
        <v>0</v>
      </c>
      <c r="K10" s="39">
        <f t="shared" si="5"/>
        <v>0</v>
      </c>
      <c r="L10" s="39">
        <f t="shared" si="5"/>
        <v>0</v>
      </c>
      <c r="M10" s="39">
        <f t="shared" si="5"/>
        <v>0</v>
      </c>
      <c r="N10" s="39">
        <f t="shared" si="5"/>
        <v>0</v>
      </c>
      <c r="O10" s="39">
        <f t="shared" si="5"/>
        <v>0</v>
      </c>
      <c r="P10" s="39">
        <f t="shared" si="5"/>
        <v>0</v>
      </c>
      <c r="Q10" s="39">
        <f t="shared" si="5"/>
        <v>0</v>
      </c>
      <c r="R10" s="39">
        <f t="shared" si="5"/>
        <v>0</v>
      </c>
      <c r="S10" s="39">
        <f t="shared" si="5"/>
        <v>0</v>
      </c>
      <c r="T10" s="39">
        <f t="shared" si="5"/>
        <v>0</v>
      </c>
      <c r="U10" s="39">
        <f t="shared" si="5"/>
        <v>0</v>
      </c>
      <c r="V10" s="39">
        <f t="shared" si="5"/>
        <v>0</v>
      </c>
      <c r="W10" s="39">
        <f t="shared" si="5"/>
        <v>0</v>
      </c>
      <c r="X10" s="39">
        <f t="shared" si="5"/>
        <v>0</v>
      </c>
      <c r="Y10" s="39">
        <f t="shared" si="5"/>
        <v>0</v>
      </c>
      <c r="Z10" s="39">
        <f t="shared" si="5"/>
        <v>0</v>
      </c>
    </row>
    <row r="11" s="45" customFormat="1" ht="16.5" customHeight="1" spans="1:26">
      <c r="A11" s="8" t="s">
        <v>110</v>
      </c>
      <c r="B11" s="8" t="s">
        <v>111</v>
      </c>
      <c r="C11" s="82">
        <f t="shared" si="0"/>
        <v>51.5569655683145</v>
      </c>
      <c r="D11" s="39">
        <f>D6*A财务假设!$D$13</f>
        <v>0</v>
      </c>
      <c r="E11" s="39">
        <f>E6*A财务假设!$D$13</f>
        <v>45.9376619444444</v>
      </c>
      <c r="F11" s="39">
        <f>F6*A财务假设!$D$13</f>
        <v>54.818810994177</v>
      </c>
      <c r="G11" s="39">
        <f>G6*A财务假设!$D$13</f>
        <v>25.5057459260237</v>
      </c>
      <c r="H11" s="39">
        <f>H6*A财务假设!$D$13</f>
        <v>2.00294906213635</v>
      </c>
      <c r="I11" s="39">
        <f>I6*A财务假设!$D$13</f>
        <v>1.70540852306837</v>
      </c>
      <c r="J11" s="39">
        <f>J6*A财务假设!$D$13</f>
        <v>-89.3683061750856</v>
      </c>
      <c r="K11" s="39">
        <f>K6*A财务假设!$D$13</f>
        <v>0.609007333288098</v>
      </c>
      <c r="L11" s="39">
        <f>L6*A财务假设!$D$13</f>
        <v>0.618142443287468</v>
      </c>
      <c r="M11" s="39">
        <f>M6*A财务假设!$D$13</f>
        <v>0.627414579936733</v>
      </c>
      <c r="N11" s="39">
        <f>N6*A财务假设!$D$13</f>
        <v>0.636825798635861</v>
      </c>
      <c r="O11" s="39">
        <f>O6*A财务假设!$D$13</f>
        <v>0.646378185615319</v>
      </c>
      <c r="P11" s="39">
        <f>P6*A财务假设!$D$13</f>
        <v>0.656073858399608</v>
      </c>
      <c r="Q11" s="39">
        <f>Q6*A财务假设!$D$13</f>
        <v>0.66591496627553</v>
      </c>
      <c r="R11" s="39">
        <f>R6*A财务假设!$D$13</f>
        <v>0.675903690769722</v>
      </c>
      <c r="S11" s="39">
        <f>S6*A财务假设!$D$13</f>
        <v>0.686042246131201</v>
      </c>
      <c r="T11" s="39">
        <f>T6*A财务假设!$D$13</f>
        <v>0.696332879823281</v>
      </c>
      <c r="U11" s="39">
        <f>U6*A财务假设!$D$13</f>
        <v>0.706777873020513</v>
      </c>
      <c r="V11" s="39">
        <f>V6*A财务假设!$D$13</f>
        <v>0.717379541115946</v>
      </c>
      <c r="W11" s="39">
        <f>W6*A财务假设!$D$13</f>
        <v>0.728140234232569</v>
      </c>
      <c r="X11" s="39">
        <f>X6*A财务假设!$D$13</f>
        <v>0.746006782190548</v>
      </c>
      <c r="Y11" s="39">
        <f>Y6*A财务假设!$D$13</f>
        <v>0.777764106145639</v>
      </c>
      <c r="Z11" s="39">
        <f>Z6*A财务假设!$D$13</f>
        <v>0.76059077468225</v>
      </c>
    </row>
    <row r="12" s="45" customFormat="1" ht="16.5" customHeight="1" spans="1:26">
      <c r="A12" s="8">
        <v>2.2</v>
      </c>
      <c r="B12" s="8" t="s">
        <v>112</v>
      </c>
      <c r="C12" s="82">
        <f t="shared" si="0"/>
        <v>22000</v>
      </c>
      <c r="D12" s="14">
        <f>(C.2项目每年借款信息!C6)</f>
        <v>2000</v>
      </c>
      <c r="E12" s="14">
        <f>(C.2项目每年借款信息!D6)</f>
        <v>10000</v>
      </c>
      <c r="F12" s="14">
        <f>(C.2项目每年借款信息!E6)</f>
        <v>10000</v>
      </c>
      <c r="G12" s="14">
        <f>(C.2项目每年借款信息!F6)</f>
        <v>0</v>
      </c>
      <c r="H12" s="14">
        <f>(C.2项目每年借款信息!G6)</f>
        <v>0</v>
      </c>
      <c r="I12" s="14">
        <f>(C.2项目每年借款信息!H6)</f>
        <v>0</v>
      </c>
      <c r="J12" s="14">
        <f>(C.2项目每年借款信息!I6)</f>
        <v>0</v>
      </c>
      <c r="K12" s="14">
        <f>(C.2项目每年借款信息!J6)</f>
        <v>0</v>
      </c>
      <c r="L12" s="14">
        <f>(C.2项目每年借款信息!K6)</f>
        <v>0</v>
      </c>
      <c r="M12" s="14">
        <f>(C.2项目每年借款信息!L6)</f>
        <v>0</v>
      </c>
      <c r="N12" s="14">
        <f>(C.2项目每年借款信息!M6)</f>
        <v>0</v>
      </c>
      <c r="O12" s="14">
        <f>(C.2项目每年借款信息!N6)</f>
        <v>0</v>
      </c>
      <c r="P12" s="14">
        <f>(C.2项目每年借款信息!O6)</f>
        <v>0</v>
      </c>
      <c r="Q12" s="14">
        <f>(C.2项目每年借款信息!P6)</f>
        <v>0</v>
      </c>
      <c r="R12" s="14">
        <f>(C.2项目每年借款信息!Q6)</f>
        <v>0</v>
      </c>
      <c r="S12" s="14">
        <f>(C.2项目每年借款信息!R6)</f>
        <v>0</v>
      </c>
      <c r="T12" s="14">
        <f>(C.2项目每年借款信息!S6)</f>
        <v>0</v>
      </c>
      <c r="U12" s="14">
        <f>(C.2项目每年借款信息!T6)</f>
        <v>0</v>
      </c>
      <c r="V12" s="14">
        <f>(C.2项目每年借款信息!U6)</f>
        <v>0</v>
      </c>
      <c r="W12" s="14">
        <f>(C.2项目每年借款信息!V6)</f>
        <v>0</v>
      </c>
      <c r="X12" s="14">
        <f>(C.2项目每年借款信息!W6)</f>
        <v>0</v>
      </c>
      <c r="Y12" s="14">
        <f>(C.2项目每年借款信息!X6)</f>
        <v>0</v>
      </c>
      <c r="Z12" s="14">
        <f>(C.2项目每年借款信息!Y6)</f>
        <v>0</v>
      </c>
    </row>
    <row r="13" s="45" customFormat="1" ht="16.5" customHeight="1" spans="1:26">
      <c r="A13" s="8" t="s">
        <v>113</v>
      </c>
      <c r="B13" s="8" t="s">
        <v>107</v>
      </c>
      <c r="C13" s="82">
        <f t="shared" si="0"/>
        <v>22000</v>
      </c>
      <c r="D13" s="46">
        <f t="shared" ref="D13:Z13" si="6">D12-D14-D15-D16</f>
        <v>2000</v>
      </c>
      <c r="E13" s="46">
        <f t="shared" si="6"/>
        <v>10000</v>
      </c>
      <c r="F13" s="46">
        <f t="shared" si="6"/>
        <v>10000</v>
      </c>
      <c r="G13" s="46">
        <f t="shared" si="6"/>
        <v>0</v>
      </c>
      <c r="H13" s="46">
        <f t="shared" si="6"/>
        <v>0</v>
      </c>
      <c r="I13" s="46">
        <f t="shared" si="6"/>
        <v>0</v>
      </c>
      <c r="J13" s="46">
        <f t="shared" si="6"/>
        <v>0</v>
      </c>
      <c r="K13" s="46">
        <f t="shared" si="6"/>
        <v>0</v>
      </c>
      <c r="L13" s="46">
        <f t="shared" si="6"/>
        <v>0</v>
      </c>
      <c r="M13" s="46">
        <f t="shared" si="6"/>
        <v>0</v>
      </c>
      <c r="N13" s="46">
        <f t="shared" si="6"/>
        <v>0</v>
      </c>
      <c r="O13" s="46">
        <f t="shared" si="6"/>
        <v>0</v>
      </c>
      <c r="P13" s="46">
        <f t="shared" si="6"/>
        <v>0</v>
      </c>
      <c r="Q13" s="46">
        <f t="shared" si="6"/>
        <v>0</v>
      </c>
      <c r="R13" s="46">
        <f t="shared" si="6"/>
        <v>0</v>
      </c>
      <c r="S13" s="46">
        <f t="shared" si="6"/>
        <v>0</v>
      </c>
      <c r="T13" s="46">
        <f t="shared" si="6"/>
        <v>0</v>
      </c>
      <c r="U13" s="46">
        <f t="shared" si="6"/>
        <v>0</v>
      </c>
      <c r="V13" s="46">
        <f t="shared" si="6"/>
        <v>0</v>
      </c>
      <c r="W13" s="46">
        <f t="shared" si="6"/>
        <v>0</v>
      </c>
      <c r="X13" s="46">
        <f t="shared" si="6"/>
        <v>0</v>
      </c>
      <c r="Y13" s="46">
        <f t="shared" si="6"/>
        <v>0</v>
      </c>
      <c r="Z13" s="46">
        <f t="shared" si="6"/>
        <v>0</v>
      </c>
    </row>
    <row r="14" s="45" customFormat="1" ht="16.5" customHeight="1" spans="1:26">
      <c r="A14" s="8" t="s">
        <v>114</v>
      </c>
      <c r="B14" s="8" t="s">
        <v>109</v>
      </c>
      <c r="C14" s="82">
        <f t="shared" si="0"/>
        <v>0</v>
      </c>
      <c r="D14" s="39">
        <v>0</v>
      </c>
      <c r="E14" s="39">
        <v>0</v>
      </c>
      <c r="F14" s="39">
        <v>0</v>
      </c>
      <c r="G14" s="39">
        <v>0</v>
      </c>
      <c r="H14" s="39">
        <v>0</v>
      </c>
      <c r="I14" s="39">
        <v>0</v>
      </c>
      <c r="J14" s="39">
        <v>0</v>
      </c>
      <c r="K14" s="39">
        <v>0</v>
      </c>
      <c r="L14" s="39">
        <v>0</v>
      </c>
      <c r="M14" s="39">
        <v>0</v>
      </c>
      <c r="N14" s="39">
        <v>0</v>
      </c>
      <c r="O14" s="39">
        <v>0</v>
      </c>
      <c r="P14" s="39">
        <v>0</v>
      </c>
      <c r="Q14" s="39">
        <v>0</v>
      </c>
      <c r="R14" s="39">
        <v>0</v>
      </c>
      <c r="S14" s="39">
        <v>0</v>
      </c>
      <c r="T14" s="39">
        <v>0</v>
      </c>
      <c r="U14" s="39">
        <v>0</v>
      </c>
      <c r="V14" s="39">
        <v>0</v>
      </c>
      <c r="W14" s="39">
        <v>0</v>
      </c>
      <c r="X14" s="39">
        <v>0</v>
      </c>
      <c r="Y14" s="39">
        <v>0</v>
      </c>
      <c r="Z14" s="39">
        <v>0</v>
      </c>
    </row>
    <row r="15" s="45" customFormat="1" ht="16.5" customHeight="1" spans="1:26">
      <c r="A15" s="8" t="s">
        <v>115</v>
      </c>
      <c r="B15" s="8" t="s">
        <v>111</v>
      </c>
      <c r="C15" s="82">
        <f t="shared" si="0"/>
        <v>0</v>
      </c>
      <c r="D15" s="39">
        <f t="shared" ref="D15:Z15" si="7">D6-D11</f>
        <v>0</v>
      </c>
      <c r="E15" s="39">
        <f t="shared" si="7"/>
        <v>0</v>
      </c>
      <c r="F15" s="39">
        <f t="shared" si="7"/>
        <v>0</v>
      </c>
      <c r="G15" s="39">
        <f t="shared" si="7"/>
        <v>0</v>
      </c>
      <c r="H15" s="39">
        <f t="shared" si="7"/>
        <v>0</v>
      </c>
      <c r="I15" s="39">
        <f t="shared" si="7"/>
        <v>0</v>
      </c>
      <c r="J15" s="39">
        <f t="shared" si="7"/>
        <v>0</v>
      </c>
      <c r="K15" s="39">
        <f t="shared" si="7"/>
        <v>0</v>
      </c>
      <c r="L15" s="39">
        <f t="shared" si="7"/>
        <v>0</v>
      </c>
      <c r="M15" s="39">
        <f t="shared" si="7"/>
        <v>0</v>
      </c>
      <c r="N15" s="39">
        <f t="shared" si="7"/>
        <v>0</v>
      </c>
      <c r="O15" s="39">
        <f t="shared" si="7"/>
        <v>0</v>
      </c>
      <c r="P15" s="39">
        <f t="shared" si="7"/>
        <v>0</v>
      </c>
      <c r="Q15" s="39">
        <f t="shared" si="7"/>
        <v>0</v>
      </c>
      <c r="R15" s="39">
        <f t="shared" si="7"/>
        <v>0</v>
      </c>
      <c r="S15" s="39">
        <f t="shared" si="7"/>
        <v>0</v>
      </c>
      <c r="T15" s="39">
        <f t="shared" si="7"/>
        <v>0</v>
      </c>
      <c r="U15" s="39">
        <f t="shared" si="7"/>
        <v>0</v>
      </c>
      <c r="V15" s="39">
        <f t="shared" si="7"/>
        <v>0</v>
      </c>
      <c r="W15" s="39">
        <f t="shared" si="7"/>
        <v>0</v>
      </c>
      <c r="X15" s="39">
        <f t="shared" si="7"/>
        <v>0</v>
      </c>
      <c r="Y15" s="39">
        <f t="shared" si="7"/>
        <v>0</v>
      </c>
      <c r="Z15" s="39">
        <f t="shared" si="7"/>
        <v>0</v>
      </c>
    </row>
    <row r="16" s="45" customFormat="1" ht="16.5" customHeight="1" spans="1:26">
      <c r="A16" s="8">
        <v>2.3</v>
      </c>
      <c r="B16" s="8" t="s">
        <v>116</v>
      </c>
      <c r="C16" s="82">
        <f t="shared" si="0"/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  <c r="L16" s="39">
        <v>0</v>
      </c>
      <c r="M16" s="39">
        <v>0</v>
      </c>
      <c r="N16" s="39">
        <v>0</v>
      </c>
      <c r="O16" s="39">
        <v>0</v>
      </c>
      <c r="P16" s="39">
        <v>0</v>
      </c>
      <c r="Q16" s="39">
        <v>0</v>
      </c>
      <c r="R16" s="39">
        <v>0</v>
      </c>
      <c r="S16" s="39">
        <v>0</v>
      </c>
      <c r="T16" s="39">
        <v>0</v>
      </c>
      <c r="U16" s="39">
        <v>0</v>
      </c>
      <c r="V16" s="39">
        <v>0</v>
      </c>
      <c r="W16" s="39">
        <v>0</v>
      </c>
      <c r="X16" s="39">
        <v>0</v>
      </c>
      <c r="Y16" s="39">
        <v>0</v>
      </c>
      <c r="Z16" s="39">
        <v>0</v>
      </c>
    </row>
    <row r="17" s="45" customFormat="1" ht="16.5" customHeight="1" spans="1:26">
      <c r="A17" s="47">
        <v>3</v>
      </c>
      <c r="B17" s="47" t="s">
        <v>117</v>
      </c>
      <c r="C17" s="82">
        <f>SUM(C18:C20)</f>
        <v>-19577.9417010984</v>
      </c>
      <c r="D17" s="82" t="s">
        <v>118</v>
      </c>
      <c r="E17" s="82" t="s">
        <v>118</v>
      </c>
      <c r="F17" s="82" t="s">
        <v>118</v>
      </c>
      <c r="G17" s="82" t="s">
        <v>118</v>
      </c>
      <c r="H17" s="82" t="s">
        <v>118</v>
      </c>
      <c r="I17" s="82" t="s">
        <v>118</v>
      </c>
      <c r="J17" s="82" t="s">
        <v>118</v>
      </c>
      <c r="K17" s="82" t="s">
        <v>118</v>
      </c>
      <c r="L17" s="82" t="s">
        <v>118</v>
      </c>
      <c r="M17" s="82" t="s">
        <v>118</v>
      </c>
      <c r="N17" s="82" t="s">
        <v>118</v>
      </c>
      <c r="O17" s="82" t="s">
        <v>118</v>
      </c>
      <c r="P17" s="82" t="s">
        <v>118</v>
      </c>
      <c r="Q17" s="82" t="s">
        <v>118</v>
      </c>
      <c r="R17" s="82" t="s">
        <v>118</v>
      </c>
      <c r="S17" s="82" t="s">
        <v>118</v>
      </c>
      <c r="T17" s="82" t="s">
        <v>118</v>
      </c>
      <c r="U17" s="82" t="s">
        <v>118</v>
      </c>
      <c r="V17" s="82" t="s">
        <v>118</v>
      </c>
      <c r="W17" s="82" t="s">
        <v>118</v>
      </c>
      <c r="X17" s="82" t="s">
        <v>118</v>
      </c>
      <c r="Y17" s="82" t="s">
        <v>118</v>
      </c>
      <c r="Z17" s="82" t="s">
        <v>118</v>
      </c>
    </row>
    <row r="18" s="45" customFormat="1" ht="16.5" customHeight="1" spans="1:26">
      <c r="A18" s="8">
        <v>3.1</v>
      </c>
      <c r="B18" s="8" t="s">
        <v>101</v>
      </c>
      <c r="C18" s="14">
        <f>C9</f>
        <v>-20146</v>
      </c>
      <c r="D18" s="14" t="s">
        <v>118</v>
      </c>
      <c r="E18" s="14" t="s">
        <v>118</v>
      </c>
      <c r="F18" s="14" t="s">
        <v>118</v>
      </c>
      <c r="G18" s="14" t="s">
        <v>118</v>
      </c>
      <c r="H18" s="14" t="s">
        <v>118</v>
      </c>
      <c r="I18" s="14" t="s">
        <v>118</v>
      </c>
      <c r="J18" s="14" t="s">
        <v>118</v>
      </c>
      <c r="K18" s="14" t="s">
        <v>118</v>
      </c>
      <c r="L18" s="14" t="s">
        <v>118</v>
      </c>
      <c r="M18" s="14" t="s">
        <v>118</v>
      </c>
      <c r="N18" s="14" t="s">
        <v>118</v>
      </c>
      <c r="O18" s="14" t="s">
        <v>118</v>
      </c>
      <c r="P18" s="14" t="s">
        <v>118</v>
      </c>
      <c r="Q18" s="14" t="s">
        <v>118</v>
      </c>
      <c r="R18" s="14" t="s">
        <v>118</v>
      </c>
      <c r="S18" s="14" t="s">
        <v>118</v>
      </c>
      <c r="T18" s="14" t="s">
        <v>118</v>
      </c>
      <c r="U18" s="14" t="s">
        <v>118</v>
      </c>
      <c r="V18" s="14" t="s">
        <v>118</v>
      </c>
      <c r="W18" s="14" t="s">
        <v>118</v>
      </c>
      <c r="X18" s="14" t="s">
        <v>118</v>
      </c>
      <c r="Y18" s="14" t="s">
        <v>118</v>
      </c>
      <c r="Z18" s="14" t="s">
        <v>118</v>
      </c>
    </row>
    <row r="19" s="45" customFormat="1" ht="16.5" customHeight="1" spans="1:26">
      <c r="A19" s="8">
        <v>3.2</v>
      </c>
      <c r="B19" s="8" t="s">
        <v>102</v>
      </c>
      <c r="C19" s="14">
        <f>C10</f>
        <v>516.501333333333</v>
      </c>
      <c r="D19" s="14" t="s">
        <v>118</v>
      </c>
      <c r="E19" s="14" t="s">
        <v>118</v>
      </c>
      <c r="F19" s="14" t="s">
        <v>118</v>
      </c>
      <c r="G19" s="14" t="s">
        <v>118</v>
      </c>
      <c r="H19" s="14" t="s">
        <v>118</v>
      </c>
      <c r="I19" s="14" t="s">
        <v>118</v>
      </c>
      <c r="J19" s="14" t="s">
        <v>118</v>
      </c>
      <c r="K19" s="14" t="s">
        <v>118</v>
      </c>
      <c r="L19" s="14" t="s">
        <v>118</v>
      </c>
      <c r="M19" s="14" t="s">
        <v>118</v>
      </c>
      <c r="N19" s="14" t="s">
        <v>118</v>
      </c>
      <c r="O19" s="14" t="s">
        <v>118</v>
      </c>
      <c r="P19" s="14" t="s">
        <v>118</v>
      </c>
      <c r="Q19" s="14" t="s">
        <v>118</v>
      </c>
      <c r="R19" s="14" t="s">
        <v>118</v>
      </c>
      <c r="S19" s="14" t="s">
        <v>118</v>
      </c>
      <c r="T19" s="14" t="s">
        <v>118</v>
      </c>
      <c r="U19" s="14" t="s">
        <v>118</v>
      </c>
      <c r="V19" s="14" t="s">
        <v>118</v>
      </c>
      <c r="W19" s="14" t="s">
        <v>118</v>
      </c>
      <c r="X19" s="14" t="s">
        <v>118</v>
      </c>
      <c r="Y19" s="14" t="s">
        <v>118</v>
      </c>
      <c r="Z19" s="14" t="s">
        <v>118</v>
      </c>
    </row>
    <row r="20" s="45" customFormat="1" ht="16.5" customHeight="1" spans="1:26">
      <c r="A20" s="8">
        <v>3.3</v>
      </c>
      <c r="B20" s="8" t="s">
        <v>119</v>
      </c>
      <c r="C20" s="14">
        <f>C11</f>
        <v>51.5569655683145</v>
      </c>
      <c r="D20" s="14" t="s">
        <v>118</v>
      </c>
      <c r="E20" s="14" t="s">
        <v>118</v>
      </c>
      <c r="F20" s="14" t="s">
        <v>118</v>
      </c>
      <c r="G20" s="14" t="s">
        <v>118</v>
      </c>
      <c r="H20" s="14" t="s">
        <v>118</v>
      </c>
      <c r="I20" s="14" t="s">
        <v>118</v>
      </c>
      <c r="J20" s="14" t="s">
        <v>118</v>
      </c>
      <c r="K20" s="14" t="s">
        <v>118</v>
      </c>
      <c r="L20" s="14" t="s">
        <v>118</v>
      </c>
      <c r="M20" s="14" t="s">
        <v>118</v>
      </c>
      <c r="N20" s="14" t="s">
        <v>118</v>
      </c>
      <c r="O20" s="14" t="s">
        <v>118</v>
      </c>
      <c r="P20" s="14" t="s">
        <v>118</v>
      </c>
      <c r="Q20" s="14" t="s">
        <v>118</v>
      </c>
      <c r="R20" s="14" t="s">
        <v>118</v>
      </c>
      <c r="S20" s="14" t="s">
        <v>118</v>
      </c>
      <c r="T20" s="14" t="s">
        <v>118</v>
      </c>
      <c r="U20" s="14" t="s">
        <v>118</v>
      </c>
      <c r="V20" s="14" t="s">
        <v>118</v>
      </c>
      <c r="W20" s="14" t="s">
        <v>118</v>
      </c>
      <c r="X20" s="14" t="s">
        <v>118</v>
      </c>
      <c r="Y20" s="14" t="s">
        <v>118</v>
      </c>
      <c r="Z20" s="14" t="s">
        <v>118</v>
      </c>
    </row>
    <row r="21" s="45" customFormat="1" ht="33" customHeight="1" spans="1:26">
      <c r="A21" s="47">
        <v>4</v>
      </c>
      <c r="B21" s="132" t="s">
        <v>120</v>
      </c>
      <c r="C21" s="133">
        <f>C17/C3</f>
        <v>-8.08318350965232</v>
      </c>
      <c r="D21" s="133" t="s">
        <v>118</v>
      </c>
      <c r="E21" s="133" t="s">
        <v>118</v>
      </c>
      <c r="F21" s="133" t="s">
        <v>118</v>
      </c>
      <c r="G21" s="133" t="s">
        <v>118</v>
      </c>
      <c r="H21" s="133" t="s">
        <v>118</v>
      </c>
      <c r="I21" s="133" t="s">
        <v>118</v>
      </c>
      <c r="J21" s="133" t="s">
        <v>118</v>
      </c>
      <c r="K21" s="133" t="s">
        <v>118</v>
      </c>
      <c r="L21" s="133" t="s">
        <v>118</v>
      </c>
      <c r="M21" s="133" t="s">
        <v>118</v>
      </c>
      <c r="N21" s="133" t="s">
        <v>118</v>
      </c>
      <c r="O21" s="133" t="s">
        <v>118</v>
      </c>
      <c r="P21" s="133" t="s">
        <v>118</v>
      </c>
      <c r="Q21" s="133" t="s">
        <v>118</v>
      </c>
      <c r="R21" s="133" t="s">
        <v>118</v>
      </c>
      <c r="S21" s="133" t="s">
        <v>118</v>
      </c>
      <c r="T21" s="133" t="s">
        <v>118</v>
      </c>
      <c r="U21" s="133" t="s">
        <v>118</v>
      </c>
      <c r="V21" s="133" t="s">
        <v>118</v>
      </c>
      <c r="W21" s="133" t="s">
        <v>118</v>
      </c>
      <c r="X21" s="133" t="s">
        <v>118</v>
      </c>
      <c r="Y21" s="133" t="s">
        <v>118</v>
      </c>
      <c r="Z21" s="133" t="s">
        <v>118</v>
      </c>
    </row>
    <row r="22" s="129" customFormat="1" ht="14" customHeight="1"/>
  </sheetData>
  <mergeCells count="1">
    <mergeCell ref="A1:I1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FF00"/>
  </sheetPr>
  <dimension ref="A1:H21"/>
  <sheetViews>
    <sheetView zoomScale="85" zoomScaleNormal="85" topLeftCell="C1" workbookViewId="0">
      <selection activeCell="D20" sqref="D20"/>
    </sheetView>
  </sheetViews>
  <sheetFormatPr defaultColWidth="33.6636363636364" defaultRowHeight="14" outlineLevelCol="7"/>
  <cols>
    <col min="1" max="1" width="6" style="1" customWidth="1"/>
    <col min="2" max="2" width="19.3363636363636" style="1" customWidth="1"/>
    <col min="3" max="3" width="56.8909090909091" style="1" customWidth="1"/>
    <col min="4" max="4" width="14.5545454545455" style="1" customWidth="1"/>
    <col min="5" max="5" width="26.3363636363636" style="1" customWidth="1"/>
    <col min="6" max="6" width="27" style="1" customWidth="1"/>
    <col min="7" max="7" width="26" style="1" customWidth="1"/>
  </cols>
  <sheetData>
    <row r="1" s="45" customFormat="1" ht="22.5" customHeight="1" spans="1:8">
      <c r="A1" s="53" t="s">
        <v>121</v>
      </c>
      <c r="B1" s="3"/>
      <c r="C1" s="3"/>
      <c r="D1" s="3"/>
      <c r="E1" s="3"/>
      <c r="F1" s="3"/>
      <c r="G1" s="4"/>
      <c r="H1"/>
    </row>
    <row r="2" s="45" customFormat="1" ht="16.5" customHeight="1" spans="1:8">
      <c r="A2" s="5" t="s">
        <v>1</v>
      </c>
      <c r="B2" s="5" t="s">
        <v>122</v>
      </c>
      <c r="C2" s="5" t="s">
        <v>123</v>
      </c>
      <c r="D2" s="5" t="s">
        <v>124</v>
      </c>
      <c r="E2" s="34">
        <v>2025</v>
      </c>
      <c r="F2" s="34">
        <v>2026</v>
      </c>
      <c r="G2" s="34">
        <v>2027</v>
      </c>
      <c r="H2"/>
    </row>
    <row r="3" s="45" customFormat="1" ht="16.5" customHeight="1" spans="1:8">
      <c r="A3" s="8" t="s">
        <v>125</v>
      </c>
      <c r="B3" s="8" t="s">
        <v>126</v>
      </c>
      <c r="C3" s="8"/>
      <c r="D3" s="14">
        <f>SUM(D4+D8)</f>
        <v>1824</v>
      </c>
      <c r="E3" s="14">
        <f>E4+E8</f>
        <v>308</v>
      </c>
      <c r="F3" s="14">
        <f>F4+F8</f>
        <v>608</v>
      </c>
      <c r="G3" s="14">
        <f>G4+G8</f>
        <v>908</v>
      </c>
      <c r="H3"/>
    </row>
    <row r="4" s="45" customFormat="1" ht="16.5" customHeight="1" spans="1:8">
      <c r="A4" s="47">
        <v>1</v>
      </c>
      <c r="B4" s="47" t="s">
        <v>127</v>
      </c>
      <c r="C4" s="47"/>
      <c r="D4" s="82">
        <f>SUM(D5:D7)</f>
        <v>1800</v>
      </c>
      <c r="E4" s="82">
        <f>E5+E6+E7</f>
        <v>300</v>
      </c>
      <c r="F4" s="82">
        <f>F5+F6+F7</f>
        <v>600</v>
      </c>
      <c r="G4" s="82">
        <f>G5+G6+G7</f>
        <v>900</v>
      </c>
      <c r="H4"/>
    </row>
    <row r="5" s="45" customFormat="1" ht="66" customHeight="1" spans="1:8">
      <c r="A5" s="8">
        <v>1.1</v>
      </c>
      <c r="B5" s="11" t="s">
        <v>128</v>
      </c>
      <c r="C5" s="64" t="s">
        <v>129</v>
      </c>
      <c r="D5" s="14">
        <f>SUM(E5:G5)</f>
        <v>600</v>
      </c>
      <c r="E5" s="39">
        <v>100</v>
      </c>
      <c r="F5" s="39">
        <v>200</v>
      </c>
      <c r="G5" s="39">
        <v>300</v>
      </c>
      <c r="H5"/>
    </row>
    <row r="6" s="45" customFormat="1" ht="16.5" customHeight="1" spans="1:8">
      <c r="A6" s="8">
        <v>1.2</v>
      </c>
      <c r="B6" s="11" t="s">
        <v>130</v>
      </c>
      <c r="C6" s="8"/>
      <c r="D6" s="14">
        <f>SUM(E6:G6)</f>
        <v>600</v>
      </c>
      <c r="E6" s="39">
        <v>100</v>
      </c>
      <c r="F6" s="39">
        <v>200</v>
      </c>
      <c r="G6" s="39">
        <v>300</v>
      </c>
      <c r="H6"/>
    </row>
    <row r="7" s="45" customFormat="1" ht="33" customHeight="1" spans="1:8">
      <c r="A7" s="8">
        <v>1.3</v>
      </c>
      <c r="B7" s="11" t="s">
        <v>131</v>
      </c>
      <c r="C7" s="64" t="s">
        <v>132</v>
      </c>
      <c r="D7" s="14">
        <f>SUM(E7:G7)</f>
        <v>600</v>
      </c>
      <c r="E7" s="39">
        <v>100</v>
      </c>
      <c r="F7" s="39">
        <v>200</v>
      </c>
      <c r="G7" s="39">
        <v>300</v>
      </c>
      <c r="H7"/>
    </row>
    <row r="8" s="45" customFormat="1" ht="16.5" customHeight="1" spans="1:8">
      <c r="A8" s="47">
        <v>2</v>
      </c>
      <c r="B8" s="47" t="s">
        <v>133</v>
      </c>
      <c r="C8" s="47"/>
      <c r="D8" s="82">
        <f>SUM(D9:D12)</f>
        <v>24</v>
      </c>
      <c r="E8" s="82">
        <f>SUM(E9:E12)</f>
        <v>8</v>
      </c>
      <c r="F8" s="82">
        <f>SUM(F9:F12)</f>
        <v>8</v>
      </c>
      <c r="G8" s="82">
        <f>SUM(G9:G12)</f>
        <v>8</v>
      </c>
      <c r="H8"/>
    </row>
    <row r="9" s="45" customFormat="1" ht="16.5" customHeight="1" spans="1:8">
      <c r="A9" s="8">
        <v>2.1</v>
      </c>
      <c r="B9" s="11" t="s">
        <v>134</v>
      </c>
      <c r="C9" s="8" t="s">
        <v>135</v>
      </c>
      <c r="D9" s="14">
        <f>SUM(E9:G9)</f>
        <v>6</v>
      </c>
      <c r="E9" s="39">
        <v>2</v>
      </c>
      <c r="F9" s="39">
        <v>2</v>
      </c>
      <c r="G9" s="39">
        <v>2</v>
      </c>
      <c r="H9"/>
    </row>
    <row r="10" s="45" customFormat="1" ht="16.5" customHeight="1" spans="1:8">
      <c r="A10" s="8">
        <v>2.2</v>
      </c>
      <c r="B10" s="11" t="s">
        <v>136</v>
      </c>
      <c r="C10" s="8"/>
      <c r="D10" s="14">
        <f>SUM(E10:G10)</f>
        <v>6</v>
      </c>
      <c r="E10" s="39">
        <v>2</v>
      </c>
      <c r="F10" s="39">
        <v>2</v>
      </c>
      <c r="G10" s="39">
        <v>2</v>
      </c>
      <c r="H10"/>
    </row>
    <row r="11" s="45" customFormat="1" ht="16.5" customHeight="1" spans="1:8">
      <c r="A11" s="8">
        <v>2.3</v>
      </c>
      <c r="B11" s="11" t="s">
        <v>137</v>
      </c>
      <c r="C11" s="8"/>
      <c r="D11" s="14">
        <f>SUM(E11:G11)</f>
        <v>6</v>
      </c>
      <c r="E11" s="39">
        <v>2</v>
      </c>
      <c r="F11" s="39">
        <v>2</v>
      </c>
      <c r="G11" s="39">
        <v>2</v>
      </c>
      <c r="H11"/>
    </row>
    <row r="12" s="45" customFormat="1" ht="16.5" customHeight="1" spans="1:8">
      <c r="A12" s="8">
        <v>2.4</v>
      </c>
      <c r="B12" s="11" t="s">
        <v>138</v>
      </c>
      <c r="C12" s="8"/>
      <c r="D12" s="14">
        <f>SUM(E12:G12)</f>
        <v>6</v>
      </c>
      <c r="E12" s="39">
        <v>2</v>
      </c>
      <c r="F12" s="39">
        <v>2</v>
      </c>
      <c r="G12" s="39">
        <v>2</v>
      </c>
      <c r="H12"/>
    </row>
    <row r="13" s="45" customFormat="1" ht="16.5" customHeight="1" spans="1:8">
      <c r="A13" s="47" t="s">
        <v>139</v>
      </c>
      <c r="B13" s="47" t="s">
        <v>140</v>
      </c>
      <c r="C13" s="47"/>
      <c r="D13" s="47">
        <f>SUM(D14:D18)</f>
        <v>24</v>
      </c>
      <c r="E13" s="47">
        <f>SUM(E14:E18)</f>
        <v>8</v>
      </c>
      <c r="F13" s="47">
        <f>SUM(F14:F18)</f>
        <v>8</v>
      </c>
      <c r="G13" s="47">
        <f>SUM(G14:G18)</f>
        <v>8</v>
      </c>
      <c r="H13"/>
    </row>
    <row r="14" s="45" customFormat="1" ht="16.5" customHeight="1" spans="1:8">
      <c r="A14" s="8">
        <v>1</v>
      </c>
      <c r="B14" s="11" t="s">
        <v>141</v>
      </c>
      <c r="C14" s="8"/>
      <c r="D14" s="14">
        <f>SUM(E14:G14)</f>
        <v>6</v>
      </c>
      <c r="E14" s="39">
        <v>2</v>
      </c>
      <c r="F14" s="39">
        <v>2</v>
      </c>
      <c r="G14" s="39">
        <v>2</v>
      </c>
      <c r="H14"/>
    </row>
    <row r="15" s="45" customFormat="1" ht="16.5" customHeight="1" spans="1:8">
      <c r="A15" s="8">
        <v>2</v>
      </c>
      <c r="B15" s="11" t="s">
        <v>142</v>
      </c>
      <c r="C15" s="8"/>
      <c r="D15" s="14">
        <f>SUM(E15:G15)</f>
        <v>6</v>
      </c>
      <c r="E15" s="39">
        <v>2</v>
      </c>
      <c r="F15" s="39">
        <v>2</v>
      </c>
      <c r="G15" s="39">
        <v>2</v>
      </c>
      <c r="H15"/>
    </row>
    <row r="16" s="45" customFormat="1" ht="16.5" customHeight="1" spans="1:8">
      <c r="A16" s="8">
        <v>3</v>
      </c>
      <c r="B16" s="11" t="s">
        <v>143</v>
      </c>
      <c r="C16" s="8"/>
      <c r="D16" s="14">
        <f>SUM(E16:G16)</f>
        <v>6</v>
      </c>
      <c r="E16" s="39">
        <v>2</v>
      </c>
      <c r="F16" s="39">
        <v>2</v>
      </c>
      <c r="G16" s="39">
        <v>2</v>
      </c>
      <c r="H16"/>
    </row>
    <row r="17" s="45" customFormat="1" ht="16.5" customHeight="1" spans="1:8">
      <c r="A17" s="8">
        <v>4</v>
      </c>
      <c r="B17" s="11" t="s">
        <v>144</v>
      </c>
      <c r="C17" s="8"/>
      <c r="D17" s="14">
        <f>SUM(E17:G17)</f>
        <v>6</v>
      </c>
      <c r="E17" s="39">
        <v>2</v>
      </c>
      <c r="F17" s="39">
        <v>2</v>
      </c>
      <c r="G17" s="39">
        <v>2</v>
      </c>
      <c r="H17"/>
    </row>
    <row r="18" s="45" customFormat="1" ht="16.5" customHeight="1" spans="1:8">
      <c r="A18" s="8">
        <v>5</v>
      </c>
      <c r="B18" s="11" t="s">
        <v>145</v>
      </c>
      <c r="C18" s="8"/>
      <c r="D18" s="14">
        <f>SUM(E18:G18)</f>
        <v>0</v>
      </c>
      <c r="E18" s="39">
        <v>0</v>
      </c>
      <c r="F18" s="39">
        <v>0</v>
      </c>
      <c r="G18" s="39">
        <v>0</v>
      </c>
      <c r="H18"/>
    </row>
    <row r="19" s="45" customFormat="1" ht="16.5" customHeight="1" spans="1:8">
      <c r="A19" s="47" t="s">
        <v>146</v>
      </c>
      <c r="B19" s="47" t="s">
        <v>147</v>
      </c>
      <c r="C19" s="47"/>
      <c r="D19" s="82">
        <f>D20</f>
        <v>6</v>
      </c>
      <c r="E19" s="82">
        <f>E20</f>
        <v>2</v>
      </c>
      <c r="F19" s="82">
        <f>F20</f>
        <v>2</v>
      </c>
      <c r="G19" s="82">
        <f>G20</f>
        <v>2</v>
      </c>
      <c r="H19"/>
    </row>
    <row r="20" s="45" customFormat="1" ht="16.5" customHeight="1" spans="1:8">
      <c r="A20" s="8">
        <v>1</v>
      </c>
      <c r="B20" s="131" t="s">
        <v>148</v>
      </c>
      <c r="C20" s="131"/>
      <c r="D20" s="14">
        <f>SUM(E20:G20)</f>
        <v>6</v>
      </c>
      <c r="E20" s="39">
        <v>2</v>
      </c>
      <c r="F20" s="39">
        <v>2</v>
      </c>
      <c r="G20" s="39">
        <v>2</v>
      </c>
      <c r="H20"/>
    </row>
    <row r="21" s="45" customFormat="1" ht="16.5" customHeight="1" spans="1:8">
      <c r="A21" s="8"/>
      <c r="B21" s="8" t="s">
        <v>149</v>
      </c>
      <c r="C21" s="4"/>
      <c r="D21" s="14">
        <f>SUM(E21:G21)</f>
        <v>1854</v>
      </c>
      <c r="E21" s="14">
        <f>E3+E13+E19</f>
        <v>318</v>
      </c>
      <c r="F21" s="14">
        <f>F3+F13+F19</f>
        <v>618</v>
      </c>
      <c r="G21" s="14">
        <f>G3+G13+G19</f>
        <v>918</v>
      </c>
      <c r="H21"/>
    </row>
  </sheetData>
  <mergeCells count="2">
    <mergeCell ref="A1:G1"/>
    <mergeCell ref="B21:C21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FF00"/>
  </sheetPr>
  <dimension ref="A1:AA15"/>
  <sheetViews>
    <sheetView zoomScale="85" zoomScaleNormal="85" workbookViewId="0">
      <pane xSplit="4" ySplit="2" topLeftCell="E3" activePane="bottomRight" state="frozen"/>
      <selection/>
      <selection pane="topRight"/>
      <selection pane="bottomLeft"/>
      <selection pane="bottomRight" activeCell="K12" sqref="K12"/>
    </sheetView>
  </sheetViews>
  <sheetFormatPr defaultColWidth="8.89090909090909" defaultRowHeight="28.05" customHeight="1"/>
  <cols>
    <col min="1" max="1" width="6.66363636363636" style="1" customWidth="1"/>
    <col min="2" max="2" width="21.5545454545455" style="1" customWidth="1"/>
    <col min="3" max="3" width="18.6636363636364" style="1" customWidth="1"/>
    <col min="4" max="4" width="10.1090909090909" style="1" customWidth="1"/>
    <col min="5" max="6" width="6.89090909090909" style="1" customWidth="1"/>
    <col min="7" max="10" width="8" style="1" customWidth="1"/>
    <col min="11" max="11" width="11.0090909090909" style="1" customWidth="1"/>
    <col min="15" max="15" width="7.91818181818182" style="1" customWidth="1"/>
  </cols>
  <sheetData>
    <row r="1" s="45" customFormat="1" ht="22.5" customHeight="1" spans="1:11">
      <c r="A1" s="130" t="s">
        <v>150</v>
      </c>
      <c r="B1" s="51"/>
      <c r="C1" s="51"/>
      <c r="D1" s="51"/>
      <c r="E1" s="51"/>
      <c r="F1" s="51"/>
      <c r="G1" s="51"/>
      <c r="H1" s="51"/>
      <c r="I1" s="51"/>
      <c r="J1" s="51"/>
      <c r="K1"/>
    </row>
    <row r="2" s="45" customFormat="1" ht="33" customHeight="1" spans="1:27">
      <c r="A2" s="5" t="s">
        <v>1</v>
      </c>
      <c r="B2" s="5" t="s">
        <v>151</v>
      </c>
      <c r="C2" s="5" t="s">
        <v>152</v>
      </c>
      <c r="D2" s="5" t="s">
        <v>153</v>
      </c>
      <c r="E2" s="34">
        <v>2025</v>
      </c>
      <c r="F2" s="34">
        <v>2026</v>
      </c>
      <c r="G2" s="34">
        <v>2027</v>
      </c>
      <c r="H2" s="34">
        <v>2028</v>
      </c>
      <c r="I2" s="34">
        <v>2029</v>
      </c>
      <c r="J2" s="34">
        <v>2030</v>
      </c>
      <c r="K2" s="34">
        <v>2031</v>
      </c>
      <c r="L2" s="34">
        <v>2032</v>
      </c>
      <c r="M2" s="34">
        <v>2033</v>
      </c>
      <c r="N2" s="34">
        <v>2034</v>
      </c>
      <c r="O2" s="34">
        <v>2035</v>
      </c>
      <c r="P2" s="34">
        <v>2036</v>
      </c>
      <c r="Q2" s="34">
        <v>2037</v>
      </c>
      <c r="R2" s="34">
        <v>2038</v>
      </c>
      <c r="S2" s="34">
        <v>2039</v>
      </c>
      <c r="T2" s="34">
        <v>2040</v>
      </c>
      <c r="U2" s="34">
        <v>2041</v>
      </c>
      <c r="V2" s="34">
        <v>2042</v>
      </c>
      <c r="W2" s="34">
        <v>2043</v>
      </c>
      <c r="X2" s="34">
        <v>2044</v>
      </c>
      <c r="Y2" s="34">
        <v>2045</v>
      </c>
      <c r="Z2" s="34">
        <v>2046</v>
      </c>
      <c r="AA2" s="34">
        <v>2047</v>
      </c>
    </row>
    <row r="3" s="45" customFormat="1" ht="16.5" customHeight="1" spans="1:27">
      <c r="A3" s="8">
        <v>1</v>
      </c>
      <c r="B3" s="8" t="s">
        <v>154</v>
      </c>
      <c r="C3" s="11" t="s">
        <v>155</v>
      </c>
      <c r="D3" s="8">
        <f t="shared" ref="D3:D15" si="0">360/C3</f>
        <v>12</v>
      </c>
      <c r="E3" s="44"/>
      <c r="F3" s="14">
        <f t="shared" ref="F3:AA3" si="1">F4+F5+F10</f>
        <v>45.9376619444444</v>
      </c>
      <c r="G3" s="14">
        <f t="shared" si="1"/>
        <v>101.520998932505</v>
      </c>
      <c r="H3" s="14">
        <f t="shared" si="1"/>
        <v>127.026744858529</v>
      </c>
      <c r="I3" s="14">
        <f t="shared" si="1"/>
        <v>129.041161810573</v>
      </c>
      <c r="J3" s="14">
        <f t="shared" si="1"/>
        <v>130.758210241899</v>
      </c>
      <c r="K3" s="14">
        <f t="shared" si="1"/>
        <v>41.4017185736939</v>
      </c>
      <c r="L3" s="14">
        <f t="shared" si="1"/>
        <v>42.0227176314659</v>
      </c>
      <c r="M3" s="14">
        <f t="shared" si="1"/>
        <v>42.6530316751046</v>
      </c>
      <c r="N3" s="14">
        <f t="shared" si="1"/>
        <v>43.2928004293978</v>
      </c>
      <c r="O3" s="14">
        <f t="shared" si="1"/>
        <v>43.9421657150055</v>
      </c>
      <c r="P3" s="14">
        <f t="shared" si="1"/>
        <v>44.6012714798972</v>
      </c>
      <c r="Q3" s="14">
        <f t="shared" si="1"/>
        <v>45.2702638312623</v>
      </c>
      <c r="R3" s="14">
        <f t="shared" si="1"/>
        <v>45.9492910678979</v>
      </c>
      <c r="S3" s="14">
        <f t="shared" si="1"/>
        <v>46.6385037130831</v>
      </c>
      <c r="T3" s="14">
        <f t="shared" si="1"/>
        <v>47.3380545479459</v>
      </c>
      <c r="U3" s="14">
        <f t="shared" si="1"/>
        <v>48.0480986453318</v>
      </c>
      <c r="V3" s="14">
        <f t="shared" si="1"/>
        <v>48.7687934041784</v>
      </c>
      <c r="W3" s="14">
        <f t="shared" si="1"/>
        <v>49.5002985844078</v>
      </c>
      <c r="X3" s="14">
        <f t="shared" si="1"/>
        <v>50.2427763423405</v>
      </c>
      <c r="Y3" s="14">
        <f t="shared" si="1"/>
        <v>51.0033357110868</v>
      </c>
      <c r="Z3" s="14">
        <f t="shared" si="1"/>
        <v>51.7958706925864</v>
      </c>
      <c r="AA3" s="14">
        <f t="shared" si="1"/>
        <v>52.571453905753</v>
      </c>
    </row>
    <row r="4" s="45" customFormat="1" ht="16.5" customHeight="1" spans="1:27">
      <c r="A4" s="8">
        <v>1.1</v>
      </c>
      <c r="B4" s="8" t="s">
        <v>156</v>
      </c>
      <c r="C4" s="11" t="s">
        <v>157</v>
      </c>
      <c r="D4" s="8">
        <f t="shared" si="0"/>
        <v>8</v>
      </c>
      <c r="E4" s="44">
        <f>(F项目收入!D11/$D$4)</f>
        <v>0</v>
      </c>
      <c r="F4" s="14">
        <f>(F项目收入!E11/$D$4)</f>
        <v>45.9375</v>
      </c>
      <c r="G4" s="14">
        <f>(F项目收入!F11/$D$4)</f>
        <v>70.4025</v>
      </c>
      <c r="H4" s="14">
        <f>(F项目收入!G11/$D$4)</f>
        <v>87.4335</v>
      </c>
      <c r="I4" s="14">
        <f>(F项目收入!H11/$D$4)</f>
        <v>88.854045</v>
      </c>
      <c r="J4" s="14">
        <f>F项目收入!I11/$D$4</f>
        <v>89.9683134</v>
      </c>
      <c r="K4" s="14">
        <f>F项目收入!J11/$D$4</f>
        <v>0</v>
      </c>
      <c r="L4" s="14">
        <f>F项目收入!K11/$D$4</f>
        <v>0</v>
      </c>
      <c r="M4" s="14">
        <f>F项目收入!L11/$D$4</f>
        <v>0</v>
      </c>
      <c r="N4" s="14">
        <f>F项目收入!M11/$D$4</f>
        <v>0</v>
      </c>
      <c r="O4" s="14">
        <f>F项目收入!N11/$D$4</f>
        <v>0</v>
      </c>
      <c r="P4" s="14">
        <f>F项目收入!O11/$D$4</f>
        <v>0</v>
      </c>
      <c r="Q4" s="14">
        <f>F项目收入!P11/$D$4</f>
        <v>0</v>
      </c>
      <c r="R4" s="14">
        <f>F项目收入!Q11/$D$4</f>
        <v>0</v>
      </c>
      <c r="S4" s="14">
        <f>F项目收入!R11/$D$4</f>
        <v>0</v>
      </c>
      <c r="T4" s="14">
        <f>F项目收入!S11/$D$4</f>
        <v>0</v>
      </c>
      <c r="U4" s="14">
        <f>F项目收入!T11/$D$4</f>
        <v>0</v>
      </c>
      <c r="V4" s="14">
        <f>F项目收入!U11/$D$4</f>
        <v>0</v>
      </c>
      <c r="W4" s="14">
        <f>F项目收入!V11/$D$4</f>
        <v>0</v>
      </c>
      <c r="X4" s="14">
        <f>F项目收入!W11/$D$4</f>
        <v>0</v>
      </c>
      <c r="Y4" s="14">
        <f>F项目收入!X11/$D$4</f>
        <v>0</v>
      </c>
      <c r="Z4" s="14">
        <f>F项目收入!Y11/$D$4</f>
        <v>0</v>
      </c>
      <c r="AA4" s="14">
        <f>F项目收入!Z11/$D$4</f>
        <v>0</v>
      </c>
    </row>
    <row r="5" s="45" customFormat="1" ht="16.5" customHeight="1" spans="1:27">
      <c r="A5" s="8">
        <v>1.2</v>
      </c>
      <c r="B5" s="8" t="s">
        <v>158</v>
      </c>
      <c r="C5" s="11" t="s">
        <v>159</v>
      </c>
      <c r="D5" s="8">
        <f t="shared" si="0"/>
        <v>6</v>
      </c>
      <c r="E5" s="44"/>
      <c r="F5" s="14">
        <f t="shared" ref="F5:AA5" si="2">SUM(F6:F9)</f>
        <v>0.000129555555555556</v>
      </c>
      <c r="G5" s="14">
        <f t="shared" si="2"/>
        <v>28.6284982790903</v>
      </c>
      <c r="H5" s="14">
        <f t="shared" si="2"/>
        <v>36.593398264747</v>
      </c>
      <c r="I5" s="14">
        <f t="shared" si="2"/>
        <v>37.1422778620516</v>
      </c>
      <c r="J5" s="14">
        <f t="shared" si="2"/>
        <v>37.6993906533157</v>
      </c>
      <c r="K5" s="14">
        <f t="shared" si="2"/>
        <v>38.2648601364487</v>
      </c>
      <c r="L5" s="14">
        <f t="shared" si="2"/>
        <v>38.8388116618288</v>
      </c>
      <c r="M5" s="14">
        <f t="shared" si="2"/>
        <v>39.4213724600895</v>
      </c>
      <c r="N5" s="14">
        <f t="shared" si="2"/>
        <v>40.0126716703242</v>
      </c>
      <c r="O5" s="14">
        <f t="shared" si="2"/>
        <v>40.6128403687124</v>
      </c>
      <c r="P5" s="14">
        <f t="shared" si="2"/>
        <v>41.2220115975764</v>
      </c>
      <c r="Q5" s="14">
        <f t="shared" si="2"/>
        <v>41.8403203948734</v>
      </c>
      <c r="R5" s="14">
        <f t="shared" si="2"/>
        <v>42.4679038241298</v>
      </c>
      <c r="S5" s="14">
        <f t="shared" si="2"/>
        <v>43.1049010048251</v>
      </c>
      <c r="T5" s="14">
        <f t="shared" si="2"/>
        <v>43.7514531432308</v>
      </c>
      <c r="U5" s="14">
        <f t="shared" si="2"/>
        <v>44.4077035637126</v>
      </c>
      <c r="V5" s="14">
        <f t="shared" si="2"/>
        <v>45.0737977405016</v>
      </c>
      <c r="W5" s="14">
        <f t="shared" si="2"/>
        <v>45.7498833299425</v>
      </c>
      <c r="X5" s="14">
        <f t="shared" si="2"/>
        <v>46.4361102032249</v>
      </c>
      <c r="Y5" s="14">
        <f t="shared" si="2"/>
        <v>47.1381860351622</v>
      </c>
      <c r="Z5" s="14">
        <f t="shared" si="2"/>
        <v>47.8672467823563</v>
      </c>
      <c r="AA5" s="14">
        <f t="shared" si="2"/>
        <v>48.5841716063138</v>
      </c>
    </row>
    <row r="6" s="45" customFormat="1" ht="16.5" customHeight="1" spans="1:27">
      <c r="A6" s="8" t="s">
        <v>160</v>
      </c>
      <c r="B6" s="8" t="s">
        <v>161</v>
      </c>
      <c r="C6" s="11" t="s">
        <v>162</v>
      </c>
      <c r="D6" s="8">
        <f t="shared" si="0"/>
        <v>18</v>
      </c>
      <c r="E6" s="44"/>
      <c r="F6" s="14">
        <f>E总成本费用估算表!D3/$D$6</f>
        <v>0</v>
      </c>
      <c r="G6" s="14">
        <f>E总成本费用估算表!E3/$D$6</f>
        <v>0</v>
      </c>
      <c r="H6" s="14">
        <f>E总成本费用估算表!F3/$D$6</f>
        <v>0</v>
      </c>
      <c r="I6" s="14">
        <f>E总成本费用估算表!G3/$D$6</f>
        <v>0</v>
      </c>
      <c r="J6" s="14">
        <f>E总成本费用估算表!H3/$D$6</f>
        <v>0</v>
      </c>
      <c r="K6" s="14">
        <f>E总成本费用估算表!I3/$D$6</f>
        <v>0</v>
      </c>
      <c r="L6" s="14">
        <f>E总成本费用估算表!J3/$D$6</f>
        <v>0</v>
      </c>
      <c r="M6" s="14">
        <f>E总成本费用估算表!K3/$D$6</f>
        <v>0</v>
      </c>
      <c r="N6" s="14">
        <f>E总成本费用估算表!L3/$D$6</f>
        <v>0</v>
      </c>
      <c r="O6" s="14">
        <f>E总成本费用估算表!M3/$D$6</f>
        <v>0</v>
      </c>
      <c r="P6" s="14">
        <f>E总成本费用估算表!N3/$D$6</f>
        <v>0</v>
      </c>
      <c r="Q6" s="14">
        <f>E总成本费用估算表!O3/$D$6</f>
        <v>0</v>
      </c>
      <c r="R6" s="14">
        <f>E总成本费用估算表!P3/$D$6</f>
        <v>0</v>
      </c>
      <c r="S6" s="14">
        <f>E总成本费用估算表!Q3/$D$6</f>
        <v>0</v>
      </c>
      <c r="T6" s="14">
        <f>E总成本费用估算表!R3/$D$6</f>
        <v>0</v>
      </c>
      <c r="U6" s="14">
        <f>E总成本费用估算表!S3/$D$6</f>
        <v>0</v>
      </c>
      <c r="V6" s="14">
        <f>E总成本费用估算表!T3/$D$6</f>
        <v>0</v>
      </c>
      <c r="W6" s="14">
        <f>E总成本费用估算表!U3/$D$6</f>
        <v>0</v>
      </c>
      <c r="X6" s="14">
        <f>E总成本费用估算表!V3/$D$6</f>
        <v>0</v>
      </c>
      <c r="Y6" s="14">
        <f>E总成本费用估算表!W3/$D$6</f>
        <v>0</v>
      </c>
      <c r="Z6" s="14">
        <f>E总成本费用估算表!X3/$D$6</f>
        <v>0</v>
      </c>
      <c r="AA6" s="14">
        <f>E总成本费用估算表!Y3/$D$6</f>
        <v>0</v>
      </c>
    </row>
    <row r="7" s="45" customFormat="1" ht="16.5" customHeight="1" spans="1:27">
      <c r="A7" s="8" t="s">
        <v>163</v>
      </c>
      <c r="B7" s="8" t="s">
        <v>164</v>
      </c>
      <c r="C7" s="11" t="s">
        <v>165</v>
      </c>
      <c r="D7" s="8">
        <f t="shared" si="0"/>
        <v>24</v>
      </c>
      <c r="E7" s="44"/>
      <c r="F7" s="14">
        <f>E总成本费用估算表!D4/$D$7</f>
        <v>0</v>
      </c>
      <c r="G7" s="14">
        <f>E总成本费用估算表!E4/$D$7</f>
        <v>0.382262996941896</v>
      </c>
      <c r="H7" s="14">
        <f>E总成本费用估算表!F4/$D$7</f>
        <v>0.382262996941896</v>
      </c>
      <c r="I7" s="14">
        <f>E总成本费用估算表!G4/$D$7</f>
        <v>0.387996941896024</v>
      </c>
      <c r="J7" s="14">
        <f>E总成本费用估算表!H4/$D$7</f>
        <v>0.393816896024465</v>
      </c>
      <c r="K7" s="14">
        <f>E总成本费用估算表!I4/$D$7</f>
        <v>0.399724149464832</v>
      </c>
      <c r="L7" s="14">
        <f>E总成本费用估算表!J4/$D$7</f>
        <v>0.405720011706804</v>
      </c>
      <c r="M7" s="14">
        <f>E总成本费用估算表!K4/$D$7</f>
        <v>0.411805811882404</v>
      </c>
      <c r="N7" s="14">
        <f>E总成本费用估算表!L4/$D$7</f>
        <v>0.417982899060642</v>
      </c>
      <c r="O7" s="14">
        <f>E总成本费用估算表!M4/$D$7</f>
        <v>0.424252642546552</v>
      </c>
      <c r="P7" s="14">
        <f>E总成本费用估算表!N4/$D$7</f>
        <v>0.430616432184751</v>
      </c>
      <c r="Q7" s="14">
        <f>E总成本费用估算表!O4/$D$7</f>
        <v>0.437075678667523</v>
      </c>
      <c r="R7" s="14">
        <f>E总成本费用估算表!P4/$D$7</f>
        <v>0.443631813847534</v>
      </c>
      <c r="S7" s="14">
        <f>E总成本费用估算表!Q4/$D$7</f>
        <v>0.450286291055248</v>
      </c>
      <c r="T7" s="14">
        <f>E总成本费用估算表!R4/$D$7</f>
        <v>0.457040585421074</v>
      </c>
      <c r="U7" s="14">
        <f>E总成本费用估算表!S4/$D$7</f>
        <v>0.463896194202393</v>
      </c>
      <c r="V7" s="14">
        <f>E总成本费用估算表!T4/$D$7</f>
        <v>0.470854637115428</v>
      </c>
      <c r="W7" s="14">
        <f>E总成本费用估算表!U4/$D$7</f>
        <v>0.47791745667216</v>
      </c>
      <c r="X7" s="14">
        <f>E总成本费用估算表!V4/$D$7</f>
        <v>0.48508621852224</v>
      </c>
      <c r="Y7" s="14">
        <f>E总成本费用估算表!W4/$D$7</f>
        <v>0.492362511800076</v>
      </c>
      <c r="Z7" s="14">
        <f>E总成本费用估算表!X4/$D$7</f>
        <v>0.499747949477076</v>
      </c>
      <c r="AA7" s="14">
        <f>E总成本费用估算表!Y4/$D$7</f>
        <v>0.507244168719232</v>
      </c>
    </row>
    <row r="8" s="45" customFormat="1" ht="16.5" customHeight="1" spans="1:27">
      <c r="A8" s="8" t="s">
        <v>166</v>
      </c>
      <c r="B8" s="8" t="s">
        <v>167</v>
      </c>
      <c r="C8" s="11" t="s">
        <v>165</v>
      </c>
      <c r="D8" s="8">
        <f t="shared" si="0"/>
        <v>24</v>
      </c>
      <c r="E8" s="44"/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</row>
    <row r="9" s="45" customFormat="1" ht="16.5" customHeight="1" spans="1:27">
      <c r="A9" s="8" t="s">
        <v>168</v>
      </c>
      <c r="B9" s="8" t="s">
        <v>169</v>
      </c>
      <c r="C9" s="11" t="s">
        <v>162</v>
      </c>
      <c r="D9" s="8">
        <f t="shared" si="0"/>
        <v>18</v>
      </c>
      <c r="E9" s="44"/>
      <c r="F9" s="14">
        <f>(E总成本费用估算表!D11-E总成本费用估算表!D10)/$D$9</f>
        <v>0.000129555555555556</v>
      </c>
      <c r="G9" s="14">
        <f>(E总成本费用估算表!E11-E总成本费用估算表!E10)/$D$9</f>
        <v>28.2462352821484</v>
      </c>
      <c r="H9" s="14">
        <f>(E总成本费用估算表!F11-E总成本费用估算表!F10)/$D$9</f>
        <v>36.2111352678051</v>
      </c>
      <c r="I9" s="14">
        <f>(E总成本费用估算表!G11-E总成本费用估算表!G10)/$D$9</f>
        <v>36.7542809201555</v>
      </c>
      <c r="J9" s="14">
        <f>(E总成本费用估算表!H11-E总成本费用估算表!H10)/$D$9</f>
        <v>37.3055737572912</v>
      </c>
      <c r="K9" s="14">
        <f>(E总成本费用估算表!I11-E总成本费用估算表!I10)/$D$9</f>
        <v>37.8651359869839</v>
      </c>
      <c r="L9" s="14">
        <f>(E总成本费用估算表!J11-E总成本费用估算表!J10)/$D$9</f>
        <v>38.433091650122</v>
      </c>
      <c r="M9" s="14">
        <f>(E总成本费用估算表!K11-E总成本费用估算表!K10)/$D$9</f>
        <v>39.0095666482071</v>
      </c>
      <c r="N9" s="14">
        <f>(E总成本费用估算表!L11-E总成本费用估算表!L10)/$D$9</f>
        <v>39.5946887712635</v>
      </c>
      <c r="O9" s="14">
        <f>(E总成本费用估算表!M11-E总成本费用估算表!M10)/$D$9</f>
        <v>40.1885877261659</v>
      </c>
      <c r="P9" s="14">
        <f>(E总成本费用估算表!N11-E总成本费用估算表!N10)/$D$9</f>
        <v>40.7913951653917</v>
      </c>
      <c r="Q9" s="14">
        <f>(E总成本费用估算表!O11-E总成本费用估算表!O10)/$D$9</f>
        <v>41.4032447162059</v>
      </c>
      <c r="R9" s="14">
        <f>(E总成本费用估算表!P11-E总成本费用估算表!P10)/$D$9</f>
        <v>42.0242720102823</v>
      </c>
      <c r="S9" s="14">
        <f>(E总成本费用估算表!Q11-E总成本费用估算表!Q10)/$D$9</f>
        <v>42.6546147137699</v>
      </c>
      <c r="T9" s="14">
        <f>(E总成本费用估算表!R11-E总成本费用估算表!R10)/$D$9</f>
        <v>43.2944125578097</v>
      </c>
      <c r="U9" s="14">
        <f>(E总成本费用估算表!S11-E总成本费用估算表!S10)/$D$9</f>
        <v>43.9438073695102</v>
      </c>
      <c r="V9" s="14">
        <f>(E总成本费用估算表!T11-E总成本费用估算表!T10)/$D$9</f>
        <v>44.6029431033861</v>
      </c>
      <c r="W9" s="14">
        <f>(E总成本费用估算表!U11-E总成本费用估算表!U10)/$D$9</f>
        <v>45.2719658732703</v>
      </c>
      <c r="X9" s="14">
        <f>(E总成本费用估算表!V11-E总成本费用估算表!V10)/$D$9</f>
        <v>45.9510239847027</v>
      </c>
      <c r="Y9" s="14">
        <f>(E总成本费用估算表!W11-E总成本费用估算表!W10)/$D$9</f>
        <v>46.6458235233621</v>
      </c>
      <c r="Z9" s="14">
        <f>(E总成本费用估算表!X11-E总成本费用估算表!X10)/$D$9</f>
        <v>47.3674988328792</v>
      </c>
      <c r="AA9" s="14">
        <f>(E总成本费用估算表!Y11-E总成本费用估算表!Y10)/$D$9</f>
        <v>48.0769274375946</v>
      </c>
    </row>
    <row r="10" s="45" customFormat="1" ht="16.5" customHeight="1" spans="1:27">
      <c r="A10" s="8">
        <v>1.3</v>
      </c>
      <c r="B10" s="8" t="s">
        <v>170</v>
      </c>
      <c r="C10" s="11" t="s">
        <v>171</v>
      </c>
      <c r="D10" s="8">
        <f t="shared" si="0"/>
        <v>72</v>
      </c>
      <c r="E10" s="44"/>
      <c r="F10" s="14">
        <f>(E总成本费用估算表!D5+E总成本费用估算表!D7)/$D$10</f>
        <v>3.23888888888889e-5</v>
      </c>
      <c r="G10" s="14">
        <f>(E总成本费用估算表!E5+E总成本费用估算表!E7)/$D$10</f>
        <v>2.49000065341488</v>
      </c>
      <c r="H10" s="14">
        <f>(E总成本费用估算表!F5+E总成本费用估算表!F7)/$D$10</f>
        <v>2.99984659378186</v>
      </c>
      <c r="I10" s="14">
        <f>(E总成本费用估算表!G5+E总成本费用估算表!G7)/$D$10</f>
        <v>3.04483894852192</v>
      </c>
      <c r="J10" s="14">
        <f>(E总成本费用估算表!H5+E总成本费用估算表!H7)/$D$10</f>
        <v>3.09050618858308</v>
      </c>
      <c r="K10" s="14">
        <f>(E总成本费用估算表!I5+E总成本费用估算表!I7)/$D$10</f>
        <v>3.13685843724516</v>
      </c>
      <c r="L10" s="14">
        <f>(E总成本费用估算表!J5+E总成本费用估算表!J7)/$D$10</f>
        <v>3.18390596963717</v>
      </c>
      <c r="M10" s="14">
        <f>(E总成本费用估算表!K5+E总成本费用估算表!K7)/$D$10</f>
        <v>3.23165921501506</v>
      </c>
      <c r="N10" s="14">
        <f>(E总成本费用估算表!L5+E总成本费用估算表!L7)/$D$10</f>
        <v>3.28012875907361</v>
      </c>
      <c r="O10" s="14">
        <f>(E总成本费用估算表!M5+E总成本费用估算表!M7)/$D$10</f>
        <v>3.32932534629306</v>
      </c>
      <c r="P10" s="14">
        <f>(E总成本费用估算表!N5+E总成本费用估算表!N7)/$D$10</f>
        <v>3.37925988232078</v>
      </c>
      <c r="Q10" s="14">
        <f>(E总成本费用估算表!O5+E总成本费用估算表!O7)/$D$10</f>
        <v>3.42994343638893</v>
      </c>
      <c r="R10" s="14">
        <f>(E总成本费用估算表!P5+E总成本费用估算表!P7)/$D$10</f>
        <v>3.4813872437681</v>
      </c>
      <c r="S10" s="14">
        <f>(E总成本费用估算表!Q5+E总成本费用估算表!Q7)/$D$10</f>
        <v>3.53360270825795</v>
      </c>
      <c r="T10" s="14">
        <f>(E总成本费用估算表!R5+E总成本费用估算表!R7)/$D$10</f>
        <v>3.58660140471514</v>
      </c>
      <c r="U10" s="14">
        <f>(E总成本费用估算表!S5+E总成本费用估算表!S7)/$D$10</f>
        <v>3.64039508161921</v>
      </c>
      <c r="V10" s="14">
        <f>(E总成本费用估算表!T5+E总成本费用估算表!T7)/$D$10</f>
        <v>3.69499566367683</v>
      </c>
      <c r="W10" s="14">
        <f>(E总成本费用估算表!U5+E总成本费用估算表!U7)/$D$10</f>
        <v>3.75041525446532</v>
      </c>
      <c r="X10" s="14">
        <f>(E总成本费用估算表!V5+E总成本费用估算表!V7)/$D$10</f>
        <v>3.80666613911563</v>
      </c>
      <c r="Y10" s="14">
        <f>(E总成本费用估算表!W5+E总成本费用估算表!W7)/$D$10</f>
        <v>3.86514967592458</v>
      </c>
      <c r="Z10" s="14">
        <f>(E总成本费用估算表!X5+E总成本费用估算表!X7)/$D$10</f>
        <v>3.92862391023012</v>
      </c>
      <c r="AA10" s="14">
        <f>(E总成本费用估算表!Y5+E总成本费用估算表!Y7)/$D$10</f>
        <v>3.98728229943913</v>
      </c>
    </row>
    <row r="11" s="45" customFormat="1" ht="16.5" customHeight="1" spans="1:27">
      <c r="A11" s="8">
        <v>2</v>
      </c>
      <c r="B11" s="8" t="s">
        <v>172</v>
      </c>
      <c r="C11" s="11" t="s">
        <v>155</v>
      </c>
      <c r="D11" s="8">
        <f t="shared" si="0"/>
        <v>12</v>
      </c>
      <c r="E11" s="44"/>
      <c r="F11" s="14">
        <f t="shared" ref="F11:AA11" si="3">F12</f>
        <v>0</v>
      </c>
      <c r="G11" s="14">
        <f t="shared" si="3"/>
        <v>0.764525993883792</v>
      </c>
      <c r="H11" s="14">
        <f t="shared" si="3"/>
        <v>0.764525993883792</v>
      </c>
      <c r="I11" s="14">
        <f t="shared" si="3"/>
        <v>0.775993883792049</v>
      </c>
      <c r="J11" s="14">
        <f t="shared" si="3"/>
        <v>0.78763379204893</v>
      </c>
      <c r="K11" s="14">
        <f t="shared" si="3"/>
        <v>0.799448298929664</v>
      </c>
      <c r="L11" s="14">
        <f t="shared" si="3"/>
        <v>0.811440023413609</v>
      </c>
      <c r="M11" s="14">
        <f t="shared" si="3"/>
        <v>0.823611623764809</v>
      </c>
      <c r="N11" s="14">
        <f t="shared" si="3"/>
        <v>0.835965798121284</v>
      </c>
      <c r="O11" s="14">
        <f t="shared" si="3"/>
        <v>0.848505285093104</v>
      </c>
      <c r="P11" s="14">
        <f t="shared" si="3"/>
        <v>0.861232864369503</v>
      </c>
      <c r="Q11" s="14">
        <f t="shared" si="3"/>
        <v>0.874151357335046</v>
      </c>
      <c r="R11" s="14">
        <f t="shared" si="3"/>
        <v>0.887263627695069</v>
      </c>
      <c r="S11" s="14">
        <f t="shared" si="3"/>
        <v>0.900572582110497</v>
      </c>
      <c r="T11" s="14">
        <f t="shared" si="3"/>
        <v>0.914081170842148</v>
      </c>
      <c r="U11" s="14">
        <f t="shared" si="3"/>
        <v>0.927792388404786</v>
      </c>
      <c r="V11" s="14">
        <f t="shared" si="3"/>
        <v>0.941709274230856</v>
      </c>
      <c r="W11" s="14">
        <f t="shared" si="3"/>
        <v>0.955834913344319</v>
      </c>
      <c r="X11" s="14">
        <f t="shared" si="3"/>
        <v>0.97017243704448</v>
      </c>
      <c r="Y11" s="14">
        <f t="shared" si="3"/>
        <v>0.984725023600153</v>
      </c>
      <c r="Z11" s="14">
        <f t="shared" si="3"/>
        <v>0.999495898954151</v>
      </c>
      <c r="AA11" s="14">
        <f t="shared" si="3"/>
        <v>1.01448833743846</v>
      </c>
    </row>
    <row r="12" s="45" customFormat="1" ht="16.5" customHeight="1" spans="1:27">
      <c r="A12" s="8">
        <v>2.1</v>
      </c>
      <c r="B12" s="8" t="s">
        <v>173</v>
      </c>
      <c r="C12" s="11" t="s">
        <v>155</v>
      </c>
      <c r="D12" s="8">
        <f t="shared" si="0"/>
        <v>12</v>
      </c>
      <c r="E12" s="44"/>
      <c r="F12" s="14">
        <f>(E总成本费用估算表!D3+E总成本费用估算表!D4)/$D$12</f>
        <v>0</v>
      </c>
      <c r="G12" s="14">
        <f>(E总成本费用估算表!E3+E总成本费用估算表!E4)/$D$12</f>
        <v>0.764525993883792</v>
      </c>
      <c r="H12" s="14">
        <f>(E总成本费用估算表!F3+E总成本费用估算表!F4)/$D$12</f>
        <v>0.764525993883792</v>
      </c>
      <c r="I12" s="14">
        <f>(E总成本费用估算表!G3+E总成本费用估算表!G4)/$D$12</f>
        <v>0.775993883792049</v>
      </c>
      <c r="J12" s="14">
        <f>(E总成本费用估算表!H3+E总成本费用估算表!H4)/$D$12</f>
        <v>0.78763379204893</v>
      </c>
      <c r="K12" s="14">
        <f>(E总成本费用估算表!I3+E总成本费用估算表!I4)/$D$12</f>
        <v>0.799448298929664</v>
      </c>
      <c r="L12" s="14">
        <f>(E总成本费用估算表!J3+E总成本费用估算表!J4)/$D$12</f>
        <v>0.811440023413609</v>
      </c>
      <c r="M12" s="14">
        <f>(E总成本费用估算表!K3+E总成本费用估算表!K4)/$D$12</f>
        <v>0.823611623764809</v>
      </c>
      <c r="N12" s="14">
        <f>(E总成本费用估算表!L3+E总成本费用估算表!L4)/$D$12</f>
        <v>0.835965798121284</v>
      </c>
      <c r="O12" s="14">
        <f>(E总成本费用估算表!M3+E总成本费用估算表!M4)/$D$12</f>
        <v>0.848505285093104</v>
      </c>
      <c r="P12" s="14">
        <f>(E总成本费用估算表!N3+E总成本费用估算表!N4)/$D$12</f>
        <v>0.861232864369503</v>
      </c>
      <c r="Q12" s="14">
        <f>(E总成本费用估算表!O3+E总成本费用估算表!O4)/$D$12</f>
        <v>0.874151357335046</v>
      </c>
      <c r="R12" s="14">
        <f>(E总成本费用估算表!P3+E总成本费用估算表!P4)/$D$12</f>
        <v>0.887263627695069</v>
      </c>
      <c r="S12" s="14">
        <f>(E总成本费用估算表!Q3+E总成本费用估算表!Q4)/$D$12</f>
        <v>0.900572582110497</v>
      </c>
      <c r="T12" s="14">
        <f>(E总成本费用估算表!R3+E总成本费用估算表!R4)/$D$12</f>
        <v>0.914081170842148</v>
      </c>
      <c r="U12" s="14">
        <f>(E总成本费用估算表!S3+E总成本费用估算表!S4)/$D$12</f>
        <v>0.927792388404786</v>
      </c>
      <c r="V12" s="14">
        <f>(E总成本费用估算表!T3+E总成本费用估算表!T4)/$D$12</f>
        <v>0.941709274230856</v>
      </c>
      <c r="W12" s="14">
        <f>(E总成本费用估算表!U3+E总成本费用估算表!U4)/$D$12</f>
        <v>0.955834913344319</v>
      </c>
      <c r="X12" s="14">
        <f>(E总成本费用估算表!V3+E总成本费用估算表!V4)/$D$12</f>
        <v>0.97017243704448</v>
      </c>
      <c r="Y12" s="14">
        <f>(E总成本费用估算表!W3+E总成本费用估算表!W4)/$D$12</f>
        <v>0.984725023600153</v>
      </c>
      <c r="Z12" s="14">
        <f>(E总成本费用估算表!X3+E总成本费用估算表!X4)/$D$12</f>
        <v>0.999495898954151</v>
      </c>
      <c r="AA12" s="14">
        <f>(E总成本费用估算表!Y3+E总成本费用估算表!Y4)/$D$12</f>
        <v>1.01448833743846</v>
      </c>
    </row>
    <row r="13" s="45" customFormat="1" ht="16.5" customHeight="1" spans="1:27">
      <c r="A13" s="8">
        <v>3</v>
      </c>
      <c r="B13" s="8" t="s">
        <v>174</v>
      </c>
      <c r="C13" s="11" t="s">
        <v>165</v>
      </c>
      <c r="D13" s="8">
        <f t="shared" si="0"/>
        <v>24</v>
      </c>
      <c r="E13" s="44"/>
      <c r="F13" s="14">
        <f t="shared" ref="F13:AA13" si="4">F3-F11</f>
        <v>45.9376619444444</v>
      </c>
      <c r="G13" s="14">
        <f t="shared" si="4"/>
        <v>100.756472938621</v>
      </c>
      <c r="H13" s="14">
        <f t="shared" si="4"/>
        <v>126.262218864645</v>
      </c>
      <c r="I13" s="14">
        <f t="shared" si="4"/>
        <v>128.265167926781</v>
      </c>
      <c r="J13" s="14">
        <f t="shared" si="4"/>
        <v>129.97057644985</v>
      </c>
      <c r="K13" s="14">
        <f t="shared" si="4"/>
        <v>40.6022702747642</v>
      </c>
      <c r="L13" s="14">
        <f t="shared" si="4"/>
        <v>41.2112776080523</v>
      </c>
      <c r="M13" s="14">
        <f t="shared" si="4"/>
        <v>41.8294200513398</v>
      </c>
      <c r="N13" s="14">
        <f t="shared" si="4"/>
        <v>42.4568346312765</v>
      </c>
      <c r="O13" s="14">
        <f t="shared" si="4"/>
        <v>43.0936604299124</v>
      </c>
      <c r="P13" s="14">
        <f t="shared" si="4"/>
        <v>43.7400386155277</v>
      </c>
      <c r="Q13" s="14">
        <f t="shared" si="4"/>
        <v>44.3961124739273</v>
      </c>
      <c r="R13" s="14">
        <f t="shared" si="4"/>
        <v>45.0620274402028</v>
      </c>
      <c r="S13" s="14">
        <f t="shared" si="4"/>
        <v>45.7379311309726</v>
      </c>
      <c r="T13" s="14">
        <f t="shared" si="4"/>
        <v>46.4239733771038</v>
      </c>
      <c r="U13" s="14">
        <f t="shared" si="4"/>
        <v>47.120306256927</v>
      </c>
      <c r="V13" s="14">
        <f t="shared" si="4"/>
        <v>47.8270841299476</v>
      </c>
      <c r="W13" s="14">
        <f t="shared" si="4"/>
        <v>48.5444636710635</v>
      </c>
      <c r="X13" s="14">
        <f t="shared" si="4"/>
        <v>49.2726039052961</v>
      </c>
      <c r="Y13" s="14">
        <f t="shared" si="4"/>
        <v>50.0186106874866</v>
      </c>
      <c r="Z13" s="14">
        <f t="shared" si="4"/>
        <v>50.7963747936323</v>
      </c>
      <c r="AA13" s="14">
        <f t="shared" si="4"/>
        <v>51.5569655683145</v>
      </c>
    </row>
    <row r="14" s="45" customFormat="1" ht="16.5" customHeight="1" spans="1:27">
      <c r="A14" s="8">
        <v>4</v>
      </c>
      <c r="B14" s="8" t="s">
        <v>175</v>
      </c>
      <c r="C14" s="11" t="s">
        <v>176</v>
      </c>
      <c r="D14" s="8">
        <f t="shared" si="0"/>
        <v>36</v>
      </c>
      <c r="E14" s="44"/>
      <c r="F14" s="14">
        <f t="shared" ref="F14:AA14" si="5">F13-E13</f>
        <v>45.9376619444444</v>
      </c>
      <c r="G14" s="14">
        <f t="shared" si="5"/>
        <v>54.818810994177</v>
      </c>
      <c r="H14" s="14">
        <f t="shared" si="5"/>
        <v>25.5057459260237</v>
      </c>
      <c r="I14" s="14">
        <f t="shared" si="5"/>
        <v>2.00294906213635</v>
      </c>
      <c r="J14" s="14">
        <f t="shared" si="5"/>
        <v>1.70540852306837</v>
      </c>
      <c r="K14" s="14">
        <f t="shared" si="5"/>
        <v>-89.3683061750856</v>
      </c>
      <c r="L14" s="14">
        <f t="shared" si="5"/>
        <v>0.609007333288098</v>
      </c>
      <c r="M14" s="14">
        <f t="shared" si="5"/>
        <v>0.618142443287468</v>
      </c>
      <c r="N14" s="14">
        <f t="shared" si="5"/>
        <v>0.627414579936733</v>
      </c>
      <c r="O14" s="14">
        <f t="shared" si="5"/>
        <v>0.636825798635861</v>
      </c>
      <c r="P14" s="14">
        <f t="shared" si="5"/>
        <v>0.646378185615319</v>
      </c>
      <c r="Q14" s="14">
        <f t="shared" si="5"/>
        <v>0.656073858399608</v>
      </c>
      <c r="R14" s="14">
        <f t="shared" si="5"/>
        <v>0.66591496627553</v>
      </c>
      <c r="S14" s="14">
        <f t="shared" si="5"/>
        <v>0.675903690769722</v>
      </c>
      <c r="T14" s="14">
        <f t="shared" si="5"/>
        <v>0.686042246131201</v>
      </c>
      <c r="U14" s="14">
        <f t="shared" si="5"/>
        <v>0.696332879823281</v>
      </c>
      <c r="V14" s="14">
        <f t="shared" si="5"/>
        <v>0.706777873020513</v>
      </c>
      <c r="W14" s="14">
        <f t="shared" si="5"/>
        <v>0.717379541115946</v>
      </c>
      <c r="X14" s="14">
        <f t="shared" si="5"/>
        <v>0.728140234232569</v>
      </c>
      <c r="Y14" s="14">
        <f t="shared" si="5"/>
        <v>0.746006782190548</v>
      </c>
      <c r="Z14" s="14">
        <f t="shared" si="5"/>
        <v>0.777764106145639</v>
      </c>
      <c r="AA14" s="14">
        <f t="shared" si="5"/>
        <v>0.76059077468225</v>
      </c>
    </row>
    <row r="15" s="45" customFormat="1" ht="16.5" customHeight="1" spans="1:27">
      <c r="A15" s="8">
        <v>5</v>
      </c>
      <c r="B15" s="8" t="s">
        <v>177</v>
      </c>
      <c r="C15" s="11" t="s">
        <v>171</v>
      </c>
      <c r="D15" s="8">
        <f t="shared" si="0"/>
        <v>72</v>
      </c>
      <c r="E15" s="9"/>
      <c r="F15" s="14">
        <f>D.2项目总投资使用计划与资金筹措表!E15</f>
        <v>0</v>
      </c>
      <c r="G15" s="14">
        <f>D.2项目总投资使用计划与资金筹措表!F15</f>
        <v>0</v>
      </c>
      <c r="H15" s="14">
        <f>D.2项目总投资使用计划与资金筹措表!G15</f>
        <v>0</v>
      </c>
      <c r="I15" s="14">
        <f>D.2项目总投资使用计划与资金筹措表!H15</f>
        <v>0</v>
      </c>
      <c r="J15" s="14">
        <f>D.2项目总投资使用计划与资金筹措表!I15</f>
        <v>0</v>
      </c>
      <c r="K15" s="14">
        <f>D.2项目总投资使用计划与资金筹措表!J15</f>
        <v>0</v>
      </c>
      <c r="L15" s="14">
        <f>D.2项目总投资使用计划与资金筹措表!K15</f>
        <v>0</v>
      </c>
      <c r="M15" s="14">
        <f>D.2项目总投资使用计划与资金筹措表!L15</f>
        <v>0</v>
      </c>
      <c r="N15" s="14">
        <f>D.2项目总投资使用计划与资金筹措表!M15</f>
        <v>0</v>
      </c>
      <c r="O15" s="14">
        <f>D.2项目总投资使用计划与资金筹措表!N15</f>
        <v>0</v>
      </c>
      <c r="P15" s="14">
        <f>D.2项目总投资使用计划与资金筹措表!O15</f>
        <v>0</v>
      </c>
      <c r="Q15" s="14">
        <f>D.2项目总投资使用计划与资金筹措表!P15</f>
        <v>0</v>
      </c>
      <c r="R15" s="14">
        <f>D.2项目总投资使用计划与资金筹措表!Q15</f>
        <v>0</v>
      </c>
      <c r="S15" s="14">
        <f>D.2项目总投资使用计划与资金筹措表!R15</f>
        <v>0</v>
      </c>
      <c r="T15" s="14">
        <f>D.2项目总投资使用计划与资金筹措表!S15</f>
        <v>0</v>
      </c>
      <c r="U15" s="14">
        <f>D.2项目总投资使用计划与资金筹措表!T15</f>
        <v>0</v>
      </c>
      <c r="V15" s="14">
        <f>D.2项目总投资使用计划与资金筹措表!U15</f>
        <v>0</v>
      </c>
      <c r="W15" s="14">
        <f>D.2项目总投资使用计划与资金筹措表!V15</f>
        <v>0</v>
      </c>
      <c r="X15" s="14">
        <f>D.2项目总投资使用计划与资金筹措表!W15</f>
        <v>0</v>
      </c>
      <c r="Y15" s="14">
        <f>D.2项目总投资使用计划与资金筹措表!X15</f>
        <v>0</v>
      </c>
      <c r="Z15" s="14">
        <f>D.2项目总投资使用计划与资金筹措表!Y15</f>
        <v>0</v>
      </c>
      <c r="AA15" s="14">
        <f>D.2项目总投资使用计划与资金筹措表!Z15</f>
        <v>0</v>
      </c>
    </row>
  </sheetData>
  <mergeCells count="1">
    <mergeCell ref="A1:J1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 tint="-0.249977111117893"/>
  </sheetPr>
  <dimension ref="A1:Y18"/>
  <sheetViews>
    <sheetView zoomScale="85" zoomScaleNormal="85" workbookViewId="0">
      <pane xSplit="2" ySplit="2" topLeftCell="C3" activePane="bottomRight" state="frozen"/>
      <selection/>
      <selection pane="topRight"/>
      <selection pane="bottomLeft"/>
      <selection pane="bottomRight" activeCell="I10" sqref="I10"/>
    </sheetView>
  </sheetViews>
  <sheetFormatPr defaultColWidth="8.89090909090909" defaultRowHeight="28.05" customHeight="1"/>
  <cols>
    <col min="1" max="1" width="6.89090909090909" style="1" customWidth="1"/>
    <col min="2" max="2" width="33" style="1" customWidth="1"/>
    <col min="3" max="3" width="6.89090909090909" style="1" customWidth="1"/>
    <col min="4" max="8" width="9.33636363636364" style="1" customWidth="1"/>
    <col min="9" max="9" width="8.66363636363636" style="1" customWidth="1"/>
  </cols>
  <sheetData>
    <row r="1" s="45" customFormat="1" ht="22.5" customHeight="1" spans="1:9">
      <c r="A1" s="53" t="s">
        <v>178</v>
      </c>
      <c r="B1" s="3"/>
      <c r="C1" s="3"/>
      <c r="D1" s="3"/>
      <c r="E1" s="3"/>
      <c r="F1" s="3"/>
      <c r="G1" s="3"/>
      <c r="H1" s="4"/>
      <c r="I1"/>
    </row>
    <row r="2" s="45" customFormat="1" ht="28.2" customHeight="1" spans="1:25">
      <c r="A2" s="5" t="s">
        <v>1</v>
      </c>
      <c r="B2" s="5" t="s">
        <v>99</v>
      </c>
      <c r="C2" s="34">
        <v>2025</v>
      </c>
      <c r="D2" s="34">
        <v>2026</v>
      </c>
      <c r="E2" s="34">
        <v>2027</v>
      </c>
      <c r="F2" s="34">
        <v>2028</v>
      </c>
      <c r="G2" s="34">
        <v>2029</v>
      </c>
      <c r="H2" s="34">
        <v>2030</v>
      </c>
      <c r="I2" s="34">
        <v>2031</v>
      </c>
      <c r="J2" s="34">
        <v>2032</v>
      </c>
      <c r="K2" s="34">
        <v>2033</v>
      </c>
      <c r="L2" s="34">
        <v>2034</v>
      </c>
      <c r="M2" s="34">
        <v>2035</v>
      </c>
      <c r="N2" s="34">
        <v>2036</v>
      </c>
      <c r="O2" s="34">
        <v>2037</v>
      </c>
      <c r="P2" s="34">
        <v>2038</v>
      </c>
      <c r="Q2" s="34">
        <v>2039</v>
      </c>
      <c r="R2" s="34">
        <v>2040</v>
      </c>
      <c r="S2" s="34">
        <v>2041</v>
      </c>
      <c r="T2" s="34">
        <v>2042</v>
      </c>
      <c r="U2" s="34">
        <v>2043</v>
      </c>
      <c r="V2" s="34">
        <v>2044</v>
      </c>
      <c r="W2" s="34">
        <v>2045</v>
      </c>
      <c r="X2" s="34">
        <v>2046</v>
      </c>
      <c r="Y2" s="34">
        <v>2047</v>
      </c>
    </row>
    <row r="3" s="45" customFormat="1" ht="16.5" customHeight="1" spans="1:25">
      <c r="A3" s="8">
        <v>1</v>
      </c>
      <c r="B3" s="8" t="s">
        <v>179</v>
      </c>
      <c r="C3" s="9"/>
      <c r="D3" s="40">
        <f>'E.1.1项目运营期费用(不含税）'!I7+'E.1.1项目运营期费用(不含税）'!I13</f>
        <v>0</v>
      </c>
      <c r="E3" s="40">
        <f>'E.1.1项目运营期费用(不含税）'!J7+'E.1.1项目运营期费用(不含税）'!J13</f>
        <v>0</v>
      </c>
      <c r="F3" s="40">
        <f>'E.1.1项目运营期费用(不含税）'!K7+'E.1.1项目运营期费用(不含税）'!K13</f>
        <v>0</v>
      </c>
      <c r="G3" s="40">
        <f>'E.1.1项目运营期费用(不含税）'!L7+'E.1.1项目运营期费用(不含税）'!L13</f>
        <v>0</v>
      </c>
      <c r="H3" s="40">
        <f>'E.1.1项目运营期费用(不含税）'!M7+'E.1.1项目运营期费用(不含税）'!M13</f>
        <v>0</v>
      </c>
      <c r="I3" s="40">
        <f>'E.1.1项目运营期费用(不含税）'!N7+'E.1.1项目运营期费用(不含税）'!N13</f>
        <v>0</v>
      </c>
      <c r="J3" s="40">
        <f>'E.1.1项目运营期费用(不含税）'!O7+'E.1.1项目运营期费用(不含税）'!O13</f>
        <v>0</v>
      </c>
      <c r="K3" s="40">
        <f>'E.1.1项目运营期费用(不含税）'!P7+'E.1.1项目运营期费用(不含税）'!P13</f>
        <v>0</v>
      </c>
      <c r="L3" s="40">
        <f>'E.1.1项目运营期费用(不含税）'!Q7+'E.1.1项目运营期费用(不含税）'!Q13</f>
        <v>0</v>
      </c>
      <c r="M3" s="40">
        <f>'E.1.1项目运营期费用(不含税）'!R7+'E.1.1项目运营期费用(不含税）'!R13</f>
        <v>0</v>
      </c>
      <c r="N3" s="40">
        <f>'E.1.1项目运营期费用(不含税）'!S7+'E.1.1项目运营期费用(不含税）'!S13</f>
        <v>0</v>
      </c>
      <c r="O3" s="40">
        <f>'E.1.1项目运营期费用(不含税）'!T7+'E.1.1项目运营期费用(不含税）'!T13</f>
        <v>0</v>
      </c>
      <c r="P3" s="40">
        <f>'E.1.1项目运营期费用(不含税）'!U7+'E.1.1项目运营期费用(不含税）'!U13</f>
        <v>0</v>
      </c>
      <c r="Q3" s="40">
        <f>'E.1.1项目运营期费用(不含税）'!V7+'E.1.1项目运营期费用(不含税）'!V13</f>
        <v>0</v>
      </c>
      <c r="R3" s="40">
        <f>'E.1.1项目运营期费用(不含税）'!W7+'E.1.1项目运营期费用(不含税）'!W13</f>
        <v>0</v>
      </c>
      <c r="S3" s="40">
        <f>'E.1.1项目运营期费用(不含税）'!X7+'E.1.1项目运营期费用(不含税）'!X13</f>
        <v>0</v>
      </c>
      <c r="T3" s="40">
        <f>'E.1.1项目运营期费用(不含税）'!Y7+'E.1.1项目运营期费用(不含税）'!Y13</f>
        <v>0</v>
      </c>
      <c r="U3" s="40">
        <f>'E.1.1项目运营期费用(不含税）'!Z7+'E.1.1项目运营期费用(不含税）'!Z13</f>
        <v>0</v>
      </c>
      <c r="V3" s="40">
        <f>'E.1.1项目运营期费用(不含税）'!AA7+'E.1.1项目运营期费用(不含税）'!AA13</f>
        <v>0</v>
      </c>
      <c r="W3" s="40">
        <f>'E.1.1项目运营期费用(不含税）'!AB7+'E.1.1项目运营期费用(不含税）'!AB13</f>
        <v>0</v>
      </c>
      <c r="X3" s="40">
        <f>'E.1.1项目运营期费用(不含税）'!AC7+'E.1.1项目运营期费用(不含税）'!AC13</f>
        <v>0</v>
      </c>
      <c r="Y3" s="40">
        <f>'E.1.1项目运营期费用(不含税）'!AD7+'E.1.1项目运营期费用(不含税）'!AD13</f>
        <v>0</v>
      </c>
    </row>
    <row r="4" s="45" customFormat="1" ht="16.5" customHeight="1" spans="1:25">
      <c r="A4" s="8">
        <v>2</v>
      </c>
      <c r="B4" s="8" t="s">
        <v>180</v>
      </c>
      <c r="C4" s="9"/>
      <c r="D4" s="40">
        <f>'E.1.1项目运营期费用(不含税）'!I8+'E.1.1项目运营期费用(不含税）'!I9+'E.1.1项目运营期费用(不含税）'!I10</f>
        <v>0</v>
      </c>
      <c r="E4" s="40">
        <f>'E.1.1项目运营期费用(不含税）'!J8+'E.1.1项目运营期费用(不含税）'!J9+'E.1.1项目运营期费用(不含税）'!J10</f>
        <v>9.1743119266055</v>
      </c>
      <c r="F4" s="40">
        <f>'E.1.1项目运营期费用(不含税）'!K8+'E.1.1项目运营期费用(不含税）'!K9+'E.1.1项目运营期费用(不含税）'!K10</f>
        <v>9.1743119266055</v>
      </c>
      <c r="G4" s="40">
        <f>'E.1.1项目运营期费用(不含税）'!L8+'E.1.1项目运营期费用(不含税）'!L9+'E.1.1项目运营期费用(不含税）'!L10</f>
        <v>9.31192660550459</v>
      </c>
      <c r="H4" s="40">
        <f>'E.1.1项目运营期费用(不含税）'!M8+'E.1.1项目运营期费用(不含税）'!M9+'E.1.1项目运营期费用(不含税）'!M10</f>
        <v>9.45160550458716</v>
      </c>
      <c r="I4" s="40">
        <f>'E.1.1项目运营期费用(不含税）'!N8+'E.1.1项目运营期费用(不含税）'!N9+'E.1.1项目运营期费用(不含税）'!N10</f>
        <v>9.59337958715596</v>
      </c>
      <c r="J4" s="40">
        <f>'E.1.1项目运营期费用(不含税）'!O8+'E.1.1项目运营期费用(不含税）'!O9+'E.1.1项目运营期费用(不含税）'!O10</f>
        <v>9.7372802809633</v>
      </c>
      <c r="K4" s="40">
        <f>'E.1.1项目运营期费用(不含税）'!P8+'E.1.1项目运营期费用(不含税）'!P9+'E.1.1项目运营期费用(不含税）'!P10</f>
        <v>9.88333948517771</v>
      </c>
      <c r="L4" s="40">
        <f>'E.1.1项目运营期费用(不含税）'!Q8+'E.1.1项目运营期费用(不含税）'!Q9+'E.1.1项目运营期费用(不含税）'!Q10</f>
        <v>10.0315895774554</v>
      </c>
      <c r="M4" s="40">
        <f>'E.1.1项目运营期费用(不含税）'!R8+'E.1.1项目运营期费用(不含税）'!R9+'E.1.1项目运营期费用(不含税）'!R10</f>
        <v>10.1820634211172</v>
      </c>
      <c r="N4" s="40">
        <f>'E.1.1项目运营期费用(不含税）'!S8+'E.1.1项目运营期费用(不含税）'!S9+'E.1.1项目运营期费用(不含税）'!S10</f>
        <v>10.334794372434</v>
      </c>
      <c r="O4" s="40">
        <f>'E.1.1项目运营期费用(不含税）'!T8+'E.1.1项目运营期费用(不含税）'!T9+'E.1.1项目运营期费用(不含税）'!T10</f>
        <v>10.4898162880206</v>
      </c>
      <c r="P4" s="40">
        <f>'E.1.1项目运营期费用(不含税）'!U8+'E.1.1项目运营期费用(不含税）'!U9+'E.1.1项目运营期费用(不含税）'!U10</f>
        <v>10.6471635323408</v>
      </c>
      <c r="Q4" s="40">
        <f>'E.1.1项目运营期费用(不含税）'!V8+'E.1.1项目运营期费用(不含税）'!V9+'E.1.1项目运营期费用(不含税）'!V10</f>
        <v>10.806870985326</v>
      </c>
      <c r="R4" s="40">
        <f>'E.1.1项目运营期费用(不含税）'!W8+'E.1.1项目运营期费用(不含税）'!W9+'E.1.1项目运营期费用(不含税）'!W10</f>
        <v>10.9689740501058</v>
      </c>
      <c r="S4" s="40">
        <f>'E.1.1项目运营期费用(不含税）'!X8+'E.1.1项目运营期费用(不含税）'!X9+'E.1.1项目运营期费用(不含税）'!X10</f>
        <v>11.1335086608574</v>
      </c>
      <c r="T4" s="40">
        <f>'E.1.1项目运营期费用(不含税）'!Y8+'E.1.1项目运营期费用(不含税）'!Y9+'E.1.1项目运营期费用(不含税）'!Y10</f>
        <v>11.3005112907703</v>
      </c>
      <c r="U4" s="40">
        <f>'E.1.1项目运营期费用(不含税）'!Z8+'E.1.1项目运营期费用(不含税）'!Z9+'E.1.1项目运营期费用(不含税）'!Z10</f>
        <v>11.4700189601318</v>
      </c>
      <c r="V4" s="40">
        <f>'E.1.1项目运营期费用(不含税）'!AA8+'E.1.1项目运营期费用(不含税）'!AA9+'E.1.1项目运营期费用(不含税）'!AA10</f>
        <v>11.6420692445338</v>
      </c>
      <c r="W4" s="40">
        <f>'E.1.1项目运营期费用(不含税）'!AB8+'E.1.1项目运营期费用(不含税）'!AB9+'E.1.1项目运营期费用(不含税）'!AB10</f>
        <v>11.8167002832018</v>
      </c>
      <c r="X4" s="40">
        <f>'E.1.1项目运营期费用(不含税）'!AC8+'E.1.1项目运营期费用(不含税）'!AC9+'E.1.1项目运营期费用(不含税）'!AC10</f>
        <v>11.9939507874498</v>
      </c>
      <c r="Y4" s="40">
        <f>'E.1.1项目运营期费用(不含税）'!AD8+'E.1.1项目运营期费用(不含税）'!AD9+'E.1.1项目运营期费用(不含税）'!AD10</f>
        <v>12.1738600492616</v>
      </c>
    </row>
    <row r="5" s="45" customFormat="1" ht="16.5" customHeight="1" spans="1:25">
      <c r="A5" s="8">
        <v>3</v>
      </c>
      <c r="B5" s="8" t="s">
        <v>181</v>
      </c>
      <c r="C5" s="9"/>
      <c r="D5" s="40">
        <f>'E.1.1项目运营期费用(不含税）'!I16</f>
        <v>0</v>
      </c>
      <c r="E5" s="40">
        <f>'E.1.1项目运营期费用(不含税）'!J16</f>
        <v>60</v>
      </c>
      <c r="F5" s="40">
        <f>'E.1.1项目运营期费用(不含税）'!K16</f>
        <v>60</v>
      </c>
      <c r="G5" s="40">
        <f>'E.1.1项目运营期费用(不含税）'!L16</f>
        <v>60.9</v>
      </c>
      <c r="H5" s="40">
        <f>'E.1.1项目运营期费用(不含税）'!M16</f>
        <v>61.8135</v>
      </c>
      <c r="I5" s="40">
        <f>'E.1.1项目运营期费用(不含税）'!N16</f>
        <v>62.7407025</v>
      </c>
      <c r="J5" s="40">
        <f>'E.1.1项目运营期费用(不含税）'!O16</f>
        <v>63.6818130375</v>
      </c>
      <c r="K5" s="40">
        <f>'E.1.1项目运营期费用(不含税）'!P16</f>
        <v>64.6370402330625</v>
      </c>
      <c r="L5" s="40">
        <f>'E.1.1项目运营期费用(不含税）'!Q16</f>
        <v>65.6065958365584</v>
      </c>
      <c r="M5" s="40">
        <f>'E.1.1项目运营期费用(不含税）'!R16</f>
        <v>66.5906947741068</v>
      </c>
      <c r="N5" s="40">
        <f>'E.1.1项目运营期费用(不含税）'!S16</f>
        <v>67.5895551957184</v>
      </c>
      <c r="O5" s="40">
        <f>'E.1.1项目运营期费用(不含税）'!T16</f>
        <v>68.6033985236541</v>
      </c>
      <c r="P5" s="40">
        <f>'E.1.1项目运营期费用(不含税）'!U16</f>
        <v>69.6324495015089</v>
      </c>
      <c r="Q5" s="40">
        <f>'E.1.1项目运营期费用(不含税）'!V16</f>
        <v>70.6769362440316</v>
      </c>
      <c r="R5" s="40">
        <f>'E.1.1项目运营期费用(不含税）'!W16</f>
        <v>71.737090287692</v>
      </c>
      <c r="S5" s="40">
        <f>'E.1.1项目运营期费用(不含税）'!X16</f>
        <v>72.8131466420074</v>
      </c>
      <c r="T5" s="40">
        <f>'E.1.1项目运营期费用(不含税）'!Y16</f>
        <v>73.9053438416375</v>
      </c>
      <c r="U5" s="40">
        <f>'E.1.1项目运营期费用(不含税）'!Z16</f>
        <v>75.0139239992621</v>
      </c>
      <c r="V5" s="40">
        <f>'E.1.1项目运营期费用(不含税）'!AA16</f>
        <v>76.139132859251</v>
      </c>
      <c r="W5" s="40">
        <f>'E.1.1项目运营期费用(不含税）'!AB16</f>
        <v>77.2812198521398</v>
      </c>
      <c r="X5" s="40">
        <f>'E.1.1项目运营期费用(不含税）'!AC16</f>
        <v>78.4404381499218</v>
      </c>
      <c r="Y5" s="40">
        <f>'E.1.1项目运营期费用(不含税）'!AD16</f>
        <v>79.6170447221707</v>
      </c>
    </row>
    <row r="6" s="45" customFormat="1" ht="16.5" customHeight="1" spans="1:25">
      <c r="A6" s="8">
        <v>4</v>
      </c>
      <c r="B6" s="8" t="s">
        <v>182</v>
      </c>
      <c r="C6" s="9"/>
      <c r="D6" s="40">
        <f>'E.1.1项目运营期费用(不含税）'!I5+'E.1.1项目运营期费用(不含税）'!I12</f>
        <v>0</v>
      </c>
      <c r="E6" s="40">
        <f>'E.1.1项目运营期费用(不含税）'!J5+'E.1.1项目运营期费用(不含税）'!J12</f>
        <v>319.977876106195</v>
      </c>
      <c r="F6" s="40">
        <f>'E.1.1项目运营期费用(不含税）'!K5+'E.1.1项目运营期费用(不含税）'!K12</f>
        <v>426.637168141593</v>
      </c>
      <c r="G6" s="40">
        <f>'E.1.1项目运营期费用(不含税）'!L5+'E.1.1项目运营期费用(不含税）'!L12</f>
        <v>433.036725663717</v>
      </c>
      <c r="H6" s="40">
        <f>'E.1.1项目运营期费用(不含税）'!M5+'E.1.1项目运营期费用(不含税）'!M12</f>
        <v>439.532276548673</v>
      </c>
      <c r="I6" s="40">
        <f>'E.1.1项目运营期费用(不含税）'!N5+'E.1.1项目运营期费用(不含税）'!N12</f>
        <v>446.125260696903</v>
      </c>
      <c r="J6" s="40">
        <f>'E.1.1项目运营期费用(不含税）'!O5+'E.1.1项目运营期费用(不含税）'!O12</f>
        <v>452.817139607356</v>
      </c>
      <c r="K6" s="40">
        <f>'E.1.1项目运营期费用(不含税）'!P5+'E.1.1项目运营期费用(不含税）'!P12</f>
        <v>459.609396701466</v>
      </c>
      <c r="L6" s="40">
        <f>'E.1.1项目运营期费用(不含税）'!Q5+'E.1.1项目运营期费用(不含税）'!Q12</f>
        <v>466.503537651988</v>
      </c>
      <c r="M6" s="40">
        <f>'E.1.1项目运营期费用(不含税）'!R5+'E.1.1项目运营期费用(不含税）'!R12</f>
        <v>473.501090716768</v>
      </c>
      <c r="N6" s="40">
        <f>'E.1.1项目运营期费用(不含税）'!S5+'E.1.1项目运营期费用(不含税）'!S12</f>
        <v>480.60360707752</v>
      </c>
      <c r="O6" s="40">
        <f>'E.1.1项目运营期费用(不含税）'!T5+'E.1.1项目运营期费用(不含税）'!T12</f>
        <v>487.812661183682</v>
      </c>
      <c r="P6" s="40">
        <f>'E.1.1项目运营期费用(不含税）'!U5+'E.1.1项目运营期费用(不含税）'!U12</f>
        <v>495.129851101437</v>
      </c>
      <c r="Q6" s="40">
        <f>'E.1.1项目运营期费用(不含税）'!V5+'E.1.1项目运营期费用(不含税）'!V12</f>
        <v>502.556798867959</v>
      </c>
      <c r="R6" s="40">
        <f>'E.1.1项目运营期费用(不含税）'!W5+'E.1.1项目运营期费用(不含税）'!W12</f>
        <v>510.095150850978</v>
      </c>
      <c r="S6" s="40">
        <f>'E.1.1项目运营期费用(不含税）'!X5+'E.1.1项目运营期费用(不含税）'!X12</f>
        <v>517.746578113743</v>
      </c>
      <c r="T6" s="40">
        <f>'E.1.1项目运营期费用(不含税）'!Y5+'E.1.1项目运营期费用(不含税）'!Y12</f>
        <v>525.512776785449</v>
      </c>
      <c r="U6" s="40">
        <f>'E.1.1项目运营期费用(不含税）'!Z5+'E.1.1项目运营期费用(不含税）'!Z12</f>
        <v>533.395468437231</v>
      </c>
      <c r="V6" s="40">
        <f>'E.1.1项目运营期费用(不含税）'!AA5+'E.1.1项目运营期费用(不含税）'!AA12</f>
        <v>541.396400463789</v>
      </c>
      <c r="W6" s="40">
        <f>'E.1.1项目运营期费用(不含税）'!AB5+'E.1.1项目运营期费用(不含税）'!AB12</f>
        <v>549.517346470746</v>
      </c>
      <c r="X6" s="40">
        <f>'E.1.1项目运营期费用(不含税）'!AC5+'E.1.1项目运营期费用(不含税）'!AC12</f>
        <v>557.760106667807</v>
      </c>
      <c r="Y6" s="40">
        <f>'E.1.1项目运营期费用(不含税）'!AD5+'E.1.1项目运营期费用(不含税）'!AD12</f>
        <v>566.126508267824</v>
      </c>
    </row>
    <row r="7" s="45" customFormat="1" ht="16.5" customHeight="1" spans="1:25">
      <c r="A7" s="8">
        <v>5</v>
      </c>
      <c r="B7" s="8" t="s">
        <v>183</v>
      </c>
      <c r="C7" s="9"/>
      <c r="D7" s="46">
        <f t="shared" ref="D7:Y7" si="0">D8+D9+D10</f>
        <v>0.002332</v>
      </c>
      <c r="E7" s="46">
        <f t="shared" si="0"/>
        <v>119.280047045872</v>
      </c>
      <c r="F7" s="46">
        <f t="shared" si="0"/>
        <v>155.988954752294</v>
      </c>
      <c r="G7" s="46">
        <f t="shared" si="0"/>
        <v>158.328404293578</v>
      </c>
      <c r="H7" s="46">
        <f t="shared" si="0"/>
        <v>160.702945577982</v>
      </c>
      <c r="I7" s="46">
        <f t="shared" si="0"/>
        <v>163.113104981651</v>
      </c>
      <c r="J7" s="46">
        <f t="shared" si="0"/>
        <v>165.559416776376</v>
      </c>
      <c r="K7" s="46">
        <f t="shared" si="0"/>
        <v>168.042423248022</v>
      </c>
      <c r="L7" s="46">
        <f t="shared" si="0"/>
        <v>170.562674816742</v>
      </c>
      <c r="M7" s="46">
        <f t="shared" si="0"/>
        <v>173.120730158993</v>
      </c>
      <c r="N7" s="46">
        <f t="shared" si="0"/>
        <v>175.717156331378</v>
      </c>
      <c r="O7" s="46">
        <f t="shared" si="0"/>
        <v>178.352528896349</v>
      </c>
      <c r="P7" s="46">
        <f t="shared" si="0"/>
        <v>181.027432049794</v>
      </c>
      <c r="Q7" s="46">
        <f t="shared" si="0"/>
        <v>183.742458750541</v>
      </c>
      <c r="R7" s="46">
        <f t="shared" si="0"/>
        <v>186.498210851798</v>
      </c>
      <c r="S7" s="46">
        <f t="shared" si="0"/>
        <v>189.295299234576</v>
      </c>
      <c r="T7" s="46">
        <f t="shared" si="0"/>
        <v>192.134343943094</v>
      </c>
      <c r="U7" s="46">
        <f t="shared" si="0"/>
        <v>195.015974322241</v>
      </c>
      <c r="V7" s="46">
        <f t="shared" si="0"/>
        <v>197.940829157074</v>
      </c>
      <c r="W7" s="46">
        <f t="shared" si="0"/>
        <v>201.00955681443</v>
      </c>
      <c r="X7" s="46">
        <f t="shared" si="0"/>
        <v>204.420483386647</v>
      </c>
      <c r="Y7" s="46">
        <f t="shared" si="0"/>
        <v>207.467280837447</v>
      </c>
    </row>
    <row r="8" s="45" customFormat="1" ht="16.5" customHeight="1" spans="1:25">
      <c r="A8" s="8">
        <v>5.1</v>
      </c>
      <c r="B8" s="8" t="s">
        <v>184</v>
      </c>
      <c r="C8" s="9"/>
      <c r="D8" s="40">
        <f>'E.1.1项目运营期费用(不含税）'!I4+'E.1.1项目运营期费用(不含税）'!I14</f>
        <v>0</v>
      </c>
      <c r="E8" s="40">
        <f>'E.1.1项目运营期费用(不含税）'!J4+'E.1.1项目运营期费用(不含税）'!J14</f>
        <v>110.091743119266</v>
      </c>
      <c r="F8" s="40">
        <f>'E.1.1项目运营期费用(不含税）'!K4+'E.1.1项目运营期费用(不含税）'!K14</f>
        <v>146.788990825688</v>
      </c>
      <c r="G8" s="40">
        <f>'E.1.1项目运营期费用(不含税）'!L4+'E.1.1项目运营期费用(不含税）'!L14</f>
        <v>148.990825688073</v>
      </c>
      <c r="H8" s="40">
        <f>'E.1.1项目运营期费用(不含税）'!M4+'E.1.1项目运营期费用(不含税）'!M14</f>
        <v>151.225688073395</v>
      </c>
      <c r="I8" s="40">
        <f>'E.1.1项目运营期费用(不含税）'!N4+'E.1.1项目运营期费用(不含税）'!N14</f>
        <v>153.494073394495</v>
      </c>
      <c r="J8" s="40">
        <f>'E.1.1项目运营期费用(不含税）'!O4+'E.1.1项目运营期费用(不含税）'!O14</f>
        <v>155.796484495413</v>
      </c>
      <c r="K8" s="40">
        <f>'E.1.1项目运营期费用(不含税）'!P4+'E.1.1项目运营期费用(不含税）'!P14</f>
        <v>158.133431762844</v>
      </c>
      <c r="L8" s="40">
        <f>'E.1.1项目运营期费用(不含税）'!Q4+'E.1.1项目运营期费用(不含税）'!Q14</f>
        <v>160.505433239286</v>
      </c>
      <c r="M8" s="40">
        <f>'E.1.1项目运营期费用(不含税）'!R4+'E.1.1项目运营期费用(不含税）'!R14</f>
        <v>162.913014737876</v>
      </c>
      <c r="N8" s="40">
        <f>'E.1.1项目运营期费用(不含税）'!S4+'E.1.1项目运营期费用(不含税）'!S14</f>
        <v>165.356709958944</v>
      </c>
      <c r="O8" s="40">
        <f>'E.1.1项目运营期费用(不含税）'!T4+'E.1.1项目运营期费用(不含税）'!T14</f>
        <v>167.837060608328</v>
      </c>
      <c r="P8" s="40">
        <f>'E.1.1项目运营期费用(不含税）'!U4+'E.1.1项目运营期费用(不含税）'!U14</f>
        <v>170.354616517453</v>
      </c>
      <c r="Q8" s="40">
        <f>'E.1.1项目运营期费用(不含税）'!V4+'E.1.1项目运营期费用(不含税）'!V14</f>
        <v>172.909935765215</v>
      </c>
      <c r="R8" s="40">
        <f>'E.1.1项目运营期费用(不含税）'!W4+'E.1.1项目运营期费用(不含税）'!W14</f>
        <v>175.503584801693</v>
      </c>
      <c r="S8" s="40">
        <f>'E.1.1项目运营期费用(不含税）'!X4+'E.1.1项目运营期费用(不含税）'!X14</f>
        <v>178.136138573718</v>
      </c>
      <c r="T8" s="40">
        <f>'E.1.1项目运营期费用(不含税）'!Y4+'E.1.1项目运营期费用(不含税）'!Y14</f>
        <v>180.808180652324</v>
      </c>
      <c r="U8" s="40">
        <f>'E.1.1项目运营期费用(不含税）'!Z4+'E.1.1项目运营期费用(不含税）'!Z14</f>
        <v>183.520303362109</v>
      </c>
      <c r="V8" s="40">
        <f>'E.1.1项目运营期费用(不含税）'!AA4+'E.1.1项目运营期费用(不含税）'!AA14</f>
        <v>186.27310791254</v>
      </c>
      <c r="W8" s="40">
        <f>'E.1.1项目运营期费用(不含税）'!AB4+'E.1.1项目运营期费用(不含税）'!AB14</f>
        <v>189.067204531228</v>
      </c>
      <c r="X8" s="40">
        <f>'E.1.1项目运营期费用(不含税）'!AC4+'E.1.1项目运营期费用(不含税）'!AC14</f>
        <v>191.903212599197</v>
      </c>
      <c r="Y8" s="40">
        <f>'E.1.1项目运营期费用(不含税）'!AD4+'E.1.1项目运营期费用(不含税）'!AD14</f>
        <v>194.781760788185</v>
      </c>
    </row>
    <row r="9" s="45" customFormat="1" ht="16.5" customHeight="1" spans="1:25">
      <c r="A9" s="8">
        <v>5.2</v>
      </c>
      <c r="B9" s="8" t="s">
        <v>185</v>
      </c>
      <c r="C9" s="9"/>
      <c r="D9" s="40">
        <f>'E.1.1项目运营期费用(不含税）'!I6+'E.1.1项目运营期费用(不含税）'!I11+'E.1.1项目运营期费用(不含税）'!I17+'E.1.1项目运营期费用(不含税）'!I18+'E.1.1项目运营期费用(不含税）'!I19+'E.1.1项目运营期费用(不含税）'!I20+'E.1.1项目运营期费用(不含税）'!I21+'E.1.1项目运营期费用(不含税）'!I22+'E.1.1项目运营期费用(不含税）'!I23+c借款还本付息计划表!E36</f>
        <v>0.002332</v>
      </c>
      <c r="E9" s="40">
        <f>'E.1.1项目运营期费用(不含税）'!J6+'E.1.1项目运营期费用(不含税）'!J11+'E.1.1项目运营期费用(不含税）'!J17+'E.1.1项目运营期费用(不含税）'!J18+'E.1.1项目运营期费用(不含税）'!J19+'E.1.1项目运营期费用(不含税）'!J20+'E.1.1项目运营期费用(不含税）'!J21+'E.1.1项目运营期费用(不含税）'!J22+'E.1.1项目运营期费用(不含税）'!J23+c借款还本付息计划表!F36</f>
        <v>9.1883039266055</v>
      </c>
      <c r="F9" s="40">
        <f>'E.1.1项目运营期费用(不含税）'!K6+'E.1.1项目运营期费用(不含税）'!K11+'E.1.1项目运营期费用(不含税）'!K17+'E.1.1项目运营期费用(不含税）'!K18+'E.1.1项目运营期费用(不含税）'!K19+'E.1.1项目运营期费用(不含税）'!K20+'E.1.1项目运营期费用(不含税）'!K21+'E.1.1项目运营期费用(不含税）'!K22+'E.1.1项目运营期费用(不含税）'!K23+c借款还本付息计划表!G36</f>
        <v>9.1999639266055</v>
      </c>
      <c r="G9" s="40">
        <f>'E.1.1项目运营期费用(不含税）'!L6+'E.1.1项目运营期费用(不含税）'!L11+'E.1.1项目运营期费用(不含税）'!L17+'E.1.1项目运营期费用(不含税）'!L18+'E.1.1项目运营期费用(不含税）'!L19+'E.1.1项目运营期费用(不含税）'!L20+'E.1.1项目运营期费用(不含税）'!L21+'E.1.1项目运营期费用(不含税）'!L22+'E.1.1项目运营期费用(不含税）'!L23+c借款还本付息计划表!H36</f>
        <v>9.33757860550459</v>
      </c>
      <c r="H9" s="40">
        <f>'E.1.1项目运营期费用(不含税）'!M6+'E.1.1项目运营期费用(不含税）'!M11+'E.1.1项目运营期费用(不含税）'!M17+'E.1.1项目运营期费用(不含税）'!M18+'E.1.1项目运营期费用(不含税）'!M19+'E.1.1项目运营期费用(不含税）'!M20+'E.1.1项目运营期费用(不含税）'!M21+'E.1.1项目运营期费用(不含税）'!M22+'E.1.1项目运营期费用(不含税）'!M23+c借款还本付息计划表!I36</f>
        <v>9.47725750458716</v>
      </c>
      <c r="I9" s="40">
        <f>'E.1.1项目运营期费用(不含税）'!N6+'E.1.1项目运营期费用(不含税）'!N11+'E.1.1项目运营期费用(不含税）'!N17+'E.1.1项目运营期费用(不含税）'!N18+'E.1.1项目运营期费用(不含税）'!N19+'E.1.1项目运营期费用(不含税）'!N20+'E.1.1项目运营期费用(不含税）'!N21+'E.1.1项目运营期费用(不含税）'!N22+'E.1.1项目运营期费用(不含税）'!N23+c借款还本付息计划表!J36</f>
        <v>9.61903158715596</v>
      </c>
      <c r="J9" s="40">
        <f>'E.1.1项目运营期费用(不含税）'!O6+'E.1.1项目运营期费用(不含税）'!O11+'E.1.1项目运营期费用(不含税）'!O17+'E.1.1项目运营期费用(不含税）'!O18+'E.1.1项目运营期费用(不含税）'!O19+'E.1.1项目运营期费用(不含税）'!O20+'E.1.1项目运营期费用(不含税）'!O21+'E.1.1项目运营期费用(不含税）'!O22+'E.1.1项目运营期费用(不含税）'!O23+c借款还本付息计划表!K36</f>
        <v>9.7629322809633</v>
      </c>
      <c r="K9" s="40">
        <f>'E.1.1项目运营期费用(不含税）'!P6+'E.1.1项目运营期费用(不含税）'!P11+'E.1.1项目运营期费用(不含税）'!P17+'E.1.1项目运营期费用(不含税）'!P18+'E.1.1项目运营期费用(不含税）'!P19+'E.1.1项目运营期费用(不含税）'!P20+'E.1.1项目运营期费用(不含税）'!P21+'E.1.1项目运营期费用(不含税）'!P22+'E.1.1项目运营期费用(不含税）'!P23+c借款还本付息计划表!L36</f>
        <v>9.9089914851777</v>
      </c>
      <c r="L9" s="40">
        <f>'E.1.1项目运营期费用(不含税）'!Q6+'E.1.1项目运营期费用(不含税）'!Q11+'E.1.1项目运营期费用(不含税）'!Q17+'E.1.1项目运营期费用(不含税）'!Q18+'E.1.1项目运营期费用(不含税）'!Q19+'E.1.1项目运营期费用(不含税）'!Q20+'E.1.1项目运营期费用(不含税）'!Q21+'E.1.1项目运营期费用(不含税）'!Q22+'E.1.1项目运营期费用(不含税）'!Q23+c借款还本付息计划表!M36</f>
        <v>10.0572415774554</v>
      </c>
      <c r="M9" s="40">
        <f>'E.1.1项目运营期费用(不含税）'!R6+'E.1.1项目运营期费用(不含税）'!R11+'E.1.1项目运营期费用(不含税）'!R17+'E.1.1项目运营期费用(不含税）'!R18+'E.1.1项目运营期费用(不含税）'!R19+'E.1.1项目运营期费用(不含税）'!R20+'E.1.1项目运营期费用(不含税）'!R21+'E.1.1项目运营期费用(不含税）'!R22+'E.1.1项目运营期费用(不含税）'!R23+c借款还本付息计划表!N36</f>
        <v>10.2077154211172</v>
      </c>
      <c r="N9" s="40">
        <f>'E.1.1项目运营期费用(不含税）'!S6+'E.1.1项目运营期费用(不含税）'!S11+'E.1.1项目运营期费用(不含税）'!S17+'E.1.1项目运营期费用(不含税）'!S18+'E.1.1项目运营期费用(不含税）'!S19+'E.1.1项目运营期费用(不含税）'!S20+'E.1.1项目运营期费用(不含税）'!S21+'E.1.1项目运营期费用(不含税）'!S22+'E.1.1项目运营期费用(不含税）'!S23+c借款还本付息计划表!O36</f>
        <v>10.360446372434</v>
      </c>
      <c r="O9" s="40">
        <f>'E.1.1项目运营期费用(不含税）'!T6+'E.1.1项目运营期费用(不含税）'!T11+'E.1.1项目运营期费用(不含税）'!T17+'E.1.1项目运营期费用(不含税）'!T18+'E.1.1项目运营期费用(不含税）'!T19+'E.1.1项目运营期费用(不含税）'!T20+'E.1.1项目运营期费用(不含税）'!T21+'E.1.1项目运营期费用(不含税）'!T22+'E.1.1项目运营期费用(不含税）'!T23+c借款还本付息计划表!P36</f>
        <v>10.5154682880205</v>
      </c>
      <c r="P9" s="40">
        <f>'E.1.1项目运营期费用(不含税）'!U6+'E.1.1项目运营期费用(不含税）'!U11+'E.1.1项目运营期费用(不含税）'!U17+'E.1.1项目运营期费用(不含税）'!U18+'E.1.1项目运营期费用(不含税）'!U19+'E.1.1项目运营期费用(不含税）'!U20+'E.1.1项目运营期费用(不含税）'!U21+'E.1.1项目运营期费用(不含税）'!U22+'E.1.1项目运营期费用(不含税）'!U23+c借款还本付息计划表!Q36</f>
        <v>10.6728155323408</v>
      </c>
      <c r="Q9" s="40">
        <f>'E.1.1项目运营期费用(不含税）'!V6+'E.1.1项目运营期费用(不含税）'!V11+'E.1.1项目运营期费用(不含税）'!V17+'E.1.1项目运营期费用(不含税）'!V18+'E.1.1项目运营期费用(不含税）'!V19+'E.1.1项目运营期费用(不含税）'!V20+'E.1.1项目运营期费用(不含税）'!V21+'E.1.1项目运营期费用(不含税）'!V22+'E.1.1项目运营期费用(不含税）'!V23+c借款还本付息计划表!R36</f>
        <v>10.832522985326</v>
      </c>
      <c r="R9" s="40">
        <f>'E.1.1项目运营期费用(不含税）'!W6+'E.1.1项目运营期费用(不含税）'!W11+'E.1.1项目运营期费用(不含税）'!W17+'E.1.1项目运营期费用(不含税）'!W18+'E.1.1项目运营期费用(不含税）'!W19+'E.1.1项目运营期费用(不含税）'!W20+'E.1.1项目运营期费用(不含税）'!W21+'E.1.1项目运营期费用(不含税）'!W22+'E.1.1项目运营期费用(不含税）'!W23+c借款还本付息计划表!S36</f>
        <v>10.9946260501058</v>
      </c>
      <c r="S9" s="40">
        <f>'E.1.1项目运营期费用(不含税）'!X6+'E.1.1项目运营期费用(不含税）'!X11+'E.1.1项目运营期费用(不含税）'!X17+'E.1.1项目运营期费用(不含税）'!X18+'E.1.1项目运营期费用(不含税）'!X19+'E.1.1项目运营期费用(不含税）'!X20+'E.1.1项目运营期费用(不含税）'!X21+'E.1.1项目运营期费用(不含税）'!X22+'E.1.1项目运营期费用(不含税）'!X23+c借款还本付息计划表!T36</f>
        <v>11.1591606608574</v>
      </c>
      <c r="T9" s="40">
        <f>'E.1.1项目运营期费用(不含税）'!Y6+'E.1.1项目运营期费用(不含税）'!Y11+'E.1.1项目运营期费用(不含税）'!Y17+'E.1.1项目运营期费用(不含税）'!Y18+'E.1.1项目运营期费用(不含税）'!Y19+'E.1.1项目运营期费用(不含税）'!Y20+'E.1.1项目运营期费用(不含税）'!Y21+'E.1.1项目运营期费用(不含税）'!Y22+'E.1.1项目运营期费用(不含税）'!Y23+c借款还本付息计划表!U36</f>
        <v>11.3261632907703</v>
      </c>
      <c r="U9" s="40">
        <f>'E.1.1项目运营期费用(不含税）'!Z6+'E.1.1项目运营期费用(不含税）'!Z11+'E.1.1项目运营期费用(不含税）'!Z17+'E.1.1项目运营期费用(不含税）'!Z18+'E.1.1项目运营期费用(不含税）'!Z19+'E.1.1项目运营期费用(不含税）'!Z20+'E.1.1项目运营期费用(不含税）'!Z21+'E.1.1项目运营期费用(不含税）'!Z22+'E.1.1项目运营期费用(不含税）'!Z23+c借款还本付息计划表!V36</f>
        <v>11.4956709601318</v>
      </c>
      <c r="V9" s="40">
        <f>'E.1.1项目运营期费用(不含税）'!AA6+'E.1.1项目运营期费用(不含税）'!AA11+'E.1.1项目运营期费用(不含税）'!AA17+'E.1.1项目运营期费用(不含税）'!AA18+'E.1.1项目运营期费用(不含税）'!AA19+'E.1.1项目运营期费用(不含税）'!AA20+'E.1.1项目运营期费用(不含税）'!AA21+'E.1.1项目运营期费用(不含税）'!AA22+'E.1.1项目运营期费用(不含税）'!AA23+c借款还本付息计划表!W36</f>
        <v>11.6677212445338</v>
      </c>
      <c r="W9" s="40">
        <f>'E.1.1项目运营期费用(不含税）'!AB6+'E.1.1项目运营期费用(不含税）'!AB11+'E.1.1项目运营期费用(不含税）'!AB17+'E.1.1项目运营期费用(不含税）'!AB18+'E.1.1项目运营期费用(不含税）'!AB19+'E.1.1项目运营期费用(不含税）'!AB20+'E.1.1项目运营期费用(不含税）'!AB21+'E.1.1项目运营期费用(不含税）'!AB22+'E.1.1项目运营期费用(不含税）'!AB23+c借款还本付息计划表!X36</f>
        <v>11.9423522832018</v>
      </c>
      <c r="X9" s="40">
        <f>'E.1.1项目运营期费用(不含税）'!AC6+'E.1.1项目运营期费用(不含税）'!AC11+'E.1.1项目运营期费用(不含税）'!AC17+'E.1.1项目运营期费用(不含税）'!AC18+'E.1.1项目运营期费用(不含税）'!AC19+'E.1.1项目运营期费用(不含税）'!AC20+'E.1.1项目运营期费用(不含税）'!AC21+'E.1.1项目运营期费用(不含税）'!AC22+'E.1.1项目运营期费用(不含税）'!AC23+c借款还本付息计划表!Y36</f>
        <v>12.5172707874498</v>
      </c>
      <c r="Y9" s="40">
        <f>'E.1.1项目运营期费用(不含税）'!AD6+'E.1.1项目运营期费用(不含税）'!AD11+'E.1.1项目运营期费用(不含税）'!AD17+'E.1.1项目运营期费用(不含税）'!AD18+'E.1.1项目运营期费用(不含税）'!AD19+'E.1.1项目运营期费用(不含税）'!AD20+'E.1.1项目运营期费用(不含税）'!AD21+'E.1.1项目运营期费用(不含税）'!AD22+'E.1.1项目运营期费用(不含税）'!AD23+c借款还本付息计划表!Z36</f>
        <v>12.6855200492616</v>
      </c>
    </row>
    <row r="10" s="45" customFormat="1" ht="16.5" customHeight="1" spans="1:25">
      <c r="A10" s="8">
        <v>5.3</v>
      </c>
      <c r="B10" s="8" t="s">
        <v>186</v>
      </c>
      <c r="C10" s="9"/>
      <c r="D10" s="40">
        <f>'E.1.1项目运营期费用(不含税）'!I15</f>
        <v>0</v>
      </c>
      <c r="E10" s="40">
        <f>'E.1.1项目运营期费用(不含税）'!J15</f>
        <v>0</v>
      </c>
      <c r="F10" s="40">
        <f>'E.1.1项目运营期费用(不含税）'!K15</f>
        <v>0</v>
      </c>
      <c r="G10" s="40">
        <f>'E.1.1项目运营期费用(不含税）'!L15</f>
        <v>0</v>
      </c>
      <c r="H10" s="40">
        <f>'E.1.1项目运营期费用(不含税）'!M15</f>
        <v>0</v>
      </c>
      <c r="I10" s="40">
        <f>'E.1.1项目运营期费用(不含税）'!N15</f>
        <v>0</v>
      </c>
      <c r="J10" s="40">
        <f>'E.1.1项目运营期费用(不含税）'!O15</f>
        <v>0</v>
      </c>
      <c r="K10" s="40">
        <f>'E.1.1项目运营期费用(不含税）'!P15</f>
        <v>0</v>
      </c>
      <c r="L10" s="40">
        <f>'E.1.1项目运营期费用(不含税）'!Q15</f>
        <v>0</v>
      </c>
      <c r="M10" s="40">
        <f>'E.1.1项目运营期费用(不含税）'!R15</f>
        <v>0</v>
      </c>
      <c r="N10" s="40">
        <f>'E.1.1项目运营期费用(不含税）'!S15</f>
        <v>0</v>
      </c>
      <c r="O10" s="40">
        <f>'E.1.1项目运营期费用(不含税）'!T15</f>
        <v>0</v>
      </c>
      <c r="P10" s="40">
        <f>'E.1.1项目运营期费用(不含税）'!U15</f>
        <v>0</v>
      </c>
      <c r="Q10" s="40">
        <f>'E.1.1项目运营期费用(不含税）'!V15</f>
        <v>0</v>
      </c>
      <c r="R10" s="40">
        <f>'E.1.1项目运营期费用(不含税）'!W15</f>
        <v>0</v>
      </c>
      <c r="S10" s="40">
        <f>'E.1.1项目运营期费用(不含税）'!X15</f>
        <v>0</v>
      </c>
      <c r="T10" s="40">
        <f>'E.1.1项目运营期费用(不含税）'!Y15</f>
        <v>0</v>
      </c>
      <c r="U10" s="40">
        <f>'E.1.1项目运营期费用(不含税）'!Z15</f>
        <v>0</v>
      </c>
      <c r="V10" s="40">
        <f>'E.1.1项目运营期费用(不含税）'!AA15</f>
        <v>0</v>
      </c>
      <c r="W10" s="40">
        <f>'E.1.1项目运营期费用(不含税）'!AB15</f>
        <v>0</v>
      </c>
      <c r="X10" s="40">
        <f>'E.1.1项目运营期费用(不含税）'!AC15</f>
        <v>0</v>
      </c>
      <c r="Y10" s="40">
        <f>'E.1.1项目运营期费用(不含税）'!AD15</f>
        <v>0</v>
      </c>
    </row>
    <row r="11" s="45" customFormat="1" ht="16.5" customHeight="1" spans="1:25">
      <c r="A11" s="8">
        <v>6</v>
      </c>
      <c r="B11" s="8" t="s">
        <v>187</v>
      </c>
      <c r="C11" s="9"/>
      <c r="D11" s="14">
        <f t="shared" ref="D11:Y11" si="1">D3+D4+D5+D6+D7</f>
        <v>0.002332</v>
      </c>
      <c r="E11" s="14">
        <f t="shared" si="1"/>
        <v>508.432235078672</v>
      </c>
      <c r="F11" s="14">
        <f t="shared" si="1"/>
        <v>651.800434820492</v>
      </c>
      <c r="G11" s="14">
        <f t="shared" si="1"/>
        <v>661.577056562799</v>
      </c>
      <c r="H11" s="14">
        <f t="shared" si="1"/>
        <v>671.500327631241</v>
      </c>
      <c r="I11" s="14">
        <f t="shared" si="1"/>
        <v>681.57244776571</v>
      </c>
      <c r="J11" s="14">
        <f t="shared" si="1"/>
        <v>691.795649702195</v>
      </c>
      <c r="K11" s="14">
        <f t="shared" si="1"/>
        <v>702.172199667728</v>
      </c>
      <c r="L11" s="14">
        <f t="shared" si="1"/>
        <v>712.704397882744</v>
      </c>
      <c r="M11" s="14">
        <f t="shared" si="1"/>
        <v>723.394579070986</v>
      </c>
      <c r="N11" s="14">
        <f t="shared" si="1"/>
        <v>734.24511297705</v>
      </c>
      <c r="O11" s="14">
        <f t="shared" si="1"/>
        <v>745.258404891706</v>
      </c>
      <c r="P11" s="14">
        <f t="shared" si="1"/>
        <v>756.436896185081</v>
      </c>
      <c r="Q11" s="14">
        <f t="shared" si="1"/>
        <v>767.783064847858</v>
      </c>
      <c r="R11" s="14">
        <f t="shared" si="1"/>
        <v>779.299426040574</v>
      </c>
      <c r="S11" s="14">
        <f t="shared" si="1"/>
        <v>790.988532651184</v>
      </c>
      <c r="T11" s="14">
        <f t="shared" si="1"/>
        <v>802.852975860951</v>
      </c>
      <c r="U11" s="14">
        <f t="shared" si="1"/>
        <v>814.895385718866</v>
      </c>
      <c r="V11" s="14">
        <f t="shared" si="1"/>
        <v>827.118431724648</v>
      </c>
      <c r="W11" s="14">
        <f t="shared" si="1"/>
        <v>839.624823420518</v>
      </c>
      <c r="X11" s="14">
        <f t="shared" si="1"/>
        <v>852.614978991826</v>
      </c>
      <c r="Y11" s="14">
        <f t="shared" si="1"/>
        <v>865.384693876703</v>
      </c>
    </row>
    <row r="12" s="45" customFormat="1" ht="16.5" customHeight="1" spans="1:25">
      <c r="A12" s="8">
        <v>7</v>
      </c>
      <c r="B12" s="8" t="s">
        <v>188</v>
      </c>
      <c r="C12" s="46">
        <f>(E.2固定资产折旧费估算表!F12)</f>
        <v>0</v>
      </c>
      <c r="D12" s="12">
        <f>(E.2固定资产折旧费估算表!G12)</f>
        <v>12.9793128931351</v>
      </c>
      <c r="E12" s="12">
        <f>(E.2固定资产折旧费估算表!H12)</f>
        <v>44.1164243239917</v>
      </c>
      <c r="F12" s="12">
        <f>(E.2固定资产折旧费估算表!I12)</f>
        <v>100.806527479675</v>
      </c>
      <c r="G12" s="12">
        <f>(E.2固定资产折旧费估算表!J12)</f>
        <v>100.806527479675</v>
      </c>
      <c r="H12" s="12">
        <f>(E.2固定资产折旧费估算表!K12)</f>
        <v>100.806527479675</v>
      </c>
      <c r="I12" s="12">
        <f>(E.2固定资产折旧费估算表!L12)</f>
        <v>100.806527479675</v>
      </c>
      <c r="J12" s="12">
        <f>(E.2固定资产折旧费估算表!M12)</f>
        <v>100.806527479675</v>
      </c>
      <c r="K12" s="12">
        <f>(E.2固定资产折旧费估算表!N12)</f>
        <v>100.806527479675</v>
      </c>
      <c r="L12" s="12">
        <f>(E.2固定资产折旧费估算表!O12)</f>
        <v>100.806527479675</v>
      </c>
      <c r="M12" s="12">
        <f>(E.2固定资产折旧费估算表!P12)</f>
        <v>100.806527479675</v>
      </c>
      <c r="N12" s="12">
        <f>(E.2固定资产折旧费估算表!Q12)</f>
        <v>100.806527479675</v>
      </c>
      <c r="O12" s="12">
        <f>(E.2固定资产折旧费估算表!R12)</f>
        <v>100.806527479675</v>
      </c>
      <c r="P12" s="12">
        <f>(E.2固定资产折旧费估算表!S12)</f>
        <v>100.806527479675</v>
      </c>
      <c r="Q12" s="12">
        <f>(E.2固定资产折旧费估算表!T12)</f>
        <v>100.806527479675</v>
      </c>
      <c r="R12" s="12">
        <f>(E.2固定资产折旧费估算表!U12)</f>
        <v>100.806527479675</v>
      </c>
      <c r="S12" s="12">
        <f>(E.2固定资产折旧费估算表!V12)</f>
        <v>100.806527479675</v>
      </c>
      <c r="T12" s="12">
        <f>(E.2固定资产折旧费估算表!W12)</f>
        <v>100.806527479675</v>
      </c>
      <c r="U12" s="12">
        <f>(E.2固定资产折旧费估算表!X12)</f>
        <v>100.806527479675</v>
      </c>
      <c r="V12" s="12">
        <f>(E.2固定资产折旧费估算表!Y12)</f>
        <v>100.806527479675</v>
      </c>
      <c r="W12" s="12">
        <f>(E.2固定资产折旧费估算表!Z12)</f>
        <v>100.806527479675</v>
      </c>
      <c r="X12" s="12">
        <f>(E.2固定资产折旧费估算表!AA12)</f>
        <v>100.806527479675</v>
      </c>
      <c r="Y12" s="12">
        <f>(E.2固定资产折旧费估算表!AB12)</f>
        <v>100.806527479675</v>
      </c>
    </row>
    <row r="13" s="45" customFormat="1" ht="16.5" customHeight="1" spans="1:25">
      <c r="A13" s="8">
        <v>8</v>
      </c>
      <c r="B13" s="8" t="s">
        <v>189</v>
      </c>
      <c r="C13" s="128">
        <f>(E.3无形资产和其他资产摊销费估算表!F48)</f>
        <v>0</v>
      </c>
      <c r="D13" s="12">
        <f>(E.3无形资产和其他资产摊销费估算表!G48)</f>
        <v>0.251977109549325</v>
      </c>
      <c r="E13" s="12">
        <f>(E.3无形资产和其他资产摊销费估算表!H48)</f>
        <v>0.51595312907719</v>
      </c>
      <c r="F13" s="12">
        <f>(E.3无形资产和其他资产摊销费估算表!I48)</f>
        <v>0.793127949581447</v>
      </c>
      <c r="G13" s="12">
        <f>(E.3无形资产和其他资产摊销费估算表!J48)</f>
        <v>0.793127949581447</v>
      </c>
      <c r="H13" s="12">
        <f>(E.3无形资产和其他资产摊销费估算表!K48)</f>
        <v>0.793127949581447</v>
      </c>
      <c r="I13" s="12">
        <f>(E.3无形资产和其他资产摊销费估算表!L48)</f>
        <v>0.793127949581447</v>
      </c>
      <c r="J13" s="12">
        <f>(E.3无形资产和其他资产摊销费估算表!M48)</f>
        <v>0.793127949581447</v>
      </c>
      <c r="K13" s="12">
        <f>(E.3无形资产和其他资产摊销费估算表!N48)</f>
        <v>0.793127949581447</v>
      </c>
      <c r="L13" s="12">
        <f>(E.3无形资产和其他资产摊销费估算表!O48)</f>
        <v>0.793127949581447</v>
      </c>
      <c r="M13" s="12">
        <f>(E.3无形资产和其他资产摊销费估算表!P48)</f>
        <v>0.793127949581447</v>
      </c>
      <c r="N13" s="12">
        <f>(E.3无形资产和其他资产摊销费估算表!Q48)</f>
        <v>0.793127949581447</v>
      </c>
      <c r="O13" s="12">
        <f>(E.3无形资产和其他资产摊销费估算表!R48)</f>
        <v>0.793127949581447</v>
      </c>
      <c r="P13" s="12">
        <f>(E.3无形资产和其他资产摊销费估算表!S48)</f>
        <v>0.793127949581447</v>
      </c>
      <c r="Q13" s="12">
        <f>(E.3无形资产和其他资产摊销费估算表!T48)</f>
        <v>0.793127949581447</v>
      </c>
      <c r="R13" s="12">
        <f>(E.3无形资产和其他资产摊销费估算表!U48)</f>
        <v>0.793127949581447</v>
      </c>
      <c r="S13" s="12">
        <f>(E.3无形资产和其他资产摊销费估算表!V48)</f>
        <v>0.793127949581447</v>
      </c>
      <c r="T13" s="12">
        <f>(E.3无形资产和其他资产摊销费估算表!W48)</f>
        <v>0.793127949581447</v>
      </c>
      <c r="U13" s="12">
        <f>(E.3无形资产和其他资产摊销费估算表!X48)</f>
        <v>0.793127949581447</v>
      </c>
      <c r="V13" s="12">
        <f>(E.3无形资产和其他资产摊销费估算表!Y48)</f>
        <v>0.793127949581447</v>
      </c>
      <c r="W13" s="12">
        <f>(E.3无形资产和其他资产摊销费估算表!Z48)</f>
        <v>0.793127949581447</v>
      </c>
      <c r="X13" s="12">
        <f>(E.3无形资产和其他资产摊销费估算表!AA48)</f>
        <v>0.793127949581447</v>
      </c>
      <c r="Y13" s="12">
        <f>(E.3无形资产和其他资产摊销费估算表!AB48)</f>
        <v>0.793127949581447</v>
      </c>
    </row>
    <row r="14" s="45" customFormat="1" ht="16.5" customHeight="1" spans="1:25">
      <c r="A14" s="8">
        <v>9</v>
      </c>
      <c r="B14" s="8" t="s">
        <v>190</v>
      </c>
      <c r="C14" s="9"/>
      <c r="D14" s="12"/>
      <c r="E14" s="12"/>
      <c r="F14" s="12">
        <f>(c借款还本付息计划表!G38+c借款还本付息计划表!G36)</f>
        <v>513.065652</v>
      </c>
      <c r="G14" s="12">
        <f>(c借款还本付息计划表!H38+c借款还本付息计划表!H36)</f>
        <v>513.065652</v>
      </c>
      <c r="H14" s="12">
        <f>(c借款还本付息计划表!I38+c借款还本付息计划表!I36)</f>
        <v>513.065652</v>
      </c>
      <c r="I14" s="12">
        <f>(c借款还本付息计划表!J38+c借款还本付息计划表!J36)</f>
        <v>513.065652</v>
      </c>
      <c r="J14" s="12">
        <f>(c借款还本付息计划表!K38+c借款还本付息计划表!K36)</f>
        <v>513.065652</v>
      </c>
      <c r="K14" s="12">
        <f>(c借款还本付息计划表!L38+c借款还本付息计划表!L36)</f>
        <v>513.065652</v>
      </c>
      <c r="L14" s="12">
        <f>(c借款还本付息计划表!M38+c借款还本付息计划表!M36)</f>
        <v>513.065652</v>
      </c>
      <c r="M14" s="12">
        <f>(c借款还本付息计划表!N38+c借款还本付息计划表!N36)</f>
        <v>513.065652</v>
      </c>
      <c r="N14" s="12">
        <f>(c借款还本付息计划表!O38+c借款还本付息计划表!O36)</f>
        <v>513.065652</v>
      </c>
      <c r="O14" s="12">
        <f>(c借款还本付息计划表!P38+c借款还本付息计划表!P36)</f>
        <v>513.065652</v>
      </c>
      <c r="P14" s="12">
        <f>(c借款还本付息计划表!Q38+c借款还本付息计划表!Q36)</f>
        <v>513.065652</v>
      </c>
      <c r="Q14" s="12">
        <f>(c借款还本付息计划表!R38+c借款还本付息计划表!R36)</f>
        <v>513.065652</v>
      </c>
      <c r="R14" s="12">
        <f>(c借款还本付息计划表!S38+c借款还本付息计划表!S36)</f>
        <v>513.065652</v>
      </c>
      <c r="S14" s="12">
        <f>(c借款还本付息计划表!T38+c借款还本付息计划表!T36)</f>
        <v>513.065652</v>
      </c>
      <c r="T14" s="12">
        <f>(c借款还本付息计划表!U38+c借款还本付息计划表!U36)</f>
        <v>513.065652</v>
      </c>
      <c r="U14" s="12">
        <f>(c借款还本付息计划表!V38+c借款还本付息计划表!V36)</f>
        <v>513.065652</v>
      </c>
      <c r="V14" s="12">
        <f>(c借款还本付息计划表!W38+c借款还本付息计划表!W36)</f>
        <v>513.065652</v>
      </c>
      <c r="W14" s="12">
        <f>(c借款还本付息计划表!X38+c借款还本付息计划表!X36)</f>
        <v>497.618985333333</v>
      </c>
      <c r="X14" s="12">
        <f>(c借款还本付息计划表!Y38+c借款还本付息计划表!Y36)</f>
        <v>389.189986666667</v>
      </c>
      <c r="Y14" s="12">
        <f>(c借款还本付息计划表!Z38+c借款还本付息计划表!Z36)</f>
        <v>155.978326666667</v>
      </c>
    </row>
    <row r="15" s="45" customFormat="1" ht="16.5" customHeight="1" spans="1:25">
      <c r="A15" s="8">
        <v>10</v>
      </c>
      <c r="B15" s="8" t="s">
        <v>191</v>
      </c>
      <c r="C15" s="9"/>
      <c r="D15" s="14">
        <f t="shared" ref="D15:Y15" si="2">D11+D12+D13+D14</f>
        <v>13.2336220026845</v>
      </c>
      <c r="E15" s="14">
        <f t="shared" si="2"/>
        <v>553.064612531741</v>
      </c>
      <c r="F15" s="14">
        <f t="shared" si="2"/>
        <v>1266.46574224975</v>
      </c>
      <c r="G15" s="14">
        <f t="shared" si="2"/>
        <v>1276.24236399206</v>
      </c>
      <c r="H15" s="14">
        <f t="shared" si="2"/>
        <v>1286.1656350605</v>
      </c>
      <c r="I15" s="14">
        <f t="shared" si="2"/>
        <v>1296.23775519497</v>
      </c>
      <c r="J15" s="14">
        <f t="shared" si="2"/>
        <v>1306.46095713145</v>
      </c>
      <c r="K15" s="14">
        <f t="shared" si="2"/>
        <v>1316.83750709699</v>
      </c>
      <c r="L15" s="14">
        <f t="shared" si="2"/>
        <v>1327.369705312</v>
      </c>
      <c r="M15" s="14">
        <f t="shared" si="2"/>
        <v>1338.05988650024</v>
      </c>
      <c r="N15" s="14">
        <f t="shared" si="2"/>
        <v>1348.91042040631</v>
      </c>
      <c r="O15" s="14">
        <f t="shared" si="2"/>
        <v>1359.92371232096</v>
      </c>
      <c r="P15" s="14">
        <f t="shared" si="2"/>
        <v>1371.10220361434</v>
      </c>
      <c r="Q15" s="14">
        <f t="shared" si="2"/>
        <v>1382.44837227711</v>
      </c>
      <c r="R15" s="14">
        <f t="shared" si="2"/>
        <v>1393.96473346983</v>
      </c>
      <c r="S15" s="14">
        <f t="shared" si="2"/>
        <v>1405.65384008044</v>
      </c>
      <c r="T15" s="14">
        <f t="shared" si="2"/>
        <v>1417.51828329021</v>
      </c>
      <c r="U15" s="14">
        <f t="shared" si="2"/>
        <v>1429.56069314812</v>
      </c>
      <c r="V15" s="14">
        <f t="shared" si="2"/>
        <v>1441.78373915391</v>
      </c>
      <c r="W15" s="14">
        <f t="shared" si="2"/>
        <v>1438.84346418311</v>
      </c>
      <c r="X15" s="14">
        <f t="shared" si="2"/>
        <v>1343.40462108775</v>
      </c>
      <c r="Y15" s="14">
        <f t="shared" si="2"/>
        <v>1122.96267597263</v>
      </c>
    </row>
    <row r="16" s="45" customFormat="1" ht="16.5" customHeight="1" spans="1:25">
      <c r="A16" s="8">
        <v>10.1</v>
      </c>
      <c r="B16" s="8" t="s">
        <v>192</v>
      </c>
      <c r="C16" s="9"/>
      <c r="D16" s="14">
        <f t="shared" ref="D16:Y16" si="3">D15-D17</f>
        <v>13.2336220026845</v>
      </c>
      <c r="E16" s="14">
        <f t="shared" si="3"/>
        <v>483.890300605135</v>
      </c>
      <c r="F16" s="14">
        <f t="shared" si="3"/>
        <v>1197.29143032314</v>
      </c>
      <c r="G16" s="14">
        <f t="shared" si="3"/>
        <v>1206.03043738655</v>
      </c>
      <c r="H16" s="14">
        <f t="shared" si="3"/>
        <v>1214.90052955591</v>
      </c>
      <c r="I16" s="14">
        <f t="shared" si="3"/>
        <v>1223.90367310781</v>
      </c>
      <c r="J16" s="14">
        <f t="shared" si="3"/>
        <v>1233.04186381299</v>
      </c>
      <c r="K16" s="14">
        <f t="shared" si="3"/>
        <v>1242.31712737874</v>
      </c>
      <c r="L16" s="14">
        <f t="shared" si="3"/>
        <v>1251.73151989799</v>
      </c>
      <c r="M16" s="14">
        <f t="shared" si="3"/>
        <v>1261.28712830502</v>
      </c>
      <c r="N16" s="14">
        <f t="shared" si="3"/>
        <v>1270.98607083815</v>
      </c>
      <c r="O16" s="14">
        <f t="shared" si="3"/>
        <v>1280.83049750929</v>
      </c>
      <c r="P16" s="14">
        <f t="shared" si="3"/>
        <v>1290.82259058049</v>
      </c>
      <c r="Q16" s="14">
        <f t="shared" si="3"/>
        <v>1300.96456504776</v>
      </c>
      <c r="R16" s="14">
        <f t="shared" si="3"/>
        <v>1311.25866913203</v>
      </c>
      <c r="S16" s="14">
        <f t="shared" si="3"/>
        <v>1321.70718477758</v>
      </c>
      <c r="T16" s="14">
        <f t="shared" si="3"/>
        <v>1332.3124281578</v>
      </c>
      <c r="U16" s="14">
        <f t="shared" si="3"/>
        <v>1343.07675018873</v>
      </c>
      <c r="V16" s="14">
        <f t="shared" si="3"/>
        <v>1354.00253705012</v>
      </c>
      <c r="W16" s="14">
        <f t="shared" si="3"/>
        <v>1349.74554404777</v>
      </c>
      <c r="X16" s="14">
        <f t="shared" si="3"/>
        <v>1252.97023215038</v>
      </c>
      <c r="Y16" s="14">
        <f t="shared" si="3"/>
        <v>1031.17177120119</v>
      </c>
    </row>
    <row r="17" s="45" customFormat="1" ht="16.5" customHeight="1" spans="1:25">
      <c r="A17" s="8">
        <v>10.2</v>
      </c>
      <c r="B17" s="8" t="s">
        <v>193</v>
      </c>
      <c r="C17" s="9"/>
      <c r="D17" s="14">
        <f t="shared" ref="D17:Y17" si="4">D3+D4+D5+D10</f>
        <v>0</v>
      </c>
      <c r="E17" s="14">
        <f t="shared" si="4"/>
        <v>69.1743119266055</v>
      </c>
      <c r="F17" s="14">
        <f t="shared" si="4"/>
        <v>69.1743119266055</v>
      </c>
      <c r="G17" s="14">
        <f t="shared" si="4"/>
        <v>70.2119266055046</v>
      </c>
      <c r="H17" s="14">
        <f t="shared" si="4"/>
        <v>71.2651055045872</v>
      </c>
      <c r="I17" s="14">
        <f t="shared" si="4"/>
        <v>72.334082087156</v>
      </c>
      <c r="J17" s="14">
        <f t="shared" si="4"/>
        <v>73.4190933184633</v>
      </c>
      <c r="K17" s="14">
        <f t="shared" si="4"/>
        <v>74.5203797182402</v>
      </c>
      <c r="L17" s="14">
        <f t="shared" si="4"/>
        <v>75.6381854140138</v>
      </c>
      <c r="M17" s="14">
        <f t="shared" si="4"/>
        <v>76.772758195224</v>
      </c>
      <c r="N17" s="14">
        <f t="shared" si="4"/>
        <v>77.9243495681524</v>
      </c>
      <c r="O17" s="14">
        <f t="shared" si="4"/>
        <v>79.0932148116747</v>
      </c>
      <c r="P17" s="14">
        <f t="shared" si="4"/>
        <v>80.2796130338497</v>
      </c>
      <c r="Q17" s="14">
        <f t="shared" si="4"/>
        <v>81.4838072293576</v>
      </c>
      <c r="R17" s="14">
        <f t="shared" si="4"/>
        <v>82.7060643377978</v>
      </c>
      <c r="S17" s="14">
        <f t="shared" si="4"/>
        <v>83.9466553028648</v>
      </c>
      <c r="T17" s="14">
        <f t="shared" si="4"/>
        <v>85.2058551324078</v>
      </c>
      <c r="U17" s="14">
        <f t="shared" si="4"/>
        <v>86.4839429593939</v>
      </c>
      <c r="V17" s="14">
        <f t="shared" si="4"/>
        <v>87.7812021037848</v>
      </c>
      <c r="W17" s="14">
        <f t="shared" si="4"/>
        <v>89.0979201353416</v>
      </c>
      <c r="X17" s="14">
        <f t="shared" si="4"/>
        <v>90.4343889373716</v>
      </c>
      <c r="Y17" s="14">
        <f t="shared" si="4"/>
        <v>91.7909047714323</v>
      </c>
    </row>
    <row r="18" ht="14" customHeight="1" spans="3:3">
      <c r="C18" s="129"/>
    </row>
  </sheetData>
  <mergeCells count="1">
    <mergeCell ref="A1:H1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FFFF00"/>
  </sheetPr>
  <dimension ref="A1:AF23"/>
  <sheetViews>
    <sheetView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H26" sqref="H26"/>
    </sheetView>
  </sheetViews>
  <sheetFormatPr defaultColWidth="8.89090909090909" defaultRowHeight="28.05" customHeight="1"/>
  <cols>
    <col min="1" max="1" width="19.8909090909091" style="1" customWidth="1"/>
    <col min="2" max="2" width="6.33636363636364" style="1" customWidth="1"/>
    <col min="3" max="3" width="32.2181818181818" style="1" customWidth="1"/>
    <col min="4" max="4" width="56.1090909090909" style="1" customWidth="1"/>
    <col min="5" max="6" width="7" style="1" customWidth="1"/>
    <col min="7" max="7" width="12.6636363636364" style="1" customWidth="1"/>
    <col min="8" max="8" width="10.4454545454545" style="1" customWidth="1"/>
    <col min="9" max="10" width="9.44545454545455" style="1" customWidth="1"/>
    <col min="11" max="11" width="8.21818181818182" style="1" customWidth="1"/>
    <col min="12" max="12" width="9.44545454545455" style="1" customWidth="1"/>
    <col min="13" max="13" width="10.6636363636364" style="1" customWidth="1"/>
    <col min="14" max="14" width="9.44545454545455" style="1" customWidth="1"/>
  </cols>
  <sheetData>
    <row r="1" s="45" customFormat="1" ht="22.5" customHeight="1" spans="1:32">
      <c r="A1" s="106" t="s">
        <v>194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</row>
    <row r="2" s="45" customFormat="1" ht="16.5" customHeight="1" spans="1:32">
      <c r="A2" s="108" t="s">
        <v>195</v>
      </c>
      <c r="B2" s="108" t="s">
        <v>1</v>
      </c>
      <c r="C2" s="108" t="s">
        <v>99</v>
      </c>
      <c r="D2" s="108" t="s">
        <v>196</v>
      </c>
      <c r="E2" s="108" t="s">
        <v>197</v>
      </c>
      <c r="F2" s="109" t="s">
        <v>198</v>
      </c>
      <c r="G2" s="109" t="s">
        <v>199</v>
      </c>
      <c r="H2" s="110">
        <v>2025</v>
      </c>
      <c r="I2" s="117">
        <v>2026</v>
      </c>
      <c r="J2" s="110">
        <v>2027</v>
      </c>
      <c r="K2" s="117">
        <v>2028</v>
      </c>
      <c r="L2" s="110">
        <v>2029</v>
      </c>
      <c r="M2" s="117">
        <v>2030</v>
      </c>
      <c r="N2" s="110">
        <v>2031</v>
      </c>
      <c r="O2" s="117">
        <v>2032</v>
      </c>
      <c r="P2" s="110">
        <v>2033</v>
      </c>
      <c r="Q2" s="117">
        <v>2034</v>
      </c>
      <c r="R2" s="110">
        <v>2035</v>
      </c>
      <c r="S2" s="117">
        <v>2036</v>
      </c>
      <c r="T2" s="110">
        <v>2037</v>
      </c>
      <c r="U2" s="117">
        <v>2038</v>
      </c>
      <c r="V2" s="110">
        <v>2039</v>
      </c>
      <c r="W2" s="117">
        <v>2040</v>
      </c>
      <c r="X2" s="110">
        <v>2041</v>
      </c>
      <c r="Y2" s="117">
        <v>2042</v>
      </c>
      <c r="Z2" s="110">
        <v>2043</v>
      </c>
      <c r="AA2" s="110">
        <v>2044</v>
      </c>
      <c r="AB2" s="110">
        <v>2045</v>
      </c>
      <c r="AC2" s="110">
        <v>2046</v>
      </c>
      <c r="AD2" s="110">
        <v>2047</v>
      </c>
      <c r="AE2" s="110">
        <v>2048</v>
      </c>
      <c r="AF2" s="108" t="s">
        <v>95</v>
      </c>
    </row>
    <row r="3" s="45" customFormat="1" ht="16.5" customHeight="1" spans="1:32">
      <c r="A3" s="111"/>
      <c r="B3" s="111"/>
      <c r="C3" s="111"/>
      <c r="D3" s="111"/>
      <c r="E3" s="111"/>
      <c r="F3" s="111"/>
      <c r="G3" s="111"/>
      <c r="H3" s="112" t="s">
        <v>200</v>
      </c>
      <c r="I3" s="125">
        <v>0.7</v>
      </c>
      <c r="J3" s="125">
        <v>0.7</v>
      </c>
      <c r="K3" s="126">
        <v>0.8</v>
      </c>
      <c r="L3" s="125">
        <v>0.9</v>
      </c>
      <c r="M3" s="125">
        <v>1</v>
      </c>
      <c r="N3" s="126">
        <v>0.8</v>
      </c>
      <c r="O3" s="125">
        <v>0.7</v>
      </c>
      <c r="P3" s="125">
        <v>0.7</v>
      </c>
      <c r="Q3" s="126">
        <v>0.8</v>
      </c>
      <c r="R3" s="125">
        <v>0.7</v>
      </c>
      <c r="S3" s="125">
        <v>0.7</v>
      </c>
      <c r="T3" s="126">
        <v>0.8</v>
      </c>
      <c r="U3" s="125">
        <v>0.7</v>
      </c>
      <c r="V3" s="125">
        <v>0.7</v>
      </c>
      <c r="W3" s="126">
        <v>0.8</v>
      </c>
      <c r="X3" s="125">
        <v>0.7</v>
      </c>
      <c r="Y3" s="125">
        <v>0.7</v>
      </c>
      <c r="Z3" s="126">
        <v>0.8</v>
      </c>
      <c r="AA3" s="125">
        <v>0.7</v>
      </c>
      <c r="AB3" s="125">
        <v>0.7</v>
      </c>
      <c r="AC3" s="125">
        <v>0.7</v>
      </c>
      <c r="AD3" s="125">
        <v>0.7</v>
      </c>
      <c r="AE3" s="125">
        <v>0.7</v>
      </c>
      <c r="AF3" s="127" t="s">
        <v>118</v>
      </c>
    </row>
    <row r="4" s="45" customFormat="1" ht="16.5" customHeight="1" spans="1:32">
      <c r="A4" s="113" t="s">
        <v>201</v>
      </c>
      <c r="B4" s="113">
        <v>1</v>
      </c>
      <c r="C4" s="113" t="s">
        <v>202</v>
      </c>
      <c r="D4" s="113" t="s">
        <v>203</v>
      </c>
      <c r="E4" s="122"/>
      <c r="F4" s="122"/>
      <c r="G4" s="123">
        <f>[1]A财务假设!D19</f>
        <v>0</v>
      </c>
      <c r="H4" s="124">
        <f t="shared" ref="H4:AE4" si="0">F30*(1+$G4)</f>
        <v>0</v>
      </c>
      <c r="I4" s="124">
        <f t="shared" si="0"/>
        <v>0</v>
      </c>
      <c r="J4" s="124">
        <f t="shared" si="0"/>
        <v>0</v>
      </c>
      <c r="K4" s="124">
        <f t="shared" si="0"/>
        <v>0</v>
      </c>
      <c r="L4" s="124">
        <f t="shared" si="0"/>
        <v>0</v>
      </c>
      <c r="M4" s="124">
        <f t="shared" si="0"/>
        <v>0</v>
      </c>
      <c r="N4" s="124">
        <f t="shared" si="0"/>
        <v>0</v>
      </c>
      <c r="O4" s="124">
        <f t="shared" si="0"/>
        <v>0</v>
      </c>
      <c r="P4" s="124">
        <f t="shared" si="0"/>
        <v>0</v>
      </c>
      <c r="Q4" s="124">
        <f t="shared" si="0"/>
        <v>0</v>
      </c>
      <c r="R4" s="124">
        <f t="shared" si="0"/>
        <v>0</v>
      </c>
      <c r="S4" s="124">
        <f t="shared" si="0"/>
        <v>0</v>
      </c>
      <c r="T4" s="124">
        <f t="shared" si="0"/>
        <v>0</v>
      </c>
      <c r="U4" s="124">
        <f t="shared" si="0"/>
        <v>0</v>
      </c>
      <c r="V4" s="124">
        <f t="shared" si="0"/>
        <v>0</v>
      </c>
      <c r="W4" s="124">
        <f t="shared" si="0"/>
        <v>0</v>
      </c>
      <c r="X4" s="124">
        <f t="shared" si="0"/>
        <v>0</v>
      </c>
      <c r="Y4" s="124">
        <f t="shared" si="0"/>
        <v>0</v>
      </c>
      <c r="Z4" s="124">
        <f t="shared" si="0"/>
        <v>0</v>
      </c>
      <c r="AA4" s="124">
        <f t="shared" si="0"/>
        <v>0</v>
      </c>
      <c r="AB4" s="124">
        <f t="shared" si="0"/>
        <v>0</v>
      </c>
      <c r="AC4" s="124">
        <f t="shared" si="0"/>
        <v>0</v>
      </c>
      <c r="AD4" s="124">
        <f t="shared" si="0"/>
        <v>0</v>
      </c>
      <c r="AE4" s="124">
        <f t="shared" si="0"/>
        <v>0</v>
      </c>
      <c r="AF4" s="115">
        <f t="shared" ref="AF4:AF23" si="1">SUM(H4:AE4)</f>
        <v>0</v>
      </c>
    </row>
    <row r="5" s="45" customFormat="1" ht="48" customHeight="1" spans="1:32">
      <c r="A5" s="116"/>
      <c r="B5" s="113">
        <v>2</v>
      </c>
      <c r="C5" s="114" t="s">
        <v>204</v>
      </c>
      <c r="D5" s="113" t="s">
        <v>205</v>
      </c>
      <c r="E5" s="122"/>
      <c r="F5" s="122"/>
      <c r="G5" s="123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  <c r="AA5" s="124"/>
      <c r="AB5" s="124"/>
      <c r="AC5" s="124"/>
      <c r="AD5" s="124"/>
      <c r="AE5" s="124"/>
      <c r="AF5" s="115">
        <f t="shared" si="1"/>
        <v>0</v>
      </c>
    </row>
    <row r="6" s="45" customFormat="1" ht="16.5" customHeight="1" spans="1:32">
      <c r="A6" s="116"/>
      <c r="B6" s="113">
        <v>3</v>
      </c>
      <c r="C6" s="113" t="s">
        <v>206</v>
      </c>
      <c r="D6" s="113" t="s">
        <v>207</v>
      </c>
      <c r="E6" s="122"/>
      <c r="F6" s="122"/>
      <c r="G6" s="123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4"/>
      <c r="AC6" s="124"/>
      <c r="AD6" s="124"/>
      <c r="AE6" s="124"/>
      <c r="AF6" s="115">
        <f t="shared" si="1"/>
        <v>0</v>
      </c>
    </row>
    <row r="7" s="45" customFormat="1" ht="16.5" customHeight="1" spans="1:32">
      <c r="A7" s="111"/>
      <c r="B7" s="113">
        <v>4</v>
      </c>
      <c r="C7" s="113" t="s">
        <v>208</v>
      </c>
      <c r="D7" s="113" t="s">
        <v>209</v>
      </c>
      <c r="E7" s="122"/>
      <c r="F7" s="122"/>
      <c r="G7" s="123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15">
        <f t="shared" si="1"/>
        <v>0</v>
      </c>
    </row>
    <row r="8" s="45" customFormat="1" ht="16.5" customHeight="1" spans="1:32">
      <c r="A8" s="113" t="s">
        <v>210</v>
      </c>
      <c r="B8" s="113">
        <v>5</v>
      </c>
      <c r="C8" s="113" t="s">
        <v>211</v>
      </c>
      <c r="D8" s="113" t="s">
        <v>212</v>
      </c>
      <c r="E8" s="122"/>
      <c r="F8" s="122"/>
      <c r="G8" s="123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15">
        <f t="shared" si="1"/>
        <v>0</v>
      </c>
    </row>
    <row r="9" s="45" customFormat="1" ht="16.5" customHeight="1" spans="1:32">
      <c r="A9" s="116"/>
      <c r="B9" s="113">
        <v>6</v>
      </c>
      <c r="C9" s="113" t="s">
        <v>213</v>
      </c>
      <c r="D9" s="113" t="s">
        <v>214</v>
      </c>
      <c r="E9" s="122"/>
      <c r="F9" s="122"/>
      <c r="G9" s="123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15">
        <f t="shared" si="1"/>
        <v>0</v>
      </c>
    </row>
    <row r="10" s="45" customFormat="1" ht="16.5" customHeight="1" spans="1:32">
      <c r="A10" s="111"/>
      <c r="B10" s="113">
        <v>7</v>
      </c>
      <c r="C10" s="113" t="s">
        <v>215</v>
      </c>
      <c r="D10" s="113" t="s">
        <v>216</v>
      </c>
      <c r="E10" s="122"/>
      <c r="F10" s="122"/>
      <c r="G10" s="123">
        <f>G4</f>
        <v>0</v>
      </c>
      <c r="H10" s="124">
        <f t="shared" ref="H10:AE10" si="2">F28*(1+$G10)</f>
        <v>0</v>
      </c>
      <c r="I10" s="124">
        <f t="shared" si="2"/>
        <v>0</v>
      </c>
      <c r="J10" s="124">
        <f t="shared" si="2"/>
        <v>0</v>
      </c>
      <c r="K10" s="124">
        <f t="shared" si="2"/>
        <v>0</v>
      </c>
      <c r="L10" s="124">
        <f t="shared" si="2"/>
        <v>0</v>
      </c>
      <c r="M10" s="124">
        <f t="shared" si="2"/>
        <v>0</v>
      </c>
      <c r="N10" s="124">
        <f t="shared" si="2"/>
        <v>0</v>
      </c>
      <c r="O10" s="124">
        <f t="shared" si="2"/>
        <v>0</v>
      </c>
      <c r="P10" s="124">
        <f t="shared" si="2"/>
        <v>0</v>
      </c>
      <c r="Q10" s="124">
        <f t="shared" si="2"/>
        <v>0</v>
      </c>
      <c r="R10" s="124">
        <f t="shared" si="2"/>
        <v>0</v>
      </c>
      <c r="S10" s="124">
        <f t="shared" si="2"/>
        <v>0</v>
      </c>
      <c r="T10" s="124">
        <f t="shared" si="2"/>
        <v>0</v>
      </c>
      <c r="U10" s="124">
        <f t="shared" si="2"/>
        <v>0</v>
      </c>
      <c r="V10" s="124">
        <f t="shared" si="2"/>
        <v>0</v>
      </c>
      <c r="W10" s="124">
        <f t="shared" si="2"/>
        <v>0</v>
      </c>
      <c r="X10" s="124">
        <f t="shared" si="2"/>
        <v>0</v>
      </c>
      <c r="Y10" s="124">
        <f t="shared" si="2"/>
        <v>0</v>
      </c>
      <c r="Z10" s="124">
        <f t="shared" si="2"/>
        <v>0</v>
      </c>
      <c r="AA10" s="124">
        <f t="shared" si="2"/>
        <v>0</v>
      </c>
      <c r="AB10" s="124">
        <f t="shared" si="2"/>
        <v>0</v>
      </c>
      <c r="AC10" s="124">
        <f t="shared" si="2"/>
        <v>0</v>
      </c>
      <c r="AD10" s="124">
        <f t="shared" si="2"/>
        <v>0</v>
      </c>
      <c r="AE10" s="124">
        <f t="shared" si="2"/>
        <v>0</v>
      </c>
      <c r="AF10" s="115">
        <f t="shared" si="1"/>
        <v>0</v>
      </c>
    </row>
    <row r="11" s="45" customFormat="1" ht="16.5" customHeight="1" spans="1:32">
      <c r="A11" s="113" t="s">
        <v>217</v>
      </c>
      <c r="B11" s="113">
        <v>8</v>
      </c>
      <c r="C11" s="113" t="s">
        <v>218</v>
      </c>
      <c r="D11" s="113" t="s">
        <v>219</v>
      </c>
      <c r="E11" s="122"/>
      <c r="F11" s="122"/>
      <c r="G11" s="123">
        <f>G4</f>
        <v>0</v>
      </c>
      <c r="H11" s="124">
        <f t="shared" ref="H11:AE11" si="3">F29*(1+$G11)</f>
        <v>0</v>
      </c>
      <c r="I11" s="124">
        <f t="shared" si="3"/>
        <v>0</v>
      </c>
      <c r="J11" s="124">
        <f t="shared" si="3"/>
        <v>0</v>
      </c>
      <c r="K11" s="124">
        <f t="shared" si="3"/>
        <v>0</v>
      </c>
      <c r="L11" s="124">
        <f t="shared" si="3"/>
        <v>0</v>
      </c>
      <c r="M11" s="124">
        <f t="shared" si="3"/>
        <v>0</v>
      </c>
      <c r="N11" s="124">
        <f t="shared" si="3"/>
        <v>0</v>
      </c>
      <c r="O11" s="124">
        <f t="shared" si="3"/>
        <v>0</v>
      </c>
      <c r="P11" s="124">
        <f t="shared" si="3"/>
        <v>0</v>
      </c>
      <c r="Q11" s="124">
        <f t="shared" si="3"/>
        <v>0</v>
      </c>
      <c r="R11" s="124">
        <f t="shared" si="3"/>
        <v>0</v>
      </c>
      <c r="S11" s="124">
        <f t="shared" si="3"/>
        <v>0</v>
      </c>
      <c r="T11" s="124">
        <f t="shared" si="3"/>
        <v>0</v>
      </c>
      <c r="U11" s="124">
        <f t="shared" si="3"/>
        <v>0</v>
      </c>
      <c r="V11" s="124">
        <f t="shared" si="3"/>
        <v>0</v>
      </c>
      <c r="W11" s="124">
        <f t="shared" si="3"/>
        <v>0</v>
      </c>
      <c r="X11" s="124">
        <f t="shared" si="3"/>
        <v>0</v>
      </c>
      <c r="Y11" s="124">
        <f t="shared" si="3"/>
        <v>0</v>
      </c>
      <c r="Z11" s="124">
        <f t="shared" si="3"/>
        <v>0</v>
      </c>
      <c r="AA11" s="124">
        <f t="shared" si="3"/>
        <v>0</v>
      </c>
      <c r="AB11" s="124">
        <f t="shared" si="3"/>
        <v>0</v>
      </c>
      <c r="AC11" s="124">
        <f t="shared" si="3"/>
        <v>0</v>
      </c>
      <c r="AD11" s="124">
        <f t="shared" si="3"/>
        <v>0</v>
      </c>
      <c r="AE11" s="124">
        <f t="shared" si="3"/>
        <v>0</v>
      </c>
      <c r="AF11" s="115">
        <f t="shared" si="1"/>
        <v>0</v>
      </c>
    </row>
    <row r="12" s="45" customFormat="1" ht="16.5" customHeight="1" spans="1:32">
      <c r="A12" s="113" t="s">
        <v>220</v>
      </c>
      <c r="B12" s="113">
        <v>9</v>
      </c>
      <c r="C12" s="113" t="s">
        <v>221</v>
      </c>
      <c r="D12" s="113" t="s">
        <v>222</v>
      </c>
      <c r="E12" s="122"/>
      <c r="F12" s="122"/>
      <c r="G12" s="123">
        <f>G4</f>
        <v>0</v>
      </c>
      <c r="H12" s="124">
        <f t="shared" ref="H12:AE12" si="4">F26*(1+$G12)</f>
        <v>0</v>
      </c>
      <c r="I12" s="124">
        <f t="shared" si="4"/>
        <v>0</v>
      </c>
      <c r="J12" s="124">
        <f t="shared" si="4"/>
        <v>0</v>
      </c>
      <c r="K12" s="124">
        <f t="shared" si="4"/>
        <v>0</v>
      </c>
      <c r="L12" s="124">
        <f t="shared" si="4"/>
        <v>0</v>
      </c>
      <c r="M12" s="124">
        <f t="shared" si="4"/>
        <v>0</v>
      </c>
      <c r="N12" s="124">
        <f t="shared" si="4"/>
        <v>0</v>
      </c>
      <c r="O12" s="124">
        <f t="shared" si="4"/>
        <v>0</v>
      </c>
      <c r="P12" s="124">
        <f t="shared" si="4"/>
        <v>0</v>
      </c>
      <c r="Q12" s="124">
        <f t="shared" si="4"/>
        <v>0</v>
      </c>
      <c r="R12" s="124">
        <f t="shared" si="4"/>
        <v>0</v>
      </c>
      <c r="S12" s="124">
        <f t="shared" si="4"/>
        <v>0</v>
      </c>
      <c r="T12" s="124">
        <f t="shared" si="4"/>
        <v>0</v>
      </c>
      <c r="U12" s="124">
        <f t="shared" si="4"/>
        <v>0</v>
      </c>
      <c r="V12" s="124">
        <f t="shared" si="4"/>
        <v>0</v>
      </c>
      <c r="W12" s="124">
        <f t="shared" si="4"/>
        <v>0</v>
      </c>
      <c r="X12" s="124">
        <f t="shared" si="4"/>
        <v>0</v>
      </c>
      <c r="Y12" s="124">
        <f t="shared" si="4"/>
        <v>0</v>
      </c>
      <c r="Z12" s="124">
        <f t="shared" si="4"/>
        <v>0</v>
      </c>
      <c r="AA12" s="124">
        <f t="shared" si="4"/>
        <v>0</v>
      </c>
      <c r="AB12" s="124">
        <f t="shared" si="4"/>
        <v>0</v>
      </c>
      <c r="AC12" s="124">
        <f t="shared" si="4"/>
        <v>0</v>
      </c>
      <c r="AD12" s="124">
        <f t="shared" si="4"/>
        <v>0</v>
      </c>
      <c r="AE12" s="124">
        <f t="shared" si="4"/>
        <v>0</v>
      </c>
      <c r="AF12" s="115">
        <f t="shared" si="1"/>
        <v>0</v>
      </c>
    </row>
    <row r="13" s="45" customFormat="1" ht="16.5" customHeight="1" spans="1:32">
      <c r="A13" s="111"/>
      <c r="B13" s="113">
        <v>10</v>
      </c>
      <c r="C13" s="113" t="s">
        <v>223</v>
      </c>
      <c r="D13" s="113" t="s">
        <v>224</v>
      </c>
      <c r="E13" s="122"/>
      <c r="F13" s="122"/>
      <c r="G13" s="123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15">
        <f t="shared" si="1"/>
        <v>0</v>
      </c>
    </row>
    <row r="14" s="45" customFormat="1" ht="16.5" customHeight="1" spans="1:32">
      <c r="A14" s="113" t="s">
        <v>225</v>
      </c>
      <c r="B14" s="113">
        <v>11</v>
      </c>
      <c r="C14" s="113" t="s">
        <v>226</v>
      </c>
      <c r="D14" s="113" t="s">
        <v>227</v>
      </c>
      <c r="E14" s="122"/>
      <c r="F14" s="122"/>
      <c r="G14" s="123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15">
        <f t="shared" si="1"/>
        <v>0</v>
      </c>
    </row>
    <row r="15" s="45" customFormat="1" ht="16.5" customHeight="1" spans="1:32">
      <c r="A15" s="113" t="s">
        <v>228</v>
      </c>
      <c r="B15" s="113">
        <v>12</v>
      </c>
      <c r="C15" s="113" t="s">
        <v>229</v>
      </c>
      <c r="D15" s="113" t="s">
        <v>230</v>
      </c>
      <c r="E15" s="122"/>
      <c r="F15" s="122"/>
      <c r="G15" s="123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15">
        <f t="shared" si="1"/>
        <v>0</v>
      </c>
    </row>
    <row r="16" s="45" customFormat="1" ht="16.5" customHeight="1" spans="1:32">
      <c r="A16" s="113" t="s">
        <v>231</v>
      </c>
      <c r="B16" s="113">
        <v>13</v>
      </c>
      <c r="C16" s="113" t="s">
        <v>232</v>
      </c>
      <c r="D16" s="113" t="s">
        <v>233</v>
      </c>
      <c r="E16" s="122"/>
      <c r="F16" s="122"/>
      <c r="G16" s="123">
        <f>G4</f>
        <v>0</v>
      </c>
      <c r="H16" s="124">
        <f t="shared" ref="H16:AE16" si="5">F27*(1+$G16)</f>
        <v>0</v>
      </c>
      <c r="I16" s="124">
        <f t="shared" si="5"/>
        <v>0</v>
      </c>
      <c r="J16" s="124">
        <f t="shared" si="5"/>
        <v>0</v>
      </c>
      <c r="K16" s="124">
        <f t="shared" si="5"/>
        <v>0</v>
      </c>
      <c r="L16" s="124">
        <f t="shared" si="5"/>
        <v>0</v>
      </c>
      <c r="M16" s="124">
        <f t="shared" si="5"/>
        <v>0</v>
      </c>
      <c r="N16" s="124">
        <f t="shared" si="5"/>
        <v>0</v>
      </c>
      <c r="O16" s="124">
        <f t="shared" si="5"/>
        <v>0</v>
      </c>
      <c r="P16" s="124">
        <f t="shared" si="5"/>
        <v>0</v>
      </c>
      <c r="Q16" s="124">
        <f t="shared" si="5"/>
        <v>0</v>
      </c>
      <c r="R16" s="124">
        <f t="shared" si="5"/>
        <v>0</v>
      </c>
      <c r="S16" s="124">
        <f t="shared" si="5"/>
        <v>0</v>
      </c>
      <c r="T16" s="124">
        <f t="shared" si="5"/>
        <v>0</v>
      </c>
      <c r="U16" s="124">
        <f t="shared" si="5"/>
        <v>0</v>
      </c>
      <c r="V16" s="124">
        <f t="shared" si="5"/>
        <v>0</v>
      </c>
      <c r="W16" s="124">
        <f t="shared" si="5"/>
        <v>0</v>
      </c>
      <c r="X16" s="124">
        <f t="shared" si="5"/>
        <v>0</v>
      </c>
      <c r="Y16" s="124">
        <f t="shared" si="5"/>
        <v>0</v>
      </c>
      <c r="Z16" s="124">
        <f t="shared" si="5"/>
        <v>0</v>
      </c>
      <c r="AA16" s="124">
        <f t="shared" si="5"/>
        <v>0</v>
      </c>
      <c r="AB16" s="124">
        <f t="shared" si="5"/>
        <v>0</v>
      </c>
      <c r="AC16" s="124">
        <f t="shared" si="5"/>
        <v>0</v>
      </c>
      <c r="AD16" s="124">
        <f t="shared" si="5"/>
        <v>0</v>
      </c>
      <c r="AE16" s="124">
        <f t="shared" si="5"/>
        <v>0</v>
      </c>
      <c r="AF16" s="115">
        <f t="shared" si="1"/>
        <v>0</v>
      </c>
    </row>
    <row r="17" s="45" customFormat="1" ht="16.5" customHeight="1" spans="1:32">
      <c r="A17" s="116"/>
      <c r="B17" s="113">
        <v>14</v>
      </c>
      <c r="C17" s="113" t="s">
        <v>234</v>
      </c>
      <c r="D17" s="113" t="s">
        <v>235</v>
      </c>
      <c r="E17" s="122"/>
      <c r="F17" s="122"/>
      <c r="G17" s="123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15">
        <f t="shared" si="1"/>
        <v>0</v>
      </c>
    </row>
    <row r="18" s="45" customFormat="1" ht="16.5" customHeight="1" spans="1:32">
      <c r="A18" s="111"/>
      <c r="B18" s="113">
        <v>15</v>
      </c>
      <c r="C18" s="113" t="s">
        <v>236</v>
      </c>
      <c r="D18" s="113" t="s">
        <v>237</v>
      </c>
      <c r="E18" s="122"/>
      <c r="F18" s="122"/>
      <c r="G18" s="123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15">
        <f t="shared" si="1"/>
        <v>0</v>
      </c>
    </row>
    <row r="19" s="45" customFormat="1" ht="16.5" customHeight="1" spans="1:32">
      <c r="A19" s="113" t="s">
        <v>238</v>
      </c>
      <c r="B19" s="113">
        <v>16</v>
      </c>
      <c r="C19" s="113" t="s">
        <v>239</v>
      </c>
      <c r="D19" s="113" t="s">
        <v>240</v>
      </c>
      <c r="E19" s="122"/>
      <c r="F19" s="122"/>
      <c r="G19" s="123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15">
        <f t="shared" si="1"/>
        <v>0</v>
      </c>
    </row>
    <row r="20" s="45" customFormat="1" ht="16.5" customHeight="1" spans="1:32">
      <c r="A20" s="116"/>
      <c r="B20" s="113">
        <v>17</v>
      </c>
      <c r="C20" s="113" t="s">
        <v>241</v>
      </c>
      <c r="D20" s="113" t="s">
        <v>242</v>
      </c>
      <c r="E20" s="122"/>
      <c r="F20" s="122"/>
      <c r="G20" s="123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15">
        <f t="shared" si="1"/>
        <v>0</v>
      </c>
    </row>
    <row r="21" s="45" customFormat="1" ht="16.5" customHeight="1" spans="1:32">
      <c r="A21" s="111"/>
      <c r="B21" s="113">
        <v>18</v>
      </c>
      <c r="C21" s="113" t="s">
        <v>243</v>
      </c>
      <c r="D21" s="113" t="s">
        <v>244</v>
      </c>
      <c r="E21" s="122"/>
      <c r="F21" s="122"/>
      <c r="G21" s="123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15">
        <f t="shared" si="1"/>
        <v>0</v>
      </c>
    </row>
    <row r="22" s="45" customFormat="1" ht="16.5" customHeight="1" spans="1:32">
      <c r="A22" s="113" t="s">
        <v>245</v>
      </c>
      <c r="B22" s="113">
        <v>19</v>
      </c>
      <c r="C22" s="113" t="s">
        <v>246</v>
      </c>
      <c r="D22" s="113" t="s">
        <v>247</v>
      </c>
      <c r="E22" s="122"/>
      <c r="F22" s="122"/>
      <c r="G22" s="123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15">
        <f t="shared" si="1"/>
        <v>0</v>
      </c>
    </row>
    <row r="23" s="45" customFormat="1" ht="16.5" customHeight="1" spans="1:32">
      <c r="A23" s="111"/>
      <c r="B23" s="113">
        <v>20</v>
      </c>
      <c r="C23" s="113" t="s">
        <v>248</v>
      </c>
      <c r="D23" s="113" t="s">
        <v>249</v>
      </c>
      <c r="E23" s="122"/>
      <c r="F23" s="122"/>
      <c r="G23" s="123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15">
        <f t="shared" si="1"/>
        <v>0</v>
      </c>
    </row>
  </sheetData>
  <mergeCells count="14">
    <mergeCell ref="A1:AF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rgb="FF0070C0"/>
  </sheetPr>
  <dimension ref="A1:AF25"/>
  <sheetViews>
    <sheetView showZeros="0" zoomScale="70" zoomScaleNormal="70" workbookViewId="0">
      <pane xSplit="7" ySplit="3" topLeftCell="H9" activePane="bottomRight" state="frozen"/>
      <selection/>
      <selection pane="topRight"/>
      <selection pane="bottomLeft"/>
      <selection pane="bottomRight" activeCell="K25" sqref="K25"/>
    </sheetView>
  </sheetViews>
  <sheetFormatPr defaultColWidth="20.7818181818182" defaultRowHeight="14"/>
  <cols>
    <col min="1" max="1" width="18.4454545454545" style="1" customWidth="1"/>
    <col min="2" max="2" width="13.3363636363636" style="1" customWidth="1"/>
    <col min="3" max="3" width="24.7818181818182" style="17" customWidth="1"/>
    <col min="4" max="4" width="23.8909090909091" style="17" customWidth="1"/>
    <col min="5" max="6" width="6.78181818181818" style="1" customWidth="1"/>
    <col min="7" max="7" width="12.3363636363636" style="1" customWidth="1"/>
    <col min="8" max="8" width="10.1090909090909" style="1" customWidth="1"/>
    <col min="9" max="10" width="9.33636363636364" style="1" customWidth="1"/>
    <col min="11" max="11" width="8" style="1" customWidth="1"/>
    <col min="12" max="12" width="9.33636363636364" style="1" customWidth="1"/>
    <col min="13" max="13" width="10.5545454545455" style="1" customWidth="1"/>
    <col min="14" max="14" width="9.33636363636364" style="1" customWidth="1"/>
  </cols>
  <sheetData>
    <row r="1" ht="22.5" customHeight="1" spans="1:32">
      <c r="A1" s="106" t="s">
        <v>250</v>
      </c>
      <c r="B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</row>
    <row r="2" ht="16.5" customHeight="1" spans="1:32">
      <c r="A2" s="108" t="s">
        <v>195</v>
      </c>
      <c r="B2" s="108" t="s">
        <v>1</v>
      </c>
      <c r="C2" s="109" t="s">
        <v>99</v>
      </c>
      <c r="D2" s="109" t="s">
        <v>196</v>
      </c>
      <c r="E2" s="108" t="s">
        <v>197</v>
      </c>
      <c r="F2" s="109" t="s">
        <v>198</v>
      </c>
      <c r="G2" s="109" t="s">
        <v>251</v>
      </c>
      <c r="H2" s="110">
        <v>2025</v>
      </c>
      <c r="I2" s="117">
        <v>2026</v>
      </c>
      <c r="J2" s="110">
        <v>2027</v>
      </c>
      <c r="K2" s="117">
        <v>2028</v>
      </c>
      <c r="L2" s="110">
        <v>2029</v>
      </c>
      <c r="M2" s="110">
        <v>2030</v>
      </c>
      <c r="N2" s="110">
        <v>2031</v>
      </c>
      <c r="O2" s="110">
        <v>2032</v>
      </c>
      <c r="P2" s="110">
        <v>2033</v>
      </c>
      <c r="Q2" s="110">
        <v>2034</v>
      </c>
      <c r="R2" s="110">
        <v>2035</v>
      </c>
      <c r="S2" s="110">
        <v>2036</v>
      </c>
      <c r="T2" s="110">
        <v>2037</v>
      </c>
      <c r="U2" s="110">
        <v>2038</v>
      </c>
      <c r="V2" s="110">
        <v>2039</v>
      </c>
      <c r="W2" s="110">
        <v>2040</v>
      </c>
      <c r="X2" s="110">
        <v>2041</v>
      </c>
      <c r="Y2" s="110">
        <v>2042</v>
      </c>
      <c r="Z2" s="110">
        <v>2043</v>
      </c>
      <c r="AA2" s="110">
        <v>2044</v>
      </c>
      <c r="AB2" s="110">
        <v>2045</v>
      </c>
      <c r="AC2" s="110">
        <v>2046</v>
      </c>
      <c r="AD2" s="110">
        <v>2047</v>
      </c>
      <c r="AE2" s="110">
        <v>2048</v>
      </c>
      <c r="AF2" s="110" t="s">
        <v>95</v>
      </c>
    </row>
    <row r="3" ht="16.5" customHeight="1" spans="1:32">
      <c r="A3" s="111"/>
      <c r="B3" s="111"/>
      <c r="C3" s="111"/>
      <c r="D3" s="111"/>
      <c r="E3" s="111"/>
      <c r="F3" s="111"/>
      <c r="G3" s="111"/>
      <c r="H3" s="112" t="s">
        <v>200</v>
      </c>
      <c r="I3" s="118">
        <f>[2]E.1项目运营期费用!I3</f>
        <v>0.7</v>
      </c>
      <c r="J3" s="118">
        <f>[2]E.1项目运营期费用!J3</f>
        <v>0.7</v>
      </c>
      <c r="K3" s="119">
        <f>[2]E.1项目运营期费用!K3</f>
        <v>0.8</v>
      </c>
      <c r="L3" s="118">
        <f>[2]E.1项目运营期费用!L3</f>
        <v>0.9</v>
      </c>
      <c r="M3" s="118">
        <f>[2]E.1项目运营期费用!M3</f>
        <v>1</v>
      </c>
      <c r="N3" s="118">
        <f>[2]E.1项目运营期费用!N3</f>
        <v>0.8</v>
      </c>
      <c r="O3" s="118">
        <f>[2]E.1项目运营期费用!O3</f>
        <v>0.7</v>
      </c>
      <c r="P3" s="118">
        <f>[2]E.1项目运营期费用!P3</f>
        <v>0.7</v>
      </c>
      <c r="Q3" s="118">
        <f>[2]E.1项目运营期费用!Q3</f>
        <v>0.8</v>
      </c>
      <c r="R3" s="118">
        <f>[2]E.1项目运营期费用!R3</f>
        <v>0.7</v>
      </c>
      <c r="S3" s="118">
        <f>[2]E.1项目运营期费用!S3</f>
        <v>0.7</v>
      </c>
      <c r="T3" s="118">
        <f>[2]E.1项目运营期费用!T3</f>
        <v>0.8</v>
      </c>
      <c r="U3" s="118">
        <f>[2]E.1项目运营期费用!U3</f>
        <v>0.7</v>
      </c>
      <c r="V3" s="118">
        <f>[2]E.1项目运营期费用!V3</f>
        <v>0.7</v>
      </c>
      <c r="W3" s="118">
        <f>[2]E.1项目运营期费用!W3</f>
        <v>0.8</v>
      </c>
      <c r="X3" s="118">
        <f>[2]E.1项目运营期费用!X3</f>
        <v>0.7</v>
      </c>
      <c r="Y3" s="118">
        <f>[2]E.1项目运营期费用!Y3</f>
        <v>0.7</v>
      </c>
      <c r="Z3" s="118">
        <f>[2]E.1项目运营期费用!Z3</f>
        <v>0.8</v>
      </c>
      <c r="AA3" s="118">
        <f>[2]E.1项目运营期费用!AA3</f>
        <v>0.7</v>
      </c>
      <c r="AB3" s="118">
        <f>[2]E.1项目运营期费用!AB3</f>
        <v>0.7</v>
      </c>
      <c r="AC3" s="118">
        <f>[2]E.1项目运营期费用!AC3</f>
        <v>0.7</v>
      </c>
      <c r="AD3" s="118">
        <f>[2]E.1项目运营期费用!AD3</f>
        <v>0.7</v>
      </c>
      <c r="AE3" s="118">
        <f>[2]E.1项目运营期费用!AE3</f>
        <v>0.7</v>
      </c>
      <c r="AF3" s="118" t="s">
        <v>118</v>
      </c>
    </row>
    <row r="4" ht="16.5" customHeight="1" spans="1:32">
      <c r="A4" s="113" t="s">
        <v>201</v>
      </c>
      <c r="B4" s="113">
        <f>[2]E.1项目运营期费用!B4</f>
        <v>1</v>
      </c>
      <c r="C4" s="114" t="str">
        <f>[2]E.1项目运营期费用!C4</f>
        <v>场地租金</v>
      </c>
      <c r="D4" s="114" t="str">
        <f>[2]E.1项目运营期费用!D4</f>
        <v>按面积×租金单价</v>
      </c>
      <c r="E4" s="115">
        <f>[2]E.1项目运营期费用!E4</f>
        <v>0</v>
      </c>
      <c r="F4" s="115">
        <f>[2]E.1项目运营期费用!F4</f>
        <v>0</v>
      </c>
      <c r="G4" s="115">
        <f>[2]E.1项目运营期费用!G4</f>
        <v>0</v>
      </c>
      <c r="H4" s="115">
        <f>[2]E.1项目运营期费用!H4*(1-'[2]G.2进项增值税率-运营成本'!$C3)</f>
        <v>0</v>
      </c>
      <c r="I4" s="115">
        <f>[2]E.1项目运营期费用!I4/(1+'[2]G.2进项增值税率-运营成本'!$C3)</f>
        <v>0</v>
      </c>
      <c r="J4" s="115">
        <f>[2]E.1项目运营期费用!J4/(1+'[2]G.2进项增值税率-运营成本'!$C3)</f>
        <v>110.091743119266</v>
      </c>
      <c r="K4" s="115">
        <f>[2]E.1项目运营期费用!K4/(1+'[2]G.2进项增值税率-运营成本'!$C3)</f>
        <v>146.788990825688</v>
      </c>
      <c r="L4" s="115">
        <f>[2]E.1项目运营期费用!L4/(1+'[2]G.2进项增值税率-运营成本'!$C3)</f>
        <v>148.990825688073</v>
      </c>
      <c r="M4" s="115">
        <f>[2]E.1项目运营期费用!M4/(1+'[2]G.2进项增值税率-运营成本'!$C3)</f>
        <v>151.225688073395</v>
      </c>
      <c r="N4" s="115">
        <f>[2]E.1项目运营期费用!N4/(1+'[2]G.2进项增值税率-运营成本'!$C3)</f>
        <v>153.494073394495</v>
      </c>
      <c r="O4" s="115">
        <f>[2]E.1项目运营期费用!O4/(1+'[2]G.2进项增值税率-运营成本'!$C3)</f>
        <v>155.796484495413</v>
      </c>
      <c r="P4" s="115">
        <f>[2]E.1项目运营期费用!P4/(1+'[2]G.2进项增值税率-运营成本'!$C3)</f>
        <v>158.133431762844</v>
      </c>
      <c r="Q4" s="115">
        <f>[2]E.1项目运营期费用!Q4/(1+'[2]G.2进项增值税率-运营成本'!$C3)</f>
        <v>160.505433239286</v>
      </c>
      <c r="R4" s="115">
        <f>[2]E.1项目运营期费用!R4/(1+'[2]G.2进项增值税率-运营成本'!$C3)</f>
        <v>162.913014737876</v>
      </c>
      <c r="S4" s="115">
        <f>[2]E.1项目运营期费用!S4/(1+'[2]G.2进项增值税率-运营成本'!$C3)</f>
        <v>165.356709958944</v>
      </c>
      <c r="T4" s="115">
        <f>[2]E.1项目运营期费用!T4/(1+'[2]G.2进项增值税率-运营成本'!$C3)</f>
        <v>167.837060608328</v>
      </c>
      <c r="U4" s="115">
        <f>[2]E.1项目运营期费用!U4/(1+'[2]G.2进项增值税率-运营成本'!$C3)</f>
        <v>170.354616517453</v>
      </c>
      <c r="V4" s="115">
        <f>[2]E.1项目运营期费用!V4/(1+'[2]G.2进项增值税率-运营成本'!$C3)</f>
        <v>172.909935765215</v>
      </c>
      <c r="W4" s="115">
        <f>[2]E.1项目运营期费用!W4/(1+'[2]G.2进项增值税率-运营成本'!$C3)</f>
        <v>175.503584801693</v>
      </c>
      <c r="X4" s="115">
        <f>[2]E.1项目运营期费用!X4/(1+'[2]G.2进项增值税率-运营成本'!$C3)</f>
        <v>178.136138573718</v>
      </c>
      <c r="Y4" s="115">
        <f>[2]E.1项目运营期费用!Y4/(1+'[2]G.2进项增值税率-运营成本'!$C3)</f>
        <v>180.808180652324</v>
      </c>
      <c r="Z4" s="115">
        <f>[2]E.1项目运营期费用!Z4/(1+'[2]G.2进项增值税率-运营成本'!$C3)</f>
        <v>183.520303362109</v>
      </c>
      <c r="AA4" s="115">
        <f>[2]E.1项目运营期费用!AA4/(1+'[2]G.2进项增值税率-运营成本'!$C3)</f>
        <v>186.27310791254</v>
      </c>
      <c r="AB4" s="115">
        <f>[2]E.1项目运营期费用!AB4/(1+'[2]G.2进项增值税率-运营成本'!$C3)</f>
        <v>189.067204531228</v>
      </c>
      <c r="AC4" s="115">
        <f>[2]E.1项目运营期费用!AC4/(1+'[2]G.2进项增值税率-运营成本'!$C3)</f>
        <v>191.903212599197</v>
      </c>
      <c r="AD4" s="115">
        <f>[2]E.1项目运营期费用!AD4/(1+'[2]G.2进项增值税率-运营成本'!$C3)</f>
        <v>194.781760788185</v>
      </c>
      <c r="AE4" s="115">
        <f>[2]E.1项目运营期费用!AE4/(1+'[2]G.2进项增值税率-运营成本'!$C3)</f>
        <v>197.703487200008</v>
      </c>
      <c r="AF4" s="115">
        <f t="shared" ref="AF4:AF23" si="0">(SUM(H4:AE4))</f>
        <v>3702.09498860728</v>
      </c>
    </row>
    <row r="5" ht="49.5" customHeight="1" spans="1:32">
      <c r="A5" s="116"/>
      <c r="B5" s="113">
        <f>[2]E.1项目运营期费用!B5</f>
        <v>2</v>
      </c>
      <c r="C5" s="114" t="str">
        <f>[2]E.1项目运营期费用!C5</f>
        <v>场地日常维护（停机坪/起降场/交通枢纽/飞行营地/指挥中心等）</v>
      </c>
      <c r="D5" s="114" t="str">
        <f>[2]E.1项目运营期费用!D5</f>
        <v>按面积 × 单位维护单价（元 / ㎡・年）</v>
      </c>
      <c r="E5" s="115">
        <f>[2]E.1项目运营期费用!E5</f>
        <v>0</v>
      </c>
      <c r="F5" s="115">
        <f>[2]E.1项目运营期费用!F5</f>
        <v>0</v>
      </c>
      <c r="G5" s="115">
        <f>[2]E.1项目运营期费用!G5</f>
        <v>0</v>
      </c>
      <c r="H5" s="115">
        <f>[2]E.1项目运营期费用!H5*(1-'[2]G.2进项增值税率-运营成本'!$C4)</f>
        <v>0</v>
      </c>
      <c r="I5" s="115">
        <f>[2]E.1项目运营期费用!I5/(1+'[2]G.2进项增值税率-运营成本'!$C4)</f>
        <v>0</v>
      </c>
      <c r="J5" s="115">
        <f>[2]E.1项目运营期费用!J5/(1+'[2]G.2进项增值税率-运营成本'!$C4)</f>
        <v>0</v>
      </c>
      <c r="K5" s="115">
        <f>[2]E.1项目运营期费用!K5/(1+'[2]G.2进项增值税率-运营成本'!$C4)</f>
        <v>0</v>
      </c>
      <c r="L5" s="115">
        <f>[2]E.1项目运营期费用!L5/(1+'[2]G.2进项增值税率-运营成本'!$C4)</f>
        <v>0</v>
      </c>
      <c r="M5" s="115">
        <f>[2]E.1项目运营期费用!M5/(1+'[2]G.2进项增值税率-运营成本'!$C4)</f>
        <v>0</v>
      </c>
      <c r="N5" s="115">
        <f>[2]E.1项目运营期费用!N5/(1+'[2]G.2进项增值税率-运营成本'!$C4)</f>
        <v>0</v>
      </c>
      <c r="O5" s="115">
        <f>[2]E.1项目运营期费用!O5/(1+'[2]G.2进项增值税率-运营成本'!$C4)</f>
        <v>0</v>
      </c>
      <c r="P5" s="115">
        <f>[2]E.1项目运营期费用!P5/(1+'[2]G.2进项增值税率-运营成本'!$C4)</f>
        <v>0</v>
      </c>
      <c r="Q5" s="115">
        <f>[2]E.1项目运营期费用!Q5/(1+'[2]G.2进项增值税率-运营成本'!$C4)</f>
        <v>0</v>
      </c>
      <c r="R5" s="115">
        <f>[2]E.1项目运营期费用!R5/(1+'[2]G.2进项增值税率-运营成本'!$C4)</f>
        <v>0</v>
      </c>
      <c r="S5" s="115">
        <f>[2]E.1项目运营期费用!S5/(1+'[2]G.2进项增值税率-运营成本'!$C4)</f>
        <v>0</v>
      </c>
      <c r="T5" s="115">
        <f>[2]E.1项目运营期费用!T5/(1+'[2]G.2进项增值税率-运营成本'!$C4)</f>
        <v>0</v>
      </c>
      <c r="U5" s="115">
        <f>[2]E.1项目运营期费用!U5/(1+'[2]G.2进项增值税率-运营成本'!$C4)</f>
        <v>0</v>
      </c>
      <c r="V5" s="115">
        <f>[2]E.1项目运营期费用!V5/(1+'[2]G.2进项增值税率-运营成本'!$C4)</f>
        <v>0</v>
      </c>
      <c r="W5" s="115">
        <f>[2]E.1项目运营期费用!W5/(1+'[2]G.2进项增值税率-运营成本'!$C4)</f>
        <v>0</v>
      </c>
      <c r="X5" s="115">
        <f>[2]E.1项目运营期费用!X5/(1+'[2]G.2进项增值税率-运营成本'!$C4)</f>
        <v>0</v>
      </c>
      <c r="Y5" s="115">
        <f>[2]E.1项目运营期费用!Y5/(1+'[2]G.2进项增值税率-运营成本'!$C4)</f>
        <v>0</v>
      </c>
      <c r="Z5" s="115">
        <f>[2]E.1项目运营期费用!Z5/(1+'[2]G.2进项增值税率-运营成本'!$C4)</f>
        <v>0</v>
      </c>
      <c r="AA5" s="115">
        <f>[2]E.1项目运营期费用!AA5/(1+'[2]G.2进项增值税率-运营成本'!$C4)</f>
        <v>0</v>
      </c>
      <c r="AB5" s="115">
        <f>[2]E.1项目运营期费用!AB5/(1+'[2]G.2进项增值税率-运营成本'!$C4)</f>
        <v>0</v>
      </c>
      <c r="AC5" s="115">
        <f>[2]E.1项目运营期费用!AC5/(1+'[2]G.2进项增值税率-运营成本'!$C4)</f>
        <v>0</v>
      </c>
      <c r="AD5" s="115">
        <f>[2]E.1项目运营期费用!AD5/(1+'[2]G.2进项增值税率-运营成本'!$C4)</f>
        <v>0</v>
      </c>
      <c r="AE5" s="115">
        <f>[2]E.1项目运营期费用!AE5/(1+'[2]G.2进项增值税率-运营成本'!$C4)</f>
        <v>0</v>
      </c>
      <c r="AF5" s="115">
        <f t="shared" si="0"/>
        <v>0</v>
      </c>
    </row>
    <row r="6" ht="33" customHeight="1" spans="1:32">
      <c r="A6" s="116"/>
      <c r="B6" s="113">
        <f>[2]E.1项目运营期费用!B6</f>
        <v>3</v>
      </c>
      <c r="C6" s="114" t="str">
        <f>[2]E.1项目运营期费用!C6</f>
        <v>消防设施年检</v>
      </c>
      <c r="D6" s="114" t="str">
        <f>[2]E.1项目运营期费用!D6</f>
        <v>按设备数量 × 单台年检费（元 / 台・次）</v>
      </c>
      <c r="E6" s="115">
        <f>[2]E.1项目运营期费用!E6</f>
        <v>0</v>
      </c>
      <c r="F6" s="115">
        <f>[2]E.1项目运营期费用!F6</f>
        <v>0</v>
      </c>
      <c r="G6" s="115">
        <f>[2]E.1项目运营期费用!G6</f>
        <v>0</v>
      </c>
      <c r="H6" s="115">
        <f>[2]E.1项目运营期费用!H6*(1-'[2]G.2进项增值税率-运营成本'!$C5)</f>
        <v>0</v>
      </c>
      <c r="I6" s="115">
        <f>[2]E.1项目运营期费用!I6/(1+'[2]G.2进项增值税率-运营成本'!$C5)</f>
        <v>0</v>
      </c>
      <c r="J6" s="115">
        <f>[2]E.1项目运营期费用!J6/(1+'[2]G.2进项增值税率-运营成本'!$C5)</f>
        <v>0</v>
      </c>
      <c r="K6" s="115">
        <f>[2]E.1项目运营期费用!K6/(1+'[2]G.2进项增值税率-运营成本'!$C5)</f>
        <v>0</v>
      </c>
      <c r="L6" s="115">
        <f>[2]E.1项目运营期费用!L6/(1+'[2]G.2进项增值税率-运营成本'!$C5)</f>
        <v>0</v>
      </c>
      <c r="M6" s="115">
        <f>[2]E.1项目运营期费用!M6/(1+'[2]G.2进项增值税率-运营成本'!$C5)</f>
        <v>0</v>
      </c>
      <c r="N6" s="115">
        <f>[2]E.1项目运营期费用!N6/(1+'[2]G.2进项增值税率-运营成本'!$C5)</f>
        <v>0</v>
      </c>
      <c r="O6" s="115">
        <f>[2]E.1项目运营期费用!O6/(1+'[2]G.2进项增值税率-运营成本'!$C5)</f>
        <v>0</v>
      </c>
      <c r="P6" s="115">
        <f>[2]E.1项目运营期费用!P6/(1+'[2]G.2进项增值税率-运营成本'!$C5)</f>
        <v>0</v>
      </c>
      <c r="Q6" s="115">
        <f>[2]E.1项目运营期费用!Q6/(1+'[2]G.2进项增值税率-运营成本'!$C5)</f>
        <v>0</v>
      </c>
      <c r="R6" s="115">
        <f>[2]E.1项目运营期费用!R6/(1+'[2]G.2进项增值税率-运营成本'!$C5)</f>
        <v>0</v>
      </c>
      <c r="S6" s="115">
        <f>[2]E.1项目运营期费用!S6/(1+'[2]G.2进项增值税率-运营成本'!$C5)</f>
        <v>0</v>
      </c>
      <c r="T6" s="115">
        <f>[2]E.1项目运营期费用!T6/(1+'[2]G.2进项增值税率-运营成本'!$C5)</f>
        <v>0</v>
      </c>
      <c r="U6" s="115">
        <f>[2]E.1项目运营期费用!U6/(1+'[2]G.2进项增值税率-运营成本'!$C5)</f>
        <v>0</v>
      </c>
      <c r="V6" s="115">
        <f>[2]E.1项目运营期费用!V6/(1+'[2]G.2进项增值税率-运营成本'!$C5)</f>
        <v>0</v>
      </c>
      <c r="W6" s="115">
        <f>[2]E.1项目运营期费用!W6/(1+'[2]G.2进项增值税率-运营成本'!$C5)</f>
        <v>0</v>
      </c>
      <c r="X6" s="115">
        <f>[2]E.1项目运营期费用!X6/(1+'[2]G.2进项增值税率-运营成本'!$C5)</f>
        <v>0</v>
      </c>
      <c r="Y6" s="115">
        <f>[2]E.1项目运营期费用!Y6/(1+'[2]G.2进项增值税率-运营成本'!$C5)</f>
        <v>0</v>
      </c>
      <c r="Z6" s="115">
        <f>[2]E.1项目运营期费用!Z6/(1+'[2]G.2进项增值税率-运营成本'!$C5)</f>
        <v>0</v>
      </c>
      <c r="AA6" s="115">
        <f>[2]E.1项目运营期费用!AA6/(1+'[2]G.2进项增值税率-运营成本'!$C5)</f>
        <v>0</v>
      </c>
      <c r="AB6" s="115">
        <f>[2]E.1项目运营期费用!AB6/(1+'[2]G.2进项增值税率-运营成本'!$C5)</f>
        <v>0</v>
      </c>
      <c r="AC6" s="115">
        <f>[2]E.1项目运营期费用!AC6/(1+'[2]G.2进项增值税率-运营成本'!$C5)</f>
        <v>0</v>
      </c>
      <c r="AD6" s="115">
        <f>[2]E.1项目运营期费用!AD6/(1+'[2]G.2进项增值税率-运营成本'!$C5)</f>
        <v>0</v>
      </c>
      <c r="AE6" s="115">
        <f>[2]E.1项目运营期费用!AE6/(1+'[2]G.2进项增值税率-运营成本'!$C5)</f>
        <v>0</v>
      </c>
      <c r="AF6" s="115">
        <f t="shared" si="0"/>
        <v>0</v>
      </c>
    </row>
    <row r="7" ht="49.5" customHeight="1" spans="1:32">
      <c r="A7" s="111"/>
      <c r="B7" s="113">
        <f>[2]E.1项目运营期费用!B7</f>
        <v>4</v>
      </c>
      <c r="C7" s="114" t="str">
        <f>[2]E.1项目运营期费用!C7</f>
        <v>防鸟措施（驱鸟器维护）</v>
      </c>
      <c r="D7" s="114" t="str">
        <f>[2]E.1项目运营期费用!D7</f>
        <v>按套数 × 年费（元 / 套・年）+ 耗材费（如驱鸟剂）</v>
      </c>
      <c r="E7" s="115">
        <f>[2]E.1项目运营期费用!E7</f>
        <v>0</v>
      </c>
      <c r="F7" s="115">
        <f>[2]E.1项目运营期费用!F7</f>
        <v>0</v>
      </c>
      <c r="G7" s="115">
        <f>[2]E.1项目运营期费用!G7</f>
        <v>0</v>
      </c>
      <c r="H7" s="115">
        <f>[2]E.1项目运营期费用!H7*(1-'[2]G.2进项增值税率-运营成本'!$C6)</f>
        <v>0</v>
      </c>
      <c r="I7" s="115">
        <f>[2]E.1项目运营期费用!I7/(1+'[2]G.2进项增值税率-运营成本'!$C6)</f>
        <v>0</v>
      </c>
      <c r="J7" s="115">
        <f>[2]E.1项目运营期费用!J7/(1+'[2]G.2进项增值税率-运营成本'!$C6)</f>
        <v>0</v>
      </c>
      <c r="K7" s="115">
        <f>[2]E.1项目运营期费用!K7/(1+'[2]G.2进项增值税率-运营成本'!$C6)</f>
        <v>0</v>
      </c>
      <c r="L7" s="115">
        <f>[2]E.1项目运营期费用!L7/(1+'[2]G.2进项增值税率-运营成本'!$C6)</f>
        <v>0</v>
      </c>
      <c r="M7" s="115">
        <f>[2]E.1项目运营期费用!M7/(1+'[2]G.2进项增值税率-运营成本'!$C6)</f>
        <v>0</v>
      </c>
      <c r="N7" s="115">
        <f>[2]E.1项目运营期费用!N7/(1+'[2]G.2进项增值税率-运营成本'!$C6)</f>
        <v>0</v>
      </c>
      <c r="O7" s="115">
        <f>[2]E.1项目运营期费用!O7/(1+'[2]G.2进项增值税率-运营成本'!$C6)</f>
        <v>0</v>
      </c>
      <c r="P7" s="115">
        <f>[2]E.1项目运营期费用!P7/(1+'[2]G.2进项增值税率-运营成本'!$C6)</f>
        <v>0</v>
      </c>
      <c r="Q7" s="115">
        <f>[2]E.1项目运营期费用!Q7/(1+'[2]G.2进项增值税率-运营成本'!$C6)</f>
        <v>0</v>
      </c>
      <c r="R7" s="115">
        <f>[2]E.1项目运营期费用!R7/(1+'[2]G.2进项增值税率-运营成本'!$C6)</f>
        <v>0</v>
      </c>
      <c r="S7" s="115">
        <f>[2]E.1项目运营期费用!S7/(1+'[2]G.2进项增值税率-运营成本'!$C6)</f>
        <v>0</v>
      </c>
      <c r="T7" s="115">
        <f>[2]E.1项目运营期费用!T7/(1+'[2]G.2进项增值税率-运营成本'!$C6)</f>
        <v>0</v>
      </c>
      <c r="U7" s="115">
        <f>[2]E.1项目运营期费用!U7/(1+'[2]G.2进项增值税率-运营成本'!$C6)</f>
        <v>0</v>
      </c>
      <c r="V7" s="115">
        <f>[2]E.1项目运营期费用!V7/(1+'[2]G.2进项增值税率-运营成本'!$C6)</f>
        <v>0</v>
      </c>
      <c r="W7" s="115">
        <f>[2]E.1项目运营期费用!W7/(1+'[2]G.2进项增值税率-运营成本'!$C6)</f>
        <v>0</v>
      </c>
      <c r="X7" s="115">
        <f>[2]E.1项目运营期费用!X7/(1+'[2]G.2进项增值税率-运营成本'!$C6)</f>
        <v>0</v>
      </c>
      <c r="Y7" s="115">
        <f>[2]E.1项目运营期费用!Y7/(1+'[2]G.2进项增值税率-运营成本'!$C6)</f>
        <v>0</v>
      </c>
      <c r="Z7" s="115">
        <f>[2]E.1项目运营期费用!Z7/(1+'[2]G.2进项增值税率-运营成本'!$C6)</f>
        <v>0</v>
      </c>
      <c r="AA7" s="115">
        <f>[2]E.1项目运营期费用!AA7/(1+'[2]G.2进项增值税率-运营成本'!$C6)</f>
        <v>0</v>
      </c>
      <c r="AB7" s="115">
        <f>[2]E.1项目运营期费用!AB7/(1+'[2]G.2进项增值税率-运营成本'!$C6)</f>
        <v>0</v>
      </c>
      <c r="AC7" s="115">
        <f>[2]E.1项目运营期费用!AC7/(1+'[2]G.2进项增值税率-运营成本'!$C6)</f>
        <v>0</v>
      </c>
      <c r="AD7" s="115">
        <f>[2]E.1项目运营期费用!AD7/(1+'[2]G.2进项增值税率-运营成本'!$C6)</f>
        <v>0</v>
      </c>
      <c r="AE7" s="115">
        <f>[2]E.1项目运营期费用!AE7/(1+'[2]G.2进项增值税率-运营成本'!$C6)</f>
        <v>0</v>
      </c>
      <c r="AF7" s="115">
        <f t="shared" si="0"/>
        <v>0</v>
      </c>
    </row>
    <row r="8" ht="16.5" customHeight="1" spans="1:32">
      <c r="A8" s="113" t="s">
        <v>210</v>
      </c>
      <c r="B8" s="113">
        <f>[2]E.1项目运营期费用!B8</f>
        <v>5</v>
      </c>
      <c r="C8" s="114" t="str">
        <f>[2]E.1项目运营期费用!C8</f>
        <v>飞行器能耗</v>
      </c>
      <c r="D8" s="114" t="str">
        <f>[2]E.1项目运营期费用!D8</f>
        <v>按电耗或油耗计算</v>
      </c>
      <c r="E8" s="115">
        <f>[2]E.1项目运营期费用!E8</f>
        <v>0</v>
      </c>
      <c r="F8" s="115">
        <f>[2]E.1项目运营期费用!F8</f>
        <v>0</v>
      </c>
      <c r="G8" s="115">
        <f>[2]E.1项目运营期费用!G8</f>
        <v>0</v>
      </c>
      <c r="H8" s="115">
        <f>[2]E.1项目运营期费用!H8*(1-'[2]G.2进项增值税率-运营成本'!$C7)</f>
        <v>0</v>
      </c>
      <c r="I8" s="115">
        <f>[2]E.1项目运营期费用!I8/(1+'[2]G.2进项增值税率-运营成本'!$C7)</f>
        <v>0</v>
      </c>
      <c r="J8" s="115">
        <f>[2]E.1项目运营期费用!J8/(1+'[2]G.2进项增值税率-运营成本'!$C7)</f>
        <v>0</v>
      </c>
      <c r="K8" s="115">
        <f>[2]E.1项目运营期费用!K8/(1+'[2]G.2进项增值税率-运营成本'!$C7)</f>
        <v>0</v>
      </c>
      <c r="L8" s="115">
        <f>[2]E.1项目运营期费用!L8/(1+'[2]G.2进项增值税率-运营成本'!$C7)</f>
        <v>0</v>
      </c>
      <c r="M8" s="115">
        <f>[2]E.1项目运营期费用!M8/(1+'[2]G.2进项增值税率-运营成本'!$C7)</f>
        <v>0</v>
      </c>
      <c r="N8" s="115">
        <f>[2]E.1项目运营期费用!N8/(1+'[2]G.2进项增值税率-运营成本'!$C7)</f>
        <v>0</v>
      </c>
      <c r="O8" s="115">
        <f>[2]E.1项目运营期费用!O8/(1+'[2]G.2进项增值税率-运营成本'!$C7)</f>
        <v>0</v>
      </c>
      <c r="P8" s="115">
        <f>[2]E.1项目运营期费用!P8/(1+'[2]G.2进项增值税率-运营成本'!$C7)</f>
        <v>0</v>
      </c>
      <c r="Q8" s="115">
        <f>[2]E.1项目运营期费用!Q8/(1+'[2]G.2进项增值税率-运营成本'!$C7)</f>
        <v>0</v>
      </c>
      <c r="R8" s="115">
        <f>[2]E.1项目运营期费用!R8/(1+'[2]G.2进项增值税率-运营成本'!$C7)</f>
        <v>0</v>
      </c>
      <c r="S8" s="115">
        <f>[2]E.1项目运营期费用!S8/(1+'[2]G.2进项增值税率-运营成本'!$C7)</f>
        <v>0</v>
      </c>
      <c r="T8" s="115">
        <f>[2]E.1项目运营期费用!T8/(1+'[2]G.2进项增值税率-运营成本'!$C7)</f>
        <v>0</v>
      </c>
      <c r="U8" s="115">
        <f>[2]E.1项目运营期费用!U8/(1+'[2]G.2进项增值税率-运营成本'!$C7)</f>
        <v>0</v>
      </c>
      <c r="V8" s="115">
        <f>[2]E.1项目运营期费用!V8/(1+'[2]G.2进项增值税率-运营成本'!$C7)</f>
        <v>0</v>
      </c>
      <c r="W8" s="115">
        <f>[2]E.1项目运营期费用!W8/(1+'[2]G.2进项增值税率-运营成本'!$C7)</f>
        <v>0</v>
      </c>
      <c r="X8" s="115">
        <f>[2]E.1项目运营期费用!X8/(1+'[2]G.2进项增值税率-运营成本'!$C7)</f>
        <v>0</v>
      </c>
      <c r="Y8" s="115">
        <f>[2]E.1项目运营期费用!Y8/(1+'[2]G.2进项增值税率-运营成本'!$C7)</f>
        <v>0</v>
      </c>
      <c r="Z8" s="115">
        <f>[2]E.1项目运营期费用!Z8/(1+'[2]G.2进项增值税率-运营成本'!$C7)</f>
        <v>0</v>
      </c>
      <c r="AA8" s="115">
        <f>[2]E.1项目运营期费用!AA8/(1+'[2]G.2进项增值税率-运营成本'!$C7)</f>
        <v>0</v>
      </c>
      <c r="AB8" s="115">
        <f>[2]E.1项目运营期费用!AB8/(1+'[2]G.2进项增值税率-运营成本'!$C7)</f>
        <v>0</v>
      </c>
      <c r="AC8" s="115">
        <f>[2]E.1项目运营期费用!AC8/(1+'[2]G.2进项增值税率-运营成本'!$C7)</f>
        <v>0</v>
      </c>
      <c r="AD8" s="115">
        <f>[2]E.1项目运营期费用!AD8/(1+'[2]G.2进项增值税率-运营成本'!$C7)</f>
        <v>0</v>
      </c>
      <c r="AE8" s="115">
        <f>[2]E.1项目运营期费用!AE8/(1+'[2]G.2进项增值税率-运营成本'!$C7)</f>
        <v>0</v>
      </c>
      <c r="AF8" s="115">
        <f t="shared" si="0"/>
        <v>0</v>
      </c>
    </row>
    <row r="9" ht="33" customHeight="1" spans="1:32">
      <c r="A9" s="116"/>
      <c r="B9" s="113">
        <f>[2]E.1项目运营期费用!B9</f>
        <v>6</v>
      </c>
      <c r="C9" s="114" t="str">
        <f>[2]E.1项目运营期费用!C9</f>
        <v>核心设备电力能耗</v>
      </c>
      <c r="D9" s="114" t="str">
        <f>[2]E.1项目运营期费用!D9</f>
        <v>按实际用电量 × 电价（元 / 千瓦 时）</v>
      </c>
      <c r="E9" s="115">
        <f>[2]E.1项目运营期费用!E9</f>
        <v>0</v>
      </c>
      <c r="F9" s="115">
        <f>[2]E.1项目运营期费用!F9</f>
        <v>0</v>
      </c>
      <c r="G9" s="115">
        <f>[2]E.1项目运营期费用!G9</f>
        <v>0</v>
      </c>
      <c r="H9" s="115">
        <f>[2]E.1项目运营期费用!H9*(1-'[2]G.2进项增值税率-运营成本'!$C8)</f>
        <v>0</v>
      </c>
      <c r="I9" s="115">
        <f>[2]E.1项目运营期费用!I9/(1+'[2]G.2进项增值税率-运营成本'!$C8)</f>
        <v>0</v>
      </c>
      <c r="J9" s="115">
        <f>[2]E.1项目运营期费用!J9/(1+'[2]G.2进项增值税率-运营成本'!$C8)</f>
        <v>0</v>
      </c>
      <c r="K9" s="115">
        <f>[2]E.1项目运营期费用!K9/(1+'[2]G.2进项增值税率-运营成本'!$C8)</f>
        <v>0</v>
      </c>
      <c r="L9" s="115">
        <f>[2]E.1项目运营期费用!L9/(1+'[2]G.2进项增值税率-运营成本'!$C8)</f>
        <v>0</v>
      </c>
      <c r="M9" s="115">
        <f>[2]E.1项目运营期费用!M9/(1+'[2]G.2进项增值税率-运营成本'!$C8)</f>
        <v>0</v>
      </c>
      <c r="N9" s="115">
        <f>[2]E.1项目运营期费用!N9/(1+'[2]G.2进项增值税率-运营成本'!$C8)</f>
        <v>0</v>
      </c>
      <c r="O9" s="115">
        <f>[2]E.1项目运营期费用!O9/(1+'[2]G.2进项增值税率-运营成本'!$C8)</f>
        <v>0</v>
      </c>
      <c r="P9" s="115">
        <f>[2]E.1项目运营期费用!P9/(1+'[2]G.2进项增值税率-运营成本'!$C8)</f>
        <v>0</v>
      </c>
      <c r="Q9" s="115">
        <f>[2]E.1项目运营期费用!Q9/(1+'[2]G.2进项增值税率-运营成本'!$C8)</f>
        <v>0</v>
      </c>
      <c r="R9" s="115">
        <f>[2]E.1项目运营期费用!R9/(1+'[2]G.2进项增值税率-运营成本'!$C8)</f>
        <v>0</v>
      </c>
      <c r="S9" s="115">
        <f>[2]E.1项目运营期费用!S9/(1+'[2]G.2进项增值税率-运营成本'!$C8)</f>
        <v>0</v>
      </c>
      <c r="T9" s="115">
        <f>[2]E.1项目运营期费用!T9/(1+'[2]G.2进项增值税率-运营成本'!$C8)</f>
        <v>0</v>
      </c>
      <c r="U9" s="115">
        <f>[2]E.1项目运营期费用!U9/(1+'[2]G.2进项增值税率-运营成本'!$C8)</f>
        <v>0</v>
      </c>
      <c r="V9" s="115">
        <f>[2]E.1项目运营期费用!V9/(1+'[2]G.2进项增值税率-运营成本'!$C8)</f>
        <v>0</v>
      </c>
      <c r="W9" s="115">
        <f>[2]E.1项目运营期费用!W9/(1+'[2]G.2进项增值税率-运营成本'!$C8)</f>
        <v>0</v>
      </c>
      <c r="X9" s="115">
        <f>[2]E.1项目运营期费用!X9/(1+'[2]G.2进项增值税率-运营成本'!$C8)</f>
        <v>0</v>
      </c>
      <c r="Y9" s="115">
        <f>[2]E.1项目运营期费用!Y9/(1+'[2]G.2进项增值税率-运营成本'!$C8)</f>
        <v>0</v>
      </c>
      <c r="Z9" s="115">
        <f>[2]E.1项目运营期费用!Z9/(1+'[2]G.2进项增值税率-运营成本'!$C8)</f>
        <v>0</v>
      </c>
      <c r="AA9" s="115">
        <f>[2]E.1项目运营期费用!AA9/(1+'[2]G.2进项增值税率-运营成本'!$C8)</f>
        <v>0</v>
      </c>
      <c r="AB9" s="115">
        <f>[2]E.1项目运营期费用!AB9/(1+'[2]G.2进项增值税率-运营成本'!$C8)</f>
        <v>0</v>
      </c>
      <c r="AC9" s="115">
        <f>[2]E.1项目运营期费用!AC9/(1+'[2]G.2进项增值税率-运营成本'!$C8)</f>
        <v>0</v>
      </c>
      <c r="AD9" s="115">
        <f>[2]E.1项目运营期费用!AD9/(1+'[2]G.2进项增值税率-运营成本'!$C8)</f>
        <v>0</v>
      </c>
      <c r="AE9" s="115">
        <f>[2]E.1项目运营期费用!AE9/(1+'[2]G.2进项增值税率-运营成本'!$C8)</f>
        <v>0</v>
      </c>
      <c r="AF9" s="115">
        <f t="shared" si="0"/>
        <v>0</v>
      </c>
    </row>
    <row r="10" ht="16.5" customHeight="1" spans="1:32">
      <c r="A10" s="111"/>
      <c r="B10" s="113">
        <f>[2]E.1项目运营期费用!B10</f>
        <v>7</v>
      </c>
      <c r="C10" s="114" t="str">
        <f>[2]E.1项目运营期费用!C10</f>
        <v>水电能耗</v>
      </c>
      <c r="D10" s="114" t="str">
        <f>[2]E.1项目运营期费用!D10</f>
        <v>按面积估算</v>
      </c>
      <c r="E10" s="115">
        <f>[2]E.1项目运营期费用!E10</f>
        <v>0</v>
      </c>
      <c r="F10" s="115">
        <f>[2]E.1项目运营期费用!F10</f>
        <v>0</v>
      </c>
      <c r="G10" s="115">
        <f>[2]E.1项目运营期费用!G10</f>
        <v>0</v>
      </c>
      <c r="H10" s="115">
        <f>[2]E.1项目运营期费用!H10*(1-'[2]G.2进项增值税率-运营成本'!$C9)</f>
        <v>0</v>
      </c>
      <c r="I10" s="115">
        <f>[2]E.1项目运营期费用!I10/(1+'[2]G.2进项增值税率-运营成本'!$C9)</f>
        <v>0</v>
      </c>
      <c r="J10" s="115">
        <f>[2]E.1项目运营期费用!J10/(1+'[2]G.2进项增值税率-运营成本'!$C9)</f>
        <v>9.1743119266055</v>
      </c>
      <c r="K10" s="115">
        <f>[2]E.1项目运营期费用!K10/(1+'[2]G.2进项增值税率-运营成本'!$C9)</f>
        <v>9.1743119266055</v>
      </c>
      <c r="L10" s="115">
        <f>[2]E.1项目运营期费用!L10/(1+'[2]G.2进项增值税率-运营成本'!$C9)</f>
        <v>9.31192660550459</v>
      </c>
      <c r="M10" s="115">
        <f>[2]E.1项目运营期费用!M10/(1+'[2]G.2进项增值税率-运营成本'!$C9)</f>
        <v>9.45160550458716</v>
      </c>
      <c r="N10" s="115">
        <f>[2]E.1项目运营期费用!N10/(1+'[2]G.2进项增值税率-运营成本'!$C9)</f>
        <v>9.59337958715596</v>
      </c>
      <c r="O10" s="115">
        <f>[2]E.1项目运营期费用!O10/(1+'[2]G.2进项增值税率-运营成本'!$C9)</f>
        <v>9.7372802809633</v>
      </c>
      <c r="P10" s="115">
        <f>[2]E.1项目运营期费用!P10/(1+'[2]G.2进项增值税率-运营成本'!$C9)</f>
        <v>9.88333948517771</v>
      </c>
      <c r="Q10" s="115">
        <f>[2]E.1项目运营期费用!Q10/(1+'[2]G.2进项增值税率-运营成本'!$C9)</f>
        <v>10.0315895774554</v>
      </c>
      <c r="R10" s="115">
        <f>[2]E.1项目运营期费用!R10/(1+'[2]G.2进项增值税率-运营成本'!$C9)</f>
        <v>10.1820634211172</v>
      </c>
      <c r="S10" s="115">
        <f>[2]E.1项目运营期费用!S10/(1+'[2]G.2进项增值税率-运营成本'!$C9)</f>
        <v>10.334794372434</v>
      </c>
      <c r="T10" s="115">
        <f>[2]E.1项目运营期费用!T10/(1+'[2]G.2进项增值税率-运营成本'!$C9)</f>
        <v>10.4898162880206</v>
      </c>
      <c r="U10" s="115">
        <f>[2]E.1项目运营期费用!U10/(1+'[2]G.2进项增值税率-运营成本'!$C9)</f>
        <v>10.6471635323408</v>
      </c>
      <c r="V10" s="115">
        <f>[2]E.1项目运营期费用!V10/(1+'[2]G.2进项增值税率-运营成本'!$C9)</f>
        <v>10.806870985326</v>
      </c>
      <c r="W10" s="115">
        <f>[2]E.1项目运营期费用!W10/(1+'[2]G.2进项增值税率-运营成本'!$C9)</f>
        <v>10.9689740501058</v>
      </c>
      <c r="X10" s="115">
        <f>[2]E.1项目运营期费用!X10/(1+'[2]G.2进项增值税率-运营成本'!$C9)</f>
        <v>11.1335086608574</v>
      </c>
      <c r="Y10" s="115">
        <f>[2]E.1项目运营期费用!Y10/(1+'[2]G.2进项增值税率-运营成本'!$C9)</f>
        <v>11.3005112907703</v>
      </c>
      <c r="Z10" s="115">
        <f>[2]E.1项目运营期费用!Z10/(1+'[2]G.2进项增值税率-运营成本'!$C9)</f>
        <v>11.4700189601318</v>
      </c>
      <c r="AA10" s="115">
        <f>[2]E.1项目运营期费用!AA10/(1+'[2]G.2进项增值税率-运营成本'!$C9)</f>
        <v>11.6420692445338</v>
      </c>
      <c r="AB10" s="115">
        <f>[2]E.1项目运营期费用!AB10/(1+'[2]G.2进项增值税率-运营成本'!$C9)</f>
        <v>11.8167002832018</v>
      </c>
      <c r="AC10" s="115">
        <f>[2]E.1项目运营期费用!AC10/(1+'[2]G.2进项增值税率-运营成本'!$C9)</f>
        <v>11.9939507874498</v>
      </c>
      <c r="AD10" s="115">
        <f>[2]E.1项目运营期费用!AD10/(1+'[2]G.2进项增值税率-运营成本'!$C9)</f>
        <v>12.1738600492616</v>
      </c>
      <c r="AE10" s="115">
        <f>[2]E.1项目运营期费用!AE10/(1+'[2]G.2进项增值税率-运营成本'!$C9)</f>
        <v>12.3564679500005</v>
      </c>
      <c r="AF10" s="115">
        <f t="shared" si="0"/>
        <v>233.674514769606</v>
      </c>
    </row>
    <row r="11" ht="16.5" customHeight="1" spans="1:32">
      <c r="A11" s="113" t="s">
        <v>217</v>
      </c>
      <c r="B11" s="113">
        <f>[2]E.1项目运营期费用!B11</f>
        <v>8</v>
      </c>
      <c r="C11" s="114" t="str">
        <f>[2]E.1项目运营期费用!C11</f>
        <v>网络通信费用</v>
      </c>
      <c r="D11" s="114" t="str">
        <f>[2]E.1项目运营期费用!D11</f>
        <v>按年计算租金</v>
      </c>
      <c r="E11" s="115">
        <f>[2]E.1项目运营期费用!E11</f>
        <v>0</v>
      </c>
      <c r="F11" s="115">
        <f>[2]E.1项目运营期费用!F11</f>
        <v>0</v>
      </c>
      <c r="G11" s="115">
        <f>[2]E.1项目运营期费用!G11</f>
        <v>0</v>
      </c>
      <c r="H11" s="115">
        <f>[2]E.1项目运营期费用!H11*(1-'[2]G.2进项增值税率-运营成本'!$C10)</f>
        <v>0</v>
      </c>
      <c r="I11" s="115">
        <f>[2]E.1项目运营期费用!I11/(1+'[2]G.2进项增值税率-运营成本'!$C10)</f>
        <v>0</v>
      </c>
      <c r="J11" s="115">
        <f>[2]E.1项目运营期费用!J11/(1+'[2]G.2进项增值税率-运营成本'!$C10)</f>
        <v>9.1743119266055</v>
      </c>
      <c r="K11" s="115">
        <f>[2]E.1项目运营期费用!K11/(1+'[2]G.2进项增值税率-运营成本'!$C10)</f>
        <v>9.1743119266055</v>
      </c>
      <c r="L11" s="115">
        <f>[2]E.1项目运营期费用!L11/(1+'[2]G.2进项增值税率-运营成本'!$C10)</f>
        <v>9.31192660550459</v>
      </c>
      <c r="M11" s="115">
        <f>[2]E.1项目运营期费用!M11/(1+'[2]G.2进项增值税率-运营成本'!$C10)</f>
        <v>9.45160550458716</v>
      </c>
      <c r="N11" s="115">
        <f>[2]E.1项目运营期费用!N11/(1+'[2]G.2进项增值税率-运营成本'!$C10)</f>
        <v>9.59337958715596</v>
      </c>
      <c r="O11" s="115">
        <f>[2]E.1项目运营期费用!O11/(1+'[2]G.2进项增值税率-运营成本'!$C10)</f>
        <v>9.7372802809633</v>
      </c>
      <c r="P11" s="115">
        <f>[2]E.1项目运营期费用!P11/(1+'[2]G.2进项增值税率-运营成本'!$C10)</f>
        <v>9.88333948517771</v>
      </c>
      <c r="Q11" s="115">
        <f>[2]E.1项目运营期费用!Q11/(1+'[2]G.2进项增值税率-运营成本'!$C10)</f>
        <v>10.0315895774554</v>
      </c>
      <c r="R11" s="115">
        <f>[2]E.1项目运营期费用!R11/(1+'[2]G.2进项增值税率-运营成本'!$C10)</f>
        <v>10.1820634211172</v>
      </c>
      <c r="S11" s="115">
        <f>[2]E.1项目运营期费用!S11/(1+'[2]G.2进项增值税率-运营成本'!$C10)</f>
        <v>10.334794372434</v>
      </c>
      <c r="T11" s="115">
        <f>[2]E.1项目运营期费用!T11/(1+'[2]G.2进项增值税率-运营成本'!$C10)</f>
        <v>10.4898162880206</v>
      </c>
      <c r="U11" s="115">
        <f>[2]E.1项目运营期费用!U11/(1+'[2]G.2进项增值税率-运营成本'!$C10)</f>
        <v>10.6471635323408</v>
      </c>
      <c r="V11" s="115">
        <f>[2]E.1项目运营期费用!V11/(1+'[2]G.2进项增值税率-运营成本'!$C10)</f>
        <v>10.806870985326</v>
      </c>
      <c r="W11" s="115">
        <f>[2]E.1项目运营期费用!W11/(1+'[2]G.2进项增值税率-运营成本'!$C10)</f>
        <v>10.9689740501058</v>
      </c>
      <c r="X11" s="115">
        <f>[2]E.1项目运营期费用!X11/(1+'[2]G.2进项增值税率-运营成本'!$C10)</f>
        <v>11.1335086608574</v>
      </c>
      <c r="Y11" s="115">
        <f>[2]E.1项目运营期费用!Y11/(1+'[2]G.2进项增值税率-运营成本'!$C10)</f>
        <v>11.3005112907703</v>
      </c>
      <c r="Z11" s="115">
        <f>[2]E.1项目运营期费用!Z11/(1+'[2]G.2进项增值税率-运营成本'!$C10)</f>
        <v>11.4700189601318</v>
      </c>
      <c r="AA11" s="115">
        <f>[2]E.1项目运营期费用!AA11/(1+'[2]G.2进项增值税率-运营成本'!$C10)</f>
        <v>11.6420692445338</v>
      </c>
      <c r="AB11" s="115">
        <f>[2]E.1项目运营期费用!AB11/(1+'[2]G.2进项增值税率-运营成本'!$C10)</f>
        <v>11.8167002832018</v>
      </c>
      <c r="AC11" s="115">
        <f>[2]E.1项目运营期费用!AC11/(1+'[2]G.2进项增值税率-运营成本'!$C10)</f>
        <v>11.9939507874498</v>
      </c>
      <c r="AD11" s="115">
        <f>[2]E.1项目运营期费用!AD11/(1+'[2]G.2进项增值税率-运营成本'!$C10)</f>
        <v>12.1738600492616</v>
      </c>
      <c r="AE11" s="115">
        <f>[2]E.1项目运营期费用!AE11/(1+'[2]G.2进项增值税率-运营成本'!$C10)</f>
        <v>12.3564679500005</v>
      </c>
      <c r="AF11" s="115">
        <f t="shared" si="0"/>
        <v>233.674514769606</v>
      </c>
    </row>
    <row r="12" ht="16.5" customHeight="1" spans="1:32">
      <c r="A12" s="113" t="s">
        <v>220</v>
      </c>
      <c r="B12" s="113">
        <f>[2]E.1项目运营期费用!B12</f>
        <v>9</v>
      </c>
      <c r="C12" s="114" t="str">
        <f>[2]E.1项目运营期费用!C12</f>
        <v>硬件设备维护</v>
      </c>
      <c r="D12" s="114" t="str">
        <f>[2]E.1项目运营期费用!D12</f>
        <v>按照固定资产15%计算</v>
      </c>
      <c r="E12" s="115">
        <f>[2]E.1项目运营期费用!E12</f>
        <v>0</v>
      </c>
      <c r="F12" s="115">
        <f>[2]E.1项目运营期费用!F12</f>
        <v>0</v>
      </c>
      <c r="G12" s="115">
        <f>[2]E.1项目运营期费用!G12</f>
        <v>0</v>
      </c>
      <c r="H12" s="115">
        <f>[2]E.1项目运营期费用!H12*(1-'[2]G.2进项增值税率-运营成本'!$C11)</f>
        <v>0</v>
      </c>
      <c r="I12" s="115">
        <f>[2]E.1项目运营期费用!I12/(1+'[2]G.2进项增值税率-运营成本'!$C11)</f>
        <v>0</v>
      </c>
      <c r="J12" s="115">
        <f>[2]E.1项目运营期费用!J12/(1+'[2]G.2进项增值税率-运营成本'!$C11)</f>
        <v>319.977876106195</v>
      </c>
      <c r="K12" s="115">
        <f>[2]E.1项目运营期费用!K12/(1+'[2]G.2进项增值税率-运营成本'!$C11)</f>
        <v>426.637168141593</v>
      </c>
      <c r="L12" s="115">
        <f>[2]E.1项目运营期费用!L12/(1+'[2]G.2进项增值税率-运营成本'!$C11)</f>
        <v>433.036725663717</v>
      </c>
      <c r="M12" s="115">
        <f>[2]E.1项目运营期费用!M12/(1+'[2]G.2进项增值税率-运营成本'!$C11)</f>
        <v>439.532276548673</v>
      </c>
      <c r="N12" s="115">
        <f>[2]E.1项目运营期费用!N12/(1+'[2]G.2进项增值税率-运营成本'!$C11)</f>
        <v>446.125260696903</v>
      </c>
      <c r="O12" s="115">
        <f>[2]E.1项目运营期费用!O12/(1+'[2]G.2进项增值税率-运营成本'!$C11)</f>
        <v>452.817139607356</v>
      </c>
      <c r="P12" s="115">
        <f>[2]E.1项目运营期费用!P12/(1+'[2]G.2进项增值税率-运营成本'!$C11)</f>
        <v>459.609396701466</v>
      </c>
      <c r="Q12" s="115">
        <f>[2]E.1项目运营期费用!Q12/(1+'[2]G.2进项增值税率-运营成本'!$C11)</f>
        <v>466.503537651988</v>
      </c>
      <c r="R12" s="115">
        <f>[2]E.1项目运营期费用!R12/(1+'[2]G.2进项增值税率-运营成本'!$C11)</f>
        <v>473.501090716768</v>
      </c>
      <c r="S12" s="115">
        <f>[2]E.1项目运营期费用!S12/(1+'[2]G.2进项增值税率-运营成本'!$C11)</f>
        <v>480.60360707752</v>
      </c>
      <c r="T12" s="115">
        <f>[2]E.1项目运营期费用!T12/(1+'[2]G.2进项增值税率-运营成本'!$C11)</f>
        <v>487.812661183682</v>
      </c>
      <c r="U12" s="115">
        <f>[2]E.1项目运营期费用!U12/(1+'[2]G.2进项增值税率-运营成本'!$C11)</f>
        <v>495.129851101437</v>
      </c>
      <c r="V12" s="115">
        <f>[2]E.1项目运营期费用!V12/(1+'[2]G.2进项增值税率-运营成本'!$C11)</f>
        <v>502.556798867959</v>
      </c>
      <c r="W12" s="115">
        <f>[2]E.1项目运营期费用!W12/(1+'[2]G.2进项增值税率-运营成本'!$C11)</f>
        <v>510.095150850978</v>
      </c>
      <c r="X12" s="115">
        <f>[2]E.1项目运营期费用!X12/(1+'[2]G.2进项增值税率-运营成本'!$C11)</f>
        <v>517.746578113743</v>
      </c>
      <c r="Y12" s="115">
        <f>[2]E.1项目运营期费用!Y12/(1+'[2]G.2进项增值税率-运营成本'!$C11)</f>
        <v>525.512776785449</v>
      </c>
      <c r="Z12" s="115">
        <f>[2]E.1项目运营期费用!Z12/(1+'[2]G.2进项增值税率-运营成本'!$C11)</f>
        <v>533.395468437231</v>
      </c>
      <c r="AA12" s="115">
        <f>[2]E.1项目运营期费用!AA12/(1+'[2]G.2进项增值税率-运营成本'!$C11)</f>
        <v>541.396400463789</v>
      </c>
      <c r="AB12" s="115">
        <f>[2]E.1项目运营期费用!AB12/(1+'[2]G.2进项增值税率-运营成本'!$C11)</f>
        <v>549.517346470746</v>
      </c>
      <c r="AC12" s="115">
        <f>[2]E.1项目运营期费用!AC12/(1+'[2]G.2进项增值税率-运营成本'!$C11)</f>
        <v>557.760106667807</v>
      </c>
      <c r="AD12" s="115">
        <f>[2]E.1项目运营期费用!AD12/(1+'[2]G.2进项增值税率-运营成本'!$C11)</f>
        <v>566.126508267824</v>
      </c>
      <c r="AE12" s="115">
        <f>[2]E.1项目运营期费用!AE12/(1+'[2]G.2进项增值税率-运营成本'!$C11)</f>
        <v>574.618405891842</v>
      </c>
      <c r="AF12" s="115">
        <f t="shared" si="0"/>
        <v>10760.0121320147</v>
      </c>
    </row>
    <row r="13" ht="33" customHeight="1" spans="1:32">
      <c r="A13" s="111"/>
      <c r="B13" s="113">
        <f>[2]E.1项目运营期费用!B13</f>
        <v>10</v>
      </c>
      <c r="C13" s="114" t="str">
        <f>[2]E.1项目运营期费用!C13</f>
        <v>备品备件储备</v>
      </c>
      <c r="D13" s="114" t="str">
        <f>[2]E.1项目运营期费用!D13</f>
        <v>按年度设备维护预算 × 储备比例 （10%-20%）</v>
      </c>
      <c r="E13" s="115">
        <f>[2]E.1项目运营期费用!E13</f>
        <v>0</v>
      </c>
      <c r="F13" s="115">
        <f>[2]E.1项目运营期费用!F13</f>
        <v>0</v>
      </c>
      <c r="G13" s="115">
        <f>[2]E.1项目运营期费用!G13</f>
        <v>0</v>
      </c>
      <c r="H13" s="115">
        <f>[2]E.1项目运营期费用!H13*(1-'[2]G.2进项增值税率-运营成本'!$C12)</f>
        <v>0</v>
      </c>
      <c r="I13" s="115">
        <f>[2]E.1项目运营期费用!I13/(1+'[2]G.2进项增值税率-运营成本'!$C12)</f>
        <v>0</v>
      </c>
      <c r="J13" s="115">
        <f>[2]E.1项目运营期费用!J13/(1+'[2]G.2进项增值税率-运营成本'!$C12)</f>
        <v>0</v>
      </c>
      <c r="K13" s="115">
        <f>[2]E.1项目运营期费用!K13/(1+'[2]G.2进项增值税率-运营成本'!$C12)</f>
        <v>0</v>
      </c>
      <c r="L13" s="115">
        <f>[2]E.1项目运营期费用!L13/(1+'[2]G.2进项增值税率-运营成本'!$C12)</f>
        <v>0</v>
      </c>
      <c r="M13" s="115">
        <f>[2]E.1项目运营期费用!M13/(1+'[2]G.2进项增值税率-运营成本'!$C12)</f>
        <v>0</v>
      </c>
      <c r="N13" s="115">
        <f>[2]E.1项目运营期费用!N13/(1+'[2]G.2进项增值税率-运营成本'!$C12)</f>
        <v>0</v>
      </c>
      <c r="O13" s="115">
        <f>[2]E.1项目运营期费用!O13/(1+'[2]G.2进项增值税率-运营成本'!$C12)</f>
        <v>0</v>
      </c>
      <c r="P13" s="115">
        <f>[2]E.1项目运营期费用!P13/(1+'[2]G.2进项增值税率-运营成本'!$C12)</f>
        <v>0</v>
      </c>
      <c r="Q13" s="115">
        <f>[2]E.1项目运营期费用!Q13/(1+'[2]G.2进项增值税率-运营成本'!$C12)</f>
        <v>0</v>
      </c>
      <c r="R13" s="115">
        <f>[2]E.1项目运营期费用!R13/(1+'[2]G.2进项增值税率-运营成本'!$C12)</f>
        <v>0</v>
      </c>
      <c r="S13" s="115">
        <f>[2]E.1项目运营期费用!S13/(1+'[2]G.2进项增值税率-运营成本'!$C12)</f>
        <v>0</v>
      </c>
      <c r="T13" s="115">
        <f>[2]E.1项目运营期费用!T13/(1+'[2]G.2进项增值税率-运营成本'!$C12)</f>
        <v>0</v>
      </c>
      <c r="U13" s="115">
        <f>[2]E.1项目运营期费用!U13/(1+'[2]G.2进项增值税率-运营成本'!$C12)</f>
        <v>0</v>
      </c>
      <c r="V13" s="115">
        <f>[2]E.1项目运营期费用!V13/(1+'[2]G.2进项增值税率-运营成本'!$C12)</f>
        <v>0</v>
      </c>
      <c r="W13" s="115">
        <f>[2]E.1项目运营期费用!W13/(1+'[2]G.2进项增值税率-运营成本'!$C12)</f>
        <v>0</v>
      </c>
      <c r="X13" s="115">
        <f>[2]E.1项目运营期费用!X13/(1+'[2]G.2进项增值税率-运营成本'!$C12)</f>
        <v>0</v>
      </c>
      <c r="Y13" s="115">
        <f>[2]E.1项目运营期费用!Y13/(1+'[2]G.2进项增值税率-运营成本'!$C12)</f>
        <v>0</v>
      </c>
      <c r="Z13" s="115">
        <f>[2]E.1项目运营期费用!Z13/(1+'[2]G.2进项增值税率-运营成本'!$C12)</f>
        <v>0</v>
      </c>
      <c r="AA13" s="115">
        <f>[2]E.1项目运营期费用!AA13/(1+'[2]G.2进项增值税率-运营成本'!$C12)</f>
        <v>0</v>
      </c>
      <c r="AB13" s="115">
        <f>[2]E.1项目运营期费用!AB13/(1+'[2]G.2进项增值税率-运营成本'!$C12)</f>
        <v>0</v>
      </c>
      <c r="AC13" s="115">
        <f>[2]E.1项目运营期费用!AC13/(1+'[2]G.2进项增值税率-运营成本'!$C12)</f>
        <v>0</v>
      </c>
      <c r="AD13" s="115">
        <f>[2]E.1项目运营期费用!AD13/(1+'[2]G.2进项增值税率-运营成本'!$C12)</f>
        <v>0</v>
      </c>
      <c r="AE13" s="115">
        <f>[2]E.1项目运营期费用!AE13/(1+'[2]G.2进项增值税率-运营成本'!$C12)</f>
        <v>0</v>
      </c>
      <c r="AF13" s="115">
        <f t="shared" si="0"/>
        <v>0</v>
      </c>
    </row>
    <row r="14" ht="33" customHeight="1" spans="1:32">
      <c r="A14" s="113" t="s">
        <v>225</v>
      </c>
      <c r="B14" s="113">
        <f>[2]E.1项目运营期费用!B14</f>
        <v>11</v>
      </c>
      <c r="C14" s="114" t="str">
        <f>[2]E.1项目运营期费用!C14</f>
        <v>软件维护</v>
      </c>
      <c r="D14" s="114" t="str">
        <f>[2]E.1项目运营期费用!D14</f>
        <v>按无形资产造价的20%计算</v>
      </c>
      <c r="E14" s="115">
        <f>[2]E.1项目运营期费用!E14</f>
        <v>0</v>
      </c>
      <c r="F14" s="115">
        <f>[2]E.1项目运营期费用!F14</f>
        <v>0</v>
      </c>
      <c r="G14" s="115">
        <f>[2]E.1项目运营期费用!G14</f>
        <v>0</v>
      </c>
      <c r="H14" s="115">
        <f>[2]E.1项目运营期费用!H14*(1-'[2]G.2进项增值税率-运营成本'!$C13)</f>
        <v>0</v>
      </c>
      <c r="I14" s="115">
        <f>[2]E.1项目运营期费用!I14/(1+'[2]G.2进项增值税率-运营成本'!$C13)</f>
        <v>0</v>
      </c>
      <c r="J14" s="115">
        <f>[2]E.1项目运营期费用!J14/(1+'[2]G.2进项增值税率-运营成本'!$C13)</f>
        <v>0</v>
      </c>
      <c r="K14" s="115">
        <f>[2]E.1项目运营期费用!K14/(1+'[2]G.2进项增值税率-运营成本'!$C13)</f>
        <v>0</v>
      </c>
      <c r="L14" s="115">
        <f>[2]E.1项目运营期费用!L14/(1+'[2]G.2进项增值税率-运营成本'!$C13)</f>
        <v>0</v>
      </c>
      <c r="M14" s="115">
        <f>[2]E.1项目运营期费用!M14/(1+'[2]G.2进项增值税率-运营成本'!$C13)</f>
        <v>0</v>
      </c>
      <c r="N14" s="115">
        <f>[2]E.1项目运营期费用!N14/(1+'[2]G.2进项增值税率-运营成本'!$C13)</f>
        <v>0</v>
      </c>
      <c r="O14" s="115">
        <f>[2]E.1项目运营期费用!O14/(1+'[2]G.2进项增值税率-运营成本'!$C13)</f>
        <v>0</v>
      </c>
      <c r="P14" s="115">
        <f>[2]E.1项目运营期费用!P14/(1+'[2]G.2进项增值税率-运营成本'!$C13)</f>
        <v>0</v>
      </c>
      <c r="Q14" s="115">
        <f>[2]E.1项目运营期费用!Q14/(1+'[2]G.2进项增值税率-运营成本'!$C13)</f>
        <v>0</v>
      </c>
      <c r="R14" s="115">
        <f>[2]E.1项目运营期费用!R14/(1+'[2]G.2进项增值税率-运营成本'!$C13)</f>
        <v>0</v>
      </c>
      <c r="S14" s="115">
        <f>[2]E.1项目运营期费用!S14/(1+'[2]G.2进项增值税率-运营成本'!$C13)</f>
        <v>0</v>
      </c>
      <c r="T14" s="115">
        <f>[2]E.1项目运营期费用!T14/(1+'[2]G.2进项增值税率-运营成本'!$C13)</f>
        <v>0</v>
      </c>
      <c r="U14" s="115">
        <f>[2]E.1项目运营期费用!U14/(1+'[2]G.2进项增值税率-运营成本'!$C13)</f>
        <v>0</v>
      </c>
      <c r="V14" s="115">
        <f>[2]E.1项目运营期费用!V14/(1+'[2]G.2进项增值税率-运营成本'!$C13)</f>
        <v>0</v>
      </c>
      <c r="W14" s="115">
        <f>[2]E.1项目运营期费用!W14/(1+'[2]G.2进项增值税率-运营成本'!$C13)</f>
        <v>0</v>
      </c>
      <c r="X14" s="115">
        <f>[2]E.1项目运营期费用!X14/(1+'[2]G.2进项增值税率-运营成本'!$C13)</f>
        <v>0</v>
      </c>
      <c r="Y14" s="115">
        <f>[2]E.1项目运营期费用!Y14/(1+'[2]G.2进项增值税率-运营成本'!$C13)</f>
        <v>0</v>
      </c>
      <c r="Z14" s="115">
        <f>[2]E.1项目运营期费用!Z14/(1+'[2]G.2进项增值税率-运营成本'!$C13)</f>
        <v>0</v>
      </c>
      <c r="AA14" s="115">
        <f>[2]E.1项目运营期费用!AA14/(1+'[2]G.2进项增值税率-运营成本'!$C13)</f>
        <v>0</v>
      </c>
      <c r="AB14" s="115">
        <f>[2]E.1项目运营期费用!AB14/(1+'[2]G.2进项增值税率-运营成本'!$C13)</f>
        <v>0</v>
      </c>
      <c r="AC14" s="115">
        <f>[2]E.1项目运营期费用!AC14/(1+'[2]G.2进项增值税率-运营成本'!$C13)</f>
        <v>0</v>
      </c>
      <c r="AD14" s="115">
        <f>[2]E.1项目运营期费用!AD14/(1+'[2]G.2进项增值税率-运营成本'!$C13)</f>
        <v>0</v>
      </c>
      <c r="AE14" s="115">
        <f>[2]E.1项目运营期费用!AE14/(1+'[2]G.2进项增值税率-运营成本'!$C13)</f>
        <v>0</v>
      </c>
      <c r="AF14" s="115">
        <f t="shared" si="0"/>
        <v>0</v>
      </c>
    </row>
    <row r="15" ht="33" customHeight="1" spans="1:32">
      <c r="A15" s="113" t="s">
        <v>228</v>
      </c>
      <c r="B15" s="113">
        <f>[2]E.1项目运营期费用!B15</f>
        <v>12</v>
      </c>
      <c r="C15" s="114" t="str">
        <f>[2]E.1项目运营期费用!C15</f>
        <v>营销及活动</v>
      </c>
      <c r="D15" s="114" t="str">
        <f>[2]E.1项目运营期费用!D15</f>
        <v>按年平均营业收入的2%计算</v>
      </c>
      <c r="E15" s="115">
        <f>[2]E.1项目运营期费用!E15</f>
        <v>0</v>
      </c>
      <c r="F15" s="115">
        <f>[2]E.1项目运营期费用!F15</f>
        <v>0</v>
      </c>
      <c r="G15" s="115">
        <f>[2]E.1项目运营期费用!G15</f>
        <v>0</v>
      </c>
      <c r="H15" s="115">
        <f>[2]E.1项目运营期费用!H15*(1-'[2]G.2进项增值税率-运营成本'!$C14)</f>
        <v>0</v>
      </c>
      <c r="I15" s="115">
        <f>[2]E.1项目运营期费用!I15/(1+'[2]G.2进项增值税率-运营成本'!$C14)</f>
        <v>0</v>
      </c>
      <c r="J15" s="115">
        <f>[2]E.1项目运营期费用!J15/(1+'[2]G.2进项增值税率-运营成本'!$C14)</f>
        <v>0</v>
      </c>
      <c r="K15" s="115">
        <f>[2]E.1项目运营期费用!K15/(1+'[2]G.2进项增值税率-运营成本'!$C14)</f>
        <v>0</v>
      </c>
      <c r="L15" s="115">
        <f>[2]E.1项目运营期费用!L15/(1+'[2]G.2进项增值税率-运营成本'!$C14)</f>
        <v>0</v>
      </c>
      <c r="M15" s="115">
        <f>[2]E.1项目运营期费用!M15/(1+'[2]G.2进项增值税率-运营成本'!$C14)</f>
        <v>0</v>
      </c>
      <c r="N15" s="115">
        <f>[2]E.1项目运营期费用!N15/(1+'[2]G.2进项增值税率-运营成本'!$C14)</f>
        <v>0</v>
      </c>
      <c r="O15" s="115">
        <f>[2]E.1项目运营期费用!O15/(1+'[2]G.2进项增值税率-运营成本'!$C14)</f>
        <v>0</v>
      </c>
      <c r="P15" s="115">
        <f>[2]E.1项目运营期费用!P15/(1+'[2]G.2进项增值税率-运营成本'!$C14)</f>
        <v>0</v>
      </c>
      <c r="Q15" s="115">
        <f>[2]E.1项目运营期费用!Q15/(1+'[2]G.2进项增值税率-运营成本'!$C14)</f>
        <v>0</v>
      </c>
      <c r="R15" s="115">
        <f>[2]E.1项目运营期费用!R15/(1+'[2]G.2进项增值税率-运营成本'!$C14)</f>
        <v>0</v>
      </c>
      <c r="S15" s="115">
        <f>[2]E.1项目运营期费用!S15/(1+'[2]G.2进项增值税率-运营成本'!$C14)</f>
        <v>0</v>
      </c>
      <c r="T15" s="115">
        <f>[2]E.1项目运营期费用!T15/(1+'[2]G.2进项增值税率-运营成本'!$C14)</f>
        <v>0</v>
      </c>
      <c r="U15" s="115">
        <f>[2]E.1项目运营期费用!U15/(1+'[2]G.2进项增值税率-运营成本'!$C14)</f>
        <v>0</v>
      </c>
      <c r="V15" s="115">
        <f>[2]E.1项目运营期费用!V15/(1+'[2]G.2进项增值税率-运营成本'!$C14)</f>
        <v>0</v>
      </c>
      <c r="W15" s="115">
        <f>[2]E.1项目运营期费用!W15/(1+'[2]G.2进项增值税率-运营成本'!$C14)</f>
        <v>0</v>
      </c>
      <c r="X15" s="115">
        <f>[2]E.1项目运营期费用!X15/(1+'[2]G.2进项增值税率-运营成本'!$C14)</f>
        <v>0</v>
      </c>
      <c r="Y15" s="115">
        <f>[2]E.1项目运营期费用!Y15/(1+'[2]G.2进项增值税率-运营成本'!$C14)</f>
        <v>0</v>
      </c>
      <c r="Z15" s="115">
        <f>[2]E.1项目运营期费用!Z15/(1+'[2]G.2进项增值税率-运营成本'!$C14)</f>
        <v>0</v>
      </c>
      <c r="AA15" s="115">
        <f>[2]E.1项目运营期费用!AA15/(1+'[2]G.2进项增值税率-运营成本'!$C14)</f>
        <v>0</v>
      </c>
      <c r="AB15" s="115">
        <f>[2]E.1项目运营期费用!AB15/(1+'[2]G.2进项增值税率-运营成本'!$C14)</f>
        <v>0</v>
      </c>
      <c r="AC15" s="115">
        <f>[2]E.1项目运营期费用!AC15/(1+'[2]G.2进项增值税率-运营成本'!$C14)</f>
        <v>0</v>
      </c>
      <c r="AD15" s="115">
        <f>[2]E.1项目运营期费用!AD15/(1+'[2]G.2进项增值税率-运营成本'!$C14)</f>
        <v>0</v>
      </c>
      <c r="AE15" s="115">
        <f>[2]E.1项目运营期费用!AE15/(1+'[2]G.2进项增值税率-运营成本'!$C14)</f>
        <v>0</v>
      </c>
      <c r="AF15" s="115">
        <f t="shared" si="0"/>
        <v>0</v>
      </c>
    </row>
    <row r="16" ht="33" customHeight="1" spans="1:32">
      <c r="A16" s="113" t="s">
        <v>231</v>
      </c>
      <c r="B16" s="113">
        <f>[2]E.1项目运营期费用!B16</f>
        <v>13</v>
      </c>
      <c r="C16" s="114" t="str">
        <f>[2]E.1项目运营期费用!C16</f>
        <v>人员薪酬</v>
      </c>
      <c r="D16" s="114" t="str">
        <f>[2]E.1项目运营期费用!D16</f>
        <v>按岗位月薪 ×12 + 福利（月薪 ×20%-30%）</v>
      </c>
      <c r="E16" s="115">
        <f>[2]E.1项目运营期费用!E16</f>
        <v>0</v>
      </c>
      <c r="F16" s="115">
        <f>[2]E.1项目运营期费用!F16</f>
        <v>0</v>
      </c>
      <c r="G16" s="115">
        <f>[2]E.1项目运营期费用!G16</f>
        <v>0</v>
      </c>
      <c r="H16" s="115">
        <f>[2]E.1项目运营期费用!H16*(1-'[2]G.2进项增值税率-运营成本'!$C15)</f>
        <v>0</v>
      </c>
      <c r="I16" s="115">
        <f>[2]E.1项目运营期费用!I16/(1+'[2]G.2进项增值税率-运营成本'!$C15)</f>
        <v>0</v>
      </c>
      <c r="J16" s="115">
        <f>[2]E.1项目运营期费用!J16/(1+'[2]G.2进项增值税率-运营成本'!$C15)</f>
        <v>60</v>
      </c>
      <c r="K16" s="115">
        <f>[2]E.1项目运营期费用!K16/(1+'[2]G.2进项增值税率-运营成本'!$C15)</f>
        <v>60</v>
      </c>
      <c r="L16" s="115">
        <f>[2]E.1项目运营期费用!L16/(1+'[2]G.2进项增值税率-运营成本'!$C15)</f>
        <v>60.9</v>
      </c>
      <c r="M16" s="115">
        <f>[2]E.1项目运营期费用!M16/(1+'[2]G.2进项增值税率-运营成本'!$C15)</f>
        <v>61.8135</v>
      </c>
      <c r="N16" s="115">
        <f>[2]E.1项目运营期费用!N16/(1+'[2]G.2进项增值税率-运营成本'!$C15)</f>
        <v>62.7407025</v>
      </c>
      <c r="O16" s="115">
        <f>[2]E.1项目运营期费用!O16/(1+'[2]G.2进项增值税率-运营成本'!$C15)</f>
        <v>63.6818130375</v>
      </c>
      <c r="P16" s="115">
        <f>[2]E.1项目运营期费用!P16/(1+'[2]G.2进项增值税率-运营成本'!$C15)</f>
        <v>64.6370402330625</v>
      </c>
      <c r="Q16" s="115">
        <f>[2]E.1项目运营期费用!Q16/(1+'[2]G.2进项增值税率-运营成本'!$C15)</f>
        <v>65.6065958365584</v>
      </c>
      <c r="R16" s="115">
        <f>[2]E.1项目运营期费用!R16/(1+'[2]G.2进项增值税率-运营成本'!$C15)</f>
        <v>66.5906947741068</v>
      </c>
      <c r="S16" s="115">
        <f>[2]E.1项目运营期费用!S16/(1+'[2]G.2进项增值税率-运营成本'!$C15)</f>
        <v>67.5895551957184</v>
      </c>
      <c r="T16" s="115">
        <f>[2]E.1项目运营期费用!T16/(1+'[2]G.2进项增值税率-运营成本'!$C15)</f>
        <v>68.6033985236541</v>
      </c>
      <c r="U16" s="115">
        <f>[2]E.1项目运营期费用!U16/(1+'[2]G.2进项增值税率-运营成本'!$C15)</f>
        <v>69.6324495015089</v>
      </c>
      <c r="V16" s="115">
        <f>[2]E.1项目运营期费用!V16/(1+'[2]G.2进项增值税率-运营成本'!$C15)</f>
        <v>70.6769362440316</v>
      </c>
      <c r="W16" s="115">
        <f>[2]E.1项目运营期费用!W16/(1+'[2]G.2进项增值税率-运营成本'!$C15)</f>
        <v>71.737090287692</v>
      </c>
      <c r="X16" s="115">
        <f>[2]E.1项目运营期费用!X16/(1+'[2]G.2进项增值税率-运营成本'!$C15)</f>
        <v>72.8131466420074</v>
      </c>
      <c r="Y16" s="115">
        <f>[2]E.1项目运营期费用!Y16/(1+'[2]G.2进项增值税率-运营成本'!$C15)</f>
        <v>73.9053438416375</v>
      </c>
      <c r="Z16" s="115">
        <f>[2]E.1项目运营期费用!Z16/(1+'[2]G.2进项增值税率-运营成本'!$C15)</f>
        <v>75.0139239992621</v>
      </c>
      <c r="AA16" s="115">
        <f>[2]E.1项目运营期费用!AA16/(1+'[2]G.2进项增值税率-运营成本'!$C15)</f>
        <v>76.139132859251</v>
      </c>
      <c r="AB16" s="115">
        <f>[2]E.1项目运营期费用!AB16/(1+'[2]G.2进项增值税率-运营成本'!$C15)</f>
        <v>77.2812198521398</v>
      </c>
      <c r="AC16" s="115">
        <f>[2]E.1项目运营期费用!AC16/(1+'[2]G.2进项增值税率-运营成本'!$C15)</f>
        <v>78.4404381499218</v>
      </c>
      <c r="AD16" s="115">
        <f>[2]E.1项目运营期费用!AD16/(1+'[2]G.2进项增值税率-运营成本'!$C15)</f>
        <v>79.6170447221707</v>
      </c>
      <c r="AE16" s="115">
        <f>[2]E.1项目运营期费用!AE16/(1+'[2]G.2进项增值税率-运营成本'!$C15)</f>
        <v>80.8113003930032</v>
      </c>
      <c r="AF16" s="115">
        <f t="shared" si="0"/>
        <v>1528.23132659323</v>
      </c>
    </row>
    <row r="17" ht="33" customHeight="1" spans="1:32">
      <c r="A17" s="116"/>
      <c r="B17" s="113">
        <f>[2]E.1项目运营期费用!B17</f>
        <v>14</v>
      </c>
      <c r="C17" s="114" t="str">
        <f>[2]E.1项目运营期费用!C17</f>
        <v>培训与资质认证</v>
      </c>
      <c r="D17" s="114" t="str">
        <f>[2]E.1项目运营期费用!D17</f>
        <v>按人次 × 人均培训费（元 / 人 次）</v>
      </c>
      <c r="E17" s="115">
        <f>[2]E.1项目运营期费用!E17</f>
        <v>0</v>
      </c>
      <c r="F17" s="115">
        <f>[2]E.1项目运营期费用!F17</f>
        <v>0</v>
      </c>
      <c r="G17" s="115">
        <f>[2]E.1项目运营期费用!G17</f>
        <v>0</v>
      </c>
      <c r="H17" s="115">
        <f>[2]E.1项目运营期费用!H17*(1-'[2]G.2进项增值税率-运营成本'!$C16)</f>
        <v>0</v>
      </c>
      <c r="I17" s="115">
        <f>[2]E.1项目运营期费用!I17/(1+'[2]G.2进项增值税率-运营成本'!$C16)</f>
        <v>0</v>
      </c>
      <c r="J17" s="115">
        <f>[2]E.1项目运营期费用!J17/(1+'[2]G.2进项增值税率-运营成本'!$C16)</f>
        <v>0</v>
      </c>
      <c r="K17" s="115">
        <f>[2]E.1项目运营期费用!K17/(1+'[2]G.2进项增值税率-运营成本'!$C16)</f>
        <v>0</v>
      </c>
      <c r="L17" s="115">
        <f>[2]E.1项目运营期费用!L17/(1+'[2]G.2进项增值税率-运营成本'!$C16)</f>
        <v>0</v>
      </c>
      <c r="M17" s="115">
        <f>[2]E.1项目运营期费用!M17/(1+'[2]G.2进项增值税率-运营成本'!$C16)</f>
        <v>0</v>
      </c>
      <c r="N17" s="115">
        <f>[2]E.1项目运营期费用!N17/(1+'[2]G.2进项增值税率-运营成本'!$C16)</f>
        <v>0</v>
      </c>
      <c r="O17" s="115">
        <f>[2]E.1项目运营期费用!O17/(1+'[2]G.2进项增值税率-运营成本'!$C16)</f>
        <v>0</v>
      </c>
      <c r="P17" s="115">
        <f>[2]E.1项目运营期费用!P17/(1+'[2]G.2进项增值税率-运营成本'!$C16)</f>
        <v>0</v>
      </c>
      <c r="Q17" s="115">
        <f>[2]E.1项目运营期费用!Q17/(1+'[2]G.2进项增值税率-运营成本'!$C16)</f>
        <v>0</v>
      </c>
      <c r="R17" s="115">
        <f>[2]E.1项目运营期费用!R17/(1+'[2]G.2进项增值税率-运营成本'!$C16)</f>
        <v>0</v>
      </c>
      <c r="S17" s="115">
        <f>[2]E.1项目运营期费用!S17/(1+'[2]G.2进项增值税率-运营成本'!$C16)</f>
        <v>0</v>
      </c>
      <c r="T17" s="115">
        <f>[2]E.1项目运营期费用!T17/(1+'[2]G.2进项增值税率-运营成本'!$C16)</f>
        <v>0</v>
      </c>
      <c r="U17" s="115">
        <f>[2]E.1项目运营期费用!U17/(1+'[2]G.2进项增值税率-运营成本'!$C16)</f>
        <v>0</v>
      </c>
      <c r="V17" s="115">
        <f>[2]E.1项目运营期费用!V17/(1+'[2]G.2进项增值税率-运营成本'!$C16)</f>
        <v>0</v>
      </c>
      <c r="W17" s="115">
        <f>[2]E.1项目运营期费用!W17/(1+'[2]G.2进项增值税率-运营成本'!$C16)</f>
        <v>0</v>
      </c>
      <c r="X17" s="115">
        <f>[2]E.1项目运营期费用!X17/(1+'[2]G.2进项增值税率-运营成本'!$C16)</f>
        <v>0</v>
      </c>
      <c r="Y17" s="115">
        <f>[2]E.1项目运营期费用!Y17/(1+'[2]G.2进项增值税率-运营成本'!$C16)</f>
        <v>0</v>
      </c>
      <c r="Z17" s="115">
        <f>[2]E.1项目运营期费用!Z17/(1+'[2]G.2进项增值税率-运营成本'!$C16)</f>
        <v>0</v>
      </c>
      <c r="AA17" s="115">
        <f>[2]E.1项目运营期费用!AA17/(1+'[2]G.2进项增值税率-运营成本'!$C16)</f>
        <v>0</v>
      </c>
      <c r="AB17" s="115">
        <f>[2]E.1项目运营期费用!AB17/(1+'[2]G.2进项增值税率-运营成本'!$C16)</f>
        <v>0</v>
      </c>
      <c r="AC17" s="115">
        <f>[2]E.1项目运营期费用!AC17/(1+'[2]G.2进项增值税率-运营成本'!$C16)</f>
        <v>0</v>
      </c>
      <c r="AD17" s="115">
        <f>[2]E.1项目运营期费用!AD17/(1+'[2]G.2进项增值税率-运营成本'!$C16)</f>
        <v>0</v>
      </c>
      <c r="AE17" s="115">
        <f>[2]E.1项目运营期费用!AE17/(1+'[2]G.2进项增值税率-运营成本'!$C16)</f>
        <v>0</v>
      </c>
      <c r="AF17" s="115">
        <f t="shared" si="0"/>
        <v>0</v>
      </c>
    </row>
    <row r="18" ht="33" customHeight="1" spans="1:32">
      <c r="A18" s="111"/>
      <c r="B18" s="113">
        <f>[2]E.1项目运营期费用!B18</f>
        <v>15</v>
      </c>
      <c r="C18" s="114" t="str">
        <f>[2]E.1项目运营期费用!C18</f>
        <v>办公与行政支出</v>
      </c>
      <c r="D18" s="114" t="str">
        <f>[2]E.1项目运营期费用!D18</f>
        <v>按人员数量 × 人均办公费（元 / 人・月）</v>
      </c>
      <c r="E18" s="115">
        <f>[2]E.1项目运营期费用!E18</f>
        <v>0</v>
      </c>
      <c r="F18" s="115">
        <f>[2]E.1项目运营期费用!F18</f>
        <v>0</v>
      </c>
      <c r="G18" s="115">
        <f>[2]E.1项目运营期费用!G18</f>
        <v>0</v>
      </c>
      <c r="H18" s="115">
        <f>[2]E.1项目运营期费用!H18*(1-'[2]G.2进项增值税率-运营成本'!$C17)</f>
        <v>0</v>
      </c>
      <c r="I18" s="115">
        <f>[2]E.1项目运营期费用!I18/(1+'[2]G.2进项增值税率-运营成本'!$C17)</f>
        <v>0</v>
      </c>
      <c r="J18" s="115">
        <f>[2]E.1项目运营期费用!J18/(1+'[2]G.2进项增值税率-运营成本'!$C17)</f>
        <v>0</v>
      </c>
      <c r="K18" s="115">
        <f>[2]E.1项目运营期费用!K18/(1+'[2]G.2进项增值税率-运营成本'!$C17)</f>
        <v>0</v>
      </c>
      <c r="L18" s="115">
        <f>[2]E.1项目运营期费用!L18/(1+'[2]G.2进项增值税率-运营成本'!$C17)</f>
        <v>0</v>
      </c>
      <c r="M18" s="115">
        <f>[2]E.1项目运营期费用!M18/(1+'[2]G.2进项增值税率-运营成本'!$C17)</f>
        <v>0</v>
      </c>
      <c r="N18" s="115">
        <f>[2]E.1项目运营期费用!N18/(1+'[2]G.2进项增值税率-运营成本'!$C17)</f>
        <v>0</v>
      </c>
      <c r="O18" s="115">
        <f>[2]E.1项目运营期费用!O18/(1+'[2]G.2进项增值税率-运营成本'!$C17)</f>
        <v>0</v>
      </c>
      <c r="P18" s="115">
        <f>[2]E.1项目运营期费用!P18/(1+'[2]G.2进项增值税率-运营成本'!$C17)</f>
        <v>0</v>
      </c>
      <c r="Q18" s="115">
        <f>[2]E.1项目运营期费用!Q18/(1+'[2]G.2进项增值税率-运营成本'!$C17)</f>
        <v>0</v>
      </c>
      <c r="R18" s="115">
        <f>[2]E.1项目运营期费用!R18/(1+'[2]G.2进项增值税率-运营成本'!$C17)</f>
        <v>0</v>
      </c>
      <c r="S18" s="115">
        <f>[2]E.1项目运营期费用!S18/(1+'[2]G.2进项增值税率-运营成本'!$C17)</f>
        <v>0</v>
      </c>
      <c r="T18" s="115">
        <f>[2]E.1项目运营期费用!T18/(1+'[2]G.2进项增值税率-运营成本'!$C17)</f>
        <v>0</v>
      </c>
      <c r="U18" s="115">
        <f>[2]E.1项目运营期费用!U18/(1+'[2]G.2进项增值税率-运营成本'!$C17)</f>
        <v>0</v>
      </c>
      <c r="V18" s="115">
        <f>[2]E.1项目运营期费用!V18/(1+'[2]G.2进项增值税率-运营成本'!$C17)</f>
        <v>0</v>
      </c>
      <c r="W18" s="115">
        <f>[2]E.1项目运营期费用!W18/(1+'[2]G.2进项增值税率-运营成本'!$C17)</f>
        <v>0</v>
      </c>
      <c r="X18" s="115">
        <f>[2]E.1项目运营期费用!X18/(1+'[2]G.2进项增值税率-运营成本'!$C17)</f>
        <v>0</v>
      </c>
      <c r="Y18" s="115">
        <f>[2]E.1项目运营期费用!Y18/(1+'[2]G.2进项增值税率-运营成本'!$C17)</f>
        <v>0</v>
      </c>
      <c r="Z18" s="115">
        <f>[2]E.1项目运营期费用!Z18/(1+'[2]G.2进项增值税率-运营成本'!$C17)</f>
        <v>0</v>
      </c>
      <c r="AA18" s="115">
        <f>[2]E.1项目运营期费用!AA18/(1+'[2]G.2进项增值税率-运营成本'!$C17)</f>
        <v>0</v>
      </c>
      <c r="AB18" s="115">
        <f>[2]E.1项目运营期费用!AB18/(1+'[2]G.2进项增值税率-运营成本'!$C17)</f>
        <v>0</v>
      </c>
      <c r="AC18" s="115">
        <f>[2]E.1项目运营期费用!AC18/(1+'[2]G.2进项增值税率-运营成本'!$C17)</f>
        <v>0</v>
      </c>
      <c r="AD18" s="115">
        <f>[2]E.1项目运营期费用!AD18/(1+'[2]G.2进项增值税率-运营成本'!$C17)</f>
        <v>0</v>
      </c>
      <c r="AE18" s="115">
        <f>[2]E.1项目运营期费用!AE18/(1+'[2]G.2进项增值税率-运营成本'!$C17)</f>
        <v>0</v>
      </c>
      <c r="AF18" s="115">
        <f t="shared" si="0"/>
        <v>0</v>
      </c>
    </row>
    <row r="19" ht="33" customHeight="1" spans="1:32">
      <c r="A19" s="113" t="s">
        <v>238</v>
      </c>
      <c r="B19" s="113">
        <f>[2]E.1项目运营期费用!B19</f>
        <v>16</v>
      </c>
      <c r="C19" s="114" t="str">
        <f>[2]E.1项目运营期费用!C19</f>
        <v>空域使用审批费</v>
      </c>
      <c r="D19" s="114" t="str">
        <f>[2]E.1项目运营期费用!D19</f>
        <v>按空域面积 × 年费率（元 / 平方 公里・年）</v>
      </c>
      <c r="E19" s="115">
        <f>[2]E.1项目运营期费用!E19</f>
        <v>0</v>
      </c>
      <c r="F19" s="115">
        <f>[2]E.1项目运营期费用!F19</f>
        <v>0</v>
      </c>
      <c r="G19" s="115">
        <f>[2]E.1项目运营期费用!G19</f>
        <v>0</v>
      </c>
      <c r="H19" s="115">
        <f>[2]E.1项目运营期费用!H19*(1-'[2]G.2进项增值税率-运营成本'!$C18)</f>
        <v>0</v>
      </c>
      <c r="I19" s="115">
        <f>[2]E.1项目运营期费用!I19/(1+'[2]G.2进项增值税率-运营成本'!$C18)</f>
        <v>0</v>
      </c>
      <c r="J19" s="115">
        <f>[2]E.1项目运营期费用!J19/(1+'[2]G.2进项增值税率-运营成本'!$C18)</f>
        <v>0</v>
      </c>
      <c r="K19" s="115">
        <f>[2]E.1项目运营期费用!K19/(1+'[2]G.2进项增值税率-运营成本'!$C18)</f>
        <v>0</v>
      </c>
      <c r="L19" s="115">
        <f>[2]E.1项目运营期费用!L19/(1+'[2]G.2进项增值税率-运营成本'!$C18)</f>
        <v>0</v>
      </c>
      <c r="M19" s="115">
        <f>[2]E.1项目运营期费用!M19/(1+'[2]G.2进项增值税率-运营成本'!$C18)</f>
        <v>0</v>
      </c>
      <c r="N19" s="115">
        <f>[2]E.1项目运营期费用!N19/(1+'[2]G.2进项增值税率-运营成本'!$C18)</f>
        <v>0</v>
      </c>
      <c r="O19" s="115">
        <f>[2]E.1项目运营期费用!O19/(1+'[2]G.2进项增值税率-运营成本'!$C18)</f>
        <v>0</v>
      </c>
      <c r="P19" s="115">
        <f>[2]E.1项目运营期费用!P19/(1+'[2]G.2进项增值税率-运营成本'!$C18)</f>
        <v>0</v>
      </c>
      <c r="Q19" s="115">
        <f>[2]E.1项目运营期费用!Q19/(1+'[2]G.2进项增值税率-运营成本'!$C18)</f>
        <v>0</v>
      </c>
      <c r="R19" s="115">
        <f>[2]E.1项目运营期费用!R19/(1+'[2]G.2进项增值税率-运营成本'!$C18)</f>
        <v>0</v>
      </c>
      <c r="S19" s="115">
        <f>[2]E.1项目运营期费用!S19/(1+'[2]G.2进项增值税率-运营成本'!$C18)</f>
        <v>0</v>
      </c>
      <c r="T19" s="115">
        <f>[2]E.1项目运营期费用!T19/(1+'[2]G.2进项增值税率-运营成本'!$C18)</f>
        <v>0</v>
      </c>
      <c r="U19" s="115">
        <f>[2]E.1项目运营期费用!U19/(1+'[2]G.2进项增值税率-运营成本'!$C18)</f>
        <v>0</v>
      </c>
      <c r="V19" s="115">
        <f>[2]E.1项目运营期费用!V19/(1+'[2]G.2进项增值税率-运营成本'!$C18)</f>
        <v>0</v>
      </c>
      <c r="W19" s="115">
        <f>[2]E.1项目运营期费用!W19/(1+'[2]G.2进项增值税率-运营成本'!$C18)</f>
        <v>0</v>
      </c>
      <c r="X19" s="115">
        <f>[2]E.1项目运营期费用!X19/(1+'[2]G.2进项增值税率-运营成本'!$C18)</f>
        <v>0</v>
      </c>
      <c r="Y19" s="115">
        <f>[2]E.1项目运营期费用!Y19/(1+'[2]G.2进项增值税率-运营成本'!$C18)</f>
        <v>0</v>
      </c>
      <c r="Z19" s="115">
        <f>[2]E.1项目运营期费用!Z19/(1+'[2]G.2进项增值税率-运营成本'!$C18)</f>
        <v>0</v>
      </c>
      <c r="AA19" s="115">
        <f>[2]E.1项目运营期费用!AA19/(1+'[2]G.2进项增值税率-运营成本'!$C18)</f>
        <v>0</v>
      </c>
      <c r="AB19" s="115">
        <f>[2]E.1项目运营期费用!AB19/(1+'[2]G.2进项增值税率-运营成本'!$C18)</f>
        <v>0</v>
      </c>
      <c r="AC19" s="115">
        <f>[2]E.1项目运营期费用!AC19/(1+'[2]G.2进项增值税率-运营成本'!$C18)</f>
        <v>0</v>
      </c>
      <c r="AD19" s="115">
        <f>[2]E.1项目运营期费用!AD19/(1+'[2]G.2进项增值税率-运营成本'!$C18)</f>
        <v>0</v>
      </c>
      <c r="AE19" s="115">
        <f>[2]E.1项目运营期费用!AE19/(1+'[2]G.2进项增值税率-运营成本'!$C18)</f>
        <v>0</v>
      </c>
      <c r="AF19" s="115">
        <f t="shared" si="0"/>
        <v>0</v>
      </c>
    </row>
    <row r="20" ht="33" customHeight="1" spans="1:32">
      <c r="A20" s="116"/>
      <c r="B20" s="113">
        <f>[2]E.1项目运营期费用!B20</f>
        <v>17</v>
      </c>
      <c r="C20" s="114" t="str">
        <f>[2]E.1项目运营期费用!C20</f>
        <v>场地责任险</v>
      </c>
      <c r="D20" s="114" t="str">
        <f>[2]E.1项目运营期费用!D20</f>
        <v>按保额 × 保险费率（年费率 0.1%-0.3%）</v>
      </c>
      <c r="E20" s="115">
        <f>[2]E.1项目运营期费用!E20</f>
        <v>0</v>
      </c>
      <c r="F20" s="115">
        <f>[2]E.1项目运营期费用!F20</f>
        <v>0</v>
      </c>
      <c r="G20" s="115">
        <f>[2]E.1项目运营期费用!G20</f>
        <v>0</v>
      </c>
      <c r="H20" s="115">
        <f>[2]E.1项目运营期费用!H20*(1-'[2]G.2进项增值税率-运营成本'!$C19)</f>
        <v>0</v>
      </c>
      <c r="I20" s="115">
        <f>[2]E.1项目运营期费用!I20/(1+'[2]G.2进项增值税率-运营成本'!$C19)</f>
        <v>0</v>
      </c>
      <c r="J20" s="115">
        <f>[2]E.1项目运营期费用!J20/(1+'[2]G.2进项增值税率-运营成本'!$C19)</f>
        <v>0</v>
      </c>
      <c r="K20" s="115">
        <f>[2]E.1项目运营期费用!K20/(1+'[2]G.2进项增值税率-运营成本'!$C19)</f>
        <v>0</v>
      </c>
      <c r="L20" s="115">
        <f>[2]E.1项目运营期费用!L20/(1+'[2]G.2进项增值税率-运营成本'!$C19)</f>
        <v>0</v>
      </c>
      <c r="M20" s="115">
        <f>[2]E.1项目运营期费用!M20/(1+'[2]G.2进项增值税率-运营成本'!$C19)</f>
        <v>0</v>
      </c>
      <c r="N20" s="115">
        <f>[2]E.1项目运营期费用!N20/(1+'[2]G.2进项增值税率-运营成本'!$C19)</f>
        <v>0</v>
      </c>
      <c r="O20" s="115">
        <f>[2]E.1项目运营期费用!O20/(1+'[2]G.2进项增值税率-运营成本'!$C19)</f>
        <v>0</v>
      </c>
      <c r="P20" s="115">
        <f>[2]E.1项目运营期费用!P20/(1+'[2]G.2进项增值税率-运营成本'!$C19)</f>
        <v>0</v>
      </c>
      <c r="Q20" s="115">
        <f>[2]E.1项目运营期费用!Q20/(1+'[2]G.2进项增值税率-运营成本'!$C19)</f>
        <v>0</v>
      </c>
      <c r="R20" s="115">
        <f>[2]E.1项目运营期费用!R20/(1+'[2]G.2进项增值税率-运营成本'!$C19)</f>
        <v>0</v>
      </c>
      <c r="S20" s="115">
        <f>[2]E.1项目运营期费用!S20/(1+'[2]G.2进项增值税率-运营成本'!$C19)</f>
        <v>0</v>
      </c>
      <c r="T20" s="115">
        <f>[2]E.1项目运营期费用!T20/(1+'[2]G.2进项增值税率-运营成本'!$C19)</f>
        <v>0</v>
      </c>
      <c r="U20" s="115">
        <f>[2]E.1项目运营期费用!U20/(1+'[2]G.2进项增值税率-运营成本'!$C19)</f>
        <v>0</v>
      </c>
      <c r="V20" s="115">
        <f>[2]E.1项目运营期费用!V20/(1+'[2]G.2进项增值税率-运营成本'!$C19)</f>
        <v>0</v>
      </c>
      <c r="W20" s="115">
        <f>[2]E.1项目运营期费用!W20/(1+'[2]G.2进项增值税率-运营成本'!$C19)</f>
        <v>0</v>
      </c>
      <c r="X20" s="115">
        <f>[2]E.1项目运营期费用!X20/(1+'[2]G.2进项增值税率-运营成本'!$C19)</f>
        <v>0</v>
      </c>
      <c r="Y20" s="115">
        <f>[2]E.1项目运营期费用!Y20/(1+'[2]G.2进项增值税率-运营成本'!$C19)</f>
        <v>0</v>
      </c>
      <c r="Z20" s="115">
        <f>[2]E.1项目运营期费用!Z20/(1+'[2]G.2进项增值税率-运营成本'!$C19)</f>
        <v>0</v>
      </c>
      <c r="AA20" s="115">
        <f>[2]E.1项目运营期费用!AA20/(1+'[2]G.2进项增值税率-运营成本'!$C19)</f>
        <v>0</v>
      </c>
      <c r="AB20" s="115">
        <f>[2]E.1项目运营期费用!AB20/(1+'[2]G.2进项增值税率-运营成本'!$C19)</f>
        <v>0</v>
      </c>
      <c r="AC20" s="115">
        <f>[2]E.1项目运营期费用!AC20/(1+'[2]G.2进项增值税率-运营成本'!$C19)</f>
        <v>0</v>
      </c>
      <c r="AD20" s="115">
        <f>[2]E.1项目运营期费用!AD20/(1+'[2]G.2进项增值税率-运营成本'!$C19)</f>
        <v>0</v>
      </c>
      <c r="AE20" s="115">
        <f>[2]E.1项目运营期费用!AE20/(1+'[2]G.2进项增值税率-运营成本'!$C19)</f>
        <v>0</v>
      </c>
      <c r="AF20" s="115">
        <f t="shared" si="0"/>
        <v>0</v>
      </c>
    </row>
    <row r="21" ht="33" customHeight="1" spans="1:32">
      <c r="A21" s="111"/>
      <c r="B21" s="113">
        <f>[2]E.1项目运营期费用!B21</f>
        <v>18</v>
      </c>
      <c r="C21" s="114" t="str">
        <f>[2]E.1项目运营期费用!C21</f>
        <v>安全演练与应急处置</v>
      </c>
      <c r="D21" s="114" t="str">
        <f>[2]E.1项目运营期费用!D21</f>
        <v>按次数 × 单次演练成本（元 / 次）</v>
      </c>
      <c r="E21" s="115">
        <f>[2]E.1项目运营期费用!E21</f>
        <v>0</v>
      </c>
      <c r="F21" s="115">
        <f>[2]E.1项目运营期费用!F21</f>
        <v>0</v>
      </c>
      <c r="G21" s="115">
        <f>[2]E.1项目运营期费用!G21</f>
        <v>0</v>
      </c>
      <c r="H21" s="115">
        <f>[2]E.1项目运营期费用!H21*(1-'[2]G.2进项增值税率-运营成本'!$C20)</f>
        <v>0</v>
      </c>
      <c r="I21" s="115">
        <f>[2]E.1项目运营期费用!I21/(1+'[2]G.2进项增值税率-运营成本'!$C20)</f>
        <v>0</v>
      </c>
      <c r="J21" s="115">
        <f>[2]E.1项目运营期费用!J21/(1+'[2]G.2进项增值税率-运营成本'!$C20)</f>
        <v>0</v>
      </c>
      <c r="K21" s="115">
        <f>[2]E.1项目运营期费用!K21/(1+'[2]G.2进项增值税率-运营成本'!$C20)</f>
        <v>0</v>
      </c>
      <c r="L21" s="115">
        <f>[2]E.1项目运营期费用!L21/(1+'[2]G.2进项增值税率-运营成本'!$C20)</f>
        <v>0</v>
      </c>
      <c r="M21" s="115">
        <f>[2]E.1项目运营期费用!M21/(1+'[2]G.2进项增值税率-运营成本'!$C20)</f>
        <v>0</v>
      </c>
      <c r="N21" s="115">
        <f>[2]E.1项目运营期费用!N21/(1+'[2]G.2进项增值税率-运营成本'!$C20)</f>
        <v>0</v>
      </c>
      <c r="O21" s="115">
        <f>[2]E.1项目运营期费用!O21/(1+'[2]G.2进项增值税率-运营成本'!$C20)</f>
        <v>0</v>
      </c>
      <c r="P21" s="115">
        <f>[2]E.1项目运营期费用!P21/(1+'[2]G.2进项增值税率-运营成本'!$C20)</f>
        <v>0</v>
      </c>
      <c r="Q21" s="115">
        <f>[2]E.1项目运营期费用!Q21/(1+'[2]G.2进项增值税率-运营成本'!$C20)</f>
        <v>0</v>
      </c>
      <c r="R21" s="115">
        <f>[2]E.1项目运营期费用!R21/(1+'[2]G.2进项增值税率-运营成本'!$C20)</f>
        <v>0</v>
      </c>
      <c r="S21" s="115">
        <f>[2]E.1项目运营期费用!S21/(1+'[2]G.2进项增值税率-运营成本'!$C20)</f>
        <v>0</v>
      </c>
      <c r="T21" s="115">
        <f>[2]E.1项目运营期费用!T21/(1+'[2]G.2进项增值税率-运营成本'!$C20)</f>
        <v>0</v>
      </c>
      <c r="U21" s="115">
        <f>[2]E.1项目运营期费用!U21/(1+'[2]G.2进项增值税率-运营成本'!$C20)</f>
        <v>0</v>
      </c>
      <c r="V21" s="115">
        <f>[2]E.1项目运营期费用!V21/(1+'[2]G.2进项增值税率-运营成本'!$C20)</f>
        <v>0</v>
      </c>
      <c r="W21" s="115">
        <f>[2]E.1项目运营期费用!W21/(1+'[2]G.2进项增值税率-运营成本'!$C20)</f>
        <v>0</v>
      </c>
      <c r="X21" s="115">
        <f>[2]E.1项目运营期费用!X21/(1+'[2]G.2进项增值税率-运营成本'!$C20)</f>
        <v>0</v>
      </c>
      <c r="Y21" s="115">
        <f>[2]E.1项目运营期费用!Y21/(1+'[2]G.2进项增值税率-运营成本'!$C20)</f>
        <v>0</v>
      </c>
      <c r="Z21" s="115">
        <f>[2]E.1项目运营期费用!Z21/(1+'[2]G.2进项增值税率-运营成本'!$C20)</f>
        <v>0</v>
      </c>
      <c r="AA21" s="115">
        <f>[2]E.1项目运营期费用!AA21/(1+'[2]G.2进项增值税率-运营成本'!$C20)</f>
        <v>0</v>
      </c>
      <c r="AB21" s="115">
        <f>[2]E.1项目运营期费用!AB21/(1+'[2]G.2进项增值税率-运营成本'!$C20)</f>
        <v>0</v>
      </c>
      <c r="AC21" s="115">
        <f>[2]E.1项目运营期费用!AC21/(1+'[2]G.2进项增值税率-运营成本'!$C20)</f>
        <v>0</v>
      </c>
      <c r="AD21" s="115">
        <f>[2]E.1项目运营期费用!AD21/(1+'[2]G.2进项增值税率-运营成本'!$C20)</f>
        <v>0</v>
      </c>
      <c r="AE21" s="115">
        <f>[2]E.1项目运营期费用!AE21/(1+'[2]G.2进项增值税率-运营成本'!$C20)</f>
        <v>0</v>
      </c>
      <c r="AF21" s="115">
        <f t="shared" si="0"/>
        <v>0</v>
      </c>
    </row>
    <row r="22" ht="33" customHeight="1" spans="1:32">
      <c r="A22" s="113" t="s">
        <v>245</v>
      </c>
      <c r="B22" s="113">
        <f>[2]E.1项目运营期费用!B22</f>
        <v>19</v>
      </c>
      <c r="C22" s="114" t="str">
        <f>[2]E.1项目运营期费用!C22</f>
        <v>第三方安全评估</v>
      </c>
      <c r="D22" s="114" t="str">
        <f>[2]E.1项目运营期费用!D22</f>
        <v>按项目投资额 × 评估费率 （0.1%-0.3%）</v>
      </c>
      <c r="E22" s="115">
        <f>[2]E.1项目运营期费用!E22</f>
        <v>0</v>
      </c>
      <c r="F22" s="115">
        <f>[2]E.1项目运营期费用!F22</f>
        <v>0</v>
      </c>
      <c r="G22" s="115">
        <f>[2]E.1项目运营期费用!G22</f>
        <v>0</v>
      </c>
      <c r="H22" s="115">
        <f>[2]E.1项目运营期费用!H22*(1-'[2]G.2进项增值税率-运营成本'!$C21)</f>
        <v>0</v>
      </c>
      <c r="I22" s="115">
        <f>[2]E.1项目运营期费用!I22/(1+'[2]G.2进项增值税率-运营成本'!$C21)</f>
        <v>0</v>
      </c>
      <c r="J22" s="115">
        <f>[2]E.1项目运营期费用!J22/(1+'[2]G.2进项增值税率-运营成本'!$C21)</f>
        <v>0</v>
      </c>
      <c r="K22" s="115">
        <f>[2]E.1项目运营期费用!K22/(1+'[2]G.2进项增值税率-运营成本'!$C21)</f>
        <v>0</v>
      </c>
      <c r="L22" s="115">
        <f>[2]E.1项目运营期费用!L22/(1+'[2]G.2进项增值税率-运营成本'!$C21)</f>
        <v>0</v>
      </c>
      <c r="M22" s="115">
        <f>[2]E.1项目运营期费用!M22/(1+'[2]G.2进项增值税率-运营成本'!$C21)</f>
        <v>0</v>
      </c>
      <c r="N22" s="115">
        <f>[2]E.1项目运营期费用!N22/(1+'[2]G.2进项增值税率-运营成本'!$C21)</f>
        <v>0</v>
      </c>
      <c r="O22" s="115">
        <f>[2]E.1项目运营期费用!O22/(1+'[2]G.2进项增值税率-运营成本'!$C21)</f>
        <v>0</v>
      </c>
      <c r="P22" s="115">
        <f>[2]E.1项目运营期费用!P22/(1+'[2]G.2进项增值税率-运营成本'!$C21)</f>
        <v>0</v>
      </c>
      <c r="Q22" s="115">
        <f>[2]E.1项目运营期费用!Q22/(1+'[2]G.2进项增值税率-运营成本'!$C21)</f>
        <v>0</v>
      </c>
      <c r="R22" s="115">
        <f>[2]E.1项目运营期费用!R22/(1+'[2]G.2进项增值税率-运营成本'!$C21)</f>
        <v>0</v>
      </c>
      <c r="S22" s="115">
        <f>[2]E.1项目运营期费用!S22/(1+'[2]G.2进项增值税率-运营成本'!$C21)</f>
        <v>0</v>
      </c>
      <c r="T22" s="115">
        <f>[2]E.1项目运营期费用!T22/(1+'[2]G.2进项增值税率-运营成本'!$C21)</f>
        <v>0</v>
      </c>
      <c r="U22" s="115">
        <f>[2]E.1项目运营期费用!U22/(1+'[2]G.2进项增值税率-运营成本'!$C21)</f>
        <v>0</v>
      </c>
      <c r="V22" s="115">
        <f>[2]E.1项目运营期费用!V22/(1+'[2]G.2进项增值税率-运营成本'!$C21)</f>
        <v>0</v>
      </c>
      <c r="W22" s="115">
        <f>[2]E.1项目运营期费用!W22/(1+'[2]G.2进项增值税率-运营成本'!$C21)</f>
        <v>0</v>
      </c>
      <c r="X22" s="115">
        <f>[2]E.1项目运营期费用!X22/(1+'[2]G.2进项增值税率-运营成本'!$C21)</f>
        <v>0</v>
      </c>
      <c r="Y22" s="115">
        <f>[2]E.1项目运营期费用!Y22/(1+'[2]G.2进项增值税率-运营成本'!$C21)</f>
        <v>0</v>
      </c>
      <c r="Z22" s="115">
        <f>[2]E.1项目运营期费用!Z22/(1+'[2]G.2进项增值税率-运营成本'!$C21)</f>
        <v>0</v>
      </c>
      <c r="AA22" s="115">
        <f>[2]E.1项目运营期费用!AA22/(1+'[2]G.2进项增值税率-运营成本'!$C21)</f>
        <v>0</v>
      </c>
      <c r="AB22" s="115">
        <f>[2]E.1项目运营期费用!AB22/(1+'[2]G.2进项增值税率-运营成本'!$C21)</f>
        <v>0</v>
      </c>
      <c r="AC22" s="115">
        <f>[2]E.1项目运营期费用!AC22/(1+'[2]G.2进项增值税率-运营成本'!$C21)</f>
        <v>0</v>
      </c>
      <c r="AD22" s="115">
        <f>[2]E.1项目运营期费用!AD22/(1+'[2]G.2进项增值税率-运营成本'!$C21)</f>
        <v>0</v>
      </c>
      <c r="AE22" s="115">
        <f>[2]E.1项目运营期费用!AE22/(1+'[2]G.2进项增值税率-运营成本'!$C21)</f>
        <v>0</v>
      </c>
      <c r="AF22" s="115">
        <f t="shared" si="0"/>
        <v>0</v>
      </c>
    </row>
    <row r="23" ht="33" customHeight="1" spans="1:32">
      <c r="A23" s="111"/>
      <c r="B23" s="113">
        <f>[2]E.1项目运营期费用!B23</f>
        <v>20</v>
      </c>
      <c r="C23" s="114" t="str">
        <f>[2]E.1项目运营期费用!C23</f>
        <v>不可预见支出</v>
      </c>
      <c r="D23" s="114" t="str">
        <f>[2]E.1项目运营期费用!D23</f>
        <v>按年度总成本 × 计提比例 （5%-10%）</v>
      </c>
      <c r="E23" s="115">
        <f>[2]E.1项目运营期费用!E23</f>
        <v>0</v>
      </c>
      <c r="F23" s="115">
        <f>[2]E.1项目运营期费用!F23</f>
        <v>0</v>
      </c>
      <c r="G23" s="115">
        <f>[2]E.1项目运营期费用!G23</f>
        <v>0</v>
      </c>
      <c r="H23" s="115">
        <f>[2]E.1项目运营期费用!H23*(1-'[2]G.2进项增值税率-运营成本'!$C22)</f>
        <v>0</v>
      </c>
      <c r="I23" s="115">
        <f>[2]E.1项目运营期费用!I23/(1+'[2]G.2进项增值税率-运营成本'!$C22)</f>
        <v>0</v>
      </c>
      <c r="J23" s="115">
        <f>[2]E.1项目运营期费用!J23/(1+'[2]G.2进项增值税率-运营成本'!$C22)</f>
        <v>0</v>
      </c>
      <c r="K23" s="115">
        <f>[2]E.1项目运营期费用!K23/(1+'[2]G.2进项增值税率-运营成本'!$C22)</f>
        <v>0</v>
      </c>
      <c r="L23" s="115">
        <f>[2]E.1项目运营期费用!L23/(1+'[2]G.2进项增值税率-运营成本'!$C22)</f>
        <v>0</v>
      </c>
      <c r="M23" s="115">
        <f>[2]E.1项目运营期费用!M23/(1+'[2]G.2进项增值税率-运营成本'!$C22)</f>
        <v>0</v>
      </c>
      <c r="N23" s="115">
        <f>[2]E.1项目运营期费用!N23/(1+'[2]G.2进项增值税率-运营成本'!$C22)</f>
        <v>0</v>
      </c>
      <c r="O23" s="115">
        <f>[2]E.1项目运营期费用!O23/(1+'[2]G.2进项增值税率-运营成本'!$C22)</f>
        <v>0</v>
      </c>
      <c r="P23" s="115">
        <f>[2]E.1项目运营期费用!P23/(1+'[2]G.2进项增值税率-运营成本'!$C22)</f>
        <v>0</v>
      </c>
      <c r="Q23" s="115">
        <f>[2]E.1项目运营期费用!Q23/(1+'[2]G.2进项增值税率-运营成本'!$C22)</f>
        <v>0</v>
      </c>
      <c r="R23" s="115">
        <f>[2]E.1项目运营期费用!R23/(1+'[2]G.2进项增值税率-运营成本'!$C22)</f>
        <v>0</v>
      </c>
      <c r="S23" s="115">
        <f>[2]E.1项目运营期费用!S23/(1+'[2]G.2进项增值税率-运营成本'!$C22)</f>
        <v>0</v>
      </c>
      <c r="T23" s="115">
        <f>[2]E.1项目运营期费用!T23/(1+'[2]G.2进项增值税率-运营成本'!$C22)</f>
        <v>0</v>
      </c>
      <c r="U23" s="115">
        <f>[2]E.1项目运营期费用!U23/(1+'[2]G.2进项增值税率-运营成本'!$C22)</f>
        <v>0</v>
      </c>
      <c r="V23" s="115">
        <f>[2]E.1项目运营期费用!V23/(1+'[2]G.2进项增值税率-运营成本'!$C22)</f>
        <v>0</v>
      </c>
      <c r="W23" s="115">
        <f>[2]E.1项目运营期费用!W23/(1+'[2]G.2进项增值税率-运营成本'!$C22)</f>
        <v>0</v>
      </c>
      <c r="X23" s="115">
        <f>[2]E.1项目运营期费用!X23/(1+'[2]G.2进项增值税率-运营成本'!$C22)</f>
        <v>0</v>
      </c>
      <c r="Y23" s="115">
        <f>[2]E.1项目运营期费用!Y23/(1+'[2]G.2进项增值税率-运营成本'!$C22)</f>
        <v>0</v>
      </c>
      <c r="Z23" s="115">
        <f>[2]E.1项目运营期费用!Z23/(1+'[2]G.2进项增值税率-运营成本'!$C22)</f>
        <v>0</v>
      </c>
      <c r="AA23" s="115">
        <f>[2]E.1项目运营期费用!AA23/(1+'[2]G.2进项增值税率-运营成本'!$C22)</f>
        <v>0</v>
      </c>
      <c r="AB23" s="115">
        <f>[2]E.1项目运营期费用!AB23/(1+'[2]G.2进项增值税率-运营成本'!$C22)</f>
        <v>0</v>
      </c>
      <c r="AC23" s="115">
        <f>[2]E.1项目运营期费用!AC23/(1+'[2]G.2进项增值税率-运营成本'!$C22)</f>
        <v>0</v>
      </c>
      <c r="AD23" s="115">
        <f>[2]E.1项目运营期费用!AD23/(1+'[2]G.2进项增值税率-运营成本'!$C22)</f>
        <v>0</v>
      </c>
      <c r="AE23" s="115">
        <f>[2]E.1项目运营期费用!AE23/(1+'[2]G.2进项增值税率-运营成本'!$C22)</f>
        <v>0</v>
      </c>
      <c r="AF23" s="115">
        <f t="shared" si="0"/>
        <v>0</v>
      </c>
    </row>
    <row r="24" spans="31:31">
      <c r="AE24" s="120">
        <f>(SUM(H24:AD24))</f>
        <v>0</v>
      </c>
    </row>
    <row r="25" spans="31:31">
      <c r="AE25" s="120"/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rgb="FFFFFF00"/>
  </sheetPr>
  <dimension ref="A1:AB12"/>
  <sheetViews>
    <sheetView workbookViewId="0">
      <pane xSplit="5" ySplit="3" topLeftCell="F4" activePane="bottomRight" state="frozen"/>
      <selection/>
      <selection pane="topRight"/>
      <selection pane="bottomLeft"/>
      <selection pane="bottomRight" activeCell="F17" sqref="F17"/>
    </sheetView>
  </sheetViews>
  <sheetFormatPr defaultColWidth="8.89090909090909" defaultRowHeight="14"/>
  <cols>
    <col min="1" max="1" width="12.4454545454545" style="1" customWidth="1"/>
    <col min="2" max="2" width="15.5545454545455" style="1" customWidth="1"/>
    <col min="3" max="3" width="22.2181818181818" style="1" customWidth="1"/>
    <col min="4" max="4" width="14.2181818181818" style="1" customWidth="1"/>
    <col min="5" max="5" width="17.5545454545455" style="1" customWidth="1"/>
    <col min="6" max="6" width="6.44545454545455" style="1" customWidth="1"/>
    <col min="7" max="8" width="8.66363636363636" style="1" customWidth="1"/>
    <col min="9" max="11" width="9.89090909090909" style="1" customWidth="1"/>
  </cols>
  <sheetData>
    <row r="1" s="45" customFormat="1" ht="20" customHeight="1" spans="1:14">
      <c r="A1" s="38" t="s">
        <v>252</v>
      </c>
      <c r="B1" s="3"/>
      <c r="C1" s="3"/>
      <c r="D1" s="3"/>
      <c r="E1" s="3"/>
      <c r="F1" s="3"/>
      <c r="G1" s="3"/>
      <c r="H1" s="3"/>
      <c r="I1" s="3"/>
      <c r="J1" s="3"/>
      <c r="K1" s="4"/>
      <c r="L1"/>
      <c r="M1"/>
      <c r="N1"/>
    </row>
    <row r="2" s="45" customFormat="1" ht="16.5" customHeight="1" spans="1:14">
      <c r="A2" s="99" t="s">
        <v>1</v>
      </c>
      <c r="B2" s="99" t="s">
        <v>151</v>
      </c>
      <c r="C2" s="99" t="s">
        <v>253</v>
      </c>
      <c r="D2" s="99" t="s">
        <v>254</v>
      </c>
      <c r="E2" s="99" t="s">
        <v>255</v>
      </c>
      <c r="F2" s="100" t="s">
        <v>256</v>
      </c>
      <c r="G2" s="3"/>
      <c r="H2" s="3"/>
      <c r="I2" s="3"/>
      <c r="J2" s="3"/>
      <c r="K2" s="3"/>
      <c r="L2"/>
      <c r="M2"/>
      <c r="N2"/>
    </row>
    <row r="3" s="45" customFormat="1" ht="66" customHeight="1" spans="1:28">
      <c r="A3" s="8"/>
      <c r="B3" s="8"/>
      <c r="C3" s="64" t="s">
        <v>257</v>
      </c>
      <c r="D3" s="64" t="s">
        <v>258</v>
      </c>
      <c r="E3" s="64" t="s">
        <v>259</v>
      </c>
      <c r="F3" s="23">
        <v>2025</v>
      </c>
      <c r="G3" s="23">
        <v>2026</v>
      </c>
      <c r="H3" s="23">
        <v>2027</v>
      </c>
      <c r="I3" s="23">
        <v>2028</v>
      </c>
      <c r="J3" s="23">
        <v>2029</v>
      </c>
      <c r="K3" s="23">
        <v>2030</v>
      </c>
      <c r="L3" s="23">
        <v>2031</v>
      </c>
      <c r="M3" s="23">
        <v>2032</v>
      </c>
      <c r="N3" s="23">
        <v>2033</v>
      </c>
      <c r="O3" s="23">
        <v>2034</v>
      </c>
      <c r="P3" s="23">
        <v>2035</v>
      </c>
      <c r="Q3" s="23">
        <v>2036</v>
      </c>
      <c r="R3" s="23">
        <v>2037</v>
      </c>
      <c r="S3" s="23">
        <v>2038</v>
      </c>
      <c r="T3" s="23">
        <v>2039</v>
      </c>
      <c r="U3" s="23">
        <v>2040</v>
      </c>
      <c r="V3" s="23">
        <v>2041</v>
      </c>
      <c r="W3" s="23">
        <v>2042</v>
      </c>
      <c r="X3" s="23">
        <v>2043</v>
      </c>
      <c r="Y3" s="23">
        <v>2044</v>
      </c>
      <c r="Z3" s="23">
        <v>2045</v>
      </c>
      <c r="AA3" s="23">
        <v>2046</v>
      </c>
      <c r="AB3" s="23">
        <v>2047</v>
      </c>
    </row>
    <row r="4" s="45" customFormat="1" ht="16.5" customHeight="1" spans="1:28">
      <c r="A4" s="11" t="s">
        <v>260</v>
      </c>
      <c r="B4" s="8" t="s">
        <v>261</v>
      </c>
      <c r="C4" s="101">
        <f>E.4建设投资税后金额表!H4+E.4建设投资税后金额表!H9+E.4建设投资税后金额表!H13+E.4建设投资税后金额表!H19+c借款还本付息计划表!D38+c借款还本付息计划表!D37</f>
        <v>300.573561735761</v>
      </c>
      <c r="D4" s="102">
        <f>1/B项目信息!$D$8*100%</f>
        <v>0.0454545454545455</v>
      </c>
      <c r="E4" s="90">
        <f>C4*(1-A财务假设!$D$12)*D4</f>
        <v>12.9793128931351</v>
      </c>
      <c r="F4" s="90">
        <f>IF(F3-$F$3&gt;0,$C$4-$E$4*(F3-$F$3),0)</f>
        <v>0</v>
      </c>
      <c r="G4" s="103">
        <f>IF(G3-$F$3&gt;0,$C$4-$E$4*(G3-$F$3),0)</f>
        <v>287.594248842626</v>
      </c>
      <c r="H4" s="103">
        <f>IF(H3-$F$3&gt;0,$C$4-$E$4*(H3-$F$3),0)</f>
        <v>274.614935949491</v>
      </c>
      <c r="I4" s="103">
        <f>IF(I3-$F$3&gt;0,$C$4-$E$4*(I3-$F$3),0)</f>
        <v>261.635623056356</v>
      </c>
      <c r="J4" s="103">
        <f>IF(J3-$F$3&gt;0,$C$4-$E$4*(J3-$F$3),0)</f>
        <v>248.656310163221</v>
      </c>
      <c r="K4" s="103">
        <f>IF(K3-$F$3&gt;0,$C$4-$E$4*(K3-$F$3),0)</f>
        <v>235.676997270086</v>
      </c>
      <c r="L4" s="103">
        <f>IF(L3-$F$3&gt;0,$C$4-$E$4*(L3-$F$3),0)</f>
        <v>222.69768437695</v>
      </c>
      <c r="M4" s="103">
        <f>IF(M3-$F$3&gt;0,$C$4-$E$4*(M3-$F$3),0)</f>
        <v>209.718371483815</v>
      </c>
      <c r="N4" s="103">
        <f>IF(N3-$F$3&gt;0,$C$4-$E$4*(N3-$F$3),0)</f>
        <v>196.73905859068</v>
      </c>
      <c r="O4" s="103">
        <f>IF(O3-$F$3&gt;0,$C$4-$E$4*(O3-$F$3),0)</f>
        <v>183.759745697545</v>
      </c>
      <c r="P4" s="103">
        <f>IF(P3-$F$3&gt;0,$C$4-$E$4*(P3-$F$3),0)</f>
        <v>170.78043280441</v>
      </c>
      <c r="Q4" s="103">
        <f>IF(Q3-$F$3&gt;0,$C$4-$E$4*(Q3-$F$3),0)</f>
        <v>157.801119911275</v>
      </c>
      <c r="R4" s="103">
        <f>IF(R3-$F$3&gt;0,$C$4-$E$4*(R3-$F$3),0)</f>
        <v>144.82180701814</v>
      </c>
      <c r="S4" s="103">
        <f>IF(S3-$F$3&gt;0,$C$4-$E$4*(S3-$F$3),0)</f>
        <v>131.842494125004</v>
      </c>
      <c r="T4" s="103">
        <f>IF(T3-$F$3&gt;0,$C$4-$E$4*(T3-$F$3),0)</f>
        <v>118.863181231869</v>
      </c>
      <c r="U4" s="103">
        <f>IF(U3-$F$3&gt;0,$C$4-$E$4*(U3-$F$3),0)</f>
        <v>105.883868338734</v>
      </c>
      <c r="V4" s="103">
        <f>IF(V3-$F$3&gt;0,$C$4-$E$4*(V3-$F$3),0)</f>
        <v>92.904555445599</v>
      </c>
      <c r="W4" s="103">
        <f>IF(W3-$F$3&gt;0,$C$4-$E$4*(W3-$F$3),0)</f>
        <v>79.9252425524638</v>
      </c>
      <c r="X4" s="103">
        <f>IF(X3-$F$3&gt;0,$C$4-$E$4*(X3-$F$3),0)</f>
        <v>66.9459296593287</v>
      </c>
      <c r="Y4" s="103">
        <f>IF(Y3-$F$3&gt;0,$C$4-$E$4*(Y3-$F$3),0)</f>
        <v>53.9666167661935</v>
      </c>
      <c r="Z4" s="103">
        <f>IF(Z3-$F$3&gt;0,$C$4-$E$4*(Z3-$F$3),0)</f>
        <v>40.9873038730584</v>
      </c>
      <c r="AA4" s="103">
        <f>IF(AA3-$F$3&gt;0,$C$4-$E$4*(AA3-$F$3),0)</f>
        <v>28.0079909799232</v>
      </c>
      <c r="AB4" s="103">
        <f>IF(AB3-$F$3&gt;0,$C$4-$E$4*(AB3-$F$3),0)</f>
        <v>15.0286780867881</v>
      </c>
    </row>
    <row r="5" s="45" customFormat="1" ht="16.5" customHeight="1" spans="1:28">
      <c r="A5" s="11" t="s">
        <v>262</v>
      </c>
      <c r="B5" s="8" t="s">
        <v>261</v>
      </c>
      <c r="C5" s="101">
        <f>E.4建设投资税后金额表!I4+E.4建设投资税后金额表!I9+E.4建设投资税后金额表!I13+E.4建设投资税后金额表!I19+c借款还本付息计划表!E38+c借款还本付息计划表!E37</f>
        <v>688.294042155777</v>
      </c>
      <c r="D5" s="102">
        <f>1/B项目信息!$D$14*100%</f>
        <v>0.0476190476190476</v>
      </c>
      <c r="E5" s="90">
        <f>C5*(1-A财务假设!$D$12)*D5</f>
        <v>31.1371114308566</v>
      </c>
      <c r="F5" s="90">
        <f>IF(F3-$G$3&gt;0,$C$5-$E$5*(F3-$G$3),0)</f>
        <v>0</v>
      </c>
      <c r="G5" s="103">
        <f>IF(G3-$G$3&gt;0,$C$5-$E$5*(G3-$G$3),0)</f>
        <v>0</v>
      </c>
      <c r="H5" s="103">
        <f>IF(H3-$G$3&gt;0,$C$5-$E$5*(H3-$G$3),0)</f>
        <v>657.15693072492</v>
      </c>
      <c r="I5" s="103">
        <f>IF(I3-$G$3&gt;0,$C$5-$E$5*(I3-$G$3),0)</f>
        <v>626.019819294064</v>
      </c>
      <c r="J5" s="103">
        <f>IF(J3-$G$3&gt;0,$C$5-$E$5*(J3-$G$3),0)</f>
        <v>594.882707863207</v>
      </c>
      <c r="K5" s="103">
        <f>IF(K3-$G$3&gt;0,$C$5-$E$5*(K3-$G$3),0)</f>
        <v>563.745596432351</v>
      </c>
      <c r="L5" s="103">
        <f>IF(L3-$G$3&gt;0,$C$5-$E$5*(L3-$G$3),0)</f>
        <v>532.608485001494</v>
      </c>
      <c r="M5" s="103">
        <f>IF(M3-$G$3&gt;0,$C$5-$E$5*(M3-$G$3),0)</f>
        <v>501.471373570637</v>
      </c>
      <c r="N5" s="103">
        <f>IF(N3-$G$3&gt;0,$C$5-$E$5*(N3-$G$3),0)</f>
        <v>470.334262139781</v>
      </c>
      <c r="O5" s="103">
        <f>IF(O3-$G$3&gt;0,$C$5-$E$5*(O3-$G$3),0)</f>
        <v>439.197150708924</v>
      </c>
      <c r="P5" s="103">
        <f>IF(P3-$G$3&gt;0,$C$5-$E$5*(P3-$G$3),0)</f>
        <v>408.060039278068</v>
      </c>
      <c r="Q5" s="103">
        <f>IF(Q3-$G$3&gt;0,$C$5-$E$5*(Q3-$G$3),0)</f>
        <v>376.922927847211</v>
      </c>
      <c r="R5" s="103">
        <f>IF(R3-$G$3&gt;0,$C$5-$E$5*(R3-$G$3),0)</f>
        <v>345.785816416355</v>
      </c>
      <c r="S5" s="103">
        <f>IF(S3-$G$3&gt;0,$C$5-$E$5*(S3-$G$3),0)</f>
        <v>314.648704985498</v>
      </c>
      <c r="T5" s="103">
        <f>IF(T3-$G$3&gt;0,$C$5-$E$5*(T3-$G$3),0)</f>
        <v>283.511593554641</v>
      </c>
      <c r="U5" s="103">
        <f>IF(U3-$G$3&gt;0,$C$5-$E$5*(U3-$G$3),0)</f>
        <v>252.374482123785</v>
      </c>
      <c r="V5" s="103">
        <f>IF(V3-$G$3&gt;0,$C$5-$E$5*(V3-$G$3),0)</f>
        <v>221.237370692928</v>
      </c>
      <c r="W5" s="103">
        <f>IF(W3-$G$3&gt;0,$C$5-$E$5*(W3-$G$3),0)</f>
        <v>190.100259262072</v>
      </c>
      <c r="X5" s="103">
        <f>IF(X3-$G$3&gt;0,$C$5-$E$5*(X3-$G$3),0)</f>
        <v>158.963147831215</v>
      </c>
      <c r="Y5" s="103">
        <f>IF(Y3-$G$3&gt;0,$C$5-$E$5*(Y3-$G$3),0)</f>
        <v>127.826036400359</v>
      </c>
      <c r="Z5" s="103">
        <f>IF(Z3-$G$3&gt;0,$C$5-$E$5*(Z3-$G$3),0)</f>
        <v>96.6889249695021</v>
      </c>
      <c r="AA5" s="103">
        <f>IF(AA3-$G$3&gt;0,$C$5-$E$5*(AA3-$G$3),0)</f>
        <v>65.5518135386454</v>
      </c>
      <c r="AB5" s="103">
        <f>IF(AB3-$G$3&gt;0,$C$5-$E$5*(AB3-$G$3),0)</f>
        <v>34.4147021077889</v>
      </c>
    </row>
    <row r="6" s="45" customFormat="1" ht="16.5" customHeight="1" spans="1:28">
      <c r="A6" s="11" t="s">
        <v>263</v>
      </c>
      <c r="B6" s="8" t="s">
        <v>261</v>
      </c>
      <c r="C6" s="101">
        <f>E.4建设投资税后金额表!J4+E.4建设投资税后金额表!J9+E.4建设投资税后金额表!J13+E.4建设投资税后金额表!J19+c借款还本付息计划表!F38+c借款还本付息计划表!F37</f>
        <v>1193.47585590913</v>
      </c>
      <c r="D6" s="102">
        <f>1/B项目信息!$D$20*100%</f>
        <v>0.05</v>
      </c>
      <c r="E6" s="90">
        <f>C6*(1-A财务假设!$D$12)*D6</f>
        <v>56.6901031556835</v>
      </c>
      <c r="F6" s="90">
        <f>IF(F3-$H$3&gt;0,$C$6-$E$6*(F3-$H$3),0)</f>
        <v>0</v>
      </c>
      <c r="G6" s="103">
        <f>IF(G3-$H$3&gt;0,$C$6-$E$6*(G3-$H$3),0)</f>
        <v>0</v>
      </c>
      <c r="H6" s="103">
        <f>IF(H3-$H$3&gt;0,$C$6-$E$6*(H3-$H$3),0)</f>
        <v>0</v>
      </c>
      <c r="I6" s="103">
        <f>IF(I3-$H$3&gt;0,$C$6-$E$6*(I3-$H$3),0)</f>
        <v>1136.78575275344</v>
      </c>
      <c r="J6" s="103">
        <f>IF(J3-$H$3&gt;0,$C$6-$E$6*(J3-$H$3),0)</f>
        <v>1080.09564959776</v>
      </c>
      <c r="K6" s="103">
        <f>IF(K3-$H$3&gt;0,$C$6-$E$6*(K3-$H$3),0)</f>
        <v>1023.40554644208</v>
      </c>
      <c r="L6" s="103">
        <f>IF(L3-$H$3&gt;0,$C$6-$E$6*(L3-$H$3),0)</f>
        <v>966.715443286392</v>
      </c>
      <c r="M6" s="103">
        <f>IF(M3-$H$3&gt;0,$C$6-$E$6*(M3-$H$3),0)</f>
        <v>910.025340130708</v>
      </c>
      <c r="N6" s="103">
        <f>IF(N3-$H$3&gt;0,$C$6-$E$6*(N3-$H$3),0)</f>
        <v>853.335236975025</v>
      </c>
      <c r="O6" s="103">
        <f>IF(O3-$H$3&gt;0,$C$6-$E$6*(O3-$H$3),0)</f>
        <v>796.645133819341</v>
      </c>
      <c r="P6" s="103">
        <f>IF(P3-$H$3&gt;0,$C$6-$E$6*(P3-$H$3),0)</f>
        <v>739.955030663658</v>
      </c>
      <c r="Q6" s="103">
        <f>IF(Q3-$H$3&gt;0,$C$6-$E$6*(Q3-$H$3),0)</f>
        <v>683.264927507975</v>
      </c>
      <c r="R6" s="103">
        <f>IF(R3-$H$3&gt;0,$C$6-$E$6*(R3-$H$3),0)</f>
        <v>626.574824352291</v>
      </c>
      <c r="S6" s="103">
        <f>IF(S3-$H$3&gt;0,$C$6-$E$6*(S3-$H$3),0)</f>
        <v>569.884721196608</v>
      </c>
      <c r="T6" s="103">
        <f>IF(T3-$H$3&gt;0,$C$6-$E$6*(T3-$H$3),0)</f>
        <v>513.194618040924</v>
      </c>
      <c r="U6" s="103">
        <f>IF(U3-$H$3&gt;0,$C$6-$E$6*(U3-$H$3),0)</f>
        <v>456.504514885241</v>
      </c>
      <c r="V6" s="103">
        <f>IF(V3-$H$3&gt;0,$C$6-$E$6*(V3-$H$3),0)</f>
        <v>399.814411729557</v>
      </c>
      <c r="W6" s="103">
        <f>IF(W3-$H$3&gt;0,$C$6-$E$6*(W3-$H$3),0)</f>
        <v>343.124308573874</v>
      </c>
      <c r="X6" s="103">
        <f>IF(X3-$H$3&gt;0,$C$6-$E$6*(X3-$H$3),0)</f>
        <v>286.43420541819</v>
      </c>
      <c r="Y6" s="103">
        <f>IF(Y3-$H$3&gt;0,$C$6-$E$6*(Y3-$H$3),0)</f>
        <v>229.744102262507</v>
      </c>
      <c r="Z6" s="103">
        <f>IF(Z3-$H$3&gt;0,$C$6-$E$6*(Z3-$H$3),0)</f>
        <v>173.053999106823</v>
      </c>
      <c r="AA6" s="103">
        <f>IF(AA3-$H$3&gt;0,$C$6-$E$6*(AA3-$H$3),0)</f>
        <v>116.36389595114</v>
      </c>
      <c r="AB6" s="103">
        <f>IF(AB3-$H$3&gt;0,$C$6-$E$6*(AB3-$H$3),0)</f>
        <v>59.6737927954564</v>
      </c>
    </row>
    <row r="7" s="45" customFormat="1" ht="16.5" customHeight="1" spans="1:28">
      <c r="A7" s="8" t="s">
        <v>264</v>
      </c>
      <c r="B7" s="8" t="s">
        <v>261</v>
      </c>
      <c r="C7" s="65">
        <f>SUM(C4:C6)</f>
        <v>2182.34345980066</v>
      </c>
      <c r="D7" s="26" t="s">
        <v>118</v>
      </c>
      <c r="E7" s="65">
        <f t="shared" ref="E7:AB7" si="0">SUM(E4:E6)</f>
        <v>100.806527479675</v>
      </c>
      <c r="F7" s="65">
        <f t="shared" si="0"/>
        <v>0</v>
      </c>
      <c r="G7" s="65">
        <f t="shared" si="0"/>
        <v>287.594248842626</v>
      </c>
      <c r="H7" s="65">
        <f t="shared" si="0"/>
        <v>931.771866674411</v>
      </c>
      <c r="I7" s="65">
        <f t="shared" si="0"/>
        <v>2024.44119510386</v>
      </c>
      <c r="J7" s="65">
        <f t="shared" si="0"/>
        <v>1923.63466762419</v>
      </c>
      <c r="K7" s="65">
        <f t="shared" si="0"/>
        <v>1822.82814014451</v>
      </c>
      <c r="L7" s="65">
        <f t="shared" si="0"/>
        <v>1722.02161266484</v>
      </c>
      <c r="M7" s="65">
        <f t="shared" si="0"/>
        <v>1621.21508518516</v>
      </c>
      <c r="N7" s="65">
        <f t="shared" si="0"/>
        <v>1520.40855770549</v>
      </c>
      <c r="O7" s="65">
        <f t="shared" si="0"/>
        <v>1419.60203022581</v>
      </c>
      <c r="P7" s="65">
        <f t="shared" si="0"/>
        <v>1318.79550274614</v>
      </c>
      <c r="Q7" s="65">
        <f t="shared" si="0"/>
        <v>1217.98897526646</v>
      </c>
      <c r="R7" s="65">
        <f t="shared" si="0"/>
        <v>1117.18244778679</v>
      </c>
      <c r="S7" s="65">
        <f t="shared" si="0"/>
        <v>1016.37592030711</v>
      </c>
      <c r="T7" s="65">
        <f t="shared" si="0"/>
        <v>915.569392827435</v>
      </c>
      <c r="U7" s="65">
        <f t="shared" si="0"/>
        <v>814.76286534776</v>
      </c>
      <c r="V7" s="65">
        <f t="shared" si="0"/>
        <v>713.956337868084</v>
      </c>
      <c r="W7" s="65">
        <f t="shared" si="0"/>
        <v>613.149810388409</v>
      </c>
      <c r="X7" s="65">
        <f t="shared" si="0"/>
        <v>512.343282908734</v>
      </c>
      <c r="Y7" s="65">
        <f t="shared" si="0"/>
        <v>411.536755429059</v>
      </c>
      <c r="Z7" s="65">
        <f t="shared" si="0"/>
        <v>310.730227949384</v>
      </c>
      <c r="AA7" s="65">
        <f t="shared" si="0"/>
        <v>209.923700469708</v>
      </c>
      <c r="AB7" s="65">
        <f t="shared" si="0"/>
        <v>109.117172990033</v>
      </c>
    </row>
    <row r="8" s="45" customFormat="1" ht="16.5" customHeight="1" spans="1:28">
      <c r="A8" s="8"/>
      <c r="B8" s="8"/>
      <c r="C8" s="65"/>
      <c r="D8" s="26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</row>
    <row r="9" s="45" customFormat="1" ht="16.5" customHeight="1" spans="1:28">
      <c r="A9" s="11" t="s">
        <v>260</v>
      </c>
      <c r="B9" s="8" t="s">
        <v>261</v>
      </c>
      <c r="C9" s="103" t="s">
        <v>265</v>
      </c>
      <c r="D9" s="104" t="s">
        <v>265</v>
      </c>
      <c r="E9" s="105">
        <f>SUM(F9:AB9)</f>
        <v>285.544883648973</v>
      </c>
      <c r="F9" s="105">
        <f>IF(F3-$F$3&gt;0,IF(F4&lt;&gt;"",$E$4,0),0)</f>
        <v>0</v>
      </c>
      <c r="G9" s="105">
        <f>IF(G3-$F$3&gt;0,IF(G4&lt;&gt;"",$E$4,0),0)</f>
        <v>12.9793128931351</v>
      </c>
      <c r="H9" s="105">
        <f>IF(H3-$F$3&gt;0,IF(H4&lt;&gt;"",$E$4,0),0)</f>
        <v>12.9793128931351</v>
      </c>
      <c r="I9" s="105">
        <f>IF(I3-$F$3&gt;0,IF(I4&lt;&gt;"",$E$4,0),0)</f>
        <v>12.9793128931351</v>
      </c>
      <c r="J9" s="105">
        <f>IF(J3-$F$3&gt;0,IF(J4&lt;&gt;"",$E$4,0),0)</f>
        <v>12.9793128931351</v>
      </c>
      <c r="K9" s="105">
        <f>IF(K3-$F$3&gt;0,IF(K4&lt;&gt;"",$E$4,0),0)</f>
        <v>12.9793128931351</v>
      </c>
      <c r="L9" s="105">
        <f>IF(L3-$F$3&gt;0,IF(K4&lt;&gt;"",$E$4,0),0)</f>
        <v>12.9793128931351</v>
      </c>
      <c r="M9" s="105">
        <f>IF(M3-$F$3&gt;0,IF(K4&lt;&gt;"",$E$4,0),0)</f>
        <v>12.9793128931351</v>
      </c>
      <c r="N9" s="105">
        <f>IF(N3-$F$3&gt;0,IF(K4&lt;&gt;"",$E$4,0),0)</f>
        <v>12.9793128931351</v>
      </c>
      <c r="O9" s="105">
        <f>IF(O3-$F$3&gt;0,IF(K4&lt;&gt;"",$E$4,0),0)</f>
        <v>12.9793128931351</v>
      </c>
      <c r="P9" s="105">
        <f>IF(P3-$F$3&gt;0,IF(K4&lt;&gt;"",$E$4,0),0)</f>
        <v>12.9793128931351</v>
      </c>
      <c r="Q9" s="105">
        <f>IF(Q3-$F$3&gt;0,IF(K4&lt;&gt;"",$E$4,0),0)</f>
        <v>12.9793128931351</v>
      </c>
      <c r="R9" s="105">
        <f>IF(R3-$F$3&gt;0,IF(K4&lt;&gt;"",$E$4,0),0)</f>
        <v>12.9793128931351</v>
      </c>
      <c r="S9" s="105">
        <f>IF(S3-$F$3&gt;0,IF(K4&lt;&gt;"",$E$4,0),0)</f>
        <v>12.9793128931351</v>
      </c>
      <c r="T9" s="105">
        <f>IF(T3-$F$3&gt;0,IF(K4&lt;&gt;"",$E$4,0),0)</f>
        <v>12.9793128931351</v>
      </c>
      <c r="U9" s="105">
        <f>IF(U3-$F$3&gt;0,IF(K4&lt;&gt;"",$E$4,0),0)</f>
        <v>12.9793128931351</v>
      </c>
      <c r="V9" s="105">
        <f>IF(V3-$F$3&gt;0,IF(K4&lt;&gt;"",$E$4,0),0)</f>
        <v>12.9793128931351</v>
      </c>
      <c r="W9" s="105">
        <f>IF(W3-$F$3&gt;0,IF(K4&lt;&gt;"",$E$4,0),0)</f>
        <v>12.9793128931351</v>
      </c>
      <c r="X9" s="105">
        <f>IF(X3-$F$3&gt;0,IF(K4&lt;&gt;"",$E$4,0),0)</f>
        <v>12.9793128931351</v>
      </c>
      <c r="Y9" s="105">
        <f>IF(Y3-$F$3&gt;0,IF(K4&lt;&gt;"",$E$4,0),0)</f>
        <v>12.9793128931351</v>
      </c>
      <c r="Z9" s="105">
        <f>IF(Z3-$F$3&gt;0,IF(K4&lt;&gt;"",$E$4,0),0)</f>
        <v>12.9793128931351</v>
      </c>
      <c r="AA9" s="105">
        <f>IF(AA3-$F$3&gt;0,IF(K4&lt;&gt;"",$E$4,0),0)</f>
        <v>12.9793128931351</v>
      </c>
      <c r="AB9" s="105">
        <f>IF(AB3-$F$3&gt;0,IF(K4&lt;&gt;"",$E$4,0),0)</f>
        <v>12.9793128931351</v>
      </c>
    </row>
    <row r="10" s="45" customFormat="1" ht="16.5" customHeight="1" spans="1:28">
      <c r="A10" s="11" t="s">
        <v>262</v>
      </c>
      <c r="B10" s="8" t="s">
        <v>261</v>
      </c>
      <c r="C10" s="103" t="s">
        <v>265</v>
      </c>
      <c r="D10" s="104" t="s">
        <v>265</v>
      </c>
      <c r="E10" s="105">
        <f>SUM(F10:AB10)</f>
        <v>653.879340047988</v>
      </c>
      <c r="F10" s="105">
        <f>IF(F3-$G$3&gt;0,IF(F5&lt;&gt;"",$E$5,0),0)</f>
        <v>0</v>
      </c>
      <c r="G10" s="105">
        <f>IF(G3-$G$3&gt;0,IF(G5&lt;&gt;"",$E$5,0),0)</f>
        <v>0</v>
      </c>
      <c r="H10" s="105">
        <f>IF(H3-$G$3&gt;0,IF(H5&lt;&gt;"",$E$5,0),0)</f>
        <v>31.1371114308566</v>
      </c>
      <c r="I10" s="105">
        <f>IF(I3-$G$3&gt;0,IF(I5&lt;&gt;"",$E$5,0),0)</f>
        <v>31.1371114308566</v>
      </c>
      <c r="J10" s="105">
        <f>IF(J3-$G$3&gt;0,IF(J5&lt;&gt;"",$E$5,0),0)</f>
        <v>31.1371114308566</v>
      </c>
      <c r="K10" s="105">
        <f>IF(K3-$G$3&gt;0,IF(K5&lt;&gt;"",$E$5,0),0)</f>
        <v>31.1371114308566</v>
      </c>
      <c r="L10" s="105">
        <f>IF(L3-$G$3&gt;0,IF(K5&lt;&gt;"",$E$5,0),0)</f>
        <v>31.1371114308566</v>
      </c>
      <c r="M10" s="105">
        <f>IF(M3-$G$3&gt;0,IF(K5&lt;&gt;"",$E$5,0),0)</f>
        <v>31.1371114308566</v>
      </c>
      <c r="N10" s="105">
        <f>IF(N3-$G$3&gt;0,IF(K5&lt;&gt;"",$E$5,0),0)</f>
        <v>31.1371114308566</v>
      </c>
      <c r="O10" s="105">
        <f>IF(O3-$G$3&gt;0,IF(K5&lt;&gt;"",$E$5,0),0)</f>
        <v>31.1371114308566</v>
      </c>
      <c r="P10" s="105">
        <f>IF(P3-$G$3&gt;0,IF(K5&lt;&gt;"",$E$5,0),0)</f>
        <v>31.1371114308566</v>
      </c>
      <c r="Q10" s="105">
        <f>IF(Q3-$G$3&gt;0,IF(K5&lt;&gt;"",$E$5,0),0)</f>
        <v>31.1371114308566</v>
      </c>
      <c r="R10" s="105">
        <f>IF(R3-$G$3&gt;0,IF(K5&lt;&gt;"",$E$5,0),0)</f>
        <v>31.1371114308566</v>
      </c>
      <c r="S10" s="105">
        <f>IF(S3-$G$3&gt;0,IF(K5&lt;&gt;"",$E$5,0),0)</f>
        <v>31.1371114308566</v>
      </c>
      <c r="T10" s="105">
        <f>IF(T3-$G$3&gt;0,IF(K5&lt;&gt;"",$E$5,0),0)</f>
        <v>31.1371114308566</v>
      </c>
      <c r="U10" s="105">
        <f>IF(U3-$G$3&gt;0,IF(K5&lt;&gt;"",$E$5,0),0)</f>
        <v>31.1371114308566</v>
      </c>
      <c r="V10" s="105">
        <f>IF(V3-$G$3&gt;0,IF(K5&lt;&gt;"",$E$5,0),0)</f>
        <v>31.1371114308566</v>
      </c>
      <c r="W10" s="105">
        <f>IF(W3-$G$3&gt;0,IF(K5&lt;&gt;"",$E$5,0),0)</f>
        <v>31.1371114308566</v>
      </c>
      <c r="X10" s="105">
        <f>IF(X3-$G$3&gt;0,IF(K5&lt;&gt;"",$E$5,0),0)</f>
        <v>31.1371114308566</v>
      </c>
      <c r="Y10" s="105">
        <f>IF(Y3-$G$3&gt;0,IF(K5&lt;&gt;"",$E$5,0),0)</f>
        <v>31.1371114308566</v>
      </c>
      <c r="Z10" s="105">
        <f>IF(Z3-$G$3&gt;0,IF(K5&lt;&gt;"",$E$5,0),0)</f>
        <v>31.1371114308566</v>
      </c>
      <c r="AA10" s="105">
        <f>IF(AA3-$G$3&gt;0,IF(K5&lt;&gt;"",$E$5,0),0)</f>
        <v>31.1371114308566</v>
      </c>
      <c r="AB10" s="105">
        <f>IF(AB3-$G$3&gt;0,IF(K5&lt;&gt;"",$E$5,0),0)</f>
        <v>31.1371114308566</v>
      </c>
    </row>
    <row r="11" s="45" customFormat="1" ht="16.5" customHeight="1" spans="1:28">
      <c r="A11" s="11" t="s">
        <v>263</v>
      </c>
      <c r="B11" s="8" t="s">
        <v>261</v>
      </c>
      <c r="C11" s="103" t="s">
        <v>265</v>
      </c>
      <c r="D11" s="104" t="s">
        <v>265</v>
      </c>
      <c r="E11" s="105">
        <f>SUM(F11:AB11)</f>
        <v>1133.80206311367</v>
      </c>
      <c r="F11" s="105">
        <f>IF(F3-$H$3&gt;0,IF(F6&lt;&gt;"",$E$6,0),0)</f>
        <v>0</v>
      </c>
      <c r="G11" s="105">
        <f>IF(G3-$H$3&gt;0,IF(G6&lt;&gt;"",$E$6,0),0)</f>
        <v>0</v>
      </c>
      <c r="H11" s="105">
        <f>IF(H3-$H$3&gt;0,IF(H6&lt;&gt;"",$E$6,0),0)</f>
        <v>0</v>
      </c>
      <c r="I11" s="105">
        <f>IF(I3-$H$3&gt;0,IF(I6&lt;&gt;"",$E$6,0),0)</f>
        <v>56.6901031556835</v>
      </c>
      <c r="J11" s="105">
        <f>IF(J3-$H$3&gt;0,IF(J6&lt;&gt;"",$E$6,0),0)</f>
        <v>56.6901031556835</v>
      </c>
      <c r="K11" s="105">
        <f>IF(K3-$H$3&gt;0,IF(K6&lt;&gt;"",$E$6,0),0)</f>
        <v>56.6901031556835</v>
      </c>
      <c r="L11" s="105">
        <f>IF(L3-$H$3&gt;0,IF(K6&lt;&gt;"",$E$6,0),0)</f>
        <v>56.6901031556835</v>
      </c>
      <c r="M11" s="105">
        <f>IF(M3-$H$3&gt;0,IF(K6&lt;&gt;"",$E$6,0),0)</f>
        <v>56.6901031556835</v>
      </c>
      <c r="N11" s="105">
        <f>IF(N3-$H$3&gt;0,IF(K6&lt;&gt;"",$E$6,0),0)</f>
        <v>56.6901031556835</v>
      </c>
      <c r="O11" s="105">
        <f>IF(O3-$H$3&gt;0,IF(K6&lt;&gt;"",$E$6,0),0)</f>
        <v>56.6901031556835</v>
      </c>
      <c r="P11" s="105">
        <f>IF(P3-$H$3&gt;0,IF(K6&lt;&gt;"",$E$6,0),0)</f>
        <v>56.6901031556835</v>
      </c>
      <c r="Q11" s="105">
        <f>IF(Q3-$H$3&gt;0,IF(K6&lt;&gt;"",$E$6,0),0)</f>
        <v>56.6901031556835</v>
      </c>
      <c r="R11" s="105">
        <f>IF(R3-$H$3&gt;0,IF(K6&lt;&gt;"",$E$6,0),0)</f>
        <v>56.6901031556835</v>
      </c>
      <c r="S11" s="105">
        <f>IF(S3-$H$3&gt;0,IF(K6&lt;&gt;"",$E$6,0),0)</f>
        <v>56.6901031556835</v>
      </c>
      <c r="T11" s="105">
        <f>IF(T3-$H$3&gt;0,IF(K6&lt;&gt;"",$E$6,0),0)</f>
        <v>56.6901031556835</v>
      </c>
      <c r="U11" s="105">
        <f>IF(U3-$H$3&gt;0,IF(K6&lt;&gt;"",$E$6,0),0)</f>
        <v>56.6901031556835</v>
      </c>
      <c r="V11" s="105">
        <f>IF(V3-$H$3&gt;0,IF(K6&lt;&gt;"",$E$6,0),0)</f>
        <v>56.6901031556835</v>
      </c>
      <c r="W11" s="105">
        <f>IF(W3-$H$3&gt;0,IF(K6&lt;&gt;"",$E$6,0),0)</f>
        <v>56.6901031556835</v>
      </c>
      <c r="X11" s="105">
        <f>IF(X3-$H$3&gt;0,IF(K6&lt;&gt;"",$E$6,0),0)</f>
        <v>56.6901031556835</v>
      </c>
      <c r="Y11" s="105">
        <f>IF(Y3-$H$3&gt;0,IF(K6&lt;&gt;"",$E$6,0),0)</f>
        <v>56.6901031556835</v>
      </c>
      <c r="Z11" s="105">
        <f>IF(Z3-$H$3&gt;0,IF(K6&lt;&gt;"",$E$6,0),0)</f>
        <v>56.6901031556835</v>
      </c>
      <c r="AA11" s="105">
        <f>IF(AA3-$H$3&gt;0,IF(K6&lt;&gt;"",$E$6,0),0)</f>
        <v>56.6901031556835</v>
      </c>
      <c r="AB11" s="105">
        <f>IF(AB3-$H$3&gt;0,IF(K6&lt;&gt;"",$E$6,0),0)</f>
        <v>56.6901031556835</v>
      </c>
    </row>
    <row r="12" s="98" customFormat="1" ht="16.5" customHeight="1" spans="1:28">
      <c r="A12" s="8" t="s">
        <v>266</v>
      </c>
      <c r="B12" s="8" t="s">
        <v>261</v>
      </c>
      <c r="C12" s="55" t="s">
        <v>265</v>
      </c>
      <c r="D12" s="55" t="s">
        <v>265</v>
      </c>
      <c r="E12" s="49">
        <f t="shared" ref="E12:AB12" si="1">SUM(E9:E11)</f>
        <v>2073.22628681063</v>
      </c>
      <c r="F12" s="49">
        <f t="shared" si="1"/>
        <v>0</v>
      </c>
      <c r="G12" s="49">
        <f t="shared" si="1"/>
        <v>12.9793128931351</v>
      </c>
      <c r="H12" s="49">
        <f t="shared" si="1"/>
        <v>44.1164243239917</v>
      </c>
      <c r="I12" s="49">
        <f t="shared" si="1"/>
        <v>100.806527479675</v>
      </c>
      <c r="J12" s="49">
        <f t="shared" si="1"/>
        <v>100.806527479675</v>
      </c>
      <c r="K12" s="49">
        <f t="shared" si="1"/>
        <v>100.806527479675</v>
      </c>
      <c r="L12" s="49">
        <f t="shared" si="1"/>
        <v>100.806527479675</v>
      </c>
      <c r="M12" s="49">
        <f t="shared" si="1"/>
        <v>100.806527479675</v>
      </c>
      <c r="N12" s="49">
        <f t="shared" si="1"/>
        <v>100.806527479675</v>
      </c>
      <c r="O12" s="49">
        <f t="shared" si="1"/>
        <v>100.806527479675</v>
      </c>
      <c r="P12" s="49">
        <f t="shared" si="1"/>
        <v>100.806527479675</v>
      </c>
      <c r="Q12" s="49">
        <f t="shared" si="1"/>
        <v>100.806527479675</v>
      </c>
      <c r="R12" s="49">
        <f t="shared" si="1"/>
        <v>100.806527479675</v>
      </c>
      <c r="S12" s="49">
        <f t="shared" si="1"/>
        <v>100.806527479675</v>
      </c>
      <c r="T12" s="49">
        <f t="shared" si="1"/>
        <v>100.806527479675</v>
      </c>
      <c r="U12" s="49">
        <f t="shared" si="1"/>
        <v>100.806527479675</v>
      </c>
      <c r="V12" s="49">
        <f t="shared" si="1"/>
        <v>100.806527479675</v>
      </c>
      <c r="W12" s="49">
        <f t="shared" si="1"/>
        <v>100.806527479675</v>
      </c>
      <c r="X12" s="49">
        <f t="shared" si="1"/>
        <v>100.806527479675</v>
      </c>
      <c r="Y12" s="49">
        <f t="shared" si="1"/>
        <v>100.806527479675</v>
      </c>
      <c r="Z12" s="49">
        <f t="shared" si="1"/>
        <v>100.806527479675</v>
      </c>
      <c r="AA12" s="49">
        <f t="shared" si="1"/>
        <v>100.806527479675</v>
      </c>
      <c r="AB12" s="49">
        <f t="shared" si="1"/>
        <v>100.806527479675</v>
      </c>
    </row>
  </sheetData>
  <mergeCells count="2">
    <mergeCell ref="A1:K1"/>
    <mergeCell ref="F2:K2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rgb="FFFFFF00"/>
  </sheetPr>
  <dimension ref="A1:AB50"/>
  <sheetViews>
    <sheetView zoomScale="60" zoomScaleNormal="60" workbookViewId="0">
      <pane xSplit="5" ySplit="3" topLeftCell="F4" activePane="bottomRight" state="frozen"/>
      <selection/>
      <selection pane="topRight"/>
      <selection pane="bottomLeft"/>
      <selection pane="bottomRight" activeCell="O34" sqref="O34"/>
    </sheetView>
  </sheetViews>
  <sheetFormatPr defaultColWidth="30.7818181818182" defaultRowHeight="16.5"/>
  <cols>
    <col min="1" max="1" width="9.21818181818182" style="45" customWidth="1"/>
    <col min="2" max="2" width="21.6636363636364" style="45" customWidth="1"/>
    <col min="3" max="3" width="34.8909090909091" style="45" customWidth="1"/>
    <col min="4" max="4" width="28.7818181818182" style="45" customWidth="1"/>
    <col min="5" max="5" width="16.4454545454545" style="45" customWidth="1"/>
    <col min="6" max="6" width="6.55454545454545" style="45" customWidth="1"/>
    <col min="7" max="7" width="6.55454545454545" style="85" customWidth="1"/>
    <col min="8" max="11" width="7.66363636363636" style="85" customWidth="1"/>
    <col min="12" max="28" width="8.02727272727273" style="45" customWidth="1"/>
    <col min="29" max="16384" width="30.7818181818182" style="45" customWidth="1"/>
  </cols>
  <sheetData>
    <row r="1" ht="22.5" customHeight="1" spans="1:12">
      <c r="A1" s="86" t="s">
        <v>267</v>
      </c>
      <c r="L1"/>
    </row>
    <row r="2" spans="1:12">
      <c r="A2" s="5" t="s">
        <v>1</v>
      </c>
      <c r="B2" s="5" t="s">
        <v>151</v>
      </c>
      <c r="C2" s="5" t="s">
        <v>253</v>
      </c>
      <c r="D2" s="5" t="s">
        <v>254</v>
      </c>
      <c r="E2" s="5" t="s">
        <v>255</v>
      </c>
      <c r="F2" s="87" t="s">
        <v>268</v>
      </c>
      <c r="G2" s="3"/>
      <c r="H2" s="3"/>
      <c r="I2" s="3"/>
      <c r="J2" s="3"/>
      <c r="K2" s="3"/>
      <c r="L2"/>
    </row>
    <row r="3" ht="49.5" customHeight="1" spans="1:28">
      <c r="A3" s="8"/>
      <c r="B3" s="8"/>
      <c r="C3" s="36" t="s">
        <v>269</v>
      </c>
      <c r="D3" s="88" t="s">
        <v>258</v>
      </c>
      <c r="E3" s="36" t="s">
        <v>270</v>
      </c>
      <c r="F3" s="23">
        <v>2025</v>
      </c>
      <c r="G3" s="23">
        <v>2026</v>
      </c>
      <c r="H3" s="23">
        <v>2027</v>
      </c>
      <c r="I3" s="23">
        <v>2028</v>
      </c>
      <c r="J3" s="23">
        <v>2029</v>
      </c>
      <c r="K3" s="23">
        <v>2030</v>
      </c>
      <c r="L3" s="23">
        <v>2031</v>
      </c>
      <c r="M3" s="23">
        <v>2032</v>
      </c>
      <c r="N3" s="23">
        <v>2033</v>
      </c>
      <c r="O3" s="23">
        <v>2034</v>
      </c>
      <c r="P3" s="23">
        <v>2035</v>
      </c>
      <c r="Q3" s="23">
        <v>2036</v>
      </c>
      <c r="R3" s="23">
        <v>2037</v>
      </c>
      <c r="S3" s="23">
        <v>2038</v>
      </c>
      <c r="T3" s="23">
        <v>2039</v>
      </c>
      <c r="U3" s="23">
        <v>2040</v>
      </c>
      <c r="V3" s="23">
        <v>2041</v>
      </c>
      <c r="W3" s="23">
        <v>2042</v>
      </c>
      <c r="X3" s="23">
        <v>2043</v>
      </c>
      <c r="Y3" s="23">
        <v>2044</v>
      </c>
      <c r="Z3" s="23">
        <v>2045</v>
      </c>
      <c r="AA3" s="23">
        <v>2046</v>
      </c>
      <c r="AB3" s="23">
        <v>2047</v>
      </c>
    </row>
    <row r="4" spans="1:28">
      <c r="A4" s="11" t="s">
        <v>260</v>
      </c>
      <c r="B4" s="89" t="s">
        <v>271</v>
      </c>
      <c r="C4" s="90">
        <f>C5+C9</f>
        <v>5.54349641008516</v>
      </c>
      <c r="D4" s="88" t="s">
        <v>118</v>
      </c>
      <c r="E4" s="65">
        <f t="shared" ref="E4:AB4" si="0">E5+E9</f>
        <v>0.251977109549325</v>
      </c>
      <c r="F4" s="65">
        <f t="shared" si="0"/>
        <v>0</v>
      </c>
      <c r="G4" s="65">
        <f t="shared" si="0"/>
        <v>5.29151930053583</v>
      </c>
      <c r="H4" s="65">
        <f t="shared" si="0"/>
        <v>5.0395421909865</v>
      </c>
      <c r="I4" s="65">
        <f t="shared" si="0"/>
        <v>4.78756508143718</v>
      </c>
      <c r="J4" s="65">
        <f t="shared" si="0"/>
        <v>4.53558797188785</v>
      </c>
      <c r="K4" s="65">
        <f t="shared" si="0"/>
        <v>4.28361086233853</v>
      </c>
      <c r="L4" s="65">
        <f t="shared" si="0"/>
        <v>4.0316337527892</v>
      </c>
      <c r="M4" s="65">
        <f t="shared" si="0"/>
        <v>3.77965664323988</v>
      </c>
      <c r="N4" s="65">
        <f t="shared" si="0"/>
        <v>3.52767953369055</v>
      </c>
      <c r="O4" s="65">
        <f t="shared" si="0"/>
        <v>3.27570242414123</v>
      </c>
      <c r="P4" s="65">
        <f t="shared" si="0"/>
        <v>3.0237253145919</v>
      </c>
      <c r="Q4" s="65">
        <f t="shared" si="0"/>
        <v>2.77174820504258</v>
      </c>
      <c r="R4" s="65">
        <f t="shared" si="0"/>
        <v>2.51977109549325</v>
      </c>
      <c r="S4" s="65">
        <f t="shared" si="0"/>
        <v>2.26779398594393</v>
      </c>
      <c r="T4" s="65">
        <f t="shared" si="0"/>
        <v>2.0158168763946</v>
      </c>
      <c r="U4" s="65">
        <f t="shared" si="0"/>
        <v>1.76383976684528</v>
      </c>
      <c r="V4" s="65">
        <f t="shared" si="0"/>
        <v>1.51186265729595</v>
      </c>
      <c r="W4" s="65">
        <f t="shared" si="0"/>
        <v>1.25988554774663</v>
      </c>
      <c r="X4" s="65">
        <f t="shared" si="0"/>
        <v>1.0079084381973</v>
      </c>
      <c r="Y4" s="65">
        <f t="shared" si="0"/>
        <v>0.755931328647976</v>
      </c>
      <c r="Z4" s="65">
        <f t="shared" si="0"/>
        <v>0.503954219098651</v>
      </c>
      <c r="AA4" s="65">
        <f t="shared" si="0"/>
        <v>0.251977109549325</v>
      </c>
      <c r="AB4" s="65">
        <f t="shared" si="0"/>
        <v>0</v>
      </c>
    </row>
    <row r="5" spans="1:28">
      <c r="A5" s="8" t="s">
        <v>272</v>
      </c>
      <c r="B5" s="8" t="s">
        <v>273</v>
      </c>
      <c r="C5" s="14">
        <f>SUM(C6:C8)</f>
        <v>5.54349641008516</v>
      </c>
      <c r="D5" s="91" t="s">
        <v>118</v>
      </c>
      <c r="E5" s="14">
        <f t="shared" ref="E5:AB5" si="1">SUM(E6:E8)</f>
        <v>0.251977109549325</v>
      </c>
      <c r="F5" s="14">
        <f t="shared" si="1"/>
        <v>0</v>
      </c>
      <c r="G5" s="14">
        <f t="shared" si="1"/>
        <v>5.29151930053583</v>
      </c>
      <c r="H5" s="14">
        <f t="shared" si="1"/>
        <v>5.0395421909865</v>
      </c>
      <c r="I5" s="14">
        <f t="shared" si="1"/>
        <v>4.78756508143718</v>
      </c>
      <c r="J5" s="14">
        <f t="shared" si="1"/>
        <v>4.53558797188785</v>
      </c>
      <c r="K5" s="14">
        <f t="shared" si="1"/>
        <v>4.28361086233853</v>
      </c>
      <c r="L5" s="14">
        <f t="shared" si="1"/>
        <v>4.0316337527892</v>
      </c>
      <c r="M5" s="14">
        <f t="shared" si="1"/>
        <v>3.77965664323988</v>
      </c>
      <c r="N5" s="14">
        <f t="shared" si="1"/>
        <v>3.52767953369055</v>
      </c>
      <c r="O5" s="14">
        <f t="shared" si="1"/>
        <v>3.27570242414123</v>
      </c>
      <c r="P5" s="14">
        <f t="shared" si="1"/>
        <v>3.0237253145919</v>
      </c>
      <c r="Q5" s="14">
        <f t="shared" si="1"/>
        <v>2.77174820504258</v>
      </c>
      <c r="R5" s="14">
        <f t="shared" si="1"/>
        <v>2.51977109549325</v>
      </c>
      <c r="S5" s="14">
        <f t="shared" si="1"/>
        <v>2.26779398594393</v>
      </c>
      <c r="T5" s="14">
        <f t="shared" si="1"/>
        <v>2.0158168763946</v>
      </c>
      <c r="U5" s="14">
        <f t="shared" si="1"/>
        <v>1.76383976684528</v>
      </c>
      <c r="V5" s="14">
        <f t="shared" si="1"/>
        <v>1.51186265729595</v>
      </c>
      <c r="W5" s="14">
        <f t="shared" si="1"/>
        <v>1.25988554774663</v>
      </c>
      <c r="X5" s="14">
        <f t="shared" si="1"/>
        <v>1.0079084381973</v>
      </c>
      <c r="Y5" s="14">
        <f t="shared" si="1"/>
        <v>0.755931328647976</v>
      </c>
      <c r="Z5" s="14">
        <f t="shared" si="1"/>
        <v>0.503954219098651</v>
      </c>
      <c r="AA5" s="14">
        <f t="shared" si="1"/>
        <v>0.251977109549325</v>
      </c>
      <c r="AB5" s="14">
        <f t="shared" si="1"/>
        <v>0</v>
      </c>
    </row>
    <row r="6" spans="1:28">
      <c r="A6" s="8" t="s">
        <v>274</v>
      </c>
      <c r="B6" s="8" t="s">
        <v>275</v>
      </c>
      <c r="C6" s="39">
        <v>0</v>
      </c>
      <c r="D6" s="73">
        <f>1/B项目信息!$D$8*100%</f>
        <v>0.0454545454545455</v>
      </c>
      <c r="E6" s="14">
        <f>C6*D6</f>
        <v>0</v>
      </c>
      <c r="F6" s="14">
        <f>IF(F3-$F$3&gt;0,$C$6-$E$6*(F3-$F$3),0)</f>
        <v>0</v>
      </c>
      <c r="G6" s="39">
        <f>IF(G3-$F$3&gt;0,$C$6-$E$6*(G3-$F$3),0)</f>
        <v>0</v>
      </c>
      <c r="H6" s="39">
        <f>IF(H3-$F$3&gt;0,$C$6-$E$6*(H3-$F$3),0)</f>
        <v>0</v>
      </c>
      <c r="I6" s="39">
        <f>IF(I3-$F$3&gt;0,$C$6-$E$6*(I3-$F$3),0)</f>
        <v>0</v>
      </c>
      <c r="J6" s="39">
        <f>IF(J3-$F$3&gt;0,$C$6-$E$6*(J3-$F$3),0)</f>
        <v>0</v>
      </c>
      <c r="K6" s="39">
        <f>IF(K3-$F$3&gt;0,$C$6-$E$6*(K3-$F$3),0)</f>
        <v>0</v>
      </c>
      <c r="L6" s="39">
        <f>IF(L3-$F$3&gt;0,$C$6-$E$6*(L3-$F$3),0)</f>
        <v>0</v>
      </c>
      <c r="M6" s="39">
        <f>IF(M3-$F$3&gt;0,$C$6-$E$6*(M3-$F$3),0)</f>
        <v>0</v>
      </c>
      <c r="N6" s="39">
        <f>IF(N3-$F$3&gt;0,$C$6-$E$6*(N3-$F$3),0)</f>
        <v>0</v>
      </c>
      <c r="O6" s="39">
        <f>IF(O3-$F$3&gt;0,$C$6-$E$6*(O3-$F$3),0)</f>
        <v>0</v>
      </c>
      <c r="P6" s="39">
        <f>IF(P3-$F$3&gt;0,$C$6-$E$6*(P3-$F$3),0)</f>
        <v>0</v>
      </c>
      <c r="Q6" s="39">
        <f>IF(Q3-$F$3&gt;0,$C$6-$E$6*(Q3-$F$3),0)</f>
        <v>0</v>
      </c>
      <c r="R6" s="39">
        <f>IF(R3-$F$3&gt;0,$C$6-$E$6*(R3-$F$3),0)</f>
        <v>0</v>
      </c>
      <c r="S6" s="39">
        <f>IF(S3-$F$3&gt;0,$C$6-$E$6*(S3-$F$3),0)</f>
        <v>0</v>
      </c>
      <c r="T6" s="39">
        <f>IF(T3-$F$3&gt;0,$C$6-$E$6*(T3-$F$3),0)</f>
        <v>0</v>
      </c>
      <c r="U6" s="39">
        <f>IF(U3-$F$3&gt;0,$C$6-$E$6*(U3-$F$3),0)</f>
        <v>0</v>
      </c>
      <c r="V6" s="39">
        <f>IF(V3-$F$3&gt;0,$C$6-$E$6*(V3-$F$3),0)</f>
        <v>0</v>
      </c>
      <c r="W6" s="39">
        <f>IF(W3-$F$3&gt;0,$C$6-$E$6*(W3-$F$3),0)</f>
        <v>0</v>
      </c>
      <c r="X6" s="39">
        <f>IF(X3-$F$3&gt;0,$C$6-$E$6*(X3-$F$3),0)</f>
        <v>0</v>
      </c>
      <c r="Y6" s="39">
        <f>IF(Y3-$F$3&gt;0,$C$6-$E$6*(Y3-$F$3),0)</f>
        <v>0</v>
      </c>
      <c r="Z6" s="39">
        <f>IF(Z3-$F$3&gt;0,$C$6-$E$6*(Z3-$F$3),0)</f>
        <v>0</v>
      </c>
      <c r="AA6" s="39">
        <f>IF(AA3-$F$3&gt;0,$C$6-$E$6*(AA3-$F$3),0)</f>
        <v>0</v>
      </c>
      <c r="AB6" s="39">
        <f>IF(AB3-$F$3&gt;0,$C$6-$E$6*(AB3-$F$3),0)</f>
        <v>0</v>
      </c>
    </row>
    <row r="7" spans="1:28">
      <c r="A7" s="8" t="s">
        <v>276</v>
      </c>
      <c r="B7" s="8" t="s">
        <v>277</v>
      </c>
      <c r="C7" s="39">
        <v>0</v>
      </c>
      <c r="D7" s="73">
        <f>1/B项目信息!$D$8*100%</f>
        <v>0.0454545454545455</v>
      </c>
      <c r="E7" s="14">
        <f>C7*D7</f>
        <v>0</v>
      </c>
      <c r="F7" s="14">
        <f>IF(F3-$F$3&gt;0,$C$7-$E$7*(F3-$F$3),0)</f>
        <v>0</v>
      </c>
      <c r="G7" s="39">
        <f>IF(G3-$F$3&gt;0,$C$7-$E$7*(G3-$F$3),0)</f>
        <v>0</v>
      </c>
      <c r="H7" s="39">
        <f>IF(H3-$F$3&gt;0,$C$7-$E$7*(H3-$F$3),0)</f>
        <v>0</v>
      </c>
      <c r="I7" s="39">
        <f>IF(I3-$F$3&gt;0,$C$7-$E$7*(I3-$F$3),0)</f>
        <v>0</v>
      </c>
      <c r="J7" s="39">
        <f>IF(J3-$F$3&gt;0,$C$7-$E$7*(J3-$F$3),0)</f>
        <v>0</v>
      </c>
      <c r="K7" s="39">
        <f>IF(K3-$F$3&gt;0,$C$7-$E$7*(K3-$F$3),0)</f>
        <v>0</v>
      </c>
      <c r="L7" s="39">
        <f>IF(L3-$F$3&gt;0,$C$7-$E$7*(L3-$F$3),0)</f>
        <v>0</v>
      </c>
      <c r="M7" s="39">
        <f>IF(M3-$F$3&gt;0,$C$7-$E$7*(M3-$F$3),0)</f>
        <v>0</v>
      </c>
      <c r="N7" s="39">
        <f>IF(N3-$F$3&gt;0,$C$7-$E$7*(N3-$F$3),0)</f>
        <v>0</v>
      </c>
      <c r="O7" s="39">
        <f>IF(O3-$F$3&gt;0,$C$7-$E$7*(O3-$F$3),0)</f>
        <v>0</v>
      </c>
      <c r="P7" s="39">
        <f>IF(P3-$F$3&gt;0,$C$7-$E$7*(P3-$F$3),0)</f>
        <v>0</v>
      </c>
      <c r="Q7" s="39">
        <f>IF(Q3-$F$3&gt;0,$C$7-$E$7*(Q3-$F$3),0)</f>
        <v>0</v>
      </c>
      <c r="R7" s="39">
        <f>IF(R3-$F$3&gt;0,$C$7-$E$7*(R3-$F$3),0)</f>
        <v>0</v>
      </c>
      <c r="S7" s="39">
        <f>IF(S3-$F$3&gt;0,$C$7-$E$7*(S3-$F$3),0)</f>
        <v>0</v>
      </c>
      <c r="T7" s="39">
        <f>IF(T3-$F$3&gt;0,$C$7-$E$7*(T3-$F$3),0)</f>
        <v>0</v>
      </c>
      <c r="U7" s="39">
        <f>IF(U3-$F$3&gt;0,$C$7-$E$7*(U3-$F$3),0)</f>
        <v>0</v>
      </c>
      <c r="V7" s="39">
        <f>IF(V3-$F$3&gt;0,$C$7-$E$7*(V3-$F$3),0)</f>
        <v>0</v>
      </c>
      <c r="W7" s="39">
        <f>IF(W3-$F$3&gt;0,$C$7-$E$7*(W3-$F$3),0)</f>
        <v>0</v>
      </c>
      <c r="X7" s="39">
        <f>IF(X3-$F$3&gt;0,$C$7-$E$7*(X3-$F$3),0)</f>
        <v>0</v>
      </c>
      <c r="Y7" s="39">
        <f>IF(Y3-$F$3&gt;0,$C$7-$E$7*(Y3-$F$3),0)</f>
        <v>0</v>
      </c>
      <c r="Z7" s="39">
        <f>IF(Z3-$F$3&gt;0,$C$7-$E$7*(Z3-$F$3),0)</f>
        <v>0</v>
      </c>
      <c r="AA7" s="39">
        <f>IF(AA3-$F$3&gt;0,$C$7-$E$7*(AA3-$F$3),0)</f>
        <v>0</v>
      </c>
      <c r="AB7" s="39">
        <f>IF(AB3-$F$3&gt;0,$C$7-$E$7*(AB3-$F$3),0)</f>
        <v>0</v>
      </c>
    </row>
    <row r="8" spans="1:28">
      <c r="A8" s="8" t="s">
        <v>278</v>
      </c>
      <c r="B8" s="36" t="s">
        <v>279</v>
      </c>
      <c r="C8" s="92">
        <f>E.4建设投资税后金额表!H10+E.4建设投资税后金额表!H11+E.4建设投资税后金额表!H12</f>
        <v>5.54349641008516</v>
      </c>
      <c r="D8" s="93">
        <f>1/B项目信息!$D$8*100%</f>
        <v>0.0454545454545455</v>
      </c>
      <c r="E8" s="14">
        <f>C8*D8</f>
        <v>0.251977109549325</v>
      </c>
      <c r="F8" s="14">
        <f>IF(F3-$F$3&gt;0,$C$8-$E$8*(F3-$F$3),0)</f>
        <v>0</v>
      </c>
      <c r="G8" s="40">
        <f>IF(G3-$F$3&gt;0,$C$8-$E$8*(G3-$F$3),0)</f>
        <v>5.29151930053583</v>
      </c>
      <c r="H8" s="40">
        <f>IF(H3-$F$3&gt;0,$C$8-$E$8*(H3-$F$3),0)</f>
        <v>5.0395421909865</v>
      </c>
      <c r="I8" s="40">
        <f>IF(I3-$F$3&gt;0,$C$8-$E$8*(I3-$F$3),0)</f>
        <v>4.78756508143718</v>
      </c>
      <c r="J8" s="40">
        <f>IF(J3-$F$3&gt;0,$C$8-$E$8*(J3-$F$3),0)</f>
        <v>4.53558797188785</v>
      </c>
      <c r="K8" s="40">
        <f>IF(K3-$F$3&gt;0,$C$8-$E$8*(K3-$F$3),0)</f>
        <v>4.28361086233853</v>
      </c>
      <c r="L8" s="40">
        <f>IF(L3-$F$3&gt;0,$C$8-$E$8*(L3-$F$3),0)</f>
        <v>4.0316337527892</v>
      </c>
      <c r="M8" s="40">
        <f>IF(M3-$F$3&gt;0,$C$8-$E$8*(M3-$F$3),0)</f>
        <v>3.77965664323988</v>
      </c>
      <c r="N8" s="40">
        <f>IF(N3-$F$3&gt;0,$C$8-$E$8*(N3-$F$3),0)</f>
        <v>3.52767953369055</v>
      </c>
      <c r="O8" s="40">
        <f>IF(O3-$F$3&gt;0,$C$8-$E$8*(O3-$F$3),0)</f>
        <v>3.27570242414123</v>
      </c>
      <c r="P8" s="40">
        <f>IF(P3-$F$3&gt;0,$C$8-$E$8*(P3-$F$3),0)</f>
        <v>3.0237253145919</v>
      </c>
      <c r="Q8" s="40">
        <f>IF(Q3-$F$3&gt;0,$C$8-$E$8*(Q3-$F$3),0)</f>
        <v>2.77174820504258</v>
      </c>
      <c r="R8" s="40">
        <f>IF(R3-$F$3&gt;0,$C$8-$E$8*(R3-$F$3),0)</f>
        <v>2.51977109549325</v>
      </c>
      <c r="S8" s="40">
        <f>IF(S3-$F$3&gt;0,$C$8-$E$8*(S3-$F$3),0)</f>
        <v>2.26779398594393</v>
      </c>
      <c r="T8" s="40">
        <f>IF(T3-$F$3&gt;0,$C$8-$E$8*(T3-$F$3),0)</f>
        <v>2.0158168763946</v>
      </c>
      <c r="U8" s="40">
        <f>IF(U3-$F$3&gt;0,$C$8-$E$8*(U3-$F$3),0)</f>
        <v>1.76383976684528</v>
      </c>
      <c r="V8" s="40">
        <f>IF(V3-$F$3&gt;0,$C$8-$E$8*(V3-$F$3),0)</f>
        <v>1.51186265729595</v>
      </c>
      <c r="W8" s="40">
        <f>IF(W3-$F$3&gt;0,$C$8-$E$8*(W3-$F$3),0)</f>
        <v>1.25988554774663</v>
      </c>
      <c r="X8" s="40">
        <f>IF(X3-$F$3&gt;0,$C$8-$E$8*(X3-$F$3),0)</f>
        <v>1.0079084381973</v>
      </c>
      <c r="Y8" s="40">
        <f>IF(Y3-$F$3&gt;0,$C$8-$E$8*(Y3-$F$3),0)</f>
        <v>0.755931328647976</v>
      </c>
      <c r="Z8" s="40">
        <f>IF(Z3-$F$3&gt;0,$C$8-$E$8*(Z3-$F$3),0)</f>
        <v>0.503954219098651</v>
      </c>
      <c r="AA8" s="40">
        <f>IF(AA3-$F$3&gt;0,$C$8-$E$8*(AA3-$F$3),0)</f>
        <v>0.251977109549325</v>
      </c>
      <c r="AB8" s="40">
        <f>IF(AB3-$F$3&gt;0,$C$8-$E$8*(AB3-$F$3),0)</f>
        <v>0</v>
      </c>
    </row>
    <row r="9" spans="1:28">
      <c r="A9" s="8" t="s">
        <v>280</v>
      </c>
      <c r="B9" s="8" t="s">
        <v>281</v>
      </c>
      <c r="C9" s="14">
        <f>C10</f>
        <v>0</v>
      </c>
      <c r="D9" s="94" t="s">
        <v>118</v>
      </c>
      <c r="E9" s="14">
        <f t="shared" ref="E9:AB9" si="2">E10</f>
        <v>0</v>
      </c>
      <c r="F9" s="14">
        <f t="shared" si="2"/>
        <v>0</v>
      </c>
      <c r="G9" s="14">
        <f t="shared" si="2"/>
        <v>0</v>
      </c>
      <c r="H9" s="14">
        <f t="shared" si="2"/>
        <v>0</v>
      </c>
      <c r="I9" s="14">
        <f t="shared" si="2"/>
        <v>0</v>
      </c>
      <c r="J9" s="14">
        <f t="shared" si="2"/>
        <v>0</v>
      </c>
      <c r="K9" s="14">
        <f t="shared" si="2"/>
        <v>0</v>
      </c>
      <c r="L9" s="14">
        <f t="shared" si="2"/>
        <v>0</v>
      </c>
      <c r="M9" s="14">
        <f t="shared" si="2"/>
        <v>0</v>
      </c>
      <c r="N9" s="14">
        <f t="shared" si="2"/>
        <v>0</v>
      </c>
      <c r="O9" s="14">
        <f t="shared" si="2"/>
        <v>0</v>
      </c>
      <c r="P9" s="14">
        <f t="shared" si="2"/>
        <v>0</v>
      </c>
      <c r="Q9" s="14">
        <f t="shared" si="2"/>
        <v>0</v>
      </c>
      <c r="R9" s="14">
        <f t="shared" si="2"/>
        <v>0</v>
      </c>
      <c r="S9" s="14">
        <f t="shared" si="2"/>
        <v>0</v>
      </c>
      <c r="T9" s="14">
        <f t="shared" si="2"/>
        <v>0</v>
      </c>
      <c r="U9" s="14">
        <f t="shared" si="2"/>
        <v>0</v>
      </c>
      <c r="V9" s="14">
        <f t="shared" si="2"/>
        <v>0</v>
      </c>
      <c r="W9" s="14">
        <f t="shared" si="2"/>
        <v>0</v>
      </c>
      <c r="X9" s="14">
        <f t="shared" si="2"/>
        <v>0</v>
      </c>
      <c r="Y9" s="14">
        <f t="shared" si="2"/>
        <v>0</v>
      </c>
      <c r="Z9" s="14">
        <f t="shared" si="2"/>
        <v>0</v>
      </c>
      <c r="AA9" s="14">
        <f t="shared" si="2"/>
        <v>0</v>
      </c>
      <c r="AB9" s="14">
        <f t="shared" si="2"/>
        <v>0</v>
      </c>
    </row>
    <row r="10" spans="1:28">
      <c r="A10" s="8" t="s">
        <v>160</v>
      </c>
      <c r="B10" s="8" t="s">
        <v>282</v>
      </c>
      <c r="C10" s="39">
        <v>0</v>
      </c>
      <c r="D10" s="73">
        <f>1/B项目信息!$D$8*100%</f>
        <v>0.0454545454545455</v>
      </c>
      <c r="E10" s="14">
        <f>C10*D10</f>
        <v>0</v>
      </c>
      <c r="F10" s="14">
        <f>IF(F3-$F$3&gt;0,$C$10-$E$10*(F3-$F$3),0)</f>
        <v>0</v>
      </c>
      <c r="G10" s="39">
        <f>IF(G3-$F$3&gt;0,$C$10-$E$10*(G3-$F$3),0)</f>
        <v>0</v>
      </c>
      <c r="H10" s="39">
        <f>IF(H3-$F$3&gt;0,$C$10-$E$10*(H3-$F$3),0)</f>
        <v>0</v>
      </c>
      <c r="I10" s="39">
        <f>IF(I3-$F$3&gt;0,$C$10-$E$10*(I3-$F$3),0)</f>
        <v>0</v>
      </c>
      <c r="J10" s="39">
        <f>IF(J3-$F$3&gt;0,$C$10-$E$10*(J3-$F$3),0)</f>
        <v>0</v>
      </c>
      <c r="K10" s="39">
        <f>IF(K3-$F$3&gt;0,$C$10-$E$10*(K3-$F$3),0)</f>
        <v>0</v>
      </c>
      <c r="L10" s="39">
        <f>IF(L3-$F$3&gt;0,$C$10-$E$10*(L3-$F$3),0)</f>
        <v>0</v>
      </c>
      <c r="M10" s="39">
        <f>IF(M3-$F$3&gt;0,$C$10-$E$10*(M3-$F$3),0)</f>
        <v>0</v>
      </c>
      <c r="N10" s="39">
        <f>IF(N3-$F$3&gt;0,$C$10-$E$10*(N3-$F$3),0)</f>
        <v>0</v>
      </c>
      <c r="O10" s="39">
        <f>IF(O3-$F$3&gt;0,$C$10-$E$10*(O3-$F$3),0)</f>
        <v>0</v>
      </c>
      <c r="P10" s="39">
        <f>IF(P3-$F$3&gt;0,$C$10-$E$10*(P3-$F$3),0)</f>
        <v>0</v>
      </c>
      <c r="Q10" s="39">
        <f>IF(Q3-$F$3&gt;0,$C$10-$E$10*(Q3-$F$3),0)</f>
        <v>0</v>
      </c>
      <c r="R10" s="39">
        <f>IF(R3-$F$3&gt;0,$C$10-$E$10*(R3-$F$3),0)</f>
        <v>0</v>
      </c>
      <c r="S10" s="39">
        <f>IF(S3-$F$3&gt;0,$C$10-$E$10*(S3-$F$3),0)</f>
        <v>0</v>
      </c>
      <c r="T10" s="39">
        <f>IF(T3-$F$3&gt;0,$C$10-$E$10*(T3-$F$3),0)</f>
        <v>0</v>
      </c>
      <c r="U10" s="39">
        <f>IF(U3-$F$3&gt;0,$C$10-$E$10*(U3-$F$3),0)</f>
        <v>0</v>
      </c>
      <c r="V10" s="39">
        <f>IF(V3-$F$3&gt;0,$C$10-$E$10*(V3-$F$3),0)</f>
        <v>0</v>
      </c>
      <c r="W10" s="39">
        <f>IF(W3-$F$3&gt;0,$C$10-$E$10*(W3-$F$3),0)</f>
        <v>0</v>
      </c>
      <c r="X10" s="39">
        <f>IF(X3-$F$3&gt;0,$C$10-$E$10*(X3-$F$3),0)</f>
        <v>0</v>
      </c>
      <c r="Y10" s="39">
        <f>IF(Y3-$F$3&gt;0,$C$10-$E$10*(Y3-$F$3),0)</f>
        <v>0</v>
      </c>
      <c r="Z10" s="39">
        <f>IF(Z3-$F$3&gt;0,$C$10-$E$10*(Z3-$F$3),0)</f>
        <v>0</v>
      </c>
      <c r="AA10" s="39">
        <f>IF(AA3-$F$3&gt;0,$C$10-$E$10*(AA3-$F$3),0)</f>
        <v>0</v>
      </c>
      <c r="AB10" s="39">
        <f>IF(AB3-$F$3&gt;0,$C$10-$E$10*(AB3-$F$3),0)</f>
        <v>0</v>
      </c>
    </row>
    <row r="11" spans="1:28">
      <c r="A11" s="11" t="s">
        <v>262</v>
      </c>
      <c r="B11" s="89" t="s">
        <v>283</v>
      </c>
      <c r="C11" s="14">
        <f>C12+C16</f>
        <v>5.54349641008516</v>
      </c>
      <c r="D11" s="41" t="s">
        <v>118</v>
      </c>
      <c r="E11" s="14">
        <f t="shared" ref="E11:AB11" si="3">E12+E16</f>
        <v>0.263976019527865</v>
      </c>
      <c r="F11" s="14">
        <f t="shared" si="3"/>
        <v>0</v>
      </c>
      <c r="G11" s="14">
        <f t="shared" si="3"/>
        <v>0</v>
      </c>
      <c r="H11" s="14">
        <f t="shared" si="3"/>
        <v>5.27952039055729</v>
      </c>
      <c r="I11" s="14">
        <f t="shared" si="3"/>
        <v>5.01554437102943</v>
      </c>
      <c r="J11" s="14">
        <f t="shared" si="3"/>
        <v>4.75156835150156</v>
      </c>
      <c r="K11" s="14">
        <f t="shared" si="3"/>
        <v>4.4875923319737</v>
      </c>
      <c r="L11" s="14">
        <f t="shared" si="3"/>
        <v>4.22361631244583</v>
      </c>
      <c r="M11" s="14">
        <f t="shared" si="3"/>
        <v>3.95964029291797</v>
      </c>
      <c r="N11" s="14">
        <f t="shared" si="3"/>
        <v>3.6956642733901</v>
      </c>
      <c r="O11" s="14">
        <f t="shared" si="3"/>
        <v>3.43168825386224</v>
      </c>
      <c r="P11" s="14">
        <f t="shared" si="3"/>
        <v>3.16771223433437</v>
      </c>
      <c r="Q11" s="14">
        <f t="shared" si="3"/>
        <v>2.90373621480651</v>
      </c>
      <c r="R11" s="14">
        <f t="shared" si="3"/>
        <v>2.63976019527865</v>
      </c>
      <c r="S11" s="14">
        <f t="shared" si="3"/>
        <v>2.37578417575078</v>
      </c>
      <c r="T11" s="14">
        <f t="shared" si="3"/>
        <v>2.11180815622292</v>
      </c>
      <c r="U11" s="14">
        <f t="shared" si="3"/>
        <v>1.84783213669505</v>
      </c>
      <c r="V11" s="14">
        <f t="shared" si="3"/>
        <v>1.58385611716719</v>
      </c>
      <c r="W11" s="14">
        <f t="shared" si="3"/>
        <v>1.31988009763932</v>
      </c>
      <c r="X11" s="14">
        <f t="shared" si="3"/>
        <v>1.05590407811146</v>
      </c>
      <c r="Y11" s="14">
        <f t="shared" si="3"/>
        <v>0.791928058583593</v>
      </c>
      <c r="Z11" s="14">
        <f t="shared" si="3"/>
        <v>0.527952039055729</v>
      </c>
      <c r="AA11" s="14">
        <f t="shared" si="3"/>
        <v>0.263976019527864</v>
      </c>
      <c r="AB11" s="14">
        <f t="shared" si="3"/>
        <v>0</v>
      </c>
    </row>
    <row r="12" spans="1:28">
      <c r="A12" s="8" t="s">
        <v>284</v>
      </c>
      <c r="B12" s="8" t="s">
        <v>273</v>
      </c>
      <c r="C12" s="14">
        <f>SUM(C13:C15)</f>
        <v>5.54349641008516</v>
      </c>
      <c r="D12" s="41" t="s">
        <v>118</v>
      </c>
      <c r="E12" s="14">
        <f t="shared" ref="E12:AB12" si="4">SUM(E13:E15)</f>
        <v>0.263976019527865</v>
      </c>
      <c r="F12" s="14">
        <f t="shared" si="4"/>
        <v>0</v>
      </c>
      <c r="G12" s="14">
        <f t="shared" si="4"/>
        <v>0</v>
      </c>
      <c r="H12" s="39">
        <f t="shared" si="4"/>
        <v>5.27952039055729</v>
      </c>
      <c r="I12" s="39">
        <f t="shared" si="4"/>
        <v>5.01554437102943</v>
      </c>
      <c r="J12" s="39">
        <f t="shared" si="4"/>
        <v>4.75156835150156</v>
      </c>
      <c r="K12" s="39">
        <f t="shared" si="4"/>
        <v>4.4875923319737</v>
      </c>
      <c r="L12" s="39">
        <f t="shared" si="4"/>
        <v>4.22361631244583</v>
      </c>
      <c r="M12" s="39">
        <f t="shared" si="4"/>
        <v>3.95964029291797</v>
      </c>
      <c r="N12" s="39">
        <f t="shared" si="4"/>
        <v>3.6956642733901</v>
      </c>
      <c r="O12" s="39">
        <f t="shared" si="4"/>
        <v>3.43168825386224</v>
      </c>
      <c r="P12" s="39">
        <f t="shared" si="4"/>
        <v>3.16771223433437</v>
      </c>
      <c r="Q12" s="39">
        <f t="shared" si="4"/>
        <v>2.90373621480651</v>
      </c>
      <c r="R12" s="39">
        <f t="shared" si="4"/>
        <v>2.63976019527865</v>
      </c>
      <c r="S12" s="39">
        <f t="shared" si="4"/>
        <v>2.37578417575078</v>
      </c>
      <c r="T12" s="39">
        <f t="shared" si="4"/>
        <v>2.11180815622292</v>
      </c>
      <c r="U12" s="39">
        <f t="shared" si="4"/>
        <v>1.84783213669505</v>
      </c>
      <c r="V12" s="39">
        <f t="shared" si="4"/>
        <v>1.58385611716719</v>
      </c>
      <c r="W12" s="39">
        <f t="shared" si="4"/>
        <v>1.31988009763932</v>
      </c>
      <c r="X12" s="39">
        <f t="shared" si="4"/>
        <v>1.05590407811146</v>
      </c>
      <c r="Y12" s="39">
        <f t="shared" si="4"/>
        <v>0.791928058583593</v>
      </c>
      <c r="Z12" s="39">
        <f t="shared" si="4"/>
        <v>0.527952039055729</v>
      </c>
      <c r="AA12" s="39">
        <f t="shared" si="4"/>
        <v>0.263976019527864</v>
      </c>
      <c r="AB12" s="39">
        <f t="shared" si="4"/>
        <v>0</v>
      </c>
    </row>
    <row r="13" spans="1:28">
      <c r="A13" s="8" t="s">
        <v>106</v>
      </c>
      <c r="B13" s="8" t="s">
        <v>275</v>
      </c>
      <c r="C13" s="39">
        <v>0</v>
      </c>
      <c r="D13" s="73">
        <f>1/B项目信息!$D$14*100%</f>
        <v>0.0476190476190476</v>
      </c>
      <c r="E13" s="14">
        <f>C13*D13</f>
        <v>0</v>
      </c>
      <c r="F13" s="14">
        <f>IF(F3-$G$3&gt;0,$C$13-$E$13*(F3-$G$3),0)</f>
        <v>0</v>
      </c>
      <c r="G13" s="14">
        <f>IF(G3-$G$3&gt;0,$C$13-$E$13*(G3-$G$3),0)</f>
        <v>0</v>
      </c>
      <c r="H13" s="39">
        <f>IF(H3-$G$3&gt;0,$C$13-$E$13*(H3-$G$3),0)</f>
        <v>0</v>
      </c>
      <c r="I13" s="39">
        <f>IF(I3-$G$3&gt;0,$C$13-$E$13*(I3-$G$3),0)</f>
        <v>0</v>
      </c>
      <c r="J13" s="39">
        <f>IF(J3-$G$3&gt;0,$C$13-$E$13*(J3-$G$3),0)</f>
        <v>0</v>
      </c>
      <c r="K13" s="39">
        <f>IF(K3-$G$3&gt;0,$C$13-$E$13*(K3-$G$3),0)</f>
        <v>0</v>
      </c>
      <c r="L13" s="39">
        <f>IF(L3-$G$3&gt;0,$C$13-$E$13*(L3-$G$3),0)</f>
        <v>0</v>
      </c>
      <c r="M13" s="39">
        <f>IF(M3-$G$3&gt;0,$C$13-$E$13*(M3-$G$3),0)</f>
        <v>0</v>
      </c>
      <c r="N13" s="39">
        <f>IF(N3-$G$3&gt;0,$C$13-$E$13*(N3-$G$3),0)</f>
        <v>0</v>
      </c>
      <c r="O13" s="39">
        <f>IF(O3-$G$3&gt;0,$C$13-$E$13*(O3-$G$3),0)</f>
        <v>0</v>
      </c>
      <c r="P13" s="39">
        <f>IF(P3-$G$3&gt;0,$C$13-$E$13*(P3-$G$3),0)</f>
        <v>0</v>
      </c>
      <c r="Q13" s="39">
        <f>IF(Q3-$G$3&gt;0,$C$13-$E$13*(Q3-$G$3),0)</f>
        <v>0</v>
      </c>
      <c r="R13" s="39">
        <f>IF(R3-$G$3&gt;0,$C$13-$E$13*(R3-$G$3),0)</f>
        <v>0</v>
      </c>
      <c r="S13" s="39">
        <f>IF(S3-$G$3&gt;0,$C$13-$E$13*(S3-$G$3),0)</f>
        <v>0</v>
      </c>
      <c r="T13" s="39">
        <f>IF(T3-$G$3&gt;0,$C$13-$E$13*(T3-$G$3),0)</f>
        <v>0</v>
      </c>
      <c r="U13" s="39">
        <f>IF(U3-$G$3&gt;0,$C$13-$E$13*(U3-$G$3),0)</f>
        <v>0</v>
      </c>
      <c r="V13" s="39">
        <f>IF(V3-$G$3&gt;0,$C$13-$E$13*(V3-$G$3),0)</f>
        <v>0</v>
      </c>
      <c r="W13" s="39">
        <f>IF(W3-$G$3&gt;0,$C$13-$E$13*(W3-$G$3),0)</f>
        <v>0</v>
      </c>
      <c r="X13" s="39">
        <f>IF(X3-$G$3&gt;0,$C$13-$E$13*(X3-$G$3),0)</f>
        <v>0</v>
      </c>
      <c r="Y13" s="39">
        <f>IF(Y3-$G$3&gt;0,$C$13-$E$13*(Y3-$G$3),0)</f>
        <v>0</v>
      </c>
      <c r="Z13" s="39">
        <f>IF(Z3-$G$3&gt;0,$C$13-$E$13*(Z3-$G$3),0)</f>
        <v>0</v>
      </c>
      <c r="AA13" s="39">
        <f>IF(AA3-$G$3&gt;0,$C$13-$E$13*(AA3-$G$3),0)</f>
        <v>0</v>
      </c>
      <c r="AB13" s="39">
        <f>IF(AB3-$G$3&gt;0,$C$13-$E$13*(AB3-$G$3),0)</f>
        <v>0</v>
      </c>
    </row>
    <row r="14" spans="1:28">
      <c r="A14" s="8" t="s">
        <v>108</v>
      </c>
      <c r="B14" s="8" t="s">
        <v>277</v>
      </c>
      <c r="C14" s="39">
        <v>0</v>
      </c>
      <c r="D14" s="73">
        <f>1/B项目信息!$D$14*100%</f>
        <v>0.0476190476190476</v>
      </c>
      <c r="E14" s="14">
        <f>C14*D14</f>
        <v>0</v>
      </c>
      <c r="F14" s="14">
        <f>IF(F3-$G$3&gt;0,$C$14-$E$14*(F3-$G$3),0)</f>
        <v>0</v>
      </c>
      <c r="G14" s="14">
        <f>IF(G3-$G$3&gt;0,$C$14-$E$14*(G3-$G$3),0)</f>
        <v>0</v>
      </c>
      <c r="H14" s="39">
        <f>IF(H3-$G$3&gt;0,$C$14-$E$14*(H3-$G$3),0)</f>
        <v>0</v>
      </c>
      <c r="I14" s="39">
        <f>IF(I3-$G$3&gt;0,$C$14-$E$14*(I3-$G$3),0)</f>
        <v>0</v>
      </c>
      <c r="J14" s="39">
        <f>IF(J3-$G$3&gt;0,$C$14-$E$14*(J3-$G$3),0)</f>
        <v>0</v>
      </c>
      <c r="K14" s="39">
        <f>IF(K3-$G$3&gt;0,$C$14-$E$14*(K3-$G$3),0)</f>
        <v>0</v>
      </c>
      <c r="L14" s="39">
        <f>IF(L3-$G$3&gt;0,$C$14-$E$14*(L3-$G$3),0)</f>
        <v>0</v>
      </c>
      <c r="M14" s="39">
        <f>IF(M3-$G$3&gt;0,$C$14-$E$14*(M3-$G$3),0)</f>
        <v>0</v>
      </c>
      <c r="N14" s="39">
        <f>IF(N3-$G$3&gt;0,$C$14-$E$14*(N3-$G$3),0)</f>
        <v>0</v>
      </c>
      <c r="O14" s="39">
        <f>IF(O3-$G$3&gt;0,$C$14-$E$14*(O3-$G$3),0)</f>
        <v>0</v>
      </c>
      <c r="P14" s="39">
        <f>IF(P3-$G$3&gt;0,$C$14-$E$14*(P3-$G$3),0)</f>
        <v>0</v>
      </c>
      <c r="Q14" s="39">
        <f>IF(Q3-$G$3&gt;0,$C$14-$E$14*(Q3-$G$3),0)</f>
        <v>0</v>
      </c>
      <c r="R14" s="39">
        <f>IF(R3-$G$3&gt;0,$C$14-$E$14*(R3-$G$3),0)</f>
        <v>0</v>
      </c>
      <c r="S14" s="39">
        <f>IF(S3-$G$3&gt;0,$C$14-$E$14*(S3-$G$3),0)</f>
        <v>0</v>
      </c>
      <c r="T14" s="39">
        <f>IF(T3-$G$3&gt;0,$C$14-$E$14*(T3-$G$3),0)</f>
        <v>0</v>
      </c>
      <c r="U14" s="39">
        <f>IF(U3-$G$3&gt;0,$C$14-$E$14*(U3-$G$3),0)</f>
        <v>0</v>
      </c>
      <c r="V14" s="39">
        <f>IF(V3-$G$3&gt;0,$C$14-$E$14*(V3-$G$3),0)</f>
        <v>0</v>
      </c>
      <c r="W14" s="39">
        <f>IF(W3-$G$3&gt;0,$C$14-$E$14*(W3-$G$3),0)</f>
        <v>0</v>
      </c>
      <c r="X14" s="39">
        <f>IF(X3-$G$3&gt;0,$C$14-$E$14*(X3-$G$3),0)</f>
        <v>0</v>
      </c>
      <c r="Y14" s="39">
        <f>IF(Y3-$G$3&gt;0,$C$14-$E$14*(Y3-$G$3),0)</f>
        <v>0</v>
      </c>
      <c r="Z14" s="39">
        <f>IF(Z3-$G$3&gt;0,$C$14-$E$14*(Z3-$G$3),0)</f>
        <v>0</v>
      </c>
      <c r="AA14" s="39">
        <f>IF(AA3-$G$3&gt;0,$C$14-$E$14*(AA3-$G$3),0)</f>
        <v>0</v>
      </c>
      <c r="AB14" s="39">
        <f>IF(AB3-$G$3&gt;0,$C$14-$E$14*(AB3-$G$3),0)</f>
        <v>0</v>
      </c>
    </row>
    <row r="15" spans="1:28">
      <c r="A15" s="8" t="s">
        <v>110</v>
      </c>
      <c r="B15" s="36" t="s">
        <v>279</v>
      </c>
      <c r="C15" s="40">
        <f>E.4建设投资税后金额表!I10+E.4建设投资税后金额表!I11+E.4建设投资税后金额表!I12</f>
        <v>5.54349641008516</v>
      </c>
      <c r="D15" s="93">
        <f>1/B项目信息!$D$14*100%</f>
        <v>0.0476190476190476</v>
      </c>
      <c r="E15" s="14">
        <f>C15*D15</f>
        <v>0.263976019527865</v>
      </c>
      <c r="F15" s="14">
        <f>IF(F3-$G$3&gt;0,$C$15-$E$15*(F3-$G$3),0)</f>
        <v>0</v>
      </c>
      <c r="G15" s="14">
        <f>IF(G3-$G$3&gt;0,$C$15-$E$15*(G3-$G$3),0)</f>
        <v>0</v>
      </c>
      <c r="H15" s="40">
        <f>IF(H3-$G$3&gt;0,$C$15-$E$15*(H3-$G$3),0)</f>
        <v>5.27952039055729</v>
      </c>
      <c r="I15" s="40">
        <f>IF(I3-$G$3&gt;0,$C$15-$E$15*(I3-$G$3),0)</f>
        <v>5.01554437102943</v>
      </c>
      <c r="J15" s="40">
        <f>IF(J3-$G$3&gt;0,$C$15-$E$15*(J3-$G$3),0)</f>
        <v>4.75156835150156</v>
      </c>
      <c r="K15" s="40">
        <f>IF(K3-$G$3&gt;0,$C$15-$E$15*(K3-$G$3),0)</f>
        <v>4.4875923319737</v>
      </c>
      <c r="L15" s="40">
        <f>IF(L3-$G$3&gt;0,$C$15-$E$15*(L3-$G$3),0)</f>
        <v>4.22361631244583</v>
      </c>
      <c r="M15" s="40">
        <f>IF(M3-$G$3&gt;0,$C$15-$E$15*(M3-$G$3),0)</f>
        <v>3.95964029291797</v>
      </c>
      <c r="N15" s="40">
        <f>IF(N3-$G$3&gt;0,$C$15-$E$15*(N3-$G$3),0)</f>
        <v>3.6956642733901</v>
      </c>
      <c r="O15" s="40">
        <f>IF(O3-$G$3&gt;0,$C$15-$E$15*(O3-$G$3),0)</f>
        <v>3.43168825386224</v>
      </c>
      <c r="P15" s="40">
        <f>IF(P3-$G$3&gt;0,$C$15-$E$15*(P3-$G$3),0)</f>
        <v>3.16771223433437</v>
      </c>
      <c r="Q15" s="40">
        <f>IF(Q3-$G$3&gt;0,$C$15-$E$15*(Q3-$G$3),0)</f>
        <v>2.90373621480651</v>
      </c>
      <c r="R15" s="40">
        <f>IF(R3-$G$3&gt;0,$C$15-$E$15*(R3-$G$3),0)</f>
        <v>2.63976019527865</v>
      </c>
      <c r="S15" s="40">
        <f>IF(S3-$G$3&gt;0,$C$15-$E$15*(S3-$G$3),0)</f>
        <v>2.37578417575078</v>
      </c>
      <c r="T15" s="40">
        <f>IF(T3-$G$3&gt;0,$C$15-$E$15*(T3-$G$3),0)</f>
        <v>2.11180815622292</v>
      </c>
      <c r="U15" s="40">
        <f>IF(U3-$G$3&gt;0,$C$15-$E$15*(U3-$G$3),0)</f>
        <v>1.84783213669505</v>
      </c>
      <c r="V15" s="40">
        <f>IF(V3-$G$3&gt;0,$C$15-$E$15*(V3-$G$3),0)</f>
        <v>1.58385611716719</v>
      </c>
      <c r="W15" s="40">
        <f>IF(W3-$G$3&gt;0,$C$15-$E$15*(W3-$G$3),0)</f>
        <v>1.31988009763932</v>
      </c>
      <c r="X15" s="40">
        <f>IF(X3-$G$3&gt;0,$C$15-$E$15*(X3-$G$3),0)</f>
        <v>1.05590407811146</v>
      </c>
      <c r="Y15" s="40">
        <f>IF(Y3-$G$3&gt;0,$C$15-$E$15*(Y3-$G$3),0)</f>
        <v>0.791928058583593</v>
      </c>
      <c r="Z15" s="40">
        <f>IF(Z3-$G$3&gt;0,$C$15-$E$15*(Z3-$G$3),0)</f>
        <v>0.527952039055729</v>
      </c>
      <c r="AA15" s="40">
        <f>IF(AA3-$G$3&gt;0,$C$15-$E$15*(AA3-$G$3),0)</f>
        <v>0.263976019527864</v>
      </c>
      <c r="AB15" s="40">
        <f>IF(AB3-$G$3&gt;0,$C$15-$E$15*(AB3-$G$3),0)</f>
        <v>0</v>
      </c>
    </row>
    <row r="16" spans="1:28">
      <c r="A16" s="8" t="s">
        <v>285</v>
      </c>
      <c r="B16" s="8" t="s">
        <v>281</v>
      </c>
      <c r="C16" s="14">
        <f>C17</f>
        <v>0</v>
      </c>
      <c r="D16" s="73" t="s">
        <v>118</v>
      </c>
      <c r="E16" s="14">
        <f t="shared" ref="E16:AB16" si="5">E17</f>
        <v>0</v>
      </c>
      <c r="F16" s="14">
        <f t="shared" si="5"/>
        <v>0</v>
      </c>
      <c r="G16" s="14">
        <f t="shared" si="5"/>
        <v>0</v>
      </c>
      <c r="H16" s="14">
        <f t="shared" si="5"/>
        <v>0</v>
      </c>
      <c r="I16" s="14">
        <f t="shared" si="5"/>
        <v>0</v>
      </c>
      <c r="J16" s="14">
        <f t="shared" si="5"/>
        <v>0</v>
      </c>
      <c r="K16" s="14">
        <f t="shared" si="5"/>
        <v>0</v>
      </c>
      <c r="L16" s="14">
        <f t="shared" si="5"/>
        <v>0</v>
      </c>
      <c r="M16" s="14">
        <f t="shared" si="5"/>
        <v>0</v>
      </c>
      <c r="N16" s="14">
        <f t="shared" si="5"/>
        <v>0</v>
      </c>
      <c r="O16" s="14">
        <f t="shared" si="5"/>
        <v>0</v>
      </c>
      <c r="P16" s="14">
        <f t="shared" si="5"/>
        <v>0</v>
      </c>
      <c r="Q16" s="14">
        <f t="shared" si="5"/>
        <v>0</v>
      </c>
      <c r="R16" s="14">
        <f t="shared" si="5"/>
        <v>0</v>
      </c>
      <c r="S16" s="14">
        <f t="shared" si="5"/>
        <v>0</v>
      </c>
      <c r="T16" s="14">
        <f t="shared" si="5"/>
        <v>0</v>
      </c>
      <c r="U16" s="14">
        <f t="shared" si="5"/>
        <v>0</v>
      </c>
      <c r="V16" s="14">
        <f t="shared" si="5"/>
        <v>0</v>
      </c>
      <c r="W16" s="14">
        <f t="shared" si="5"/>
        <v>0</v>
      </c>
      <c r="X16" s="14">
        <f t="shared" si="5"/>
        <v>0</v>
      </c>
      <c r="Y16" s="14">
        <f t="shared" si="5"/>
        <v>0</v>
      </c>
      <c r="Z16" s="14">
        <f t="shared" si="5"/>
        <v>0</v>
      </c>
      <c r="AA16" s="14">
        <f t="shared" si="5"/>
        <v>0</v>
      </c>
      <c r="AB16" s="14">
        <f t="shared" si="5"/>
        <v>0</v>
      </c>
    </row>
    <row r="17" spans="1:28">
      <c r="A17" s="8" t="s">
        <v>113</v>
      </c>
      <c r="B17" s="8" t="s">
        <v>282</v>
      </c>
      <c r="C17" s="39">
        <v>0</v>
      </c>
      <c r="D17" s="73">
        <f>1/B项目信息!$D$14*100%</f>
        <v>0.0476190476190476</v>
      </c>
      <c r="E17" s="14">
        <f>C17*D17</f>
        <v>0</v>
      </c>
      <c r="F17" s="14">
        <f>IF(F3-$G$3&gt;0,$C$17-$E$17*(F3-$G$3),0)</f>
        <v>0</v>
      </c>
      <c r="G17" s="14">
        <f>IF(G3-$G$3&gt;0,$C$17-$E$17*(G3-$G$3),0)</f>
        <v>0</v>
      </c>
      <c r="H17" s="39">
        <f>IF(H3-$G$3&gt;0,$C$17-$E$17*(H3-$G$3),0)</f>
        <v>0</v>
      </c>
      <c r="I17" s="39">
        <f>IF(I3-$G$3&gt;0,$C$17-$E$17*(I3-$G$3),0)</f>
        <v>0</v>
      </c>
      <c r="J17" s="39">
        <f>IF(J3-$G$3&gt;0,$C$17-$E$17*(J3-$G$3),0)</f>
        <v>0</v>
      </c>
      <c r="K17" s="39">
        <f>IF(K3-$G$3&gt;0,$C$17-$E$17*(K3-$G$3),0)</f>
        <v>0</v>
      </c>
      <c r="L17" s="39">
        <f>IF(L3-$G$3&gt;0,$C$17-$E$17*(L3-$G$3),0)</f>
        <v>0</v>
      </c>
      <c r="M17" s="39">
        <f>IF(M3-$G$3&gt;0,$C$17-$E$17*(M3-$G$3),0)</f>
        <v>0</v>
      </c>
      <c r="N17" s="39">
        <f>IF(N3-$G$3&gt;0,$C$17-$E$17*(N3-$G$3),0)</f>
        <v>0</v>
      </c>
      <c r="O17" s="39">
        <f>IF(O3-$G$3&gt;0,$C$17-$E$17*(O3-$G$3),0)</f>
        <v>0</v>
      </c>
      <c r="P17" s="39">
        <f>IF(P3-$G$3&gt;0,$C$17-$E$17*(P3-$G$3),0)</f>
        <v>0</v>
      </c>
      <c r="Q17" s="39">
        <f>IF(Q3-$G$3&gt;0,$C$17-$E$17*(Q3-$G$3),0)</f>
        <v>0</v>
      </c>
      <c r="R17" s="39">
        <f>IF(R3-$G$3&gt;0,$C$17-$E$17*(R3-$G$3),0)</f>
        <v>0</v>
      </c>
      <c r="S17" s="39">
        <f>IF(S3-$G$3&gt;0,$C$17-$E$17*(S3-$G$3),0)</f>
        <v>0</v>
      </c>
      <c r="T17" s="39">
        <f>IF(T3-$G$3&gt;0,$C$17-$E$17*(T3-$G$3),0)</f>
        <v>0</v>
      </c>
      <c r="U17" s="39">
        <f>IF(U3-$G$3&gt;0,$C$17-$E$17*(U3-$G$3),0)</f>
        <v>0</v>
      </c>
      <c r="V17" s="39">
        <f>IF(V3-$G$3&gt;0,$C$17-$E$17*(V3-$G$3),0)</f>
        <v>0</v>
      </c>
      <c r="W17" s="39">
        <f>IF(W3-$G$3&gt;0,$C$17-$E$17*(W3-$G$3),0)</f>
        <v>0</v>
      </c>
      <c r="X17" s="39">
        <f>IF(X3-$G$3&gt;0,$C$17-$E$17*(X3-$G$3),0)</f>
        <v>0</v>
      </c>
      <c r="Y17" s="39">
        <f>IF(Y3-$G$3&gt;0,$C$17-$E$17*(Y3-$G$3),0)</f>
        <v>0</v>
      </c>
      <c r="Z17" s="39">
        <f>IF(Z3-$G$3&gt;0,$C$17-$E$17*(Z3-$G$3),0)</f>
        <v>0</v>
      </c>
      <c r="AA17" s="39">
        <f>IF(AA3-$G$3&gt;0,$C$17-$E$17*(AA3-$G$3),0)</f>
        <v>0</v>
      </c>
      <c r="AB17" s="39">
        <f>IF(AB3-$G$3&gt;0,$C$17-$E$17*(AB3-$G$3),0)</f>
        <v>0</v>
      </c>
    </row>
    <row r="18" spans="1:28">
      <c r="A18" s="11" t="s">
        <v>263</v>
      </c>
      <c r="B18" s="89" t="s">
        <v>286</v>
      </c>
      <c r="C18" s="14">
        <f>C19+C23</f>
        <v>5.54349641008516</v>
      </c>
      <c r="D18" s="71" t="s">
        <v>118</v>
      </c>
      <c r="E18" s="14">
        <f t="shared" ref="E18:AB18" si="6">E19+E23</f>
        <v>0.277174820504258</v>
      </c>
      <c r="F18" s="14">
        <f t="shared" si="6"/>
        <v>0</v>
      </c>
      <c r="G18" s="14">
        <f t="shared" si="6"/>
        <v>0</v>
      </c>
      <c r="H18" s="14">
        <f t="shared" si="6"/>
        <v>0</v>
      </c>
      <c r="I18" s="14">
        <f t="shared" si="6"/>
        <v>5.2663215895809</v>
      </c>
      <c r="J18" s="14">
        <f t="shared" si="6"/>
        <v>4.98914676907664</v>
      </c>
      <c r="K18" s="14">
        <f t="shared" si="6"/>
        <v>4.71197194857238</v>
      </c>
      <c r="L18" s="14">
        <f t="shared" si="6"/>
        <v>4.43479712806812</v>
      </c>
      <c r="M18" s="14">
        <f t="shared" si="6"/>
        <v>4.15762230756387</v>
      </c>
      <c r="N18" s="14">
        <f t="shared" si="6"/>
        <v>3.88044748705961</v>
      </c>
      <c r="O18" s="14">
        <f t="shared" si="6"/>
        <v>3.60327266655535</v>
      </c>
      <c r="P18" s="14">
        <f t="shared" si="6"/>
        <v>3.32609784605109</v>
      </c>
      <c r="Q18" s="14">
        <f t="shared" si="6"/>
        <v>3.04892302554683</v>
      </c>
      <c r="R18" s="14">
        <f t="shared" si="6"/>
        <v>2.77174820504258</v>
      </c>
      <c r="S18" s="14">
        <f t="shared" si="6"/>
        <v>2.49457338453832</v>
      </c>
      <c r="T18" s="14">
        <f t="shared" si="6"/>
        <v>2.21739856403406</v>
      </c>
      <c r="U18" s="14">
        <f t="shared" si="6"/>
        <v>1.9402237435298</v>
      </c>
      <c r="V18" s="14">
        <f t="shared" si="6"/>
        <v>1.66304892302555</v>
      </c>
      <c r="W18" s="14">
        <f t="shared" si="6"/>
        <v>1.38587410252129</v>
      </c>
      <c r="X18" s="14">
        <f t="shared" si="6"/>
        <v>1.10869928201703</v>
      </c>
      <c r="Y18" s="14">
        <f t="shared" si="6"/>
        <v>0.831524461512773</v>
      </c>
      <c r="Z18" s="14">
        <f t="shared" si="6"/>
        <v>0.554349641008515</v>
      </c>
      <c r="AA18" s="14">
        <f t="shared" si="6"/>
        <v>0.277174820504257</v>
      </c>
      <c r="AB18" s="14">
        <f t="shared" si="6"/>
        <v>0</v>
      </c>
    </row>
    <row r="19" spans="1:28">
      <c r="A19" s="8" t="s">
        <v>287</v>
      </c>
      <c r="B19" s="8" t="s">
        <v>273</v>
      </c>
      <c r="C19" s="14">
        <f>SUM(C20:C22)</f>
        <v>5.54349641008516</v>
      </c>
      <c r="D19" s="95" t="s">
        <v>118</v>
      </c>
      <c r="E19" s="14">
        <f t="shared" ref="E19:AB19" si="7">SUM(E20:E22)</f>
        <v>0.277174820504258</v>
      </c>
      <c r="F19" s="14">
        <f t="shared" si="7"/>
        <v>0</v>
      </c>
      <c r="G19" s="14">
        <f t="shared" si="7"/>
        <v>0</v>
      </c>
      <c r="H19" s="14">
        <f t="shared" si="7"/>
        <v>0</v>
      </c>
      <c r="I19" s="39">
        <f t="shared" si="7"/>
        <v>5.2663215895809</v>
      </c>
      <c r="J19" s="39">
        <f t="shared" si="7"/>
        <v>4.98914676907664</v>
      </c>
      <c r="K19" s="39">
        <f t="shared" si="7"/>
        <v>4.71197194857238</v>
      </c>
      <c r="L19" s="39">
        <f t="shared" si="7"/>
        <v>4.43479712806812</v>
      </c>
      <c r="M19" s="39">
        <f t="shared" si="7"/>
        <v>4.15762230756387</v>
      </c>
      <c r="N19" s="39">
        <f t="shared" si="7"/>
        <v>3.88044748705961</v>
      </c>
      <c r="O19" s="39">
        <f t="shared" si="7"/>
        <v>3.60327266655535</v>
      </c>
      <c r="P19" s="39">
        <f t="shared" si="7"/>
        <v>3.32609784605109</v>
      </c>
      <c r="Q19" s="39">
        <f t="shared" si="7"/>
        <v>3.04892302554683</v>
      </c>
      <c r="R19" s="39">
        <f t="shared" si="7"/>
        <v>2.77174820504258</v>
      </c>
      <c r="S19" s="39">
        <f t="shared" si="7"/>
        <v>2.49457338453832</v>
      </c>
      <c r="T19" s="39">
        <f t="shared" si="7"/>
        <v>2.21739856403406</v>
      </c>
      <c r="U19" s="39">
        <f t="shared" si="7"/>
        <v>1.9402237435298</v>
      </c>
      <c r="V19" s="39">
        <f t="shared" si="7"/>
        <v>1.66304892302555</v>
      </c>
      <c r="W19" s="39">
        <f t="shared" si="7"/>
        <v>1.38587410252129</v>
      </c>
      <c r="X19" s="39">
        <f t="shared" si="7"/>
        <v>1.10869928201703</v>
      </c>
      <c r="Y19" s="39">
        <f t="shared" si="7"/>
        <v>0.831524461512773</v>
      </c>
      <c r="Z19" s="39">
        <f t="shared" si="7"/>
        <v>0.554349641008515</v>
      </c>
      <c r="AA19" s="39">
        <f t="shared" si="7"/>
        <v>0.277174820504257</v>
      </c>
      <c r="AB19" s="39">
        <f t="shared" si="7"/>
        <v>0</v>
      </c>
    </row>
    <row r="20" spans="1:28">
      <c r="A20" s="8" t="s">
        <v>288</v>
      </c>
      <c r="B20" s="8" t="s">
        <v>275</v>
      </c>
      <c r="C20" s="39">
        <v>0</v>
      </c>
      <c r="D20" s="73">
        <f>1/B项目信息!$D$20*100%</f>
        <v>0.05</v>
      </c>
      <c r="E20" s="14">
        <f>C20*D20</f>
        <v>0</v>
      </c>
      <c r="F20" s="14">
        <f>IF(F3-$H$3&gt;0,$C$20-$E$20*(F3-$H$3),0)</f>
        <v>0</v>
      </c>
      <c r="G20" s="14">
        <f>IF(G3-$H$3&gt;0,$C$20-$E$20*(G3-$H$3),0)</f>
        <v>0</v>
      </c>
      <c r="H20" s="14">
        <f>IF(H3-$H$3&gt;0,$C$20-$E$20*(H3-$H$3),0)</f>
        <v>0</v>
      </c>
      <c r="I20" s="39">
        <f>IF(I3-$H$3&gt;0,$C$20-$E$20*(I3-$H$3),0)</f>
        <v>0</v>
      </c>
      <c r="J20" s="39">
        <f>IF(J3-$H$3&gt;0,$C$20-$E$20*(J3-$H$3),0)</f>
        <v>0</v>
      </c>
      <c r="K20" s="39">
        <f>IF(K3-$H$3&gt;0,$C$20-$E$20*(K3-$H$3),0)</f>
        <v>0</v>
      </c>
      <c r="L20" s="39">
        <f>IF(L3-$H$3&gt;0,$C$20-$E$20*(L3-$H$3),0)</f>
        <v>0</v>
      </c>
      <c r="M20" s="39">
        <f>IF(M3-$H$3&gt;0,$C$20-$E$20*(M3-$H$3),0)</f>
        <v>0</v>
      </c>
      <c r="N20" s="39">
        <f>IF(N3-$H$3&gt;0,$C$20-$E$20*(N3-$H$3),0)</f>
        <v>0</v>
      </c>
      <c r="O20" s="39">
        <f>IF(O3-$H$3&gt;0,$C$20-$E$20*(O3-$H$3),0)</f>
        <v>0</v>
      </c>
      <c r="P20" s="39">
        <f>IF(P3-$H$3&gt;0,$C$20-$E$20*(P3-$H$3),0)</f>
        <v>0</v>
      </c>
      <c r="Q20" s="39">
        <f>IF(Q3-$H$3&gt;0,$C$20-$E$20*(Q3-$H$3),0)</f>
        <v>0</v>
      </c>
      <c r="R20" s="39">
        <f>IF(R3-$H$3&gt;0,$C$20-$E$20*(R3-$H$3),0)</f>
        <v>0</v>
      </c>
      <c r="S20" s="39">
        <f>IF(S3-$H$3&gt;0,$C$20-$E$20*(S3-$H$3),0)</f>
        <v>0</v>
      </c>
      <c r="T20" s="39">
        <f>IF(T3-$H$3&gt;0,$C$20-$E$20*(T3-$H$3),0)</f>
        <v>0</v>
      </c>
      <c r="U20" s="39">
        <f>IF(U3-$H$3&gt;0,$C$20-$E$20*(U3-$H$3),0)</f>
        <v>0</v>
      </c>
      <c r="V20" s="39">
        <f>IF(V3-$H$3&gt;0,$C$20-$E$20*(V3-$H$3),0)</f>
        <v>0</v>
      </c>
      <c r="W20" s="39">
        <f>IF(W3-$H$3&gt;0,$C$20-$E$20*(W3-$H$3),0)</f>
        <v>0</v>
      </c>
      <c r="X20" s="39">
        <f>IF(X3-$H$3&gt;0,$C$20-$E$20*(X3-$H$3),0)</f>
        <v>0</v>
      </c>
      <c r="Y20" s="39">
        <f>IF(Y3-$H$3&gt;0,$C$20-$E$20*(Y3-$H$3),0)</f>
        <v>0</v>
      </c>
      <c r="Z20" s="39">
        <f>IF(Z3-$H$3&gt;0,$C$20-$E$20*(Z3-$H$3),0)</f>
        <v>0</v>
      </c>
      <c r="AA20" s="39">
        <f>IF(AA3-$H$3&gt;0,$C$20-$E$20*(AA3-$H$3),0)</f>
        <v>0</v>
      </c>
      <c r="AB20" s="39">
        <f>IF(AB3-$H$3&gt;0,$C$20-$E$20*(AB3-$H$3),0)</f>
        <v>0</v>
      </c>
    </row>
    <row r="21" spans="1:28">
      <c r="A21" s="8" t="s">
        <v>289</v>
      </c>
      <c r="B21" s="8" t="s">
        <v>277</v>
      </c>
      <c r="C21" s="39">
        <v>0</v>
      </c>
      <c r="D21" s="73">
        <f>1/B项目信息!$D$20*100%</f>
        <v>0.05</v>
      </c>
      <c r="E21" s="14">
        <f>C21*D21</f>
        <v>0</v>
      </c>
      <c r="F21" s="14">
        <f>IF(F3-$H$3&gt;0,$C$21-$E$21*(F3-$H$3),0)</f>
        <v>0</v>
      </c>
      <c r="G21" s="14">
        <f>IF(G3-$H$3&gt;0,$C$21-$E$21*(G3-$H$3),0)</f>
        <v>0</v>
      </c>
      <c r="H21" s="14">
        <f>IF(H3-$H$3&gt;0,$C$21-$E$21*(H3-$H$3),0)</f>
        <v>0</v>
      </c>
      <c r="I21" s="39">
        <f>IF(I3-$H$3&gt;0,$C$21-$E$21*(I3-$H$3),0)</f>
        <v>0</v>
      </c>
      <c r="J21" s="39">
        <f>IF(J3-$H$3&gt;0,$C$21-$E$21*(J3-$H$3),0)</f>
        <v>0</v>
      </c>
      <c r="K21" s="39">
        <f>IF(K3-$H$3&gt;0,$C$21-$E$21*(K3-$H$3),0)</f>
        <v>0</v>
      </c>
      <c r="L21" s="39">
        <f>IF(L3-$H$3&gt;0,$C$21-$E$21*(L3-$H$3),0)</f>
        <v>0</v>
      </c>
      <c r="M21" s="39">
        <f>IF(M3-$H$3&gt;0,$C$21-$E$21*(M3-$H$3),0)</f>
        <v>0</v>
      </c>
      <c r="N21" s="39">
        <f>IF(N3-$H$3&gt;0,$C$21-$E$21*(N3-$H$3),0)</f>
        <v>0</v>
      </c>
      <c r="O21" s="39">
        <f>IF(O3-$H$3&gt;0,$C$21-$E$21*(O3-$H$3),0)</f>
        <v>0</v>
      </c>
      <c r="P21" s="39">
        <f>IF(P3-$H$3&gt;0,$C$21-$E$21*(P3-$H$3),0)</f>
        <v>0</v>
      </c>
      <c r="Q21" s="39">
        <f>IF(Q3-$H$3&gt;0,$C$21-$E$21*(Q3-$H$3),0)</f>
        <v>0</v>
      </c>
      <c r="R21" s="39">
        <f>IF(R3-$H$3&gt;0,$C$21-$E$21*(R3-$H$3),0)</f>
        <v>0</v>
      </c>
      <c r="S21" s="39">
        <f>IF(S3-$H$3&gt;0,$C$21-$E$21*(S3-$H$3),0)</f>
        <v>0</v>
      </c>
      <c r="T21" s="39">
        <f>IF(T3-$H$3&gt;0,$C$21-$E$21*(T3-$H$3),0)</f>
        <v>0</v>
      </c>
      <c r="U21" s="39">
        <f>IF(U3-$H$3&gt;0,$C$21-$E$21*(U3-$H$3),0)</f>
        <v>0</v>
      </c>
      <c r="V21" s="39">
        <f>IF(V3-$H$3&gt;0,$C$21-$E$21*(V3-$H$3),0)</f>
        <v>0</v>
      </c>
      <c r="W21" s="39">
        <f>IF(W3-$H$3&gt;0,$C$21-$E$21*(W3-$H$3),0)</f>
        <v>0</v>
      </c>
      <c r="X21" s="39">
        <f>IF(X3-$H$3&gt;0,$C$21-$E$21*(X3-$H$3),0)</f>
        <v>0</v>
      </c>
      <c r="Y21" s="39">
        <f>IF(Y3-$H$3&gt;0,$C$21-$E$21*(Y3-$H$3),0)</f>
        <v>0</v>
      </c>
      <c r="Z21" s="39">
        <f>IF(Z3-$H$3&gt;0,$C$21-$E$21*(Z3-$H$3),0)</f>
        <v>0</v>
      </c>
      <c r="AA21" s="39">
        <f>IF(AA3-$H$3&gt;0,$C$21-$E$21*(AA3-$H$3),0)</f>
        <v>0</v>
      </c>
      <c r="AB21" s="39">
        <f>IF(AB3-$H$3&gt;0,$C$21-$E$21*(AB3-$H$3),0)</f>
        <v>0</v>
      </c>
    </row>
    <row r="22" spans="1:28">
      <c r="A22" s="8" t="s">
        <v>290</v>
      </c>
      <c r="B22" s="36" t="s">
        <v>279</v>
      </c>
      <c r="C22" s="40">
        <f>E.4建设投资税后金额表!J10+E.4建设投资税后金额表!J11+E.4建设投资税后金额表!J12</f>
        <v>5.54349641008516</v>
      </c>
      <c r="D22" s="93">
        <f>1/B项目信息!$D$20*100%</f>
        <v>0.05</v>
      </c>
      <c r="E22" s="14">
        <f>C22*D22</f>
        <v>0.277174820504258</v>
      </c>
      <c r="F22" s="14">
        <f>IF(F3-$H$3&gt;0,$C$22-$E$22*(F3-$H$3),0)</f>
        <v>0</v>
      </c>
      <c r="G22" s="14">
        <f>IF(G3-$H$3&gt;0,$C$22-$E$22*(G3-$H$3),0)</f>
        <v>0</v>
      </c>
      <c r="H22" s="14">
        <f>IF(H3-$H$3&gt;0,$C$22-$E$22*(H3-$H$3),0)</f>
        <v>0</v>
      </c>
      <c r="I22" s="40">
        <f>IF(I3-$H$3&gt;0,$C$22-$E$22*(I3-$H$3),0)</f>
        <v>5.2663215895809</v>
      </c>
      <c r="J22" s="40">
        <f>IF(J3-$H$3&gt;0,$C$22-$E$22*(J3-$H$3),0)</f>
        <v>4.98914676907664</v>
      </c>
      <c r="K22" s="40">
        <f>IF(K3-$H$3&gt;0,$C$22-$E$22*(K3-$H$3),0)</f>
        <v>4.71197194857238</v>
      </c>
      <c r="L22" s="40">
        <f>IF(L3-$H$3&gt;0,$C$22-$E$22*(L3-$H$3),0)</f>
        <v>4.43479712806812</v>
      </c>
      <c r="M22" s="40">
        <f>IF(M3-$H$3&gt;0,$C$22-$E$22*(M3-$H$3),0)</f>
        <v>4.15762230756387</v>
      </c>
      <c r="N22" s="40">
        <f>IF(N3-$H$3&gt;0,$C$22-$E$22*(N3-$H$3),0)</f>
        <v>3.88044748705961</v>
      </c>
      <c r="O22" s="40">
        <f>IF(O3-$H$3&gt;0,$C$22-$E$22*(O3-$H$3),0)</f>
        <v>3.60327266655535</v>
      </c>
      <c r="P22" s="40">
        <f>IF(P3-$H$3&gt;0,$C$22-$E$22*(P3-$H$3),0)</f>
        <v>3.32609784605109</v>
      </c>
      <c r="Q22" s="40">
        <f>IF(Q3-$H$3&gt;0,$C$22-$E$22*(Q3-$H$3),0)</f>
        <v>3.04892302554683</v>
      </c>
      <c r="R22" s="40">
        <f>IF(R3-$H$3&gt;0,$C$22-$E$22*(R3-$H$3),0)</f>
        <v>2.77174820504258</v>
      </c>
      <c r="S22" s="40">
        <f>IF(S3-$H$3&gt;0,$C$22-$E$22*(S3-$H$3),0)</f>
        <v>2.49457338453832</v>
      </c>
      <c r="T22" s="40">
        <f>IF(T3-$H$3&gt;0,$C$22-$E$22*(T3-$H$3),0)</f>
        <v>2.21739856403406</v>
      </c>
      <c r="U22" s="40">
        <f>IF(U3-$H$3&gt;0,$C$22-$E$22*(U3-$H$3),0)</f>
        <v>1.9402237435298</v>
      </c>
      <c r="V22" s="40">
        <f>IF(V3-$H$3&gt;0,$C$22-$E$22*(V3-$H$3),0)</f>
        <v>1.66304892302555</v>
      </c>
      <c r="W22" s="40">
        <f>IF(W3-$H$3&gt;0,$C$22-$E$22*(W3-$H$3),0)</f>
        <v>1.38587410252129</v>
      </c>
      <c r="X22" s="40">
        <f>IF(X3-$H$3&gt;0,$C$22-$E$22*(X3-$H$3),0)</f>
        <v>1.10869928201703</v>
      </c>
      <c r="Y22" s="40">
        <f>IF(Y3-$H$3&gt;0,$C$22-$E$22*(Y3-$H$3),0)</f>
        <v>0.831524461512773</v>
      </c>
      <c r="Z22" s="40">
        <f>IF(Z3-$H$3&gt;0,$C$22-$E$22*(Z3-$H$3),0)</f>
        <v>0.554349641008515</v>
      </c>
      <c r="AA22" s="40">
        <f>IF(AA3-$H$3&gt;0,$C$22-$E$22*(AA3-$H$3),0)</f>
        <v>0.277174820504257</v>
      </c>
      <c r="AB22" s="40">
        <f>IF(AB3-$H$3&gt;0,$C$22-$E$22*(AB3-$H$3),0)</f>
        <v>0</v>
      </c>
    </row>
    <row r="23" spans="1:28">
      <c r="A23" s="8" t="s">
        <v>291</v>
      </c>
      <c r="B23" s="8" t="s">
        <v>281</v>
      </c>
      <c r="C23" s="14">
        <f>C24</f>
        <v>0</v>
      </c>
      <c r="D23" s="73" t="s">
        <v>118</v>
      </c>
      <c r="E23" s="14">
        <f t="shared" ref="E23:AB23" si="8">E24</f>
        <v>0</v>
      </c>
      <c r="F23" s="14">
        <f t="shared" si="8"/>
        <v>0</v>
      </c>
      <c r="G23" s="14">
        <f t="shared" si="8"/>
        <v>0</v>
      </c>
      <c r="H23" s="14">
        <f t="shared" si="8"/>
        <v>0</v>
      </c>
      <c r="I23" s="14">
        <f t="shared" si="8"/>
        <v>0</v>
      </c>
      <c r="J23" s="14">
        <f t="shared" si="8"/>
        <v>0</v>
      </c>
      <c r="K23" s="14">
        <f t="shared" si="8"/>
        <v>0</v>
      </c>
      <c r="L23" s="14">
        <f t="shared" si="8"/>
        <v>0</v>
      </c>
      <c r="M23" s="14">
        <f t="shared" si="8"/>
        <v>0</v>
      </c>
      <c r="N23" s="14">
        <f t="shared" si="8"/>
        <v>0</v>
      </c>
      <c r="O23" s="14">
        <f t="shared" si="8"/>
        <v>0</v>
      </c>
      <c r="P23" s="14">
        <f t="shared" si="8"/>
        <v>0</v>
      </c>
      <c r="Q23" s="14">
        <f t="shared" si="8"/>
        <v>0</v>
      </c>
      <c r="R23" s="14">
        <f t="shared" si="8"/>
        <v>0</v>
      </c>
      <c r="S23" s="14">
        <f t="shared" si="8"/>
        <v>0</v>
      </c>
      <c r="T23" s="14">
        <f t="shared" si="8"/>
        <v>0</v>
      </c>
      <c r="U23" s="14">
        <f t="shared" si="8"/>
        <v>0</v>
      </c>
      <c r="V23" s="14">
        <f t="shared" si="8"/>
        <v>0</v>
      </c>
      <c r="W23" s="14">
        <f t="shared" si="8"/>
        <v>0</v>
      </c>
      <c r="X23" s="14">
        <f t="shared" si="8"/>
        <v>0</v>
      </c>
      <c r="Y23" s="14">
        <f t="shared" si="8"/>
        <v>0</v>
      </c>
      <c r="Z23" s="14">
        <f t="shared" si="8"/>
        <v>0</v>
      </c>
      <c r="AA23" s="14">
        <f t="shared" si="8"/>
        <v>0</v>
      </c>
      <c r="AB23" s="14">
        <f t="shared" si="8"/>
        <v>0</v>
      </c>
    </row>
    <row r="24" spans="1:28">
      <c r="A24" s="8" t="s">
        <v>292</v>
      </c>
      <c r="B24" s="8" t="s">
        <v>282</v>
      </c>
      <c r="C24" s="39">
        <v>0</v>
      </c>
      <c r="D24" s="73">
        <f>1/B项目信息!$D$20*100%</f>
        <v>0.05</v>
      </c>
      <c r="E24" s="14">
        <f>C24*D24</f>
        <v>0</v>
      </c>
      <c r="F24" s="14">
        <f>IF(F3-$H$3&gt;0,$C$24-$E$24*(F3-$H$3),0)</f>
        <v>0</v>
      </c>
      <c r="G24" s="14">
        <f>IF(G3-$H$3&gt;0,$C$24-$E$24*(G3-$H$3),0)</f>
        <v>0</v>
      </c>
      <c r="H24" s="14">
        <f>IF(H3-$H$3&gt;0,$C$24-$E$24*(H3-$H$3),0)</f>
        <v>0</v>
      </c>
      <c r="I24" s="39">
        <f>IF(I3-$H$3&gt;0,$C$24-$E$24*(I3-$H$3),0)</f>
        <v>0</v>
      </c>
      <c r="J24" s="39">
        <f>IF(J3-$H$3&gt;0,$C$24-$E$24*(J3-$H$3),0)</f>
        <v>0</v>
      </c>
      <c r="K24" s="39">
        <f>IF(K3-$H$3&gt;0,$C$24-$E$24*(K3-$H$3),0)</f>
        <v>0</v>
      </c>
      <c r="L24" s="39">
        <f>IF(L3-$H$3&gt;0,$C$24-$E$24*(L3-$H$3),0)</f>
        <v>0</v>
      </c>
      <c r="M24" s="39">
        <f>IF(M3-$H$3&gt;0,$C$24-$E$24*(M3-$H$3),0)</f>
        <v>0</v>
      </c>
      <c r="N24" s="39">
        <f>IF(N3-$H$3&gt;0,$C$24-$E$24*(N3-$H$3),0)</f>
        <v>0</v>
      </c>
      <c r="O24" s="39">
        <f>IF(O3-$H$3&gt;0,$C$24-$E$24*(O3-$H$3),0)</f>
        <v>0</v>
      </c>
      <c r="P24" s="39">
        <f>IF(P3-$H$3&gt;0,$C$24-$E$24*(P3-$H$3),0)</f>
        <v>0</v>
      </c>
      <c r="Q24" s="39">
        <f>IF(Q3-$H$3&gt;0,$C$24-$E$24*(Q3-$H$3),0)</f>
        <v>0</v>
      </c>
      <c r="R24" s="39">
        <f>IF(R3-$H$3&gt;0,$C$24-$E$24*(R3-$H$3),0)</f>
        <v>0</v>
      </c>
      <c r="S24" s="39">
        <f>IF(S3-$H$3&gt;0,$C$24-$E$24*(S3-$H$3),0)</f>
        <v>0</v>
      </c>
      <c r="T24" s="39">
        <f>IF(T3-$H$3&gt;0,$C$24-$E$24*(T3-$H$3),0)</f>
        <v>0</v>
      </c>
      <c r="U24" s="39">
        <f>IF(U3-$H$3&gt;0,$C$24-$E$24*(U3-$H$3),0)</f>
        <v>0</v>
      </c>
      <c r="V24" s="39">
        <f>IF(V3-$H$3&gt;0,$C$24-$E$24*(V3-$H$3),0)</f>
        <v>0</v>
      </c>
      <c r="W24" s="39">
        <f>IF(W3-$H$3&gt;0,$C$24-$E$24*(W3-$H$3),0)</f>
        <v>0</v>
      </c>
      <c r="X24" s="39">
        <f>IF(X3-$H$3&gt;0,$C$24-$E$24*(X3-$H$3),0)</f>
        <v>0</v>
      </c>
      <c r="Y24" s="39">
        <f>IF(Y3-$H$3&gt;0,$C$24-$E$24*(Y3-$H$3),0)</f>
        <v>0</v>
      </c>
      <c r="Z24" s="39">
        <f>IF(Z3-$H$3&gt;0,$C$24-$E$24*(Z3-$H$3),0)</f>
        <v>0</v>
      </c>
      <c r="AA24" s="39">
        <f>IF(AA3-$H$3&gt;0,$C$24-$E$24*(AA3-$H$3),0)</f>
        <v>0</v>
      </c>
      <c r="AB24" s="39">
        <f>IF(AB3-$H$3&gt;0,$C$24-$E$24*(AB3-$H$3),0)</f>
        <v>0</v>
      </c>
    </row>
    <row r="25" spans="1:28">
      <c r="A25" s="78"/>
      <c r="B25" s="79" t="s">
        <v>264</v>
      </c>
      <c r="C25" s="12">
        <f>C4+C11+C18</f>
        <v>16.6304892302555</v>
      </c>
      <c r="D25" s="41" t="s">
        <v>118</v>
      </c>
      <c r="E25" s="12">
        <f t="shared" ref="E25:AB25" si="9">E4+E11+E18</f>
        <v>0.793127949581447</v>
      </c>
      <c r="F25" s="12">
        <f t="shared" si="9"/>
        <v>0</v>
      </c>
      <c r="G25" s="12">
        <f t="shared" si="9"/>
        <v>5.29151930053583</v>
      </c>
      <c r="H25" s="12">
        <f t="shared" si="9"/>
        <v>10.3190625815438</v>
      </c>
      <c r="I25" s="12">
        <f t="shared" si="9"/>
        <v>15.0694310420475</v>
      </c>
      <c r="J25" s="12">
        <f t="shared" si="9"/>
        <v>14.2763030924661</v>
      </c>
      <c r="K25" s="12">
        <f t="shared" si="9"/>
        <v>13.4831751428846</v>
      </c>
      <c r="L25" s="12">
        <f t="shared" si="9"/>
        <v>12.6900471933032</v>
      </c>
      <c r="M25" s="12">
        <f t="shared" si="9"/>
        <v>11.8969192437217</v>
      </c>
      <c r="N25" s="12">
        <f t="shared" si="9"/>
        <v>11.1037912941403</v>
      </c>
      <c r="O25" s="12">
        <f t="shared" si="9"/>
        <v>10.3106633445588</v>
      </c>
      <c r="P25" s="12">
        <f t="shared" si="9"/>
        <v>9.51753539497737</v>
      </c>
      <c r="Q25" s="12">
        <f t="shared" si="9"/>
        <v>8.72440744539592</v>
      </c>
      <c r="R25" s="12">
        <f t="shared" si="9"/>
        <v>7.93127949581448</v>
      </c>
      <c r="S25" s="12">
        <f t="shared" si="9"/>
        <v>7.13815154623303</v>
      </c>
      <c r="T25" s="12">
        <f t="shared" si="9"/>
        <v>6.34502359665158</v>
      </c>
      <c r="U25" s="12">
        <f t="shared" si="9"/>
        <v>5.55189564707013</v>
      </c>
      <c r="V25" s="12">
        <f t="shared" si="9"/>
        <v>4.75876769748869</v>
      </c>
      <c r="W25" s="12">
        <f t="shared" si="9"/>
        <v>3.96563974790724</v>
      </c>
      <c r="X25" s="12">
        <f t="shared" si="9"/>
        <v>3.17251179832579</v>
      </c>
      <c r="Y25" s="12">
        <f t="shared" si="9"/>
        <v>2.37938384874434</v>
      </c>
      <c r="Z25" s="12">
        <f t="shared" si="9"/>
        <v>1.58625589916289</v>
      </c>
      <c r="AA25" s="12">
        <f t="shared" si="9"/>
        <v>0.793127949581447</v>
      </c>
      <c r="AB25" s="12">
        <f t="shared" si="9"/>
        <v>0</v>
      </c>
    </row>
    <row r="26" spans="12:12">
      <c r="L26"/>
    </row>
    <row r="27" spans="1:28">
      <c r="A27" s="11" t="s">
        <v>260</v>
      </c>
      <c r="B27" s="89" t="s">
        <v>271</v>
      </c>
      <c r="C27" s="90" t="s">
        <v>265</v>
      </c>
      <c r="D27" s="36" t="s">
        <v>265</v>
      </c>
      <c r="E27" s="65" t="s">
        <v>265</v>
      </c>
      <c r="F27" s="96">
        <f t="shared" ref="F27:AB27" si="10">F28+F32</f>
        <v>0</v>
      </c>
      <c r="G27" s="96">
        <f t="shared" si="10"/>
        <v>0.251977109549325</v>
      </c>
      <c r="H27" s="96">
        <f t="shared" si="10"/>
        <v>0.251977109549325</v>
      </c>
      <c r="I27" s="96">
        <f t="shared" si="10"/>
        <v>0.251977109549325</v>
      </c>
      <c r="J27" s="96">
        <f t="shared" si="10"/>
        <v>0.251977109549325</v>
      </c>
      <c r="K27" s="96">
        <f t="shared" si="10"/>
        <v>0.251977109549325</v>
      </c>
      <c r="L27" s="96">
        <f t="shared" si="10"/>
        <v>0.251977109549325</v>
      </c>
      <c r="M27" s="96">
        <f t="shared" si="10"/>
        <v>0.251977109549325</v>
      </c>
      <c r="N27" s="96">
        <f t="shared" si="10"/>
        <v>0.251977109549325</v>
      </c>
      <c r="O27" s="96">
        <f t="shared" si="10"/>
        <v>0.251977109549325</v>
      </c>
      <c r="P27" s="96">
        <f t="shared" si="10"/>
        <v>0.251977109549325</v>
      </c>
      <c r="Q27" s="96">
        <f t="shared" si="10"/>
        <v>0.251977109549325</v>
      </c>
      <c r="R27" s="96">
        <f t="shared" si="10"/>
        <v>0.251977109549325</v>
      </c>
      <c r="S27" s="96">
        <f t="shared" si="10"/>
        <v>0.251977109549325</v>
      </c>
      <c r="T27" s="96">
        <f t="shared" si="10"/>
        <v>0.251977109549325</v>
      </c>
      <c r="U27" s="96">
        <f t="shared" si="10"/>
        <v>0.251977109549325</v>
      </c>
      <c r="V27" s="96">
        <f t="shared" si="10"/>
        <v>0.251977109549325</v>
      </c>
      <c r="W27" s="96">
        <f t="shared" si="10"/>
        <v>0.251977109549325</v>
      </c>
      <c r="X27" s="96">
        <f t="shared" si="10"/>
        <v>0.251977109549325</v>
      </c>
      <c r="Y27" s="96">
        <f t="shared" si="10"/>
        <v>0.251977109549325</v>
      </c>
      <c r="Z27" s="96">
        <f t="shared" si="10"/>
        <v>0.251977109549325</v>
      </c>
      <c r="AA27" s="96">
        <f t="shared" si="10"/>
        <v>0.251977109549325</v>
      </c>
      <c r="AB27" s="96">
        <f t="shared" si="10"/>
        <v>0.251977109549325</v>
      </c>
    </row>
    <row r="28" spans="1:28">
      <c r="A28" s="8" t="s">
        <v>272</v>
      </c>
      <c r="B28" s="8" t="s">
        <v>273</v>
      </c>
      <c r="C28" s="14" t="s">
        <v>265</v>
      </c>
      <c r="D28" s="26" t="s">
        <v>265</v>
      </c>
      <c r="E28" s="14" t="s">
        <v>265</v>
      </c>
      <c r="F28" s="12">
        <f t="shared" ref="F28:AB28" si="11">SUM(F29:F31)</f>
        <v>0</v>
      </c>
      <c r="G28" s="12">
        <f t="shared" si="11"/>
        <v>0.251977109549325</v>
      </c>
      <c r="H28" s="12">
        <f t="shared" si="11"/>
        <v>0.251977109549325</v>
      </c>
      <c r="I28" s="12">
        <f t="shared" si="11"/>
        <v>0.251977109549325</v>
      </c>
      <c r="J28" s="12">
        <f t="shared" si="11"/>
        <v>0.251977109549325</v>
      </c>
      <c r="K28" s="12">
        <f t="shared" si="11"/>
        <v>0.251977109549325</v>
      </c>
      <c r="L28" s="12">
        <f t="shared" si="11"/>
        <v>0.251977109549325</v>
      </c>
      <c r="M28" s="12">
        <f t="shared" si="11"/>
        <v>0.251977109549325</v>
      </c>
      <c r="N28" s="12">
        <f t="shared" si="11"/>
        <v>0.251977109549325</v>
      </c>
      <c r="O28" s="12">
        <f t="shared" si="11"/>
        <v>0.251977109549325</v>
      </c>
      <c r="P28" s="12">
        <f t="shared" si="11"/>
        <v>0.251977109549325</v>
      </c>
      <c r="Q28" s="12">
        <f t="shared" si="11"/>
        <v>0.251977109549325</v>
      </c>
      <c r="R28" s="12">
        <f t="shared" si="11"/>
        <v>0.251977109549325</v>
      </c>
      <c r="S28" s="12">
        <f t="shared" si="11"/>
        <v>0.251977109549325</v>
      </c>
      <c r="T28" s="12">
        <f t="shared" si="11"/>
        <v>0.251977109549325</v>
      </c>
      <c r="U28" s="12">
        <f t="shared" si="11"/>
        <v>0.251977109549325</v>
      </c>
      <c r="V28" s="12">
        <f t="shared" si="11"/>
        <v>0.251977109549325</v>
      </c>
      <c r="W28" s="12">
        <f t="shared" si="11"/>
        <v>0.251977109549325</v>
      </c>
      <c r="X28" s="12">
        <f t="shared" si="11"/>
        <v>0.251977109549325</v>
      </c>
      <c r="Y28" s="12">
        <f t="shared" si="11"/>
        <v>0.251977109549325</v>
      </c>
      <c r="Z28" s="12">
        <f t="shared" si="11"/>
        <v>0.251977109549325</v>
      </c>
      <c r="AA28" s="12">
        <f t="shared" si="11"/>
        <v>0.251977109549325</v>
      </c>
      <c r="AB28" s="12">
        <f t="shared" si="11"/>
        <v>0.251977109549325</v>
      </c>
    </row>
    <row r="29" spans="1:28">
      <c r="A29" s="8" t="s">
        <v>274</v>
      </c>
      <c r="B29" s="8" t="s">
        <v>275</v>
      </c>
      <c r="C29" s="39" t="s">
        <v>265</v>
      </c>
      <c r="D29" s="13" t="s">
        <v>265</v>
      </c>
      <c r="E29" s="14" t="s">
        <v>265</v>
      </c>
      <c r="F29" s="12">
        <f>IF(F3-$F$3&gt;0,IF(F6&lt;&gt;"",$E$6,0),0)</f>
        <v>0</v>
      </c>
      <c r="G29" s="12">
        <f>IF(G3-$F$3&gt;0,IF(G6&lt;&gt;"",$E$6,0),0)</f>
        <v>0</v>
      </c>
      <c r="H29" s="12">
        <f>IF(H3-$F$3&gt;0,IF(H6&lt;&gt;"",$E$6,0),0)</f>
        <v>0</v>
      </c>
      <c r="I29" s="12">
        <f>IF(I3-$F$3&gt;0,IF(I6&lt;&gt;"",$E$6,0),0)</f>
        <v>0</v>
      </c>
      <c r="J29" s="12">
        <f>IF(J3-$F$3&gt;0,IF(J6&lt;&gt;"",$E$6,0),0)</f>
        <v>0</v>
      </c>
      <c r="K29" s="12">
        <f>IF(K3-$F$3&gt;0,IF(K6&lt;&gt;"",$E$6,0),0)</f>
        <v>0</v>
      </c>
      <c r="L29" s="12">
        <f>IF(L3-$F$3&gt;0,IF(K6&lt;&gt;"",$E$6,0),0)</f>
        <v>0</v>
      </c>
      <c r="M29" s="12">
        <f>IF(M3-$F$3&gt;0,IF(K6&lt;&gt;"",$E$6,0),0)</f>
        <v>0</v>
      </c>
      <c r="N29" s="12">
        <f>IF(N3-$F$3&gt;0,IF(K6&lt;&gt;"",$E$6,0),0)</f>
        <v>0</v>
      </c>
      <c r="O29" s="12">
        <f>IF(O3-$F$3&gt;0,IF(K6&lt;&gt;"",$E$6,0),0)</f>
        <v>0</v>
      </c>
      <c r="P29" s="12">
        <f>IF(P3-$F$3&gt;0,IF(K6&lt;&gt;"",$E$6,0),0)</f>
        <v>0</v>
      </c>
      <c r="Q29" s="12">
        <f>IF(Q3-$F$3&gt;0,IF(K6&lt;&gt;"",$E$6,0),0)</f>
        <v>0</v>
      </c>
      <c r="R29" s="12">
        <f>IF(R3-$F$3&gt;0,IF(K6&lt;&gt;"",$E$6,0),0)</f>
        <v>0</v>
      </c>
      <c r="S29" s="12">
        <f>IF(S3-$F$3&gt;0,IF(K6&lt;&gt;"",$E$6,0),0)</f>
        <v>0</v>
      </c>
      <c r="T29" s="12">
        <f>IF(T3-$F$3&gt;0,IF(K6&lt;&gt;"",$E$6,0),0)</f>
        <v>0</v>
      </c>
      <c r="U29" s="12">
        <f>IF(U3-$F$3&gt;0,IF(K6&lt;&gt;"",$E$6,0),0)</f>
        <v>0</v>
      </c>
      <c r="V29" s="12">
        <f>IF(V3-$F$3&gt;0,IF(K6&lt;&gt;"",$E$6,0),0)</f>
        <v>0</v>
      </c>
      <c r="W29" s="12">
        <f>IF(W3-$F$3&gt;0,IF(K6&lt;&gt;"",$E$6,0),0)</f>
        <v>0</v>
      </c>
      <c r="X29" s="12">
        <f>IF(X3-$F$3&gt;0,IF(K6&lt;&gt;"",$E$6,0),0)</f>
        <v>0</v>
      </c>
      <c r="Y29" s="12">
        <f>IF(Y3-$F$3&gt;0,IF(K6&lt;&gt;"",$E$6,0),0)</f>
        <v>0</v>
      </c>
      <c r="Z29" s="12">
        <f>IF(Z3-$F$3&gt;0,IF(K6&lt;&gt;"",$E$6,0),0)</f>
        <v>0</v>
      </c>
      <c r="AA29" s="12">
        <f>IF(AA3-$F$3&gt;0,IF(K6&lt;&gt;"",$E$6,0),0)</f>
        <v>0</v>
      </c>
      <c r="AB29" s="12">
        <f>IF(AB3-$F$3&gt;0,IF(K6&lt;&gt;"",$E$6,0),0)</f>
        <v>0</v>
      </c>
    </row>
    <row r="30" spans="1:28">
      <c r="A30" s="8" t="s">
        <v>276</v>
      </c>
      <c r="B30" s="8" t="s">
        <v>277</v>
      </c>
      <c r="C30" s="39" t="s">
        <v>265</v>
      </c>
      <c r="D30" s="13" t="s">
        <v>265</v>
      </c>
      <c r="E30" s="14" t="s">
        <v>265</v>
      </c>
      <c r="F30" s="12">
        <f>IF(F3-$F$3&gt;0,IF(F7&lt;&gt;"",$E$7,0),0)</f>
        <v>0</v>
      </c>
      <c r="G30" s="12">
        <f>IF(G3-$F$3&gt;0,IF(G7&lt;&gt;"",$E$7,0),0)</f>
        <v>0</v>
      </c>
      <c r="H30" s="12">
        <f>IF(H3-$F$3&gt;0,IF(H7&lt;&gt;"",$E$7,0),0)</f>
        <v>0</v>
      </c>
      <c r="I30" s="12">
        <f>IF(I3-$F$3&gt;0,IF(I7&lt;&gt;"",$E$7,0),0)</f>
        <v>0</v>
      </c>
      <c r="J30" s="12">
        <f>IF(J3-$F$3&gt;0,IF(J7&lt;&gt;"",$E$7,0),0)</f>
        <v>0</v>
      </c>
      <c r="K30" s="12">
        <f>IF(K3-$F$3&gt;0,IF(K7&lt;&gt;"",$E$7,0),0)</f>
        <v>0</v>
      </c>
      <c r="L30" s="12">
        <f>IF(L3-$F$3&gt;0,IF(K7&lt;&gt;"",$E$7,0),0)</f>
        <v>0</v>
      </c>
      <c r="M30" s="12">
        <f>IF(M3-$F$3&gt;0,IF(K7&lt;&gt;"",$E$7,0),0)</f>
        <v>0</v>
      </c>
      <c r="N30" s="12">
        <f>IF(N3-$F$3&gt;0,IF(K7&lt;&gt;"",$E$7,0),0)</f>
        <v>0</v>
      </c>
      <c r="O30" s="12">
        <f>IF(O3-$F$3&gt;0,IF(K7&lt;&gt;"",$E$7,0),0)</f>
        <v>0</v>
      </c>
      <c r="P30" s="12">
        <f>IF(P3-$F$3&gt;0,IF(K7&lt;&gt;"",$E$7,0),0)</f>
        <v>0</v>
      </c>
      <c r="Q30" s="12">
        <f>IF(Q3-$F$3&gt;0,IF(K7&lt;&gt;"",$E$7,0),0)</f>
        <v>0</v>
      </c>
      <c r="R30" s="12">
        <f>IF(R3-$F$3&gt;0,IF(K7&lt;&gt;"",$E$7,0),0)</f>
        <v>0</v>
      </c>
      <c r="S30" s="12">
        <f>IF(S3-$F$3&gt;0,IF(K7&lt;&gt;"",$E$7,0),0)</f>
        <v>0</v>
      </c>
      <c r="T30" s="12">
        <f>IF(T3-$F$3&gt;0,IF(K7&lt;&gt;"",$E$7,0),0)</f>
        <v>0</v>
      </c>
      <c r="U30" s="12">
        <f>IF(U3-$F$3&gt;0,IF(K7&lt;&gt;"",$E$7,0),0)</f>
        <v>0</v>
      </c>
      <c r="V30" s="12">
        <f>IF(V3-$F$3&gt;0,IF(K7&lt;&gt;"",$E$7,0),0)</f>
        <v>0</v>
      </c>
      <c r="W30" s="12">
        <f>IF(W3-$F$3&gt;0,IF(K7&lt;&gt;"",$E$7,0),0)</f>
        <v>0</v>
      </c>
      <c r="X30" s="12">
        <f>IF(X3-$F$3&gt;0,IF(K7&lt;&gt;"",$E$7,0),0)</f>
        <v>0</v>
      </c>
      <c r="Y30" s="12">
        <f>IF(Y3-$F$3&gt;0,IF(K7&lt;&gt;"",$E$7,0),0)</f>
        <v>0</v>
      </c>
      <c r="Z30" s="12">
        <f>IF(Z3-$F$3&gt;0,IF(K7&lt;&gt;"",$E$7,0),0)</f>
        <v>0</v>
      </c>
      <c r="AA30" s="12">
        <f>IF(AA3-$F$3&gt;0,IF(K7&lt;&gt;"",$E$7,0),0)</f>
        <v>0</v>
      </c>
      <c r="AB30" s="12">
        <f>IF(AB3-$F$3&gt;0,IF(K7&lt;&gt;"",$E$7,0),0)</f>
        <v>0</v>
      </c>
    </row>
    <row r="31" spans="1:28">
      <c r="A31" s="8" t="s">
        <v>278</v>
      </c>
      <c r="B31" s="36" t="s">
        <v>279</v>
      </c>
      <c r="C31" s="68" t="s">
        <v>265</v>
      </c>
      <c r="D31" s="13" t="s">
        <v>265</v>
      </c>
      <c r="E31" s="14" t="s">
        <v>265</v>
      </c>
      <c r="F31" s="12">
        <f>IF(F3-$F$3&gt;0,IF(F8&lt;&gt;"",$E$8,0),0)</f>
        <v>0</v>
      </c>
      <c r="G31" s="12">
        <f>IF(G3-$F$3&gt;0,IF(G8&lt;&gt;"",$E$8,0),0)</f>
        <v>0.251977109549325</v>
      </c>
      <c r="H31" s="12">
        <f>IF(H3-$F$3&gt;0,IF(H8&lt;&gt;"",$E$8,0),0)</f>
        <v>0.251977109549325</v>
      </c>
      <c r="I31" s="12">
        <f>IF(I3-$F$3&gt;0,IF(I8&lt;&gt;"",$E$8,0),0)</f>
        <v>0.251977109549325</v>
      </c>
      <c r="J31" s="12">
        <f>IF(J3-$F$3&gt;0,IF(J8&lt;&gt;"",$E$8,0),0)</f>
        <v>0.251977109549325</v>
      </c>
      <c r="K31" s="12">
        <f>IF(K3-$F$3&gt;0,IF(K8&lt;&gt;"",$E$8,0),0)</f>
        <v>0.251977109549325</v>
      </c>
      <c r="L31" s="12">
        <f>IF(L3-$F$3&gt;0,IF(K8&lt;&gt;"",$E$8,0),0)</f>
        <v>0.251977109549325</v>
      </c>
      <c r="M31" s="12">
        <f>IF(M3-$F$3&gt;0,IF(K8&lt;&gt;"",$E$8,0),0)</f>
        <v>0.251977109549325</v>
      </c>
      <c r="N31" s="12">
        <f>IF(N3-$F$3&gt;0,IF(K8&lt;&gt;"",$E$8,0),0)</f>
        <v>0.251977109549325</v>
      </c>
      <c r="O31" s="12">
        <f>IF(O3-$F$3&gt;0,IF(K8&lt;&gt;"",$E$8,0),0)</f>
        <v>0.251977109549325</v>
      </c>
      <c r="P31" s="12">
        <f>IF(P3-$F$3&gt;0,IF(K8&lt;&gt;"",$E$8,0),0)</f>
        <v>0.251977109549325</v>
      </c>
      <c r="Q31" s="12">
        <f>IF(Q3-$F$3&gt;0,IF(K8&lt;&gt;"",$E$8,0),0)</f>
        <v>0.251977109549325</v>
      </c>
      <c r="R31" s="12">
        <f>IF(R3-$F$3&gt;0,IF(K8&lt;&gt;"",$E$8,0),0)</f>
        <v>0.251977109549325</v>
      </c>
      <c r="S31" s="12">
        <f>IF(S3-$F$3&gt;0,IF(K8&lt;&gt;"",$E$8,0),0)</f>
        <v>0.251977109549325</v>
      </c>
      <c r="T31" s="12">
        <f>IF(T3-$F$3&gt;0,IF(K8&lt;&gt;"",$E$8,0),0)</f>
        <v>0.251977109549325</v>
      </c>
      <c r="U31" s="12">
        <f>IF(U3-$F$3&gt;0,IF(K8&lt;&gt;"",$E$8,0),0)</f>
        <v>0.251977109549325</v>
      </c>
      <c r="V31" s="12">
        <f>IF(V3-$F$3&gt;0,IF(K8&lt;&gt;"",$E$8,0),0)</f>
        <v>0.251977109549325</v>
      </c>
      <c r="W31" s="12">
        <f>IF(W3-$F$3&gt;0,IF(K8&lt;&gt;"",$E$8,0),0)</f>
        <v>0.251977109549325</v>
      </c>
      <c r="X31" s="12">
        <f>IF(X3-$F$3&gt;0,IF(K8&lt;&gt;"",$E$8,0),0)</f>
        <v>0.251977109549325</v>
      </c>
      <c r="Y31" s="12">
        <f>IF(Y3-$F$3&gt;0,IF(K8&lt;&gt;"",$E$8,0),0)</f>
        <v>0.251977109549325</v>
      </c>
      <c r="Z31" s="12">
        <f>IF(Z3-$F$3&gt;0,IF(K8&lt;&gt;"",$E$8,0),0)</f>
        <v>0.251977109549325</v>
      </c>
      <c r="AA31" s="12">
        <f>IF(AA3-$F$3&gt;0,IF(K8&lt;&gt;"",$E$8,0),0)</f>
        <v>0.251977109549325</v>
      </c>
      <c r="AB31" s="12">
        <f>IF(AB3-$F$3&gt;0,IF(K8&lt;&gt;"",$E$8,0),0)</f>
        <v>0.251977109549325</v>
      </c>
    </row>
    <row r="32" spans="1:28">
      <c r="A32" s="8" t="s">
        <v>280</v>
      </c>
      <c r="B32" s="8" t="s">
        <v>281</v>
      </c>
      <c r="C32" s="14" t="s">
        <v>265</v>
      </c>
      <c r="D32" s="97" t="s">
        <v>265</v>
      </c>
      <c r="E32" s="14" t="s">
        <v>265</v>
      </c>
      <c r="F32" s="12">
        <f t="shared" ref="F32:AB32" si="12">F33</f>
        <v>0</v>
      </c>
      <c r="G32" s="12">
        <f t="shared" si="12"/>
        <v>0</v>
      </c>
      <c r="H32" s="12">
        <f t="shared" si="12"/>
        <v>0</v>
      </c>
      <c r="I32" s="12">
        <f t="shared" si="12"/>
        <v>0</v>
      </c>
      <c r="J32" s="12">
        <f t="shared" si="12"/>
        <v>0</v>
      </c>
      <c r="K32" s="12">
        <f t="shared" si="12"/>
        <v>0</v>
      </c>
      <c r="L32" s="12">
        <f t="shared" si="12"/>
        <v>0</v>
      </c>
      <c r="M32" s="12">
        <f t="shared" si="12"/>
        <v>0</v>
      </c>
      <c r="N32" s="12">
        <f t="shared" si="12"/>
        <v>0</v>
      </c>
      <c r="O32" s="12">
        <f t="shared" si="12"/>
        <v>0</v>
      </c>
      <c r="P32" s="12">
        <f t="shared" si="12"/>
        <v>0</v>
      </c>
      <c r="Q32" s="12">
        <f t="shared" si="12"/>
        <v>0</v>
      </c>
      <c r="R32" s="12">
        <f t="shared" si="12"/>
        <v>0</v>
      </c>
      <c r="S32" s="12">
        <f t="shared" si="12"/>
        <v>0</v>
      </c>
      <c r="T32" s="12">
        <f t="shared" si="12"/>
        <v>0</v>
      </c>
      <c r="U32" s="12">
        <f t="shared" si="12"/>
        <v>0</v>
      </c>
      <c r="V32" s="12">
        <f t="shared" si="12"/>
        <v>0</v>
      </c>
      <c r="W32" s="12">
        <f t="shared" si="12"/>
        <v>0</v>
      </c>
      <c r="X32" s="12">
        <f t="shared" si="12"/>
        <v>0</v>
      </c>
      <c r="Y32" s="12">
        <f t="shared" si="12"/>
        <v>0</v>
      </c>
      <c r="Z32" s="12">
        <f t="shared" si="12"/>
        <v>0</v>
      </c>
      <c r="AA32" s="12">
        <f t="shared" si="12"/>
        <v>0</v>
      </c>
      <c r="AB32" s="12">
        <f t="shared" si="12"/>
        <v>0</v>
      </c>
    </row>
    <row r="33" spans="1:28">
      <c r="A33" s="8" t="s">
        <v>160</v>
      </c>
      <c r="B33" s="8" t="s">
        <v>282</v>
      </c>
      <c r="C33" s="39" t="s">
        <v>265</v>
      </c>
      <c r="D33" s="13" t="s">
        <v>265</v>
      </c>
      <c r="E33" s="14" t="s">
        <v>265</v>
      </c>
      <c r="F33" s="12">
        <f>IF(F3-$F$3&gt;0,IF(F10&lt;&gt;"",$E$10,0),0)</f>
        <v>0</v>
      </c>
      <c r="G33" s="12">
        <f>IF(G3-$F$3&gt;0,IF(G10&lt;&gt;"",$E$10,0),0)</f>
        <v>0</v>
      </c>
      <c r="H33" s="12">
        <f>IF(H3-$F$3&gt;0,IF(H10&lt;&gt;"",$E$10,0),0)</f>
        <v>0</v>
      </c>
      <c r="I33" s="12">
        <f>IF(I3-$F$3&gt;0,IF(I10&lt;&gt;"",$E$10,0),0)</f>
        <v>0</v>
      </c>
      <c r="J33" s="12">
        <f>IF(J3-$F$3&gt;0,IF(J10&lt;&gt;"",$E$10,0),0)</f>
        <v>0</v>
      </c>
      <c r="K33" s="12">
        <f>IF(K3-$F$3&gt;0,IF(K10&lt;&gt;"",$E$10,0),0)</f>
        <v>0</v>
      </c>
      <c r="L33" s="12">
        <f>IF(L3-$F$3&gt;0,IF(K10&lt;&gt;"",$E$10,0),0)</f>
        <v>0</v>
      </c>
      <c r="M33" s="12">
        <f>IF(M3-$F$3&gt;0,IF(K10&lt;&gt;"",$E$10,0),0)</f>
        <v>0</v>
      </c>
      <c r="N33" s="12">
        <f>IF(N3-$F$3&gt;0,IF(K10&lt;&gt;"",$E$10,0),0)</f>
        <v>0</v>
      </c>
      <c r="O33" s="12">
        <f>IF(O3-$F$3&gt;0,IF(K10&lt;&gt;"",$E$10,0),0)</f>
        <v>0</v>
      </c>
      <c r="P33" s="12">
        <f>IF(P3-$F$3&gt;0,IF(K10&lt;&gt;"",$E$10,0),0)</f>
        <v>0</v>
      </c>
      <c r="Q33" s="12">
        <f>IF(Q3-$F$3&gt;0,IF(K10&lt;&gt;"",$E$10,0),0)</f>
        <v>0</v>
      </c>
      <c r="R33" s="12">
        <f>IF(R3-$F$3&gt;0,IF(K10&lt;&gt;"",$E$10,0),0)</f>
        <v>0</v>
      </c>
      <c r="S33" s="12">
        <f>IF(S3-$F$3&gt;0,IF(K10&lt;&gt;"",$E$10,0),0)</f>
        <v>0</v>
      </c>
      <c r="T33" s="12">
        <f>IF(T3-$F$3&gt;0,IF(K10&lt;&gt;"",$E$10,0),0)</f>
        <v>0</v>
      </c>
      <c r="U33" s="12">
        <f>IF(U3-$F$3&gt;0,IF(K10&lt;&gt;"",$E$10,0),0)</f>
        <v>0</v>
      </c>
      <c r="V33" s="12">
        <f>IF(V3-$F$3&gt;0,IF(K10&lt;&gt;"",$E$10,0),0)</f>
        <v>0</v>
      </c>
      <c r="W33" s="12">
        <f>IF(W3-$F$3&gt;0,IF(K10&lt;&gt;"",$E$10,0),0)</f>
        <v>0</v>
      </c>
      <c r="X33" s="12">
        <f>IF(X3-$F$3&gt;0,IF(K10&lt;&gt;"",$E$10,0),0)</f>
        <v>0</v>
      </c>
      <c r="Y33" s="12">
        <f>IF(Y3-$F$3&gt;0,IF(K10&lt;&gt;"",$E$10,0),0)</f>
        <v>0</v>
      </c>
      <c r="Z33" s="12">
        <f>IF(Z3-$F$3&gt;0,IF(K10&lt;&gt;"",$E$10,0),0)</f>
        <v>0</v>
      </c>
      <c r="AA33" s="12">
        <f>IF(AA3-$F$3&gt;0,IF(K10&lt;&gt;"",$E$10,0),0)</f>
        <v>0</v>
      </c>
      <c r="AB33" s="12">
        <f>IF(AB3-$F$3&gt;0,IF(K10&lt;&gt;"",$E$10,0),0)</f>
        <v>0</v>
      </c>
    </row>
    <row r="34" spans="1:28">
      <c r="A34" s="11" t="s">
        <v>262</v>
      </c>
      <c r="B34" s="89" t="s">
        <v>283</v>
      </c>
      <c r="C34" s="14" t="s">
        <v>265</v>
      </c>
      <c r="D34" s="8" t="s">
        <v>265</v>
      </c>
      <c r="E34" s="14" t="s">
        <v>265</v>
      </c>
      <c r="F34" s="96">
        <f t="shared" ref="F34:AB34" si="13">F35+F39</f>
        <v>0</v>
      </c>
      <c r="G34" s="96">
        <f t="shared" si="13"/>
        <v>0</v>
      </c>
      <c r="H34" s="96">
        <f t="shared" si="13"/>
        <v>0.263976019527865</v>
      </c>
      <c r="I34" s="96">
        <f t="shared" si="13"/>
        <v>0.263976019527865</v>
      </c>
      <c r="J34" s="96">
        <f t="shared" si="13"/>
        <v>0.263976019527865</v>
      </c>
      <c r="K34" s="96">
        <f t="shared" si="13"/>
        <v>0.263976019527865</v>
      </c>
      <c r="L34" s="96">
        <f t="shared" si="13"/>
        <v>0.263976019527865</v>
      </c>
      <c r="M34" s="96">
        <f t="shared" si="13"/>
        <v>0.263976019527865</v>
      </c>
      <c r="N34" s="96">
        <f t="shared" si="13"/>
        <v>0.263976019527865</v>
      </c>
      <c r="O34" s="96">
        <f t="shared" si="13"/>
        <v>0.263976019527865</v>
      </c>
      <c r="P34" s="96">
        <f t="shared" si="13"/>
        <v>0.263976019527865</v>
      </c>
      <c r="Q34" s="96">
        <f t="shared" si="13"/>
        <v>0.263976019527865</v>
      </c>
      <c r="R34" s="96">
        <f t="shared" si="13"/>
        <v>0.263976019527865</v>
      </c>
      <c r="S34" s="96">
        <f t="shared" si="13"/>
        <v>0.263976019527865</v>
      </c>
      <c r="T34" s="96">
        <f t="shared" si="13"/>
        <v>0.263976019527865</v>
      </c>
      <c r="U34" s="96">
        <f t="shared" si="13"/>
        <v>0.263976019527865</v>
      </c>
      <c r="V34" s="96">
        <f t="shared" si="13"/>
        <v>0.263976019527865</v>
      </c>
      <c r="W34" s="96">
        <f t="shared" si="13"/>
        <v>0.263976019527865</v>
      </c>
      <c r="X34" s="96">
        <f t="shared" si="13"/>
        <v>0.263976019527865</v>
      </c>
      <c r="Y34" s="96">
        <f t="shared" si="13"/>
        <v>0.263976019527865</v>
      </c>
      <c r="Z34" s="96">
        <f t="shared" si="13"/>
        <v>0.263976019527865</v>
      </c>
      <c r="AA34" s="96">
        <f t="shared" si="13"/>
        <v>0.263976019527865</v>
      </c>
      <c r="AB34" s="96">
        <f t="shared" si="13"/>
        <v>0.263976019527865</v>
      </c>
    </row>
    <row r="35" spans="1:28">
      <c r="A35" s="8" t="s">
        <v>284</v>
      </c>
      <c r="B35" s="8" t="s">
        <v>273</v>
      </c>
      <c r="C35" s="14" t="s">
        <v>265</v>
      </c>
      <c r="D35" s="8" t="s">
        <v>265</v>
      </c>
      <c r="E35" s="14" t="s">
        <v>265</v>
      </c>
      <c r="F35" s="12">
        <f t="shared" ref="F35:AB35" si="14">SUM(F36:F38)</f>
        <v>0</v>
      </c>
      <c r="G35" s="12">
        <f t="shared" si="14"/>
        <v>0</v>
      </c>
      <c r="H35" s="12">
        <f t="shared" si="14"/>
        <v>0.263976019527865</v>
      </c>
      <c r="I35" s="12">
        <f t="shared" si="14"/>
        <v>0.263976019527865</v>
      </c>
      <c r="J35" s="12">
        <f t="shared" si="14"/>
        <v>0.263976019527865</v>
      </c>
      <c r="K35" s="12">
        <f t="shared" si="14"/>
        <v>0.263976019527865</v>
      </c>
      <c r="L35" s="12">
        <f t="shared" si="14"/>
        <v>0.263976019527865</v>
      </c>
      <c r="M35" s="12">
        <f t="shared" si="14"/>
        <v>0.263976019527865</v>
      </c>
      <c r="N35" s="12">
        <f t="shared" si="14"/>
        <v>0.263976019527865</v>
      </c>
      <c r="O35" s="12">
        <f t="shared" si="14"/>
        <v>0.263976019527865</v>
      </c>
      <c r="P35" s="12">
        <f t="shared" si="14"/>
        <v>0.263976019527865</v>
      </c>
      <c r="Q35" s="12">
        <f t="shared" si="14"/>
        <v>0.263976019527865</v>
      </c>
      <c r="R35" s="12">
        <f t="shared" si="14"/>
        <v>0.263976019527865</v>
      </c>
      <c r="S35" s="12">
        <f t="shared" si="14"/>
        <v>0.263976019527865</v>
      </c>
      <c r="T35" s="12">
        <f t="shared" si="14"/>
        <v>0.263976019527865</v>
      </c>
      <c r="U35" s="12">
        <f t="shared" si="14"/>
        <v>0.263976019527865</v>
      </c>
      <c r="V35" s="12">
        <f t="shared" si="14"/>
        <v>0.263976019527865</v>
      </c>
      <c r="W35" s="12">
        <f t="shared" si="14"/>
        <v>0.263976019527865</v>
      </c>
      <c r="X35" s="12">
        <f t="shared" si="14"/>
        <v>0.263976019527865</v>
      </c>
      <c r="Y35" s="12">
        <f t="shared" si="14"/>
        <v>0.263976019527865</v>
      </c>
      <c r="Z35" s="12">
        <f t="shared" si="14"/>
        <v>0.263976019527865</v>
      </c>
      <c r="AA35" s="12">
        <f t="shared" si="14"/>
        <v>0.263976019527865</v>
      </c>
      <c r="AB35" s="12">
        <f t="shared" si="14"/>
        <v>0.263976019527865</v>
      </c>
    </row>
    <row r="36" spans="1:28">
      <c r="A36" s="8" t="s">
        <v>106</v>
      </c>
      <c r="B36" s="8" t="s">
        <v>275</v>
      </c>
      <c r="C36" s="39" t="s">
        <v>265</v>
      </c>
      <c r="D36" s="13" t="s">
        <v>265</v>
      </c>
      <c r="E36" s="14" t="s">
        <v>265</v>
      </c>
      <c r="F36" s="12">
        <f>IF(F3-$G$3&gt;0,IF(F13&lt;&gt;"",$E$13,0),0)</f>
        <v>0</v>
      </c>
      <c r="G36" s="12">
        <f>IF(G3-$G$3&gt;0,IF(G13&lt;&gt;"",$E$13,0),0)</f>
        <v>0</v>
      </c>
      <c r="H36" s="12">
        <f>IF(H3-$G$3&gt;0,IF(H13&lt;&gt;"",$E$13,0),0)</f>
        <v>0</v>
      </c>
      <c r="I36" s="12">
        <f>IF(I3-$G$3&gt;0,IF(I13&lt;&gt;"",$E$13,0),0)</f>
        <v>0</v>
      </c>
      <c r="J36" s="12">
        <f>IF(J3-$G$3&gt;0,IF(J13&lt;&gt;"",$E$13,0),0)</f>
        <v>0</v>
      </c>
      <c r="K36" s="12">
        <f>IF(K3-$G$3&gt;0,IF(K13&lt;&gt;"",$E$13,0),0)</f>
        <v>0</v>
      </c>
      <c r="L36" s="12">
        <f>IF(L3-$G$3&gt;0,IF(K13&lt;&gt;"",$E$13,0),0)</f>
        <v>0</v>
      </c>
      <c r="M36" s="12">
        <f>IF(M3-$G$3&gt;0,IF(K13&lt;&gt;"",$E$13,0),0)</f>
        <v>0</v>
      </c>
      <c r="N36" s="12">
        <f>IF(N3-$G$3&gt;0,IF(K13&lt;&gt;"",$E$13,0),0)</f>
        <v>0</v>
      </c>
      <c r="O36" s="12">
        <f>IF(O3-$G$3&gt;0,IF(K13&lt;&gt;"",$E$13,0),0)</f>
        <v>0</v>
      </c>
      <c r="P36" s="12">
        <f>IF(P3-$G$3&gt;0,IF(K13&lt;&gt;"",$E$13,0),0)</f>
        <v>0</v>
      </c>
      <c r="Q36" s="12">
        <f>IF(Q3-$G$3&gt;0,IF(K13&lt;&gt;"",$E$13,0),0)</f>
        <v>0</v>
      </c>
      <c r="R36" s="12">
        <f>IF(R3-$G$3&gt;0,IF(K13&lt;&gt;"",$E$13,0),0)</f>
        <v>0</v>
      </c>
      <c r="S36" s="12">
        <f>IF(S3-$G$3&gt;0,IF(K13&lt;&gt;"",$E$13,0),0)</f>
        <v>0</v>
      </c>
      <c r="T36" s="12">
        <f>IF(T3-$G$3&gt;0,IF(K13&lt;&gt;"",$E$13,0),0)</f>
        <v>0</v>
      </c>
      <c r="U36" s="12">
        <f>IF(U3-$G$3&gt;0,IF(K13&lt;&gt;"",$E$13,0),0)</f>
        <v>0</v>
      </c>
      <c r="V36" s="12">
        <f>IF(V3-$G$3&gt;0,IF(K13&lt;&gt;"",$E$13,0),0)</f>
        <v>0</v>
      </c>
      <c r="W36" s="12">
        <f>IF(W3-$G$3&gt;0,IF(K13&lt;&gt;"",$E$13,0),0)</f>
        <v>0</v>
      </c>
      <c r="X36" s="12">
        <f>IF(X3-$G$3&gt;0,IF(K13&lt;&gt;"",$E$13,0),0)</f>
        <v>0</v>
      </c>
      <c r="Y36" s="12">
        <f>IF(Y3-$G$3&gt;0,IF(K13&lt;&gt;"",$E$13,0),0)</f>
        <v>0</v>
      </c>
      <c r="Z36" s="12">
        <f>IF(Z3-$G$3&gt;0,IF(K13&lt;&gt;"",$E$13,0),0)</f>
        <v>0</v>
      </c>
      <c r="AA36" s="12">
        <f>IF(AA3-$G$3&gt;0,IF(K13&lt;&gt;"",$E$13,0),0)</f>
        <v>0</v>
      </c>
      <c r="AB36" s="12">
        <f>IF(AB3-$G$3&gt;0,IF(K13&lt;&gt;"",$E$13,0),0)</f>
        <v>0</v>
      </c>
    </row>
    <row r="37" spans="1:28">
      <c r="A37" s="8" t="s">
        <v>108</v>
      </c>
      <c r="B37" s="8" t="s">
        <v>277</v>
      </c>
      <c r="C37" s="39" t="s">
        <v>265</v>
      </c>
      <c r="D37" s="13" t="s">
        <v>265</v>
      </c>
      <c r="E37" s="14" t="s">
        <v>265</v>
      </c>
      <c r="F37" s="12">
        <f>IF(F3-$G$3&gt;0,IF(F14&lt;&gt;"",$E$14,0),0)</f>
        <v>0</v>
      </c>
      <c r="G37" s="12">
        <f>IF(G3-$G$3&gt;0,IF(G14&lt;&gt;"",$E$14,0),0)</f>
        <v>0</v>
      </c>
      <c r="H37" s="12">
        <f>IF(H3-$G$3&gt;0,IF(H14&lt;&gt;"",$E$14,0),0)</f>
        <v>0</v>
      </c>
      <c r="I37" s="12">
        <f>IF(I3-$G$3&gt;0,IF(I14&lt;&gt;"",$E$14,0),0)</f>
        <v>0</v>
      </c>
      <c r="J37" s="12">
        <f>IF(J3-$G$3&gt;0,IF(J14&lt;&gt;"",$E$14,0),0)</f>
        <v>0</v>
      </c>
      <c r="K37" s="12">
        <f>IF(K3-$G$3&gt;0,IF(K14&lt;&gt;"",$E$14,0),0)</f>
        <v>0</v>
      </c>
      <c r="L37" s="12">
        <f>IF(L3-$G$3&gt;0,IF(K14&lt;&gt;"",$E$14,0),0)</f>
        <v>0</v>
      </c>
      <c r="M37" s="12">
        <f>IF(M3-$G$3&gt;0,IF(K14&lt;&gt;"",$E$14,0),0)</f>
        <v>0</v>
      </c>
      <c r="N37" s="12">
        <f>IF(N3-$G$3&gt;0,IF(K14&lt;&gt;"",$E$14,0),0)</f>
        <v>0</v>
      </c>
      <c r="O37" s="12">
        <f>IF(O3-$G$3&gt;0,IF(K14&lt;&gt;"",$E$14,0),0)</f>
        <v>0</v>
      </c>
      <c r="P37" s="12">
        <f>IF(P3-$G$3&gt;0,IF(K14&lt;&gt;"",$E$14,0),0)</f>
        <v>0</v>
      </c>
      <c r="Q37" s="12">
        <f>IF(Q3-$G$3&gt;0,IF(K14&lt;&gt;"",$E$14,0),0)</f>
        <v>0</v>
      </c>
      <c r="R37" s="12">
        <f>IF(R3-$G$3&gt;0,IF(K14&lt;&gt;"",$E$14,0),0)</f>
        <v>0</v>
      </c>
      <c r="S37" s="12">
        <f>IF(S3-$G$3&gt;0,IF(K14&lt;&gt;"",$E$14,0),0)</f>
        <v>0</v>
      </c>
      <c r="T37" s="12">
        <f>IF(T3-$G$3&gt;0,IF(K14&lt;&gt;"",$E$14,0),0)</f>
        <v>0</v>
      </c>
      <c r="U37" s="12">
        <f>IF(U3-$G$3&gt;0,IF(K14&lt;&gt;"",$E$14,0),0)</f>
        <v>0</v>
      </c>
      <c r="V37" s="12">
        <f>IF(V3-$G$3&gt;0,IF(K14&lt;&gt;"",$E$14,0),0)</f>
        <v>0</v>
      </c>
      <c r="W37" s="12">
        <f>IF(W3-$G$3&gt;0,IF(K14&lt;&gt;"",$E$14,0),0)</f>
        <v>0</v>
      </c>
      <c r="X37" s="12">
        <f>IF(X3-$G$3&gt;0,IF(K14&lt;&gt;"",$E$14,0),0)</f>
        <v>0</v>
      </c>
      <c r="Y37" s="12">
        <f>IF(Y3-$G$3&gt;0,IF(K14&lt;&gt;"",$E$14,0),0)</f>
        <v>0</v>
      </c>
      <c r="Z37" s="12">
        <f>IF(Z3-$G$3&gt;0,IF(K14&lt;&gt;"",$E$14,0),0)</f>
        <v>0</v>
      </c>
      <c r="AA37" s="12">
        <f>IF(AA3-$G$3&gt;0,IF(K14&lt;&gt;"",$E$14,0),0)</f>
        <v>0</v>
      </c>
      <c r="AB37" s="12">
        <f>IF(AB3-$G$3&gt;0,IF(K14&lt;&gt;"",$E$14,0),0)</f>
        <v>0</v>
      </c>
    </row>
    <row r="38" spans="1:28">
      <c r="A38" s="8" t="s">
        <v>110</v>
      </c>
      <c r="B38" s="36" t="s">
        <v>279</v>
      </c>
      <c r="C38" s="39" t="s">
        <v>265</v>
      </c>
      <c r="D38" s="13" t="s">
        <v>265</v>
      </c>
      <c r="E38" s="14" t="s">
        <v>265</v>
      </c>
      <c r="F38" s="12">
        <f>IF(F3-$G$3&gt;0,IF(F15&lt;&gt;"",$E$15,0),0)</f>
        <v>0</v>
      </c>
      <c r="G38" s="12">
        <f>IF(G3-$G$3&gt;0,IF(G15&lt;&gt;"",$E$15,0),0)</f>
        <v>0</v>
      </c>
      <c r="H38" s="12">
        <f>IF(H3-$G$3&gt;0,IF(H15&lt;&gt;"",$E$15,0),0)</f>
        <v>0.263976019527865</v>
      </c>
      <c r="I38" s="12">
        <f>IF(I3-$G$3&gt;0,IF(I15&lt;&gt;"",$E$15,0),0)</f>
        <v>0.263976019527865</v>
      </c>
      <c r="J38" s="12">
        <f>IF(J3-$G$3&gt;0,IF(J15&lt;&gt;"",$E$15,0),0)</f>
        <v>0.263976019527865</v>
      </c>
      <c r="K38" s="12">
        <f>IF(K3-$G$3&gt;0,IF(K15&lt;&gt;"",$E$15,0),0)</f>
        <v>0.263976019527865</v>
      </c>
      <c r="L38" s="12">
        <f>IF(L3-$G$3&gt;0,IF(K15&lt;&gt;"",$E$15,0),0)</f>
        <v>0.263976019527865</v>
      </c>
      <c r="M38" s="12">
        <f>IF(M3-$G$3&gt;0,IF(K15&lt;&gt;"",$E$15,0),0)</f>
        <v>0.263976019527865</v>
      </c>
      <c r="N38" s="12">
        <f>IF(N3-$G$3&gt;0,IF(K15&lt;&gt;"",$E$15,0),0)</f>
        <v>0.263976019527865</v>
      </c>
      <c r="O38" s="12">
        <f>IF(O3-$G$3&gt;0,IF(K15&lt;&gt;"",$E$15,0),0)</f>
        <v>0.263976019527865</v>
      </c>
      <c r="P38" s="12">
        <f>IF(P3-$G$3&gt;0,IF(K15&lt;&gt;"",$E$15,0),0)</f>
        <v>0.263976019527865</v>
      </c>
      <c r="Q38" s="12">
        <f>IF(Q3-$G$3&gt;0,IF(K15&lt;&gt;"",$E$15,0),0)</f>
        <v>0.263976019527865</v>
      </c>
      <c r="R38" s="12">
        <f>IF(R3-$G$3&gt;0,IF(K15&lt;&gt;"",$E$15,0),0)</f>
        <v>0.263976019527865</v>
      </c>
      <c r="S38" s="12">
        <f>IF(S3-$G$3&gt;0,IF(K15&lt;&gt;"",$E$15,0),0)</f>
        <v>0.263976019527865</v>
      </c>
      <c r="T38" s="12">
        <f>IF(T3-$G$3&gt;0,IF(K15&lt;&gt;"",$E$15,0),0)</f>
        <v>0.263976019527865</v>
      </c>
      <c r="U38" s="12">
        <f>IF(U3-$G$3&gt;0,IF(K15&lt;&gt;"",$E$15,0),0)</f>
        <v>0.263976019527865</v>
      </c>
      <c r="V38" s="12">
        <f>IF(V3-$G$3&gt;0,IF(K15&lt;&gt;"",$E$15,0),0)</f>
        <v>0.263976019527865</v>
      </c>
      <c r="W38" s="12">
        <f>IF(W3-$G$3&gt;0,IF(K15&lt;&gt;"",$E$15,0),0)</f>
        <v>0.263976019527865</v>
      </c>
      <c r="X38" s="12">
        <f>IF(X3-$G$3&gt;0,IF(K15&lt;&gt;"",$E$15,0),0)</f>
        <v>0.263976019527865</v>
      </c>
      <c r="Y38" s="12">
        <f>IF(Y3-$G$3&gt;0,IF(K15&lt;&gt;"",$E$15,0),0)</f>
        <v>0.263976019527865</v>
      </c>
      <c r="Z38" s="12">
        <f>IF(Z3-$G$3&gt;0,IF(K15&lt;&gt;"",$E$15,0),0)</f>
        <v>0.263976019527865</v>
      </c>
      <c r="AA38" s="12">
        <f>IF(AA3-$G$3&gt;0,IF(K15&lt;&gt;"",$E$15,0),0)</f>
        <v>0.263976019527865</v>
      </c>
      <c r="AB38" s="12">
        <f>IF(AB3-$G$3&gt;0,IF(K15&lt;&gt;"",$E$15,0),0)</f>
        <v>0.263976019527865</v>
      </c>
    </row>
    <row r="39" spans="1:28">
      <c r="A39" s="8" t="s">
        <v>285</v>
      </c>
      <c r="B39" s="8" t="s">
        <v>281</v>
      </c>
      <c r="C39" s="14" t="s">
        <v>265</v>
      </c>
      <c r="D39" s="13" t="s">
        <v>265</v>
      </c>
      <c r="E39" s="14" t="s">
        <v>265</v>
      </c>
      <c r="F39" s="12">
        <f t="shared" ref="F39:AB39" si="15">F40</f>
        <v>0</v>
      </c>
      <c r="G39" s="12">
        <f t="shared" si="15"/>
        <v>0</v>
      </c>
      <c r="H39" s="12">
        <f t="shared" si="15"/>
        <v>0</v>
      </c>
      <c r="I39" s="12">
        <f t="shared" si="15"/>
        <v>0</v>
      </c>
      <c r="J39" s="12">
        <f t="shared" si="15"/>
        <v>0</v>
      </c>
      <c r="K39" s="12">
        <f t="shared" si="15"/>
        <v>0</v>
      </c>
      <c r="L39" s="12">
        <f t="shared" si="15"/>
        <v>0</v>
      </c>
      <c r="M39" s="12">
        <f t="shared" si="15"/>
        <v>0</v>
      </c>
      <c r="N39" s="12">
        <f t="shared" si="15"/>
        <v>0</v>
      </c>
      <c r="O39" s="12">
        <f t="shared" si="15"/>
        <v>0</v>
      </c>
      <c r="P39" s="12">
        <f t="shared" si="15"/>
        <v>0</v>
      </c>
      <c r="Q39" s="12">
        <f t="shared" si="15"/>
        <v>0</v>
      </c>
      <c r="R39" s="12">
        <f t="shared" si="15"/>
        <v>0</v>
      </c>
      <c r="S39" s="12">
        <f t="shared" si="15"/>
        <v>0</v>
      </c>
      <c r="T39" s="12">
        <f t="shared" si="15"/>
        <v>0</v>
      </c>
      <c r="U39" s="12">
        <f t="shared" si="15"/>
        <v>0</v>
      </c>
      <c r="V39" s="12">
        <f t="shared" si="15"/>
        <v>0</v>
      </c>
      <c r="W39" s="12">
        <f t="shared" si="15"/>
        <v>0</v>
      </c>
      <c r="X39" s="12">
        <f t="shared" si="15"/>
        <v>0</v>
      </c>
      <c r="Y39" s="12">
        <f t="shared" si="15"/>
        <v>0</v>
      </c>
      <c r="Z39" s="12">
        <f t="shared" si="15"/>
        <v>0</v>
      </c>
      <c r="AA39" s="12">
        <f t="shared" si="15"/>
        <v>0</v>
      </c>
      <c r="AB39" s="12">
        <f t="shared" si="15"/>
        <v>0</v>
      </c>
    </row>
    <row r="40" spans="1:28">
      <c r="A40" s="8" t="s">
        <v>113</v>
      </c>
      <c r="B40" s="8" t="s">
        <v>282</v>
      </c>
      <c r="C40" s="39" t="s">
        <v>265</v>
      </c>
      <c r="D40" s="13" t="s">
        <v>265</v>
      </c>
      <c r="E40" s="14" t="s">
        <v>265</v>
      </c>
      <c r="F40" s="12">
        <f>IF(F3-$G$3&gt;0,IF(F17&lt;&gt;"",$E$17,0),0)</f>
        <v>0</v>
      </c>
      <c r="G40" s="12">
        <f>IF(G3-$G$3&gt;0,IF(G17&lt;&gt;"",$E$17,0),0)</f>
        <v>0</v>
      </c>
      <c r="H40" s="12">
        <f>IF(H3-$G$3&gt;0,IF(H17&lt;&gt;"",$E$17,0),0)</f>
        <v>0</v>
      </c>
      <c r="I40" s="12">
        <f>IF(I3-$G$3&gt;0,IF(I17&lt;&gt;"",$E$17,0),0)</f>
        <v>0</v>
      </c>
      <c r="J40" s="12">
        <f>IF(J3-$G$3&gt;0,IF(J17&lt;&gt;"",$E$17,0),0)</f>
        <v>0</v>
      </c>
      <c r="K40" s="12">
        <f>IF(K3-$G$3&gt;0,IF(K17&lt;&gt;"",$E$17,0),0)</f>
        <v>0</v>
      </c>
      <c r="L40" s="12">
        <f>IF(L3-$G$3&gt;0,IF(K17&lt;&gt;"",$E$17,0),0)</f>
        <v>0</v>
      </c>
      <c r="M40" s="12">
        <f>IF(M3-$G$3&gt;0,IF(K17&lt;&gt;"",$E$17,0),0)</f>
        <v>0</v>
      </c>
      <c r="N40" s="12">
        <f>IF(N3-$G$3&gt;0,IF(K17&lt;&gt;"",$E$17,0),0)</f>
        <v>0</v>
      </c>
      <c r="O40" s="12">
        <f>IF(O3-$G$3&gt;0,IF(K17&lt;&gt;"",$E$17,0),0)</f>
        <v>0</v>
      </c>
      <c r="P40" s="12">
        <f>IF(P3-$G$3&gt;0,IF(K17&lt;&gt;"",$E$17,0),0)</f>
        <v>0</v>
      </c>
      <c r="Q40" s="12">
        <f>IF(Q3-$G$3&gt;0,IF(K17&lt;&gt;"",$E$17,0),0)</f>
        <v>0</v>
      </c>
      <c r="R40" s="12">
        <f>IF(R3-$G$3&gt;0,IF(K17&lt;&gt;"",$E$17,0),0)</f>
        <v>0</v>
      </c>
      <c r="S40" s="12">
        <f>IF(S3-$G$3&gt;0,IF(K17&lt;&gt;"",$E$17,0),0)</f>
        <v>0</v>
      </c>
      <c r="T40" s="12">
        <f>IF(T3-$G$3&gt;0,IF(K17&lt;&gt;"",$E$17,0),0)</f>
        <v>0</v>
      </c>
      <c r="U40" s="12">
        <f>IF(U3-$G$3&gt;0,IF(K17&lt;&gt;"",$E$17,0),0)</f>
        <v>0</v>
      </c>
      <c r="V40" s="12">
        <f>IF(V3-$G$3&gt;0,IF(K17&lt;&gt;"",$E$17,0),0)</f>
        <v>0</v>
      </c>
      <c r="W40" s="12">
        <f>IF(W3-$G$3&gt;0,IF(K17&lt;&gt;"",$E$17,0),0)</f>
        <v>0</v>
      </c>
      <c r="X40" s="12">
        <f>IF(X3-$G$3&gt;0,IF(K17&lt;&gt;"",$E$17,0),0)</f>
        <v>0</v>
      </c>
      <c r="Y40" s="12">
        <f>IF(Y3-$G$3&gt;0,IF(K17&lt;&gt;"",$E$17,0),0)</f>
        <v>0</v>
      </c>
      <c r="Z40" s="12">
        <f>IF(Z3-$G$3&gt;0,IF(K17&lt;&gt;"",$E$17,0),0)</f>
        <v>0</v>
      </c>
      <c r="AA40" s="12">
        <f>IF(AA3-$G$3&gt;0,IF(K17&lt;&gt;"",$E$17,0),0)</f>
        <v>0</v>
      </c>
      <c r="AB40" s="12">
        <f>IF(AB3-$G$3&gt;0,IF(K17&lt;&gt;"",$E$17,0),0)</f>
        <v>0</v>
      </c>
    </row>
    <row r="41" spans="1:28">
      <c r="A41" s="11" t="s">
        <v>263</v>
      </c>
      <c r="B41" s="89" t="s">
        <v>286</v>
      </c>
      <c r="C41" s="14" t="s">
        <v>265</v>
      </c>
      <c r="D41" s="11" t="s">
        <v>265</v>
      </c>
      <c r="E41" s="14" t="s">
        <v>265</v>
      </c>
      <c r="F41" s="96">
        <f t="shared" ref="F41:AB41" si="16">F42+F46</f>
        <v>0</v>
      </c>
      <c r="G41" s="96">
        <f t="shared" si="16"/>
        <v>0</v>
      </c>
      <c r="H41" s="96">
        <f t="shared" si="16"/>
        <v>0</v>
      </c>
      <c r="I41" s="96">
        <f t="shared" si="16"/>
        <v>0.277174820504258</v>
      </c>
      <c r="J41" s="96">
        <f t="shared" si="16"/>
        <v>0.277174820504258</v>
      </c>
      <c r="K41" s="96">
        <f t="shared" si="16"/>
        <v>0.277174820504258</v>
      </c>
      <c r="L41" s="96">
        <f t="shared" si="16"/>
        <v>0.277174820504258</v>
      </c>
      <c r="M41" s="96">
        <f t="shared" si="16"/>
        <v>0.277174820504258</v>
      </c>
      <c r="N41" s="96">
        <f t="shared" si="16"/>
        <v>0.277174820504258</v>
      </c>
      <c r="O41" s="96">
        <f t="shared" si="16"/>
        <v>0.277174820504258</v>
      </c>
      <c r="P41" s="96">
        <f t="shared" si="16"/>
        <v>0.277174820504258</v>
      </c>
      <c r="Q41" s="96">
        <f t="shared" si="16"/>
        <v>0.277174820504258</v>
      </c>
      <c r="R41" s="96">
        <f t="shared" si="16"/>
        <v>0.277174820504258</v>
      </c>
      <c r="S41" s="96">
        <f t="shared" si="16"/>
        <v>0.277174820504258</v>
      </c>
      <c r="T41" s="96">
        <f t="shared" si="16"/>
        <v>0.277174820504258</v>
      </c>
      <c r="U41" s="96">
        <f t="shared" si="16"/>
        <v>0.277174820504258</v>
      </c>
      <c r="V41" s="96">
        <f t="shared" si="16"/>
        <v>0.277174820504258</v>
      </c>
      <c r="W41" s="96">
        <f t="shared" si="16"/>
        <v>0.277174820504258</v>
      </c>
      <c r="X41" s="96">
        <f t="shared" si="16"/>
        <v>0.277174820504258</v>
      </c>
      <c r="Y41" s="96">
        <f t="shared" si="16"/>
        <v>0.277174820504258</v>
      </c>
      <c r="Z41" s="96">
        <f t="shared" si="16"/>
        <v>0.277174820504258</v>
      </c>
      <c r="AA41" s="96">
        <f t="shared" si="16"/>
        <v>0.277174820504258</v>
      </c>
      <c r="AB41" s="96">
        <f t="shared" si="16"/>
        <v>0.277174820504258</v>
      </c>
    </row>
    <row r="42" spans="1:28">
      <c r="A42" s="8" t="s">
        <v>287</v>
      </c>
      <c r="B42" s="8" t="s">
        <v>273</v>
      </c>
      <c r="C42" s="14" t="s">
        <v>265</v>
      </c>
      <c r="D42" s="44" t="s">
        <v>265</v>
      </c>
      <c r="E42" s="14" t="s">
        <v>265</v>
      </c>
      <c r="F42" s="12">
        <f t="shared" ref="F42:AB42" si="17">SUM(F43:F45)</f>
        <v>0</v>
      </c>
      <c r="G42" s="12">
        <f t="shared" si="17"/>
        <v>0</v>
      </c>
      <c r="H42" s="12">
        <f t="shared" si="17"/>
        <v>0</v>
      </c>
      <c r="I42" s="12">
        <f t="shared" si="17"/>
        <v>0.277174820504258</v>
      </c>
      <c r="J42" s="12">
        <f t="shared" si="17"/>
        <v>0.277174820504258</v>
      </c>
      <c r="K42" s="12">
        <f t="shared" si="17"/>
        <v>0.277174820504258</v>
      </c>
      <c r="L42" s="12">
        <f t="shared" si="17"/>
        <v>0.277174820504258</v>
      </c>
      <c r="M42" s="12">
        <f t="shared" si="17"/>
        <v>0.277174820504258</v>
      </c>
      <c r="N42" s="12">
        <f t="shared" si="17"/>
        <v>0.277174820504258</v>
      </c>
      <c r="O42" s="12">
        <f t="shared" si="17"/>
        <v>0.277174820504258</v>
      </c>
      <c r="P42" s="12">
        <f t="shared" si="17"/>
        <v>0.277174820504258</v>
      </c>
      <c r="Q42" s="12">
        <f t="shared" si="17"/>
        <v>0.277174820504258</v>
      </c>
      <c r="R42" s="12">
        <f t="shared" si="17"/>
        <v>0.277174820504258</v>
      </c>
      <c r="S42" s="12">
        <f t="shared" si="17"/>
        <v>0.277174820504258</v>
      </c>
      <c r="T42" s="12">
        <f t="shared" si="17"/>
        <v>0.277174820504258</v>
      </c>
      <c r="U42" s="12">
        <f t="shared" si="17"/>
        <v>0.277174820504258</v>
      </c>
      <c r="V42" s="12">
        <f t="shared" si="17"/>
        <v>0.277174820504258</v>
      </c>
      <c r="W42" s="12">
        <f t="shared" si="17"/>
        <v>0.277174820504258</v>
      </c>
      <c r="X42" s="12">
        <f t="shared" si="17"/>
        <v>0.277174820504258</v>
      </c>
      <c r="Y42" s="12">
        <f t="shared" si="17"/>
        <v>0.277174820504258</v>
      </c>
      <c r="Z42" s="12">
        <f t="shared" si="17"/>
        <v>0.277174820504258</v>
      </c>
      <c r="AA42" s="12">
        <f t="shared" si="17"/>
        <v>0.277174820504258</v>
      </c>
      <c r="AB42" s="12">
        <f t="shared" si="17"/>
        <v>0.277174820504258</v>
      </c>
    </row>
    <row r="43" spans="1:28">
      <c r="A43" s="8" t="s">
        <v>288</v>
      </c>
      <c r="B43" s="8" t="s">
        <v>275</v>
      </c>
      <c r="C43" s="39" t="s">
        <v>265</v>
      </c>
      <c r="D43" s="13" t="s">
        <v>265</v>
      </c>
      <c r="E43" s="14" t="s">
        <v>265</v>
      </c>
      <c r="F43" s="12">
        <f>IF(F3-$H$3&gt;0,IF(F20&lt;&gt;"",$E$20,0),0)</f>
        <v>0</v>
      </c>
      <c r="G43" s="12">
        <f>IF(G3-$H$3&gt;0,IF(G20&lt;&gt;"",$E$20,0),0)</f>
        <v>0</v>
      </c>
      <c r="H43" s="12">
        <f>IF(H3-$H$3&gt;0,IF(H20&lt;&gt;"",$E$20,0),0)</f>
        <v>0</v>
      </c>
      <c r="I43" s="12">
        <f>IF(I3-$H$3&gt;0,IF(I20&lt;&gt;"",$E$20,0),0)</f>
        <v>0</v>
      </c>
      <c r="J43" s="12">
        <f>IF(J3-$H$3&gt;0,IF(J20&lt;&gt;"",$E$20,0),0)</f>
        <v>0</v>
      </c>
      <c r="K43" s="12">
        <f>IF(K3-$H$3&gt;0,IF(K20&lt;&gt;"",$E$20,0),0)</f>
        <v>0</v>
      </c>
      <c r="L43" s="12">
        <f>IF(L3-$H$3&gt;0,IF(K20&lt;&gt;"",$E$20,0),0)</f>
        <v>0</v>
      </c>
      <c r="M43" s="12">
        <f>IF(M3-$H$3&gt;0,IF(K20&lt;&gt;"",$E$20,0),0)</f>
        <v>0</v>
      </c>
      <c r="N43" s="12">
        <f>IF(N3-$H$3&gt;0,IF(K20&lt;&gt;"",$E$20,0),0)</f>
        <v>0</v>
      </c>
      <c r="O43" s="12">
        <f>IF(O3-$H$3&gt;0,IF(K20&lt;&gt;"",$E$20,0),0)</f>
        <v>0</v>
      </c>
      <c r="P43" s="12">
        <f>IF(P3-$H$3&gt;0,IF(K20&lt;&gt;"",$E$20,0),0)</f>
        <v>0</v>
      </c>
      <c r="Q43" s="12">
        <f>IF(Q3-$H$3&gt;0,IF(K20&lt;&gt;"",$E$20,0),0)</f>
        <v>0</v>
      </c>
      <c r="R43" s="12">
        <f>IF(R3-$H$3&gt;0,IF(K20&lt;&gt;"",$E$20,0),0)</f>
        <v>0</v>
      </c>
      <c r="S43" s="12">
        <f>IF(S3-$H$3&gt;0,IF(K20&lt;&gt;"",$E$20,0),0)</f>
        <v>0</v>
      </c>
      <c r="T43" s="12">
        <f>IF(T3-$H$3&gt;0,IF(K20&lt;&gt;"",$E$20,0),0)</f>
        <v>0</v>
      </c>
      <c r="U43" s="12">
        <f>IF(U3-$H$3&gt;0,IF(K20&lt;&gt;"",$E$20,0),0)</f>
        <v>0</v>
      </c>
      <c r="V43" s="12">
        <f>IF(V3-$H$3&gt;0,IF(K20&lt;&gt;"",$E$20,0),0)</f>
        <v>0</v>
      </c>
      <c r="W43" s="12">
        <f>IF(W3-$H$3&gt;0,IF(K20&lt;&gt;"",$E$20,0),0)</f>
        <v>0</v>
      </c>
      <c r="X43" s="12">
        <f>IF(X3-$H$3&gt;0,IF(K20&lt;&gt;"",$E$20,0),0)</f>
        <v>0</v>
      </c>
      <c r="Y43" s="12">
        <f>IF(Y3-$H$3&gt;0,IF(K20&lt;&gt;"",$E$20,0),0)</f>
        <v>0</v>
      </c>
      <c r="Z43" s="12">
        <f>IF(Z3-$H$3&gt;0,IF(K20&lt;&gt;"",$E$20,0),0)</f>
        <v>0</v>
      </c>
      <c r="AA43" s="12">
        <f>IF(AA3-$H$3&gt;0,IF(K20&lt;&gt;"",$E$20,0),0)</f>
        <v>0</v>
      </c>
      <c r="AB43" s="12">
        <f>IF(AB3-$H$3&gt;0,IF(K20&lt;&gt;"",$E$20,0),0)</f>
        <v>0</v>
      </c>
    </row>
    <row r="44" spans="1:28">
      <c r="A44" s="8" t="s">
        <v>289</v>
      </c>
      <c r="B44" s="8" t="s">
        <v>277</v>
      </c>
      <c r="C44" s="39" t="s">
        <v>265</v>
      </c>
      <c r="D44" s="13" t="s">
        <v>265</v>
      </c>
      <c r="E44" s="14" t="s">
        <v>265</v>
      </c>
      <c r="F44" s="12">
        <f>IF(F3-$H$3&gt;0,IF(F21&lt;&gt;"",$E$21,0),0)</f>
        <v>0</v>
      </c>
      <c r="G44" s="12">
        <f>IF(G3-$H$3&gt;0,IF(G21&lt;&gt;"",$E$21,0),0)</f>
        <v>0</v>
      </c>
      <c r="H44" s="12">
        <f>IF(H3-$H$3&gt;0,IF(H21&lt;&gt;"",$E$21,0),0)</f>
        <v>0</v>
      </c>
      <c r="I44" s="12">
        <f>IF(I3-$H$3&gt;0,IF(I21&lt;&gt;"",$E$21,0),0)</f>
        <v>0</v>
      </c>
      <c r="J44" s="12">
        <f>IF(J3-$H$3&gt;0,IF(J21&lt;&gt;"",$E$21,0),0)</f>
        <v>0</v>
      </c>
      <c r="K44" s="12">
        <f>IF(K3-$H$3&gt;0,IF(K21&lt;&gt;"",$E$21,0),0)</f>
        <v>0</v>
      </c>
      <c r="L44" s="12">
        <f>IF(L3-$H$3&gt;0,IF(K21&lt;&gt;"",$E$21,0),0)</f>
        <v>0</v>
      </c>
      <c r="M44" s="12">
        <f>IF(M3-$H$3&gt;0,IF(K21&lt;&gt;"",$E$21,0),0)</f>
        <v>0</v>
      </c>
      <c r="N44" s="12">
        <f>IF(N3-$H$3&gt;0,IF(K21&lt;&gt;"",$E$21,0),0)</f>
        <v>0</v>
      </c>
      <c r="O44" s="12">
        <f>IF(O3-$H$3&gt;0,IF(K21&lt;&gt;"",$E$21,0),0)</f>
        <v>0</v>
      </c>
      <c r="P44" s="12">
        <f>IF(P3-$H$3&gt;0,IF(K21&lt;&gt;"",$E$21,0),0)</f>
        <v>0</v>
      </c>
      <c r="Q44" s="12">
        <f>IF(Q3-$H$3&gt;0,IF(K21&lt;&gt;"",$E$21,0),0)</f>
        <v>0</v>
      </c>
      <c r="R44" s="12">
        <f>IF(R3-$H$3&gt;0,IF(K21&lt;&gt;"",$E$21,0),0)</f>
        <v>0</v>
      </c>
      <c r="S44" s="12">
        <f>IF(S3-$H$3&gt;0,IF(K21&lt;&gt;"",$E$21,0),0)</f>
        <v>0</v>
      </c>
      <c r="T44" s="12">
        <f>IF(T3-$H$3&gt;0,IF(K21&lt;&gt;"",$E$21,0),0)</f>
        <v>0</v>
      </c>
      <c r="U44" s="12">
        <f>IF(U3-$H$3&gt;0,IF(K21&lt;&gt;"",$E$21,0),0)</f>
        <v>0</v>
      </c>
      <c r="V44" s="12">
        <f>IF(V3-$H$3&gt;0,IF(K21&lt;&gt;"",$E$21,0),0)</f>
        <v>0</v>
      </c>
      <c r="W44" s="12">
        <f>IF(W3-$H$3&gt;0,IF(K21&lt;&gt;"",$E$21,0),0)</f>
        <v>0</v>
      </c>
      <c r="X44" s="12">
        <f>IF(X3-$H$3&gt;0,IF(K21&lt;&gt;"",$E$21,0),0)</f>
        <v>0</v>
      </c>
      <c r="Y44" s="12">
        <f>IF(Y3-$H$3&gt;0,IF(K21&lt;&gt;"",$E$21,0),0)</f>
        <v>0</v>
      </c>
      <c r="Z44" s="12">
        <f>IF(Z3-$H$3&gt;0,IF(K21&lt;&gt;"",$E$21,0),0)</f>
        <v>0</v>
      </c>
      <c r="AA44" s="12">
        <f>IF(AA3-$H$3&gt;0,IF(K21&lt;&gt;"",$E$21,0),0)</f>
        <v>0</v>
      </c>
      <c r="AB44" s="12">
        <f>IF(AB3-$H$3&gt;0,IF(K21&lt;&gt;"",$E$21,0),0)</f>
        <v>0</v>
      </c>
    </row>
    <row r="45" spans="1:28">
      <c r="A45" s="8" t="s">
        <v>290</v>
      </c>
      <c r="B45" s="36" t="s">
        <v>279</v>
      </c>
      <c r="C45" s="39" t="s">
        <v>265</v>
      </c>
      <c r="D45" s="13" t="s">
        <v>265</v>
      </c>
      <c r="E45" s="14" t="s">
        <v>265</v>
      </c>
      <c r="F45" s="12">
        <f>IF(F3-$H$3&gt;0,IF(F22&lt;&gt;"",$E$22,0),0)</f>
        <v>0</v>
      </c>
      <c r="G45" s="12">
        <f>IF(G3-$H$3&gt;0,IF(G22&lt;&gt;"",$E$22,0),0)</f>
        <v>0</v>
      </c>
      <c r="H45" s="12">
        <f>IF(H3-$H$3&gt;0,IF(H22&lt;&gt;"",$E$22,0),0)</f>
        <v>0</v>
      </c>
      <c r="I45" s="12">
        <f>IF(I3-$H$3&gt;0,IF(I22&lt;&gt;"",$E$22,0),0)</f>
        <v>0.277174820504258</v>
      </c>
      <c r="J45" s="12">
        <f>IF(J3-$H$3&gt;0,IF(J22&lt;&gt;"",$E$22,0),0)</f>
        <v>0.277174820504258</v>
      </c>
      <c r="K45" s="12">
        <f>IF(K3-$H$3&gt;0,IF(K22&lt;&gt;"",$E$22,0),0)</f>
        <v>0.277174820504258</v>
      </c>
      <c r="L45" s="12">
        <f>IF(L3-$H$3&gt;0,IF(K22&lt;&gt;"",$E$22,0),0)</f>
        <v>0.277174820504258</v>
      </c>
      <c r="M45" s="12">
        <f>IF(M3-$H$3&gt;0,IF(K22&lt;&gt;"",$E$22,0),0)</f>
        <v>0.277174820504258</v>
      </c>
      <c r="N45" s="12">
        <f>IF(N3-$H$3&gt;0,IF(K22&lt;&gt;"",$E$22,0),0)</f>
        <v>0.277174820504258</v>
      </c>
      <c r="O45" s="12">
        <f>IF(O3-$H$3&gt;0,IF(K22&lt;&gt;"",$E$22,0),0)</f>
        <v>0.277174820504258</v>
      </c>
      <c r="P45" s="12">
        <f>IF(P3-$H$3&gt;0,IF(K22&lt;&gt;"",$E$22,0),0)</f>
        <v>0.277174820504258</v>
      </c>
      <c r="Q45" s="12">
        <f>IF(Q3-$H$3&gt;0,IF(K22&lt;&gt;"",$E$22,0),0)</f>
        <v>0.277174820504258</v>
      </c>
      <c r="R45" s="12">
        <f>IF(R3-$H$3&gt;0,IF(K22&lt;&gt;"",$E$22,0),0)</f>
        <v>0.277174820504258</v>
      </c>
      <c r="S45" s="12">
        <f>IF(S3-$H$3&gt;0,IF(K22&lt;&gt;"",$E$22,0),0)</f>
        <v>0.277174820504258</v>
      </c>
      <c r="T45" s="12">
        <f>IF(T3-$H$3&gt;0,IF(K22&lt;&gt;"",$E$22,0),0)</f>
        <v>0.277174820504258</v>
      </c>
      <c r="U45" s="12">
        <f>IF(U3-$H$3&gt;0,IF(K22&lt;&gt;"",$E$22,0),0)</f>
        <v>0.277174820504258</v>
      </c>
      <c r="V45" s="12">
        <f>IF(V3-$H$3&gt;0,IF(K22&lt;&gt;"",$E$22,0),0)</f>
        <v>0.277174820504258</v>
      </c>
      <c r="W45" s="12">
        <f>IF(W3-$H$3&gt;0,IF(K22&lt;&gt;"",$E$22,0),0)</f>
        <v>0.277174820504258</v>
      </c>
      <c r="X45" s="12">
        <f>IF(X3-$H$3&gt;0,IF(K22&lt;&gt;"",$E$22,0),0)</f>
        <v>0.277174820504258</v>
      </c>
      <c r="Y45" s="12">
        <f>IF(Y3-$H$3&gt;0,IF(K22&lt;&gt;"",$E$22,0),0)</f>
        <v>0.277174820504258</v>
      </c>
      <c r="Z45" s="12">
        <f>IF(Z3-$H$3&gt;0,IF(K22&lt;&gt;"",$E$22,0),0)</f>
        <v>0.277174820504258</v>
      </c>
      <c r="AA45" s="12">
        <f>IF(AA3-$H$3&gt;0,IF(K22&lt;&gt;"",$E$22,0),0)</f>
        <v>0.277174820504258</v>
      </c>
      <c r="AB45" s="12">
        <f>IF(AB3-$H$3&gt;0,IF(K22&lt;&gt;"",$E$22,0),0)</f>
        <v>0.277174820504258</v>
      </c>
    </row>
    <row r="46" spans="1:28">
      <c r="A46" s="8" t="s">
        <v>291</v>
      </c>
      <c r="B46" s="8" t="s">
        <v>281</v>
      </c>
      <c r="C46" s="14" t="s">
        <v>265</v>
      </c>
      <c r="D46" s="13" t="s">
        <v>265</v>
      </c>
      <c r="E46" s="14" t="s">
        <v>265</v>
      </c>
      <c r="F46" s="12">
        <f t="shared" ref="F46:AB46" si="18">F47</f>
        <v>0</v>
      </c>
      <c r="G46" s="12">
        <f t="shared" si="18"/>
        <v>0</v>
      </c>
      <c r="H46" s="12">
        <f t="shared" si="18"/>
        <v>0</v>
      </c>
      <c r="I46" s="12">
        <f t="shared" si="18"/>
        <v>0</v>
      </c>
      <c r="J46" s="12">
        <f t="shared" si="18"/>
        <v>0</v>
      </c>
      <c r="K46" s="12">
        <f t="shared" si="18"/>
        <v>0</v>
      </c>
      <c r="L46" s="12">
        <f t="shared" si="18"/>
        <v>0</v>
      </c>
      <c r="M46" s="12">
        <f t="shared" si="18"/>
        <v>0</v>
      </c>
      <c r="N46" s="12">
        <f t="shared" si="18"/>
        <v>0</v>
      </c>
      <c r="O46" s="12">
        <f t="shared" si="18"/>
        <v>0</v>
      </c>
      <c r="P46" s="12">
        <f t="shared" si="18"/>
        <v>0</v>
      </c>
      <c r="Q46" s="12">
        <f t="shared" si="18"/>
        <v>0</v>
      </c>
      <c r="R46" s="12">
        <f t="shared" si="18"/>
        <v>0</v>
      </c>
      <c r="S46" s="12">
        <f t="shared" si="18"/>
        <v>0</v>
      </c>
      <c r="T46" s="12">
        <f t="shared" si="18"/>
        <v>0</v>
      </c>
      <c r="U46" s="12">
        <f t="shared" si="18"/>
        <v>0</v>
      </c>
      <c r="V46" s="12">
        <f t="shared" si="18"/>
        <v>0</v>
      </c>
      <c r="W46" s="12">
        <f t="shared" si="18"/>
        <v>0</v>
      </c>
      <c r="X46" s="12">
        <f t="shared" si="18"/>
        <v>0</v>
      </c>
      <c r="Y46" s="12">
        <f t="shared" si="18"/>
        <v>0</v>
      </c>
      <c r="Z46" s="12">
        <f t="shared" si="18"/>
        <v>0</v>
      </c>
      <c r="AA46" s="12">
        <f t="shared" si="18"/>
        <v>0</v>
      </c>
      <c r="AB46" s="12">
        <f t="shared" si="18"/>
        <v>0</v>
      </c>
    </row>
    <row r="47" spans="1:28">
      <c r="A47" s="8" t="s">
        <v>292</v>
      </c>
      <c r="B47" s="8" t="s">
        <v>282</v>
      </c>
      <c r="C47" s="39" t="s">
        <v>265</v>
      </c>
      <c r="D47" s="13" t="s">
        <v>265</v>
      </c>
      <c r="E47" s="14" t="s">
        <v>265</v>
      </c>
      <c r="F47" s="12">
        <f>IF(F3-$H$3&gt;0,IF(F24&lt;&gt;"",$E$24,0),0)</f>
        <v>0</v>
      </c>
      <c r="G47" s="12">
        <f>IF(G3-$H$3&gt;0,IF(G24&lt;&gt;"",$E$24,0),0)</f>
        <v>0</v>
      </c>
      <c r="H47" s="12">
        <f>IF(H3-$H$3&gt;0,IF(H24&lt;&gt;"",$E$24,0),0)</f>
        <v>0</v>
      </c>
      <c r="I47" s="12">
        <f>IF(I3-$H$3&gt;0,IF(I24&lt;&gt;"",$E$24,0),0)</f>
        <v>0</v>
      </c>
      <c r="J47" s="12">
        <f>IF(J3-$H$3&gt;0,IF(J24&lt;&gt;"",$E$24,0),0)</f>
        <v>0</v>
      </c>
      <c r="K47" s="12">
        <f>IF(K3-$H$3&gt;0,IF(K24&lt;&gt;"",$E$24,0),0)</f>
        <v>0</v>
      </c>
      <c r="L47" s="12">
        <f>IF(L3-$H$3&gt;0,IF(K24&lt;&gt;"",$E$24,0),0)</f>
        <v>0</v>
      </c>
      <c r="M47" s="12">
        <f>IF(M3-$H$3&gt;0,IF(K24&lt;&gt;"",$E$24,0),0)</f>
        <v>0</v>
      </c>
      <c r="N47" s="12">
        <f>IF(N3-$H$3&gt;0,IF(K24&lt;&gt;"",$E$24,0),0)</f>
        <v>0</v>
      </c>
      <c r="O47" s="12">
        <f>IF(O3-$H$3&gt;0,IF(K24&lt;&gt;"",$E$24,0),0)</f>
        <v>0</v>
      </c>
      <c r="P47" s="12">
        <f>IF(P3-$H$3&gt;0,IF(K24&lt;&gt;"",$E$24,0),0)</f>
        <v>0</v>
      </c>
      <c r="Q47" s="12">
        <f>IF(Q3-$H$3&gt;0,IF(K24&lt;&gt;"",$E$24,0),0)</f>
        <v>0</v>
      </c>
      <c r="R47" s="12">
        <f>IF(R3-$H$3&gt;0,IF(K24&lt;&gt;"",$E$24,0),0)</f>
        <v>0</v>
      </c>
      <c r="S47" s="12">
        <f>IF(S3-$H$3&gt;0,IF(K24&lt;&gt;"",$E$24,0),0)</f>
        <v>0</v>
      </c>
      <c r="T47" s="12">
        <f>IF(T3-$H$3&gt;0,IF(K24&lt;&gt;"",$E$24,0),0)</f>
        <v>0</v>
      </c>
      <c r="U47" s="12">
        <f>IF(U3-$H$3&gt;0,IF(K24&lt;&gt;"",$E$24,0),0)</f>
        <v>0</v>
      </c>
      <c r="V47" s="12">
        <f>IF(V3-$H$3&gt;0,IF(K24&lt;&gt;"",$E$24,0),0)</f>
        <v>0</v>
      </c>
      <c r="W47" s="12">
        <f>IF(W3-$H$3&gt;0,IF(K24&lt;&gt;"",$E$24,0),0)</f>
        <v>0</v>
      </c>
      <c r="X47" s="12">
        <f>IF(X3-$H$3&gt;0,IF(K24&lt;&gt;"",$E$24,0),0)</f>
        <v>0</v>
      </c>
      <c r="Y47" s="12">
        <f>IF(Y3-$H$3&gt;0,IF(K24&lt;&gt;"",$E$24,0),0)</f>
        <v>0</v>
      </c>
      <c r="Z47" s="12">
        <f>IF(Z3-$H$3&gt;0,IF(K24&lt;&gt;"",$E$24,0),0)</f>
        <v>0</v>
      </c>
      <c r="AA47" s="12">
        <f>IF(AA3-$H$3&gt;0,IF(K24&lt;&gt;"",$E$24,0),0)</f>
        <v>0</v>
      </c>
      <c r="AB47" s="12">
        <f>IF(AB3-$H$3&gt;0,IF(K24&lt;&gt;"",$E$24,0),0)</f>
        <v>0</v>
      </c>
    </row>
    <row r="48" spans="1:28">
      <c r="A48" s="78"/>
      <c r="B48" s="79" t="s">
        <v>266</v>
      </c>
      <c r="C48" s="14" t="s">
        <v>265</v>
      </c>
      <c r="D48" s="8" t="s">
        <v>265</v>
      </c>
      <c r="E48" s="14" t="s">
        <v>265</v>
      </c>
      <c r="F48" s="12">
        <f t="shared" ref="F48:AB48" si="19">F27+F34+F41</f>
        <v>0</v>
      </c>
      <c r="G48" s="12">
        <f t="shared" si="19"/>
        <v>0.251977109549325</v>
      </c>
      <c r="H48" s="12">
        <f t="shared" si="19"/>
        <v>0.51595312907719</v>
      </c>
      <c r="I48" s="12">
        <f t="shared" si="19"/>
        <v>0.793127949581447</v>
      </c>
      <c r="J48" s="12">
        <f t="shared" si="19"/>
        <v>0.793127949581447</v>
      </c>
      <c r="K48" s="12">
        <f t="shared" si="19"/>
        <v>0.793127949581447</v>
      </c>
      <c r="L48" s="12">
        <f t="shared" si="19"/>
        <v>0.793127949581447</v>
      </c>
      <c r="M48" s="12">
        <f t="shared" si="19"/>
        <v>0.793127949581447</v>
      </c>
      <c r="N48" s="12">
        <f t="shared" si="19"/>
        <v>0.793127949581447</v>
      </c>
      <c r="O48" s="12">
        <f t="shared" si="19"/>
        <v>0.793127949581447</v>
      </c>
      <c r="P48" s="12">
        <f t="shared" si="19"/>
        <v>0.793127949581447</v>
      </c>
      <c r="Q48" s="12">
        <f t="shared" si="19"/>
        <v>0.793127949581447</v>
      </c>
      <c r="R48" s="12">
        <f t="shared" si="19"/>
        <v>0.793127949581447</v>
      </c>
      <c r="S48" s="12">
        <f t="shared" si="19"/>
        <v>0.793127949581447</v>
      </c>
      <c r="T48" s="12">
        <f t="shared" si="19"/>
        <v>0.793127949581447</v>
      </c>
      <c r="U48" s="12">
        <f t="shared" si="19"/>
        <v>0.793127949581447</v>
      </c>
      <c r="V48" s="12">
        <f t="shared" si="19"/>
        <v>0.793127949581447</v>
      </c>
      <c r="W48" s="12">
        <f t="shared" si="19"/>
        <v>0.793127949581447</v>
      </c>
      <c r="X48" s="12">
        <f t="shared" si="19"/>
        <v>0.793127949581447</v>
      </c>
      <c r="Y48" s="12">
        <f t="shared" si="19"/>
        <v>0.793127949581447</v>
      </c>
      <c r="Z48" s="12">
        <f t="shared" si="19"/>
        <v>0.793127949581447</v>
      </c>
      <c r="AA48" s="12">
        <f t="shared" si="19"/>
        <v>0.793127949581447</v>
      </c>
      <c r="AB48" s="12">
        <f t="shared" si="19"/>
        <v>0.793127949581447</v>
      </c>
    </row>
    <row r="49" spans="12:12">
      <c r="L49"/>
    </row>
    <row r="50" spans="12:12">
      <c r="L50"/>
    </row>
  </sheetData>
  <mergeCells count="2">
    <mergeCell ref="A1:K1"/>
    <mergeCell ref="F2:K2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0070C0"/>
  </sheetPr>
  <dimension ref="A1:K21"/>
  <sheetViews>
    <sheetView workbookViewId="0">
      <selection activeCell="J7" sqref="J7"/>
    </sheetView>
  </sheetViews>
  <sheetFormatPr defaultColWidth="8.89090909090909" defaultRowHeight="14"/>
  <cols>
    <col min="2" max="2" width="18.3363636363636" style="1" customWidth="1"/>
    <col min="3" max="3" width="14.1090909090909" style="1" customWidth="1"/>
    <col min="4" max="4" width="9.55454545454545" style="1" customWidth="1"/>
    <col min="7" max="7" width="9.89090909090909" style="1" customWidth="1"/>
    <col min="8" max="8" width="10.3363636363636" style="1" customWidth="1"/>
    <col min="9" max="9" width="9.78181818181818" style="1" customWidth="1"/>
    <col min="10" max="10" width="10.4454545454545" style="1" customWidth="1"/>
  </cols>
  <sheetData>
    <row r="1" s="45" customFormat="1" ht="20" customHeight="1" spans="1:11">
      <c r="A1" s="80" t="s">
        <v>293</v>
      </c>
      <c r="K1" s="63" t="s">
        <v>294</v>
      </c>
    </row>
    <row r="2" s="45" customFormat="1" ht="33" customHeight="1" spans="1:10">
      <c r="A2" s="19" t="str">
        <f>D.3建设投资分年计划表!A2</f>
        <v>序号</v>
      </c>
      <c r="B2" s="19" t="str">
        <f>D.3建设投资分年计划表!B2</f>
        <v>分项费用</v>
      </c>
      <c r="C2" s="19" t="str">
        <f>D.3建设投资分年计划表!D2</f>
        <v>金额</v>
      </c>
      <c r="D2" s="25">
        <f>D.3建设投资分年计划表!E2</f>
        <v>2025</v>
      </c>
      <c r="E2" s="25">
        <f>D.3建设投资分年计划表!F2</f>
        <v>2026</v>
      </c>
      <c r="F2" s="25">
        <f>D.3建设投资分年计划表!G2</f>
        <v>2027</v>
      </c>
      <c r="G2" s="19" t="s">
        <v>295</v>
      </c>
      <c r="H2" s="81" t="s">
        <v>296</v>
      </c>
      <c r="I2" s="81" t="s">
        <v>297</v>
      </c>
      <c r="J2" s="81" t="s">
        <v>298</v>
      </c>
    </row>
    <row r="3" s="45" customFormat="1" ht="16.5" customHeight="1" spans="1:10">
      <c r="A3" s="8" t="str">
        <f>D.3建设投资分年计划表!A3</f>
        <v>一</v>
      </c>
      <c r="B3" s="8" t="str">
        <f>D.3建设投资分年计划表!B3</f>
        <v>工程建设费用</v>
      </c>
      <c r="C3" s="14">
        <f>D.3建设投资分年计划表!D3</f>
        <v>1824</v>
      </c>
      <c r="D3" s="14">
        <f>D.3建设投资分年计划表!E3</f>
        <v>308</v>
      </c>
      <c r="E3" s="14">
        <f>D.3建设投资分年计划表!F3</f>
        <v>608</v>
      </c>
      <c r="F3" s="14">
        <f>D.3建设投资分年计划表!G3</f>
        <v>908</v>
      </c>
      <c r="G3" s="8" t="str">
        <f>'G.1进项增值税率-建设投资'!E3</f>
        <v>/</v>
      </c>
      <c r="H3" s="9">
        <f>H4+H8</f>
        <v>279.295221667859</v>
      </c>
      <c r="I3" s="9">
        <f>I4+I8</f>
        <v>551.277035421208</v>
      </c>
      <c r="J3" s="9">
        <f>J4+J8</f>
        <v>823.258849174557</v>
      </c>
    </row>
    <row r="4" s="45" customFormat="1" ht="16.5" customHeight="1" spans="1:10">
      <c r="A4" s="47">
        <f>D.3建设投资分年计划表!A4</f>
        <v>1</v>
      </c>
      <c r="B4" s="47" t="str">
        <f>D.3建设投资分年计划表!B4</f>
        <v>工程类费用</v>
      </c>
      <c r="C4" s="82">
        <f>D.3建设投资分年计划表!D4</f>
        <v>1800</v>
      </c>
      <c r="D4" s="82">
        <f>D.3建设投资分年计划表!E4</f>
        <v>300</v>
      </c>
      <c r="E4" s="82">
        <f>D.3建设投资分年计划表!F4</f>
        <v>600</v>
      </c>
      <c r="F4" s="82">
        <f>D.3建设投资分年计划表!G4</f>
        <v>900</v>
      </c>
      <c r="G4" s="47" t="str">
        <f>'G.1进项增值税率-建设投资'!E4</f>
        <v>/</v>
      </c>
      <c r="H4" s="83">
        <f>SUM(H5:H7)</f>
        <v>271.981813753349</v>
      </c>
      <c r="I4" s="83">
        <f>SUM(I5:I7)</f>
        <v>543.963627506698</v>
      </c>
      <c r="J4" s="83">
        <f>SUM(J5:J7)</f>
        <v>815.945441260047</v>
      </c>
    </row>
    <row r="5" s="45" customFormat="1" ht="16.5" customHeight="1" spans="1:11">
      <c r="A5" s="8">
        <f>D.3建设投资分年计划表!A5</f>
        <v>1.1</v>
      </c>
      <c r="B5" s="11" t="str">
        <f>D.3建设投资分年计划表!B5</f>
        <v>建筑工程费</v>
      </c>
      <c r="C5" s="14">
        <f>D.3建设投资分年计划表!D5</f>
        <v>600</v>
      </c>
      <c r="D5" s="35">
        <f>D.3建设投资分年计划表!E5</f>
        <v>100</v>
      </c>
      <c r="E5" s="35">
        <f>D.3建设投资分年计划表!F5</f>
        <v>200</v>
      </c>
      <c r="F5" s="35">
        <f>D.3建设投资分年计划表!G5</f>
        <v>300</v>
      </c>
      <c r="G5" s="84">
        <f>'G.1进项增值税率-建设投资'!$E$5</f>
        <v>0.09</v>
      </c>
      <c r="H5" s="35">
        <f>D5/(1+'G.1进项增值税率-建设投资'!$E5)</f>
        <v>91.743119266055</v>
      </c>
      <c r="I5" s="35">
        <f>E5/(1+'G.1进项增值税率-建设投资'!$E5)</f>
        <v>183.48623853211</v>
      </c>
      <c r="J5" s="35">
        <f>F5/(1+'G.1进项增值税率-建设投资'!$E5)</f>
        <v>275.229357798165</v>
      </c>
      <c r="K5" s="63" t="s">
        <v>299</v>
      </c>
    </row>
    <row r="6" s="45" customFormat="1" ht="16.5" customHeight="1" spans="1:10">
      <c r="A6" s="8">
        <f>D.3建设投资分年计划表!A6</f>
        <v>1.2</v>
      </c>
      <c r="B6" s="11" t="str">
        <f>D.3建设投资分年计划表!B6</f>
        <v>设备购置费</v>
      </c>
      <c r="C6" s="14">
        <f>D.3建设投资分年计划表!D6</f>
        <v>600</v>
      </c>
      <c r="D6" s="35">
        <f>D.3建设投资分年计划表!E6</f>
        <v>100</v>
      </c>
      <c r="E6" s="35">
        <f>D.3建设投资分年计划表!F6</f>
        <v>200</v>
      </c>
      <c r="F6" s="35">
        <f>D.3建设投资分年计划表!G6</f>
        <v>300</v>
      </c>
      <c r="G6" s="84">
        <f>'G.1进项增值税率-建设投资'!$E$6</f>
        <v>0.13</v>
      </c>
      <c r="H6" s="35">
        <f>D6/(1+'G.1进项增值税率-建设投资'!$E6)</f>
        <v>88.495575221239</v>
      </c>
      <c r="I6" s="35">
        <f>E6/(1+'G.1进项增值税率-建设投资'!$E6)</f>
        <v>176.991150442478</v>
      </c>
      <c r="J6" s="35">
        <f>F6/(1+'G.1进项增值税率-建设投资'!$E6)</f>
        <v>265.486725663717</v>
      </c>
    </row>
    <row r="7" s="45" customFormat="1" ht="16.5" customHeight="1" spans="1:10">
      <c r="A7" s="8">
        <f>D.3建设投资分年计划表!A7</f>
        <v>1.3</v>
      </c>
      <c r="B7" s="11" t="str">
        <f>D.3建设投资分年计划表!B7</f>
        <v>安装工程费</v>
      </c>
      <c r="C7" s="14">
        <f>D.3建设投资分年计划表!D7</f>
        <v>600</v>
      </c>
      <c r="D7" s="35">
        <f>D.3建设投资分年计划表!E7</f>
        <v>100</v>
      </c>
      <c r="E7" s="35">
        <f>D.3建设投资分年计划表!F7</f>
        <v>200</v>
      </c>
      <c r="F7" s="35">
        <f>D.3建设投资分年计划表!G7</f>
        <v>300</v>
      </c>
      <c r="G7" s="84">
        <f>'G.1进项增值税率-建设投资'!$E$7</f>
        <v>0.09</v>
      </c>
      <c r="H7" s="35">
        <f>D7/(1+'G.1进项增值税率-建设投资'!$E7)</f>
        <v>91.743119266055</v>
      </c>
      <c r="I7" s="35">
        <f>E7/(1+'G.1进项增值税率-建设投资'!$E7)</f>
        <v>183.48623853211</v>
      </c>
      <c r="J7" s="35">
        <f>F7/(1+'G.1进项增值税率-建设投资'!$E7)</f>
        <v>275.229357798165</v>
      </c>
    </row>
    <row r="8" s="45" customFormat="1" ht="16.5" customHeight="1" spans="1:10">
      <c r="A8" s="47">
        <f>D.3建设投资分年计划表!A8</f>
        <v>2</v>
      </c>
      <c r="B8" s="47" t="str">
        <f>D.3建设投资分年计划表!B8</f>
        <v>信息化建设费用</v>
      </c>
      <c r="C8" s="82">
        <f>D.3建设投资分年计划表!D8</f>
        <v>24</v>
      </c>
      <c r="D8" s="82">
        <f>D.3建设投资分年计划表!E8</f>
        <v>8</v>
      </c>
      <c r="E8" s="82">
        <f>D.3建设投资分年计划表!F8</f>
        <v>8</v>
      </c>
      <c r="F8" s="82">
        <f>D.3建设投资分年计划表!G8</f>
        <v>8</v>
      </c>
      <c r="G8" s="47" t="str">
        <f>'G.1进项增值税率-建设投资'!E8</f>
        <v>/</v>
      </c>
      <c r="H8" s="83">
        <f>SUM(H9:H12)</f>
        <v>7.31340791450993</v>
      </c>
      <c r="I8" s="83">
        <f>SUM(I9:I12)</f>
        <v>7.31340791450993</v>
      </c>
      <c r="J8" s="83">
        <f>SUM(J9:J12)</f>
        <v>7.31340791450993</v>
      </c>
    </row>
    <row r="9" s="45" customFormat="1" ht="16.5" customHeight="1" spans="1:10">
      <c r="A9" s="8">
        <f>D.3建设投资分年计划表!A9</f>
        <v>2.1</v>
      </c>
      <c r="B9" s="11" t="str">
        <f>D.3建设投资分年计划表!B9</f>
        <v>硬件类</v>
      </c>
      <c r="C9" s="14">
        <f>D.3建设投资分年计划表!D9</f>
        <v>6</v>
      </c>
      <c r="D9" s="35">
        <f>D.3建设投资分年计划表!E9</f>
        <v>2</v>
      </c>
      <c r="E9" s="35">
        <f>D.3建设投资分年计划表!F9</f>
        <v>2</v>
      </c>
      <c r="F9" s="35">
        <f>D.3建设投资分年计划表!G9</f>
        <v>2</v>
      </c>
      <c r="G9" s="84">
        <f>'G.1进项增值税率-建设投资'!$E$9</f>
        <v>0.13</v>
      </c>
      <c r="H9" s="35">
        <f>D9/(1+'G.1进项增值税率-建设投资'!$E9)</f>
        <v>1.76991150442478</v>
      </c>
      <c r="I9" s="35">
        <f>E9/(1+'G.1进项增值税率-建设投资'!$E9)</f>
        <v>1.76991150442478</v>
      </c>
      <c r="J9" s="35">
        <f>F9/(1+'G.1进项增值税率-建设投资'!$E9)</f>
        <v>1.76991150442478</v>
      </c>
    </row>
    <row r="10" s="45" customFormat="1" ht="16.5" customHeight="1" spans="1:10">
      <c r="A10" s="8">
        <f>D.3建设投资分年计划表!A10</f>
        <v>2.2</v>
      </c>
      <c r="B10" s="11" t="str">
        <f>D.3建设投资分年计划表!B10</f>
        <v>软件类</v>
      </c>
      <c r="C10" s="14">
        <f>D.3建设投资分年计划表!D10</f>
        <v>6</v>
      </c>
      <c r="D10" s="35">
        <f>D.3建设投资分年计划表!E10</f>
        <v>2</v>
      </c>
      <c r="E10" s="35">
        <f>D.3建设投资分年计划表!F10</f>
        <v>2</v>
      </c>
      <c r="F10" s="35">
        <f>D.3建设投资分年计划表!G10</f>
        <v>2</v>
      </c>
      <c r="G10" s="84">
        <f>'G.1进项增值税率-建设投资'!$E$10</f>
        <v>0.06</v>
      </c>
      <c r="H10" s="35">
        <f>D10/(1+'G.1进项增值税率-建设投资'!$E10)</f>
        <v>1.88679245283019</v>
      </c>
      <c r="I10" s="35">
        <f>E10/(1+'G.1进项增值税率-建设投资'!$E10)</f>
        <v>1.88679245283019</v>
      </c>
      <c r="J10" s="35">
        <f>F10/(1+'G.1进项增值税率-建设投资'!$E10)</f>
        <v>1.88679245283019</v>
      </c>
    </row>
    <row r="11" s="45" customFormat="1" ht="16.5" customHeight="1" spans="1:10">
      <c r="A11" s="8">
        <f>D.3建设投资分年计划表!A11</f>
        <v>2.3</v>
      </c>
      <c r="B11" s="11" t="str">
        <f>D.3建设投资分年计划表!B11</f>
        <v>安全类</v>
      </c>
      <c r="C11" s="14">
        <f>D.3建设投资分年计划表!D11</f>
        <v>6</v>
      </c>
      <c r="D11" s="35">
        <f>D.3建设投资分年计划表!E11</f>
        <v>2</v>
      </c>
      <c r="E11" s="35">
        <f>D.3建设投资分年计划表!F11</f>
        <v>2</v>
      </c>
      <c r="F11" s="35">
        <f>D.3建设投资分年计划表!G11</f>
        <v>2</v>
      </c>
      <c r="G11" s="84">
        <f>'G.1进项增值税率-建设投资'!$E$11</f>
        <v>0.13</v>
      </c>
      <c r="H11" s="35">
        <f>D11/(1+'G.1进项增值税率-建设投资'!$E11)</f>
        <v>1.76991150442478</v>
      </c>
      <c r="I11" s="35">
        <f>E11/(1+'G.1进项增值税率-建设投资'!$E11)</f>
        <v>1.76991150442478</v>
      </c>
      <c r="J11" s="35">
        <f>F11/(1+'G.1进项增值税率-建设投资'!$E11)</f>
        <v>1.76991150442478</v>
      </c>
    </row>
    <row r="12" s="45" customFormat="1" ht="16.5" customHeight="1" spans="1:10">
      <c r="A12" s="8">
        <f>D.3建设投资分年计划表!A12</f>
        <v>2.4</v>
      </c>
      <c r="B12" s="11" t="str">
        <f>D.3建设投资分年计划表!B12</f>
        <v>数据类</v>
      </c>
      <c r="C12" s="14">
        <f>D.3建设投资分年计划表!D12</f>
        <v>6</v>
      </c>
      <c r="D12" s="35">
        <f>D.3建设投资分年计划表!E12</f>
        <v>2</v>
      </c>
      <c r="E12" s="35">
        <f>D.3建设投资分年计划表!F12</f>
        <v>2</v>
      </c>
      <c r="F12" s="35">
        <f>D.3建设投资分年计划表!G12</f>
        <v>2</v>
      </c>
      <c r="G12" s="84">
        <f>'G.1进项增值税率-建设投资'!$E$12</f>
        <v>0.06</v>
      </c>
      <c r="H12" s="35">
        <f>D12/(1+'G.1进项增值税率-建设投资'!$E12)</f>
        <v>1.88679245283019</v>
      </c>
      <c r="I12" s="35">
        <f>E12/(1+'G.1进项增值税率-建设投资'!$E12)</f>
        <v>1.88679245283019</v>
      </c>
      <c r="J12" s="35">
        <f>F12/(1+'G.1进项增值税率-建设投资'!$E12)</f>
        <v>1.88679245283019</v>
      </c>
    </row>
    <row r="13" s="45" customFormat="1" ht="16.5" customHeight="1" spans="1:10">
      <c r="A13" s="47" t="str">
        <f>D.3建设投资分年计划表!A13</f>
        <v>二</v>
      </c>
      <c r="B13" s="47" t="str">
        <f>D.3建设投资分年计划表!B13</f>
        <v>工程建设其他费用</v>
      </c>
      <c r="C13" s="82">
        <f>D.3建设投资分年计划表!D13</f>
        <v>24</v>
      </c>
      <c r="D13" s="82">
        <f>D.3建设投资分年计划表!E13</f>
        <v>8</v>
      </c>
      <c r="E13" s="82">
        <f>D.3建设投资分年计划表!F13</f>
        <v>8</v>
      </c>
      <c r="F13" s="82">
        <f>D.3建设投资分年计划表!G13</f>
        <v>8</v>
      </c>
      <c r="G13" s="47" t="str">
        <f>'G.1进项增值税率-建设投资'!E13</f>
        <v>/</v>
      </c>
      <c r="H13" s="83">
        <f>SUM(H14:H18)</f>
        <v>7.54716981132075</v>
      </c>
      <c r="I13" s="83">
        <f>SUM(I14:I18)</f>
        <v>7.54716981132075</v>
      </c>
      <c r="J13" s="83">
        <f>SUM(J14:J18)</f>
        <v>7.54716981132075</v>
      </c>
    </row>
    <row r="14" s="45" customFormat="1" ht="16.5" customHeight="1" spans="1:10">
      <c r="A14" s="8">
        <f>D.3建设投资分年计划表!A14</f>
        <v>1</v>
      </c>
      <c r="B14" s="8" t="str">
        <f>D.3建设投资分年计划表!B14</f>
        <v>建设单位管理费</v>
      </c>
      <c r="C14" s="14">
        <f>D.3建设投资分年计划表!D14</f>
        <v>6</v>
      </c>
      <c r="D14" s="35">
        <f>D.3建设投资分年计划表!E14</f>
        <v>2</v>
      </c>
      <c r="E14" s="35">
        <f>D.3建设投资分年计划表!F14</f>
        <v>2</v>
      </c>
      <c r="F14" s="35">
        <f>D.3建设投资分年计划表!G14</f>
        <v>2</v>
      </c>
      <c r="G14" s="84">
        <f>'G.1进项增值税率-建设投资'!$E$14</f>
        <v>0.06</v>
      </c>
      <c r="H14" s="35">
        <f>D14/(1+'G.1进项增值税率-建设投资'!$E14)</f>
        <v>1.88679245283019</v>
      </c>
      <c r="I14" s="35">
        <f>E14/(1+'G.1进项增值税率-建设投资'!$E14)</f>
        <v>1.88679245283019</v>
      </c>
      <c r="J14" s="35">
        <f>F14/(1+'G.1进项增值税率-建设投资'!$E14)</f>
        <v>1.88679245283019</v>
      </c>
    </row>
    <row r="15" s="45" customFormat="1" ht="16.5" customHeight="1" spans="1:10">
      <c r="A15" s="8">
        <f>D.3建设投资分年计划表!A15</f>
        <v>2</v>
      </c>
      <c r="B15" s="11" t="str">
        <f>D.3建设投资分年计划表!B15</f>
        <v>前期咨询费</v>
      </c>
      <c r="C15" s="14">
        <f>D.3建设投资分年计划表!D15</f>
        <v>6</v>
      </c>
      <c r="D15" s="35">
        <f>D.3建设投资分年计划表!E15</f>
        <v>2</v>
      </c>
      <c r="E15" s="35">
        <f>D.3建设投资分年计划表!F15</f>
        <v>2</v>
      </c>
      <c r="F15" s="35">
        <f>D.3建设投资分年计划表!G15</f>
        <v>2</v>
      </c>
      <c r="G15" s="84">
        <f>'G.1进项增值税率-建设投资'!$E$15</f>
        <v>0.06</v>
      </c>
      <c r="H15" s="35">
        <f>D15/(1+'G.1进项增值税率-建设投资'!$E15)</f>
        <v>1.88679245283019</v>
      </c>
      <c r="I15" s="35">
        <f>E15/(1+'G.1进项增值税率-建设投资'!$E15)</f>
        <v>1.88679245283019</v>
      </c>
      <c r="J15" s="35">
        <f>F15/(1+'G.1进项增值税率-建设投资'!$E15)</f>
        <v>1.88679245283019</v>
      </c>
    </row>
    <row r="16" s="45" customFormat="1" ht="16.5" customHeight="1" spans="1:10">
      <c r="A16" s="8">
        <f>D.3建设投资分年计划表!A16</f>
        <v>3</v>
      </c>
      <c r="B16" s="11" t="str">
        <f>D.3建设投资分年计划表!B16</f>
        <v>工程设计费</v>
      </c>
      <c r="C16" s="14">
        <f>D.3建设投资分年计划表!D16</f>
        <v>6</v>
      </c>
      <c r="D16" s="35">
        <f>D.3建设投资分年计划表!E16</f>
        <v>2</v>
      </c>
      <c r="E16" s="35">
        <f>D.3建设投资分年计划表!F16</f>
        <v>2</v>
      </c>
      <c r="F16" s="35">
        <f>D.3建设投资分年计划表!G16</f>
        <v>2</v>
      </c>
      <c r="G16" s="84">
        <f>'G.1进项增值税率-建设投资'!$E$16</f>
        <v>0.06</v>
      </c>
      <c r="H16" s="35">
        <f>D16/(1+'G.1进项增值税率-建设投资'!$E16)</f>
        <v>1.88679245283019</v>
      </c>
      <c r="I16" s="35">
        <f>E16/(1+'G.1进项增值税率-建设投资'!$E16)</f>
        <v>1.88679245283019</v>
      </c>
      <c r="J16" s="35">
        <f>F16/(1+'G.1进项增值税率-建设投资'!$E16)</f>
        <v>1.88679245283019</v>
      </c>
    </row>
    <row r="17" s="45" customFormat="1" ht="16.5" customHeight="1" spans="1:10">
      <c r="A17" s="8">
        <f>D.3建设投资分年计划表!A17</f>
        <v>4</v>
      </c>
      <c r="B17" s="11" t="str">
        <f>D.3建设投资分年计划表!B17</f>
        <v>工程监理费</v>
      </c>
      <c r="C17" s="14">
        <f>D.3建设投资分年计划表!D17</f>
        <v>6</v>
      </c>
      <c r="D17" s="35">
        <f>D.3建设投资分年计划表!E17</f>
        <v>2</v>
      </c>
      <c r="E17" s="35">
        <f>D.3建设投资分年计划表!F17</f>
        <v>2</v>
      </c>
      <c r="F17" s="35">
        <f>D.3建设投资分年计划表!G17</f>
        <v>2</v>
      </c>
      <c r="G17" s="84">
        <f>'G.1进项增值税率-建设投资'!$E$17</f>
        <v>0.06</v>
      </c>
      <c r="H17" s="35">
        <f>D17/(1+'G.1进项增值税率-建设投资'!$E17)</f>
        <v>1.88679245283019</v>
      </c>
      <c r="I17" s="35">
        <f>E17/(1+'G.1进项增值税率-建设投资'!$E17)</f>
        <v>1.88679245283019</v>
      </c>
      <c r="J17" s="35">
        <f>F17/(1+'G.1进项增值税率-建设投资'!$E17)</f>
        <v>1.88679245283019</v>
      </c>
    </row>
    <row r="18" s="45" customFormat="1" ht="16.5" customHeight="1" spans="1:10">
      <c r="A18" s="8">
        <f>D.3建设投资分年计划表!A18</f>
        <v>5</v>
      </c>
      <c r="B18" s="11" t="str">
        <f>D.3建设投资分年计划表!B18</f>
        <v>......</v>
      </c>
      <c r="C18" s="14">
        <f>D.3建设投资分年计划表!D18</f>
        <v>0</v>
      </c>
      <c r="D18" s="35">
        <f>D.3建设投资分年计划表!E18</f>
        <v>0</v>
      </c>
      <c r="E18" s="35">
        <f>D.3建设投资分年计划表!F18</f>
        <v>0</v>
      </c>
      <c r="F18" s="35">
        <f>D.3建设投资分年计划表!G18</f>
        <v>0</v>
      </c>
      <c r="G18" s="84">
        <f>'G.1进项增值税率-建设投资'!$E$18</f>
        <v>0.06</v>
      </c>
      <c r="H18" s="35">
        <f>D18/(1+'G.1进项增值税率-建设投资'!$E18)</f>
        <v>0</v>
      </c>
      <c r="I18" s="35">
        <f>E18/(1+'G.1进项增值税率-建设投资'!$E18)</f>
        <v>0</v>
      </c>
      <c r="J18" s="35">
        <f>F18/(1+'G.1进项增值税率-建设投资'!$E18)</f>
        <v>0</v>
      </c>
    </row>
    <row r="19" s="45" customFormat="1" ht="16.5" customHeight="1" spans="1:10">
      <c r="A19" s="47" t="str">
        <f>D.3建设投资分年计划表!A19</f>
        <v>三</v>
      </c>
      <c r="B19" s="47" t="str">
        <f>D.3建设投资分年计划表!B19</f>
        <v>预备费</v>
      </c>
      <c r="C19" s="82">
        <f>D.3建设投资分年计划表!D19</f>
        <v>6</v>
      </c>
      <c r="D19" s="82">
        <f>D.3建设投资分年计划表!E19</f>
        <v>2</v>
      </c>
      <c r="E19" s="82">
        <f>D.3建设投资分年计划表!F19</f>
        <v>2</v>
      </c>
      <c r="F19" s="82">
        <f>D.3建设投资分年计划表!G19</f>
        <v>2</v>
      </c>
      <c r="G19" s="47" t="str">
        <f>'G.1进项增值税率-建设投资'!E19</f>
        <v>/</v>
      </c>
      <c r="H19" s="83">
        <f>H20</f>
        <v>2</v>
      </c>
      <c r="I19" s="83">
        <f>I20</f>
        <v>2</v>
      </c>
      <c r="J19" s="83">
        <f>J20</f>
        <v>2</v>
      </c>
    </row>
    <row r="20" s="45" customFormat="1" ht="16.5" customHeight="1" spans="1:10">
      <c r="A20" s="8">
        <f>D.3建设投资分年计划表!A20</f>
        <v>1</v>
      </c>
      <c r="B20" s="11" t="str">
        <f>D.3建设投资分年计划表!B20</f>
        <v>基本预备费</v>
      </c>
      <c r="C20" s="14">
        <f>D.3建设投资分年计划表!D20</f>
        <v>6</v>
      </c>
      <c r="D20" s="35">
        <f>D.3建设投资分年计划表!E20</f>
        <v>2</v>
      </c>
      <c r="E20" s="35">
        <f>D.3建设投资分年计划表!F20</f>
        <v>2</v>
      </c>
      <c r="F20" s="35">
        <f>D.3建设投资分年计划表!G20</f>
        <v>2</v>
      </c>
      <c r="G20" s="84">
        <f>'G.1进项增值税率-建设投资'!$E$20</f>
        <v>0</v>
      </c>
      <c r="H20" s="35">
        <f>D20/(1+'G.1进项增值税率-建设投资'!$E20)</f>
        <v>2</v>
      </c>
      <c r="I20" s="35">
        <f>E20/(1+'G.1进项增值税率-建设投资'!$E20)</f>
        <v>2</v>
      </c>
      <c r="J20" s="35">
        <f>F20/(1+'G.1进项增值税率-建设投资'!$E20)</f>
        <v>2</v>
      </c>
    </row>
    <row r="21" s="45" customFormat="1" ht="16.5" customHeight="1" spans="1:10">
      <c r="A21" s="8"/>
      <c r="B21" s="8" t="str">
        <f>D.3建设投资分年计划表!B21</f>
        <v>总计</v>
      </c>
      <c r="C21" s="14">
        <f>D.3建设投资分年计划表!D21</f>
        <v>1854</v>
      </c>
      <c r="D21" s="14">
        <f>D.3建设投资分年计划表!E21</f>
        <v>318</v>
      </c>
      <c r="E21" s="14">
        <f>D.3建设投资分年计划表!F21</f>
        <v>618</v>
      </c>
      <c r="F21" s="14">
        <f>D.3建设投资分年计划表!G21</f>
        <v>918</v>
      </c>
      <c r="G21" s="14" t="s">
        <v>118</v>
      </c>
      <c r="H21" s="14">
        <f>H3+H13+H19</f>
        <v>288.84239147918</v>
      </c>
      <c r="I21" s="14">
        <f>I3+I13+I19</f>
        <v>560.824205232529</v>
      </c>
      <c r="J21" s="14">
        <f>J3+J13+J19</f>
        <v>832.806018985878</v>
      </c>
    </row>
  </sheetData>
  <mergeCells count="1">
    <mergeCell ref="A1:J1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FFF00"/>
  </sheetPr>
  <dimension ref="A1:Z13"/>
  <sheetViews>
    <sheetView workbookViewId="0">
      <pane xSplit="3" ySplit="2" topLeftCell="D3" activePane="bottomRight" state="frozen"/>
      <selection/>
      <selection pane="topRight"/>
      <selection pane="bottomLeft"/>
      <selection pane="bottomRight" activeCell="N7" sqref="N7"/>
    </sheetView>
  </sheetViews>
  <sheetFormatPr defaultColWidth="8.89090909090909" defaultRowHeight="28.05" customHeight="1"/>
  <cols>
    <col min="1" max="1" width="8.89090909090909" style="45" customWidth="1"/>
    <col min="2" max="2" width="13" style="45" customWidth="1"/>
    <col min="3" max="3" width="12.8909090909091" style="45" customWidth="1"/>
    <col min="4" max="4" width="6.44545454545455" style="45" customWidth="1"/>
    <col min="5" max="9" width="9.89090909090909" style="45" customWidth="1"/>
    <col min="10" max="16384" width="8.89090909090909" style="45" customWidth="1"/>
  </cols>
  <sheetData>
    <row r="1" customHeight="1" spans="1:9">
      <c r="A1" s="38" t="s">
        <v>300</v>
      </c>
      <c r="B1" s="3"/>
      <c r="C1" s="3"/>
      <c r="D1" s="3"/>
      <c r="E1" s="3"/>
      <c r="F1" s="3"/>
      <c r="G1" s="3"/>
      <c r="H1" s="3"/>
      <c r="I1" s="4"/>
    </row>
    <row r="2" customHeight="1" spans="1:26">
      <c r="A2" s="5" t="s">
        <v>1</v>
      </c>
      <c r="B2" s="5" t="s">
        <v>301</v>
      </c>
      <c r="C2" s="5" t="s">
        <v>302</v>
      </c>
      <c r="D2" s="34">
        <v>2025</v>
      </c>
      <c r="E2" s="34">
        <v>2026</v>
      </c>
      <c r="F2" s="34">
        <v>2027</v>
      </c>
      <c r="G2" s="34">
        <v>2028</v>
      </c>
      <c r="H2" s="34">
        <v>2029</v>
      </c>
      <c r="I2" s="34">
        <v>2030</v>
      </c>
      <c r="J2" s="34">
        <v>2031</v>
      </c>
      <c r="K2" s="34">
        <v>2032</v>
      </c>
      <c r="L2" s="34">
        <v>2033</v>
      </c>
      <c r="M2" s="34">
        <v>2034</v>
      </c>
      <c r="N2" s="34">
        <v>2035</v>
      </c>
      <c r="O2" s="34">
        <v>2036</v>
      </c>
      <c r="P2" s="34">
        <v>2037</v>
      </c>
      <c r="Q2" s="34">
        <v>2038</v>
      </c>
      <c r="R2" s="34">
        <v>2039</v>
      </c>
      <c r="S2" s="34">
        <v>2040</v>
      </c>
      <c r="T2" s="34">
        <v>2041</v>
      </c>
      <c r="U2" s="34">
        <v>2042</v>
      </c>
      <c r="V2" s="34">
        <v>2043</v>
      </c>
      <c r="W2" s="34">
        <v>2044</v>
      </c>
      <c r="X2" s="34">
        <v>2045</v>
      </c>
      <c r="Y2" s="34">
        <v>2046</v>
      </c>
      <c r="Z2" s="34">
        <v>2047</v>
      </c>
    </row>
    <row r="3" customHeight="1" spans="1:26">
      <c r="A3" s="11">
        <v>1</v>
      </c>
      <c r="B3" s="11" t="str">
        <f>F.1项目单项收入信息!B3</f>
        <v>租赁收入</v>
      </c>
      <c r="C3" s="8" t="s">
        <v>303</v>
      </c>
      <c r="D3" s="14">
        <f>F.1项目单项收入信息!H3</f>
        <v>0</v>
      </c>
      <c r="E3" s="14">
        <f>F.1项目单项收入信息!I3</f>
        <v>105</v>
      </c>
      <c r="F3" s="14">
        <f>F.1项目单项收入信息!J3</f>
        <v>168</v>
      </c>
      <c r="G3" s="14">
        <f>F.1项目单项收入信息!K3</f>
        <v>210</v>
      </c>
      <c r="H3" s="14">
        <f>F.1项目单项收入信息!L3</f>
        <v>210</v>
      </c>
      <c r="I3" s="14">
        <f>F.1项目单项收入信息!M3</f>
        <v>210</v>
      </c>
      <c r="J3" s="14">
        <f>F.1项目单项收入信息!N3</f>
        <v>0</v>
      </c>
      <c r="K3" s="14">
        <f>F.1项目单项收入信息!O3</f>
        <v>0</v>
      </c>
      <c r="L3" s="14">
        <f>F.1项目单项收入信息!P3</f>
        <v>0</v>
      </c>
      <c r="M3" s="14">
        <f>F.1项目单项收入信息!Q3</f>
        <v>0</v>
      </c>
      <c r="N3" s="14">
        <f>F.1项目单项收入信息!R3</f>
        <v>0</v>
      </c>
      <c r="O3" s="14">
        <f>F.1项目单项收入信息!S3</f>
        <v>0</v>
      </c>
      <c r="P3" s="14">
        <f>F.1项目单项收入信息!T3</f>
        <v>0</v>
      </c>
      <c r="Q3" s="14">
        <f>F.1项目单项收入信息!U3</f>
        <v>0</v>
      </c>
      <c r="R3" s="14">
        <f>F.1项目单项收入信息!V3</f>
        <v>0</v>
      </c>
      <c r="S3" s="14">
        <f>F.1项目单项收入信息!W3</f>
        <v>0</v>
      </c>
      <c r="T3" s="14">
        <f>F.1项目单项收入信息!X3</f>
        <v>0</v>
      </c>
      <c r="U3" s="14">
        <f>F.1项目单项收入信息!Y3</f>
        <v>0</v>
      </c>
      <c r="V3" s="14">
        <f>F.1项目单项收入信息!Z3</f>
        <v>0</v>
      </c>
      <c r="W3" s="14">
        <f>F.1项目单项收入信息!AA3</f>
        <v>0</v>
      </c>
      <c r="X3" s="14">
        <f>F.1项目单项收入信息!AB3</f>
        <v>0</v>
      </c>
      <c r="Y3" s="14">
        <f>F.1项目单项收入信息!AC3</f>
        <v>0</v>
      </c>
      <c r="Z3" s="14">
        <f>F.1项目单项收入信息!AD3</f>
        <v>0</v>
      </c>
    </row>
    <row r="4" customHeight="1" spans="1:26">
      <c r="A4" s="16"/>
      <c r="B4" s="16"/>
      <c r="C4" s="8" t="s">
        <v>304</v>
      </c>
      <c r="D4" s="46">
        <f>D3/(1+G.3销项增值税率!$C$3)</f>
        <v>0</v>
      </c>
      <c r="E4" s="46">
        <f>E3/(1+G.3销项增值税率!$C$3)</f>
        <v>100</v>
      </c>
      <c r="F4" s="46">
        <f>F3/(1+G.3销项增值税率!$C$3)</f>
        <v>160</v>
      </c>
      <c r="G4" s="46">
        <f>G3/(1+G.3销项增值税率!$C$3)</f>
        <v>200</v>
      </c>
      <c r="H4" s="46">
        <f>H3/(1+G.3销项增值税率!$C$3)</f>
        <v>200</v>
      </c>
      <c r="I4" s="46">
        <f>I3/(1+G.3销项增值税率!$C$3)</f>
        <v>200</v>
      </c>
      <c r="J4" s="46">
        <f>J3/(1+G.3销项增值税率!$C$3)</f>
        <v>0</v>
      </c>
      <c r="K4" s="46">
        <f>K3/(1+G.3销项增值税率!$C$3)</f>
        <v>0</v>
      </c>
      <c r="L4" s="46">
        <f>L3/(1+G.3销项增值税率!$C$3)</f>
        <v>0</v>
      </c>
      <c r="M4" s="46">
        <f>M3/(1+G.3销项增值税率!$C$3)</f>
        <v>0</v>
      </c>
      <c r="N4" s="46">
        <f>N3/(1+G.3销项增值税率!$C$3)</f>
        <v>0</v>
      </c>
      <c r="O4" s="46">
        <f>O3/(1+G.3销项增值税率!$C$3)</f>
        <v>0</v>
      </c>
      <c r="P4" s="46">
        <f>P3/(1+G.3销项增值税率!$C$3)</f>
        <v>0</v>
      </c>
      <c r="Q4" s="46">
        <f>Q3/(1+G.3销项增值税率!$C$3)</f>
        <v>0</v>
      </c>
      <c r="R4" s="46">
        <f>R3/(1+G.3销项增值税率!$C$3)</f>
        <v>0</v>
      </c>
      <c r="S4" s="46">
        <f>S3/(1+G.3销项增值税率!$C$3)</f>
        <v>0</v>
      </c>
      <c r="T4" s="46">
        <f>T3/(1+G.3销项增值税率!$C$3)</f>
        <v>0</v>
      </c>
      <c r="U4" s="46">
        <f>U3/(1+G.3销项增值税率!$C$3)</f>
        <v>0</v>
      </c>
      <c r="V4" s="46">
        <f>V3/(1+G.3销项增值税率!$C$3)</f>
        <v>0</v>
      </c>
      <c r="W4" s="46">
        <f>W3/(1+G.3销项增值税率!$C$3)</f>
        <v>0</v>
      </c>
      <c r="X4" s="46">
        <f>X3/(1+G.3销项增值税率!$C$3)</f>
        <v>0</v>
      </c>
      <c r="Y4" s="46">
        <f>Y3/(1+G.3销项增值税率!$C$3)</f>
        <v>0</v>
      </c>
      <c r="Z4" s="46">
        <f>Z3/(1+G.3销项增值税率!$C$3)</f>
        <v>0</v>
      </c>
    </row>
    <row r="5" customHeight="1" spans="1:26">
      <c r="A5" s="11">
        <v>2</v>
      </c>
      <c r="B5" s="11" t="str">
        <f>F.1项目单项收入信息!B5</f>
        <v>停车收入</v>
      </c>
      <c r="C5" s="8" t="s">
        <v>303</v>
      </c>
      <c r="D5" s="14">
        <f>F.1项目单项收入信息!H5</f>
        <v>0</v>
      </c>
      <c r="E5" s="14">
        <f>F.1项目单项收入信息!I5</f>
        <v>210</v>
      </c>
      <c r="F5" s="14">
        <f>F.1项目单项收入信息!J5</f>
        <v>342.72</v>
      </c>
      <c r="G5" s="14">
        <f>F.1项目单项收入信息!K5</f>
        <v>436.968</v>
      </c>
      <c r="H5" s="14">
        <f>F.1项目单项收入信息!L5</f>
        <v>445.70736</v>
      </c>
      <c r="I5" s="14">
        <f>F.1项目单项收入信息!M5</f>
        <v>454.6215072</v>
      </c>
      <c r="J5" s="14">
        <f>F.1项目单项收入信息!N5</f>
        <v>0</v>
      </c>
      <c r="K5" s="14">
        <f>F.1项目单项收入信息!O5</f>
        <v>0</v>
      </c>
      <c r="L5" s="14">
        <f>F.1项目单项收入信息!P5</f>
        <v>0</v>
      </c>
      <c r="M5" s="14">
        <f>F.1项目单项收入信息!Q5</f>
        <v>0</v>
      </c>
      <c r="N5" s="14">
        <f>F.1项目单项收入信息!R5</f>
        <v>0</v>
      </c>
      <c r="O5" s="14">
        <f>F.1项目单项收入信息!S5</f>
        <v>0</v>
      </c>
      <c r="P5" s="14">
        <f>F.1项目单项收入信息!T5</f>
        <v>0</v>
      </c>
      <c r="Q5" s="14">
        <f>F.1项目单项收入信息!U5</f>
        <v>0</v>
      </c>
      <c r="R5" s="14">
        <f>F.1项目单项收入信息!V5</f>
        <v>0</v>
      </c>
      <c r="S5" s="14">
        <f>F.1项目单项收入信息!W5</f>
        <v>0</v>
      </c>
      <c r="T5" s="14">
        <f>F.1项目单项收入信息!X5</f>
        <v>0</v>
      </c>
      <c r="U5" s="14">
        <f>F.1项目单项收入信息!Y5</f>
        <v>0</v>
      </c>
      <c r="V5" s="14">
        <f>F.1项目单项收入信息!Z5</f>
        <v>0</v>
      </c>
      <c r="W5" s="14">
        <f>F.1项目单项收入信息!AA5</f>
        <v>0</v>
      </c>
      <c r="X5" s="14">
        <f>F.1项目单项收入信息!AB5</f>
        <v>0</v>
      </c>
      <c r="Y5" s="14">
        <f>F.1项目单项收入信息!AC5</f>
        <v>0</v>
      </c>
      <c r="Z5" s="14">
        <f>F.1项目单项收入信息!AD5</f>
        <v>0</v>
      </c>
    </row>
    <row r="6" customHeight="1" spans="1:26">
      <c r="A6" s="16"/>
      <c r="B6" s="16"/>
      <c r="C6" s="8" t="s">
        <v>304</v>
      </c>
      <c r="D6" s="14">
        <f>D5/(1+G.3销项增值税率!$C$4)</f>
        <v>0</v>
      </c>
      <c r="E6" s="14">
        <f>E5/(1+G.3销项增值税率!$C$4)</f>
        <v>200</v>
      </c>
      <c r="F6" s="14">
        <f>F5/(1+G.3销项增值税率!$C$4)</f>
        <v>326.4</v>
      </c>
      <c r="G6" s="14">
        <f>G5/(1+G.3销项增值税率!$C$4)</f>
        <v>416.16</v>
      </c>
      <c r="H6" s="14">
        <f>H5/(1+G.3销项增值税率!$C$4)</f>
        <v>424.4832</v>
      </c>
      <c r="I6" s="14">
        <f>I5/(1+G.3销项增值税率!$C$4)</f>
        <v>432.972864</v>
      </c>
      <c r="J6" s="14">
        <f>J5/(1+G.3销项增值税率!$C$4)</f>
        <v>0</v>
      </c>
      <c r="K6" s="14">
        <f>K5/(1+G.3销项增值税率!$C$4)</f>
        <v>0</v>
      </c>
      <c r="L6" s="14">
        <f>L5/(1+G.3销项增值税率!$C$4)</f>
        <v>0</v>
      </c>
      <c r="M6" s="14">
        <f>M5/(1+G.3销项增值税率!$C$4)</f>
        <v>0</v>
      </c>
      <c r="N6" s="14">
        <f>N5/(1+G.3销项增值税率!$C$4)</f>
        <v>0</v>
      </c>
      <c r="O6" s="14">
        <f>O5/(1+G.3销项增值税率!$C$4)</f>
        <v>0</v>
      </c>
      <c r="P6" s="14">
        <f>P5/(1+G.3销项增值税率!$C$4)</f>
        <v>0</v>
      </c>
      <c r="Q6" s="14">
        <f>Q5/(1+G.3销项增值税率!$C$4)</f>
        <v>0</v>
      </c>
      <c r="R6" s="14">
        <f>R5/(1+G.3销项增值税率!$C$4)</f>
        <v>0</v>
      </c>
      <c r="S6" s="14">
        <f>S5/(1+G.3销项增值税率!$C$4)</f>
        <v>0</v>
      </c>
      <c r="T6" s="14">
        <f>T5/(1+G.3销项增值税率!$C$4)</f>
        <v>0</v>
      </c>
      <c r="U6" s="14">
        <f>U5/(1+G.3销项增值税率!$C$4)</f>
        <v>0</v>
      </c>
      <c r="V6" s="14">
        <f>V5/(1+G.3销项增值税率!$C$4)</f>
        <v>0</v>
      </c>
      <c r="W6" s="14">
        <f>W5/(1+G.3销项增值税率!$C$4)</f>
        <v>0</v>
      </c>
      <c r="X6" s="14">
        <f>X5/(1+G.3销项增值税率!$C$4)</f>
        <v>0</v>
      </c>
      <c r="Y6" s="14">
        <f>Y5/(1+G.3销项增值税率!$C$4)</f>
        <v>0</v>
      </c>
      <c r="Z6" s="14">
        <f>Z5/(1+G.3销项增值税率!$C$4)</f>
        <v>0</v>
      </c>
    </row>
    <row r="7" customHeight="1" spans="1:26">
      <c r="A7" s="11">
        <v>3</v>
      </c>
      <c r="B7" s="11" t="str">
        <f>F.1项目单项收入信息!B7</f>
        <v>充电桩收入</v>
      </c>
      <c r="C7" s="8" t="s">
        <v>303</v>
      </c>
      <c r="D7" s="14">
        <f>F.1项目单项收入信息!H7</f>
        <v>0</v>
      </c>
      <c r="E7" s="14">
        <f>F.1项目单项收入信息!I7</f>
        <v>52.5</v>
      </c>
      <c r="F7" s="14">
        <f>F.1项目单项收入信息!J7</f>
        <v>52.5</v>
      </c>
      <c r="G7" s="14">
        <f>F.1项目单项收入信息!K7</f>
        <v>52.5</v>
      </c>
      <c r="H7" s="14">
        <f>F.1项目单项收入信息!L7</f>
        <v>55.125</v>
      </c>
      <c r="I7" s="14">
        <f>F.1项目单项收入信息!M7</f>
        <v>55.125</v>
      </c>
      <c r="J7" s="14">
        <f>F.1项目单项收入信息!N7</f>
        <v>0</v>
      </c>
      <c r="K7" s="14">
        <f>F.1项目单项收入信息!O7</f>
        <v>0</v>
      </c>
      <c r="L7" s="14">
        <f>F.1项目单项收入信息!P7</f>
        <v>0</v>
      </c>
      <c r="M7" s="14">
        <f>F.1项目单项收入信息!Q7</f>
        <v>0</v>
      </c>
      <c r="N7" s="14">
        <f>F.1项目单项收入信息!R7</f>
        <v>0</v>
      </c>
      <c r="O7" s="14">
        <f>F.1项目单项收入信息!S7</f>
        <v>0</v>
      </c>
      <c r="P7" s="14">
        <f>F.1项目单项收入信息!T7</f>
        <v>0</v>
      </c>
      <c r="Q7" s="14">
        <f>F.1项目单项收入信息!U7</f>
        <v>0</v>
      </c>
      <c r="R7" s="14">
        <f>F.1项目单项收入信息!V7</f>
        <v>0</v>
      </c>
      <c r="S7" s="14">
        <f>F.1项目单项收入信息!W7</f>
        <v>0</v>
      </c>
      <c r="T7" s="14">
        <f>F.1项目单项收入信息!X7</f>
        <v>0</v>
      </c>
      <c r="U7" s="14">
        <f>F.1项目单项收入信息!Y7</f>
        <v>0</v>
      </c>
      <c r="V7" s="14">
        <f>F.1项目单项收入信息!Z7</f>
        <v>0</v>
      </c>
      <c r="W7" s="14">
        <f>F.1项目单项收入信息!AA7</f>
        <v>0</v>
      </c>
      <c r="X7" s="14">
        <f>F.1项目单项收入信息!AB7</f>
        <v>0</v>
      </c>
      <c r="Y7" s="14">
        <f>F.1项目单项收入信息!AC7</f>
        <v>0</v>
      </c>
      <c r="Z7" s="14">
        <f>F.1项目单项收入信息!AD7</f>
        <v>0</v>
      </c>
    </row>
    <row r="8" customHeight="1" spans="1:26">
      <c r="A8" s="16"/>
      <c r="B8" s="16"/>
      <c r="C8" s="8" t="s">
        <v>304</v>
      </c>
      <c r="D8" s="14">
        <f>D7/(1+G.3销项增值税率!$C$5)</f>
        <v>0</v>
      </c>
      <c r="E8" s="14">
        <f>E7/(1+G.3销项增值税率!$C$5)</f>
        <v>50</v>
      </c>
      <c r="F8" s="14">
        <f>F7/(1+G.3销项增值税率!$C$5)</f>
        <v>50</v>
      </c>
      <c r="G8" s="14">
        <f>G7/(1+G.3销项增值税率!$C$5)</f>
        <v>50</v>
      </c>
      <c r="H8" s="14">
        <f>H7/(1+G.3销项增值税率!$C$5)</f>
        <v>52.5</v>
      </c>
      <c r="I8" s="14">
        <f>I7/(1+G.3销项增值税率!$C$5)</f>
        <v>52.5</v>
      </c>
      <c r="J8" s="14">
        <f>J7/(1+G.3销项增值税率!$C$5)</f>
        <v>0</v>
      </c>
      <c r="K8" s="14">
        <f>K7/(1+G.3销项增值税率!$C$5)</f>
        <v>0</v>
      </c>
      <c r="L8" s="14">
        <f>L7/(1+G.3销项增值税率!$C$5)</f>
        <v>0</v>
      </c>
      <c r="M8" s="14">
        <f>M7/(1+G.3销项增值税率!$C$5)</f>
        <v>0</v>
      </c>
      <c r="N8" s="14">
        <f>N7/(1+G.3销项增值税率!$C$5)</f>
        <v>0</v>
      </c>
      <c r="O8" s="14">
        <f>O7/(1+G.3销项增值税率!$C$5)</f>
        <v>0</v>
      </c>
      <c r="P8" s="14">
        <f>P7/(1+G.3销项增值税率!$C$5)</f>
        <v>0</v>
      </c>
      <c r="Q8" s="14">
        <f>Q7/(1+G.3销项增值税率!$C$5)</f>
        <v>0</v>
      </c>
      <c r="R8" s="14">
        <f>R7/(1+G.3销项增值税率!$C$5)</f>
        <v>0</v>
      </c>
      <c r="S8" s="14">
        <f>S7/(1+G.3销项增值税率!$C$5)</f>
        <v>0</v>
      </c>
      <c r="T8" s="14">
        <f>T7/(1+G.3销项增值税率!$C$5)</f>
        <v>0</v>
      </c>
      <c r="U8" s="14">
        <f>U7/(1+G.3销项增值税率!$C$5)</f>
        <v>0</v>
      </c>
      <c r="V8" s="14">
        <f>V7/(1+G.3销项增值税率!$C$5)</f>
        <v>0</v>
      </c>
      <c r="W8" s="14">
        <f>W7/(1+G.3销项增值税率!$C$5)</f>
        <v>0</v>
      </c>
      <c r="X8" s="14">
        <f>X7/(1+G.3销项增值税率!$C$5)</f>
        <v>0</v>
      </c>
      <c r="Y8" s="14">
        <f>Y7/(1+G.3销项增值税率!$C$5)</f>
        <v>0</v>
      </c>
      <c r="Z8" s="14">
        <f>Z7/(1+G.3销项增值税率!$C$5)</f>
        <v>0</v>
      </c>
    </row>
    <row r="9" customHeight="1" spans="1:26">
      <c r="A9" s="11"/>
      <c r="B9" s="75" t="s">
        <v>305</v>
      </c>
      <c r="C9" s="8"/>
      <c r="D9" s="8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customHeight="1" spans="1:26">
      <c r="A10" s="11">
        <v>4</v>
      </c>
      <c r="B10" s="11" t="s">
        <v>306</v>
      </c>
      <c r="C10" s="8"/>
      <c r="D10" s="8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</row>
    <row r="11" customHeight="1" spans="1:26">
      <c r="A11" s="11">
        <v>5</v>
      </c>
      <c r="B11" s="76" t="s">
        <v>307</v>
      </c>
      <c r="C11" s="77"/>
      <c r="D11" s="40">
        <f>(D3+D5+D7)</f>
        <v>0</v>
      </c>
      <c r="E11" s="40">
        <f>(E3+E5+E7)</f>
        <v>367.5</v>
      </c>
      <c r="F11" s="40">
        <f>(F3+F5+F7)</f>
        <v>563.22</v>
      </c>
      <c r="G11" s="40">
        <f>(G3+G5+G7)</f>
        <v>699.468</v>
      </c>
      <c r="H11" s="40">
        <f>(H3+H5+H7)</f>
        <v>710.83236</v>
      </c>
      <c r="I11" s="40">
        <f t="shared" ref="I11:Z11" si="0">I3+I5+I7+I10</f>
        <v>719.7465072</v>
      </c>
      <c r="J11" s="40">
        <f t="shared" si="0"/>
        <v>0</v>
      </c>
      <c r="K11" s="40">
        <f t="shared" si="0"/>
        <v>0</v>
      </c>
      <c r="L11" s="40">
        <f t="shared" si="0"/>
        <v>0</v>
      </c>
      <c r="M11" s="40">
        <f t="shared" si="0"/>
        <v>0</v>
      </c>
      <c r="N11" s="40">
        <f t="shared" si="0"/>
        <v>0</v>
      </c>
      <c r="O11" s="40">
        <f t="shared" si="0"/>
        <v>0</v>
      </c>
      <c r="P11" s="40">
        <f t="shared" si="0"/>
        <v>0</v>
      </c>
      <c r="Q11" s="40">
        <f t="shared" si="0"/>
        <v>0</v>
      </c>
      <c r="R11" s="40">
        <f t="shared" si="0"/>
        <v>0</v>
      </c>
      <c r="S11" s="40">
        <f t="shared" si="0"/>
        <v>0</v>
      </c>
      <c r="T11" s="40">
        <f t="shared" si="0"/>
        <v>0</v>
      </c>
      <c r="U11" s="40">
        <f t="shared" si="0"/>
        <v>0</v>
      </c>
      <c r="V11" s="40">
        <f t="shared" si="0"/>
        <v>0</v>
      </c>
      <c r="W11" s="40">
        <f t="shared" si="0"/>
        <v>0</v>
      </c>
      <c r="X11" s="40">
        <f t="shared" si="0"/>
        <v>0</v>
      </c>
      <c r="Y11" s="40">
        <f t="shared" si="0"/>
        <v>0</v>
      </c>
      <c r="Z11" s="40">
        <f t="shared" si="0"/>
        <v>0</v>
      </c>
    </row>
    <row r="12" customHeight="1" spans="1:26">
      <c r="A12" s="11">
        <v>6</v>
      </c>
      <c r="B12" s="78" t="s">
        <v>308</v>
      </c>
      <c r="C12" s="79"/>
      <c r="D12" s="40">
        <f>(D4+D6+D8)</f>
        <v>0</v>
      </c>
      <c r="E12" s="40">
        <f>(E4+E6+E8)</f>
        <v>350</v>
      </c>
      <c r="F12" s="40">
        <f>(F4+F6+F8)</f>
        <v>536.4</v>
      </c>
      <c r="G12" s="40">
        <f>(G4+G6+G8)</f>
        <v>666.16</v>
      </c>
      <c r="H12" s="40">
        <f>(H4+H6+H8)</f>
        <v>676.9832</v>
      </c>
      <c r="I12" s="40">
        <f t="shared" ref="I12:Z12" si="1">I4+I6+I8+I10</f>
        <v>685.472864</v>
      </c>
      <c r="J12" s="40">
        <f t="shared" si="1"/>
        <v>0</v>
      </c>
      <c r="K12" s="40">
        <f t="shared" si="1"/>
        <v>0</v>
      </c>
      <c r="L12" s="40">
        <f t="shared" si="1"/>
        <v>0</v>
      </c>
      <c r="M12" s="40">
        <f t="shared" si="1"/>
        <v>0</v>
      </c>
      <c r="N12" s="40">
        <f t="shared" si="1"/>
        <v>0</v>
      </c>
      <c r="O12" s="40">
        <f t="shared" si="1"/>
        <v>0</v>
      </c>
      <c r="P12" s="40">
        <f t="shared" si="1"/>
        <v>0</v>
      </c>
      <c r="Q12" s="40">
        <f t="shared" si="1"/>
        <v>0</v>
      </c>
      <c r="R12" s="40">
        <f t="shared" si="1"/>
        <v>0</v>
      </c>
      <c r="S12" s="40">
        <f t="shared" si="1"/>
        <v>0</v>
      </c>
      <c r="T12" s="40">
        <f t="shared" si="1"/>
        <v>0</v>
      </c>
      <c r="U12" s="40">
        <f t="shared" si="1"/>
        <v>0</v>
      </c>
      <c r="V12" s="40">
        <f t="shared" si="1"/>
        <v>0</v>
      </c>
      <c r="W12" s="40">
        <f t="shared" si="1"/>
        <v>0</v>
      </c>
      <c r="X12" s="40">
        <f t="shared" si="1"/>
        <v>0</v>
      </c>
      <c r="Y12" s="40">
        <f t="shared" si="1"/>
        <v>0</v>
      </c>
      <c r="Z12" s="40">
        <f t="shared" si="1"/>
        <v>0</v>
      </c>
    </row>
    <row r="13" customHeight="1" spans="10:13">
      <c r="J13"/>
      <c r="K13"/>
      <c r="L13"/>
      <c r="M13"/>
    </row>
  </sheetData>
  <mergeCells count="7">
    <mergeCell ref="A1:I1"/>
    <mergeCell ref="A3:A4"/>
    <mergeCell ref="A5:A6"/>
    <mergeCell ref="A7:A8"/>
    <mergeCell ref="B3:B4"/>
    <mergeCell ref="B5:B6"/>
    <mergeCell ref="B7:B8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FFFF00"/>
  </sheetPr>
  <dimension ref="A1:M11"/>
  <sheetViews>
    <sheetView workbookViewId="0">
      <pane xSplit="7" ySplit="2" topLeftCell="I3" activePane="bottomRight" state="frozen"/>
      <selection/>
      <selection pane="topRight"/>
      <selection pane="bottomLeft"/>
      <selection pane="bottomRight" activeCell="N12" sqref="N12"/>
    </sheetView>
  </sheetViews>
  <sheetFormatPr defaultColWidth="8.89090909090909" defaultRowHeight="28.05" customHeight="1"/>
  <cols>
    <col min="1" max="1" width="6" style="1" customWidth="1"/>
    <col min="2" max="2" width="12.3363636363636" style="1" customWidth="1"/>
    <col min="3" max="3" width="6" style="1" customWidth="1"/>
    <col min="4" max="4" width="18" style="1" customWidth="1"/>
    <col min="5" max="5" width="21.5545454545455" style="1" customWidth="1"/>
    <col min="6" max="6" width="16.8909090909091" style="1" customWidth="1"/>
    <col min="7" max="7" width="10.1090909090909" style="1" customWidth="1"/>
    <col min="8" max="8" width="6.89090909090909" style="1" customWidth="1"/>
    <col min="9" max="13" width="10.5545454545455" style="1" customWidth="1"/>
    <col min="14" max="14" width="67.8909090909091" style="1" customWidth="1"/>
  </cols>
  <sheetData>
    <row r="1" customHeight="1" spans="1:13">
      <c r="A1" s="70" t="s">
        <v>309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customHeight="1" spans="1:13">
      <c r="A2" s="5" t="s">
        <v>1</v>
      </c>
      <c r="B2" s="5" t="s">
        <v>301</v>
      </c>
      <c r="C2" s="5" t="s">
        <v>197</v>
      </c>
      <c r="D2" s="5" t="s">
        <v>310</v>
      </c>
      <c r="E2" s="5" t="s">
        <v>311</v>
      </c>
      <c r="F2" s="5" t="s">
        <v>312</v>
      </c>
      <c r="G2" s="5" t="s">
        <v>313</v>
      </c>
      <c r="H2" s="34">
        <v>2025</v>
      </c>
      <c r="I2" s="34">
        <v>2026</v>
      </c>
      <c r="J2" s="34">
        <v>2027</v>
      </c>
      <c r="K2" s="34">
        <v>2028</v>
      </c>
      <c r="L2" s="34">
        <v>2029</v>
      </c>
      <c r="M2" s="34">
        <v>2030</v>
      </c>
    </row>
    <row r="3" customHeight="1" spans="1:13">
      <c r="A3" s="11">
        <v>1</v>
      </c>
      <c r="B3" s="11" t="s">
        <v>314</v>
      </c>
      <c r="C3" s="11">
        <v>2</v>
      </c>
      <c r="D3" s="39">
        <v>100</v>
      </c>
      <c r="E3" s="14">
        <f>D3*(1+A财务假设!$D$20)</f>
        <v>105</v>
      </c>
      <c r="F3" s="71" t="s">
        <v>315</v>
      </c>
      <c r="G3" s="13">
        <v>0</v>
      </c>
      <c r="H3" s="36"/>
      <c r="I3" s="72">
        <f>$C3*$E3*I4</f>
        <v>105</v>
      </c>
      <c r="J3" s="72">
        <f>$C3*$E3*J4</f>
        <v>168</v>
      </c>
      <c r="K3" s="72">
        <f>$C3*$E3*K4</f>
        <v>210</v>
      </c>
      <c r="L3" s="72">
        <f>$C3*$E3*L4</f>
        <v>210</v>
      </c>
      <c r="M3" s="72">
        <f>$C3*$E3*M4</f>
        <v>210</v>
      </c>
    </row>
    <row r="4" customHeight="1" spans="1:13">
      <c r="A4" s="16"/>
      <c r="B4" s="16"/>
      <c r="C4" s="8" t="s">
        <v>316</v>
      </c>
      <c r="D4" s="3"/>
      <c r="E4" s="3"/>
      <c r="F4" s="3"/>
      <c r="G4" s="4"/>
      <c r="H4" s="36"/>
      <c r="I4" s="73">
        <v>0.5</v>
      </c>
      <c r="J4" s="73">
        <v>0.8</v>
      </c>
      <c r="K4" s="73">
        <v>1</v>
      </c>
      <c r="L4" s="73">
        <v>1</v>
      </c>
      <c r="M4" s="73">
        <v>1</v>
      </c>
    </row>
    <row r="5" customHeight="1" spans="1:13">
      <c r="A5" s="11">
        <v>2</v>
      </c>
      <c r="B5" s="11" t="s">
        <v>317</v>
      </c>
      <c r="C5" s="11">
        <v>2</v>
      </c>
      <c r="D5" s="39">
        <v>200</v>
      </c>
      <c r="E5" s="14">
        <f>D5*(1+A财务假设!$D$20)</f>
        <v>210</v>
      </c>
      <c r="F5" s="71" t="s">
        <v>318</v>
      </c>
      <c r="G5" s="13">
        <v>0.02</v>
      </c>
      <c r="H5" s="36"/>
      <c r="I5" s="74">
        <f>I6*$C5*$E5*POWER(1+$G5,I$2-$I$2)</f>
        <v>210</v>
      </c>
      <c r="J5" s="74">
        <f>J6*$C5*$E5*POWER(1+$G5,J$2-$I$2)</f>
        <v>342.72</v>
      </c>
      <c r="K5" s="74">
        <f>K6*$C5*$E5*POWER(1+$G5,K$2-$I$2)</f>
        <v>436.968</v>
      </c>
      <c r="L5" s="74">
        <f>L6*$C5*$E5*POWER(1+$G5,L$2-$I$2)</f>
        <v>445.70736</v>
      </c>
      <c r="M5" s="74">
        <f>M6*$C5*$E5*POWER(1+$G5,M$2-$I$2)</f>
        <v>454.6215072</v>
      </c>
    </row>
    <row r="6" customHeight="1" spans="1:13">
      <c r="A6" s="16"/>
      <c r="B6" s="16"/>
      <c r="C6" s="8" t="s">
        <v>316</v>
      </c>
      <c r="D6" s="3"/>
      <c r="E6" s="3"/>
      <c r="F6" s="3"/>
      <c r="G6" s="4"/>
      <c r="H6" s="36"/>
      <c r="I6" s="73">
        <v>0.5</v>
      </c>
      <c r="J6" s="73">
        <v>0.8</v>
      </c>
      <c r="K6" s="73">
        <v>1</v>
      </c>
      <c r="L6" s="73">
        <v>1</v>
      </c>
      <c r="M6" s="73">
        <v>1</v>
      </c>
    </row>
    <row r="7" customHeight="1" spans="1:13">
      <c r="A7" s="11">
        <v>3</v>
      </c>
      <c r="B7" s="11" t="s">
        <v>319</v>
      </c>
      <c r="C7" s="11">
        <v>1</v>
      </c>
      <c r="D7" s="39">
        <v>50</v>
      </c>
      <c r="E7" s="14">
        <f>D7*(1+A财务假设!$D$20)</f>
        <v>52.5</v>
      </c>
      <c r="F7" s="71" t="s">
        <v>320</v>
      </c>
      <c r="G7" s="61">
        <v>0.05</v>
      </c>
      <c r="H7" s="36"/>
      <c r="I7" s="74">
        <f>I8*$C7*$E7*POWER(1+$G7,ROUNDUP((I$2-$H$2)/3,0)-1)</f>
        <v>52.5</v>
      </c>
      <c r="J7" s="74">
        <f>J8*$C7*$E7*POWER(1+$G7,ROUNDUP((J$2-$H$2)/3,0)-1)</f>
        <v>52.5</v>
      </c>
      <c r="K7" s="74">
        <f>K8*$C7*$E7*POWER(1+$G7,ROUNDUP((K$2-$H$2)/3,0)-1)</f>
        <v>52.5</v>
      </c>
      <c r="L7" s="74">
        <f>L8*$C7*$E7*POWER(1+$G7,ROUNDUP((L$2-$H$2)/3,0)-1)</f>
        <v>55.125</v>
      </c>
      <c r="M7" s="74">
        <f>M8*$C7*$E7*POWER(1+$G7,ROUNDUP((M$2-$H$2)/3,0)-1)</f>
        <v>55.125</v>
      </c>
    </row>
    <row r="8" customHeight="1" spans="1:13">
      <c r="A8" s="16"/>
      <c r="B8" s="16"/>
      <c r="C8" s="8" t="s">
        <v>316</v>
      </c>
      <c r="D8" s="3"/>
      <c r="E8" s="3"/>
      <c r="F8" s="3"/>
      <c r="G8" s="4"/>
      <c r="H8" s="36"/>
      <c r="I8" s="73">
        <v>1</v>
      </c>
      <c r="J8" s="73">
        <v>1</v>
      </c>
      <c r="K8" s="73">
        <v>1</v>
      </c>
      <c r="L8" s="73">
        <v>1</v>
      </c>
      <c r="M8" s="73">
        <v>1</v>
      </c>
    </row>
    <row r="9" customHeight="1" spans="1:13">
      <c r="A9" s="11">
        <v>4</v>
      </c>
      <c r="B9" s="11" t="s">
        <v>321</v>
      </c>
      <c r="C9" s="11">
        <v>5</v>
      </c>
      <c r="D9" s="39">
        <v>20</v>
      </c>
      <c r="E9" s="14">
        <f>D9*(1+A财务假设!$D$20)</f>
        <v>21</v>
      </c>
      <c r="F9" s="71" t="s">
        <v>322</v>
      </c>
      <c r="G9" s="61">
        <v>0.05</v>
      </c>
      <c r="H9" s="36"/>
      <c r="I9" s="74">
        <f>I10*$C9*$E9*POWER(1+$G9,ROUNDUP((I$2-$H$2)/5,0)-1)</f>
        <v>105</v>
      </c>
      <c r="J9" s="74">
        <f>J10*$C9*$E9*POWER(1+$G9,ROUNDUP((J$2-$H$2)/5,0)-1)</f>
        <v>105</v>
      </c>
      <c r="K9" s="74">
        <f>K10*$C9*$E9*POWER(1+$G9,ROUNDUP((K$2-$H$2)/5,0)-1)</f>
        <v>105</v>
      </c>
      <c r="L9" s="74">
        <f>L10*$C9*$E9*POWER(1+$G9,ROUNDUP((L$2-$H$2)/5,0)-1)</f>
        <v>105</v>
      </c>
      <c r="M9" s="74">
        <f>M10*$C9*$E9*POWER(1+$G9,ROUNDUP((M$2-$H$2)/5,0)-1)</f>
        <v>105</v>
      </c>
    </row>
    <row r="10" customHeight="1" spans="1:13">
      <c r="A10" s="16"/>
      <c r="B10" s="16"/>
      <c r="C10" s="8" t="s">
        <v>316</v>
      </c>
      <c r="D10" s="3"/>
      <c r="E10" s="3"/>
      <c r="F10" s="3"/>
      <c r="G10" s="4"/>
      <c r="H10" s="36"/>
      <c r="I10" s="73">
        <v>1</v>
      </c>
      <c r="J10" s="73">
        <v>1</v>
      </c>
      <c r="K10" s="73">
        <v>1</v>
      </c>
      <c r="L10" s="73">
        <v>1</v>
      </c>
      <c r="M10" s="73">
        <v>1</v>
      </c>
    </row>
    <row r="11" customHeight="1" spans="1:13">
      <c r="A11" s="8" t="s">
        <v>323</v>
      </c>
      <c r="B11" s="8"/>
      <c r="C11" s="8"/>
      <c r="D11" s="8"/>
      <c r="E11" s="8"/>
      <c r="F11" s="8"/>
      <c r="G11" s="8"/>
      <c r="H11" s="8"/>
      <c r="I11" s="41"/>
      <c r="J11" s="41"/>
      <c r="K11" s="8"/>
      <c r="L11" s="41"/>
      <c r="M11" s="41"/>
    </row>
  </sheetData>
  <mergeCells count="13">
    <mergeCell ref="A1:M1"/>
    <mergeCell ref="C4:G4"/>
    <mergeCell ref="C6:G6"/>
    <mergeCell ref="C8:G8"/>
    <mergeCell ref="C10:G10"/>
    <mergeCell ref="A3:A4"/>
    <mergeCell ref="A5:A6"/>
    <mergeCell ref="A7:A8"/>
    <mergeCell ref="A9:A10"/>
    <mergeCell ref="B3:B4"/>
    <mergeCell ref="B5:B6"/>
    <mergeCell ref="B7:B8"/>
    <mergeCell ref="B9:B10"/>
  </mergeCells>
  <dataValidations count="2">
    <dataValidation type="list" allowBlank="1" showInputMessage="1" showErrorMessage="1" sqref="F3">
      <formula1>"不增长,每2年增长,每3年增长,每5年增长,自定义增长"</formula1>
    </dataValidation>
    <dataValidation type="list" allowBlank="1" showInputMessage="1" showErrorMessage="1" sqref="F5 F7 F9">
      <formula1>"不增长,每年增长,每2年增长,每3年增长,每5年增长,自定义增长"</formula1>
    </dataValidation>
  </dataValidations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FF00"/>
  </sheetPr>
  <dimension ref="A1:Z31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I3" sqref="I3"/>
    </sheetView>
  </sheetViews>
  <sheetFormatPr defaultColWidth="8.89090909090909" defaultRowHeight="14"/>
  <cols>
    <col min="1" max="1" width="13.1090909090909" style="1" customWidth="1"/>
    <col min="2" max="2" width="33.2181818181818" style="1" customWidth="1"/>
    <col min="3" max="3" width="25.7818181818182" style="1" customWidth="1"/>
    <col min="4" max="4" width="14.7818181818182" style="1" customWidth="1"/>
    <col min="5" max="5" width="13.8909090909091" style="1" customWidth="1"/>
    <col min="6" max="6" width="14.7818181818182" style="1" customWidth="1"/>
    <col min="7" max="7" width="17.1090909090909" style="1" customWidth="1"/>
    <col min="8" max="8" width="14.7818181818182" style="1" customWidth="1"/>
    <col min="9" max="9" width="13.8909090909091" style="1" customWidth="1"/>
    <col min="10" max="10" width="8.89090909090909" style="1" customWidth="1"/>
  </cols>
  <sheetData>
    <row r="1" ht="20" customHeight="1" spans="1:9">
      <c r="A1" s="38" t="s">
        <v>324</v>
      </c>
      <c r="B1" s="3"/>
      <c r="C1" s="3"/>
      <c r="D1" s="3"/>
      <c r="E1" s="3"/>
      <c r="F1" s="3"/>
      <c r="G1" s="3"/>
      <c r="H1" s="3"/>
      <c r="I1" s="4"/>
    </row>
    <row r="2" ht="16.5" customHeight="1" spans="1:26">
      <c r="A2" s="5" t="s">
        <v>1</v>
      </c>
      <c r="B2" s="5" t="s">
        <v>99</v>
      </c>
      <c r="C2" s="5" t="s">
        <v>325</v>
      </c>
      <c r="D2" s="34" t="s">
        <v>326</v>
      </c>
      <c r="E2" s="34" t="s">
        <v>327</v>
      </c>
      <c r="F2" s="34" t="s">
        <v>328</v>
      </c>
      <c r="G2" s="34" t="s">
        <v>329</v>
      </c>
      <c r="H2" s="34" t="s">
        <v>330</v>
      </c>
      <c r="I2" s="34" t="s">
        <v>331</v>
      </c>
      <c r="J2" s="34">
        <v>2031</v>
      </c>
      <c r="K2" s="34">
        <v>2032</v>
      </c>
      <c r="L2" s="34">
        <v>2033</v>
      </c>
      <c r="M2" s="34">
        <v>2034</v>
      </c>
      <c r="N2" s="34">
        <v>2035</v>
      </c>
      <c r="O2" s="34">
        <v>2036</v>
      </c>
      <c r="P2" s="34">
        <v>2037</v>
      </c>
      <c r="Q2" s="34">
        <v>2038</v>
      </c>
      <c r="R2" s="34">
        <v>2039</v>
      </c>
      <c r="S2" s="34">
        <v>2040</v>
      </c>
      <c r="T2" s="34">
        <v>2041</v>
      </c>
      <c r="U2" s="34">
        <v>2042</v>
      </c>
      <c r="V2" s="34">
        <v>2043</v>
      </c>
      <c r="W2" s="34">
        <v>2044</v>
      </c>
      <c r="X2" s="34">
        <v>2045</v>
      </c>
      <c r="Y2" s="34">
        <v>2046</v>
      </c>
      <c r="Z2" s="34">
        <v>2047</v>
      </c>
    </row>
    <row r="3" ht="33" customHeight="1" spans="1:26">
      <c r="A3" s="8"/>
      <c r="B3" s="8"/>
      <c r="C3" s="36" t="s">
        <v>332</v>
      </c>
      <c r="D3" s="57">
        <f>('G.1进项增值税率-建设投资'!F21)</f>
        <v>189.72</v>
      </c>
      <c r="E3" s="66">
        <f>(IF(D29=0,ABS(D25-D4-D3),0))</f>
        <v>189.72</v>
      </c>
      <c r="F3" s="66">
        <f>(IF(E29=0,ABS(E25-E4-E3),0))</f>
        <v>172.22</v>
      </c>
      <c r="G3" s="66">
        <f>(IF(F29=0,ABS(F25-F4-F3),0))</f>
        <v>145.4</v>
      </c>
      <c r="H3" s="57">
        <f>(IF(G29=0,ABS(G25-G4-G3),0))</f>
        <v>112.092</v>
      </c>
      <c r="I3" s="57">
        <f>IF(H29=0,ABS(H25-H4-H3),0)</f>
        <v>78.24284</v>
      </c>
      <c r="J3" s="57">
        <f>IF(H29=0,ABS(I25-I4-I3),0)</f>
        <v>43.9691968</v>
      </c>
      <c r="K3" s="57">
        <f>IF(H29=0,ABS(J25-J4-J3),0)</f>
        <v>43.9691968</v>
      </c>
      <c r="L3" s="57">
        <f>IF(H29=0,ABS(K25-K4-K3),0)</f>
        <v>43.9691968</v>
      </c>
      <c r="M3" s="57">
        <f>IF(H29=0,ABS(L25-L4-L3),0)</f>
        <v>43.9691968</v>
      </c>
      <c r="N3" s="57">
        <f>IF(H29=0,ABS(M25-M4-M3),0)</f>
        <v>43.9691968</v>
      </c>
      <c r="O3" s="57">
        <f>IF(H29=0,ABS(N25-N4-N3),0)</f>
        <v>43.9691968</v>
      </c>
      <c r="P3" s="57">
        <f>IF(H29=0,ABS(O25-O4-O3),0)</f>
        <v>43.9691968</v>
      </c>
      <c r="Q3" s="57">
        <f>IF(H29=0,ABS(P25-P4-P3),0)</f>
        <v>43.9691968</v>
      </c>
      <c r="R3" s="57">
        <f>IF(H29=0,ABS(Q25-Q4-Q3),0)</f>
        <v>43.9691968</v>
      </c>
      <c r="S3" s="57">
        <f>IF(H29=0,ABS(R25-R4-R3),0)</f>
        <v>43.9691968</v>
      </c>
      <c r="T3" s="57">
        <f>IF(H29=0,ABS(S25-S4-S3),0)</f>
        <v>43.9691968</v>
      </c>
      <c r="U3" s="57">
        <f>IF(H29=0,ABS(T25-T4-T3),0)</f>
        <v>43.9691968</v>
      </c>
      <c r="V3" s="57">
        <f>IF(H29=0,ABS(U25-U4-U3),0)</f>
        <v>43.9691968</v>
      </c>
      <c r="W3" s="57">
        <f>IF(H29=0,ABS(V25-V4-V3),0)</f>
        <v>43.9691968</v>
      </c>
      <c r="X3" s="57">
        <f>IF(H29=0,ABS(W25-W4-W3),0)</f>
        <v>43.9691968</v>
      </c>
      <c r="Y3" s="57">
        <f>IF(H29=0,ABS(X25-X4-X3),0)</f>
        <v>43.9691968</v>
      </c>
      <c r="Z3" s="57">
        <f>IF(H29=0,ABS(Y25-Y4-Y3),0)</f>
        <v>43.9691968</v>
      </c>
    </row>
    <row r="4" ht="16.5" customHeight="1" spans="1:26">
      <c r="A4" s="8">
        <v>1</v>
      </c>
      <c r="B4" s="8" t="s">
        <v>333</v>
      </c>
      <c r="C4" s="8"/>
      <c r="D4" s="14">
        <f>(SUM(D5:D24))</f>
        <v>0</v>
      </c>
      <c r="E4" s="14">
        <f>(SUM(E5:E24))</f>
        <v>0</v>
      </c>
      <c r="F4" s="14">
        <f>(SUM(F5:F24))</f>
        <v>0</v>
      </c>
      <c r="G4" s="14">
        <f>(SUM(G5:G24))</f>
        <v>0</v>
      </c>
      <c r="H4" s="14">
        <f>(SUM(H5:H24))</f>
        <v>0</v>
      </c>
      <c r="I4" s="14">
        <f t="shared" ref="I4:Z4" si="0">SUM(I5:I24)</f>
        <v>0</v>
      </c>
      <c r="J4" s="14">
        <f t="shared" si="0"/>
        <v>0</v>
      </c>
      <c r="K4" s="14">
        <f t="shared" si="0"/>
        <v>0</v>
      </c>
      <c r="L4" s="14">
        <f t="shared" si="0"/>
        <v>0</v>
      </c>
      <c r="M4" s="14">
        <f t="shared" si="0"/>
        <v>0</v>
      </c>
      <c r="N4" s="14">
        <f t="shared" si="0"/>
        <v>0</v>
      </c>
      <c r="O4" s="14">
        <f t="shared" si="0"/>
        <v>0</v>
      </c>
      <c r="P4" s="14">
        <f t="shared" si="0"/>
        <v>0</v>
      </c>
      <c r="Q4" s="14">
        <f t="shared" si="0"/>
        <v>0</v>
      </c>
      <c r="R4" s="14">
        <f t="shared" si="0"/>
        <v>0</v>
      </c>
      <c r="S4" s="14">
        <f t="shared" si="0"/>
        <v>0</v>
      </c>
      <c r="T4" s="14">
        <f t="shared" si="0"/>
        <v>0</v>
      </c>
      <c r="U4" s="14">
        <f t="shared" si="0"/>
        <v>0</v>
      </c>
      <c r="V4" s="14">
        <f t="shared" si="0"/>
        <v>0</v>
      </c>
      <c r="W4" s="14">
        <f t="shared" si="0"/>
        <v>0</v>
      </c>
      <c r="X4" s="14">
        <f t="shared" si="0"/>
        <v>0</v>
      </c>
      <c r="Y4" s="14">
        <f t="shared" si="0"/>
        <v>0</v>
      </c>
      <c r="Z4" s="14">
        <f t="shared" si="0"/>
        <v>0</v>
      </c>
    </row>
    <row r="5" ht="16.5" customHeight="1" spans="1:26">
      <c r="A5" s="8"/>
      <c r="B5" s="67" t="str">
        <f>E.1项目运营期费用!C4</f>
        <v>场地租金</v>
      </c>
      <c r="C5" s="8"/>
      <c r="D5" s="68">
        <f>E.1项目运营期费用!H4*'G.2进项增值税率-运营成本'!$C3/(1+'G.2进项增值税率-运营成本'!$C3)</f>
        <v>0</v>
      </c>
      <c r="E5" s="68">
        <f>E.1项目运营期费用!I4*'G.2进项增值税率-运营成本'!$C3/(1+'G.2进项增值税率-运营成本'!$C3)</f>
        <v>0</v>
      </c>
      <c r="F5" s="68">
        <f>E.1项目运营期费用!J4*'G.2进项增值税率-运营成本'!$C3/(1+'G.2进项增值税率-运营成本'!$C3)</f>
        <v>0</v>
      </c>
      <c r="G5" s="68">
        <f>E.1项目运营期费用!K4*'G.2进项增值税率-运营成本'!$C3/(1+'G.2进项增值税率-运营成本'!$C3)</f>
        <v>0</v>
      </c>
      <c r="H5" s="68">
        <f>E.1项目运营期费用!L4*'G.2进项增值税率-运营成本'!$C3/(1+'G.2进项增值税率-运营成本'!$C3)</f>
        <v>0</v>
      </c>
      <c r="I5" s="68">
        <f>E.1项目运营期费用!M4*'G.2进项增值税率-运营成本'!$C3/(1+'G.2进项增值税率-运营成本'!$C3)</f>
        <v>0</v>
      </c>
      <c r="J5" s="68">
        <f>E.1项目运营期费用!N4*'G.2进项增值税率-运营成本'!$C3/(1+'G.2进项增值税率-运营成本'!$C3)</f>
        <v>0</v>
      </c>
      <c r="K5" s="68">
        <f>E.1项目运营期费用!O4*'G.2进项增值税率-运营成本'!$C3/(1+'G.2进项增值税率-运营成本'!$C3)</f>
        <v>0</v>
      </c>
      <c r="L5" s="68">
        <f>E.1项目运营期费用!P4*'G.2进项增值税率-运营成本'!$C3/(1+'G.2进项增值税率-运营成本'!$C3)</f>
        <v>0</v>
      </c>
      <c r="M5" s="68">
        <f>E.1项目运营期费用!Q4*'G.2进项增值税率-运营成本'!$C3/(1+'G.2进项增值税率-运营成本'!$C3)</f>
        <v>0</v>
      </c>
      <c r="N5" s="68">
        <f>E.1项目运营期费用!R4*'G.2进项增值税率-运营成本'!$C3/(1+'G.2进项增值税率-运营成本'!$C3)</f>
        <v>0</v>
      </c>
      <c r="O5" s="68">
        <f>E.1项目运营期费用!S4*'G.2进项增值税率-运营成本'!$C3/(1+'G.2进项增值税率-运营成本'!$C3)</f>
        <v>0</v>
      </c>
      <c r="P5" s="68">
        <f>E.1项目运营期费用!T4*'G.2进项增值税率-运营成本'!$C3/(1+'G.2进项增值税率-运营成本'!$C3)</f>
        <v>0</v>
      </c>
      <c r="Q5" s="68">
        <f>E.1项目运营期费用!U4*'G.2进项增值税率-运营成本'!$C3/(1+'G.2进项增值税率-运营成本'!$C3)</f>
        <v>0</v>
      </c>
      <c r="R5" s="68">
        <f>E.1项目运营期费用!V4*'G.2进项增值税率-运营成本'!$C3/(1+'G.2进项增值税率-运营成本'!$C3)</f>
        <v>0</v>
      </c>
      <c r="S5" s="68">
        <f>E.1项目运营期费用!W4*'G.2进项增值税率-运营成本'!$C3/(1+'G.2进项增值税率-运营成本'!$C3)</f>
        <v>0</v>
      </c>
      <c r="T5" s="68">
        <f>E.1项目运营期费用!X4*'G.2进项增值税率-运营成本'!$C3/(1+'G.2进项增值税率-运营成本'!$C3)</f>
        <v>0</v>
      </c>
      <c r="U5" s="68">
        <f>E.1项目运营期费用!Y4*'G.2进项增值税率-运营成本'!$C3/(1+'G.2进项增值税率-运营成本'!$C3)</f>
        <v>0</v>
      </c>
      <c r="V5" s="68">
        <f>E.1项目运营期费用!Z4*'G.2进项增值税率-运营成本'!$C3/(1+'G.2进项增值税率-运营成本'!$C3)</f>
        <v>0</v>
      </c>
      <c r="W5" s="68">
        <f>E.1项目运营期费用!AA4*'G.2进项增值税率-运营成本'!$C3/(1+'G.2进项增值税率-运营成本'!$C3)</f>
        <v>0</v>
      </c>
      <c r="X5" s="68">
        <f>E.1项目运营期费用!AB4*'G.2进项增值税率-运营成本'!$C3/(1+'G.2进项增值税率-运营成本'!$C3)</f>
        <v>0</v>
      </c>
      <c r="Y5" s="68">
        <f>E.1项目运营期费用!AC4*'G.2进项增值税率-运营成本'!$C3/(1+'G.2进项增值税率-运营成本'!$C3)</f>
        <v>0</v>
      </c>
      <c r="Z5" s="68">
        <f>E.1项目运营期费用!AD4*'G.2进项增值税率-运营成本'!$C3/(1+'G.2进项增值税率-运营成本'!$C3)</f>
        <v>0</v>
      </c>
    </row>
    <row r="6" ht="29" customHeight="1" spans="1:26">
      <c r="A6" s="8"/>
      <c r="B6" s="69" t="str">
        <f>E.1项目运营期费用!C5</f>
        <v>场地日常维护（停机坪/起降场/交通枢纽/飞行营地/指挥中心等）</v>
      </c>
      <c r="C6" s="8"/>
      <c r="D6" s="68">
        <f>E.1项目运营期费用!H5*'G.2进项增值税率-运营成本'!$C4/(1+'G.2进项增值税率-运营成本'!$C4)</f>
        <v>0</v>
      </c>
      <c r="E6" s="68">
        <f>E.1项目运营期费用!I5*'G.2进项增值税率-运营成本'!$C4/(1+'G.2进项增值税率-运营成本'!$C4)</f>
        <v>0</v>
      </c>
      <c r="F6" s="68">
        <f>E.1项目运营期费用!J5*'G.2进项增值税率-运营成本'!$C4/(1+'G.2进项增值税率-运营成本'!$C4)</f>
        <v>0</v>
      </c>
      <c r="G6" s="68">
        <f>E.1项目运营期费用!K5*'G.2进项增值税率-运营成本'!$C4/(1+'G.2进项增值税率-运营成本'!$C4)</f>
        <v>0</v>
      </c>
      <c r="H6" s="68">
        <f>E.1项目运营期费用!L5*'G.2进项增值税率-运营成本'!$C4/(1+'G.2进项增值税率-运营成本'!$C4)</f>
        <v>0</v>
      </c>
      <c r="I6" s="68">
        <f>E.1项目运营期费用!M5*'G.2进项增值税率-运营成本'!$C4/(1+'G.2进项增值税率-运营成本'!$C4)</f>
        <v>0</v>
      </c>
      <c r="J6" s="68">
        <f>E.1项目运营期费用!N5*'G.2进项增值税率-运营成本'!$C4/(1+'G.2进项增值税率-运营成本'!$C4)</f>
        <v>0</v>
      </c>
      <c r="K6" s="68">
        <f>E.1项目运营期费用!O5*'G.2进项增值税率-运营成本'!$C4/(1+'G.2进项增值税率-运营成本'!$C4)</f>
        <v>0</v>
      </c>
      <c r="L6" s="68">
        <f>E.1项目运营期费用!P5*'G.2进项增值税率-运营成本'!$C4/(1+'G.2进项增值税率-运营成本'!$C4)</f>
        <v>0</v>
      </c>
      <c r="M6" s="68">
        <f>E.1项目运营期费用!Q5*'G.2进项增值税率-运营成本'!$C4/(1+'G.2进项增值税率-运营成本'!$C4)</f>
        <v>0</v>
      </c>
      <c r="N6" s="68">
        <f>E.1项目运营期费用!R5*'G.2进项增值税率-运营成本'!$C4/(1+'G.2进项增值税率-运营成本'!$C4)</f>
        <v>0</v>
      </c>
      <c r="O6" s="68">
        <f>E.1项目运营期费用!S5*'G.2进项增值税率-运营成本'!$C4/(1+'G.2进项增值税率-运营成本'!$C4)</f>
        <v>0</v>
      </c>
      <c r="P6" s="68">
        <f>E.1项目运营期费用!T5*'G.2进项增值税率-运营成本'!$C4/(1+'G.2进项增值税率-运营成本'!$C4)</f>
        <v>0</v>
      </c>
      <c r="Q6" s="68">
        <f>E.1项目运营期费用!U5*'G.2进项增值税率-运营成本'!$C4/(1+'G.2进项增值税率-运营成本'!$C4)</f>
        <v>0</v>
      </c>
      <c r="R6" s="68">
        <f>E.1项目运营期费用!V5*'G.2进项增值税率-运营成本'!$C4/(1+'G.2进项增值税率-运营成本'!$C4)</f>
        <v>0</v>
      </c>
      <c r="S6" s="68">
        <f>E.1项目运营期费用!W5*'G.2进项增值税率-运营成本'!$C4/(1+'G.2进项增值税率-运营成本'!$C4)</f>
        <v>0</v>
      </c>
      <c r="T6" s="68">
        <f>E.1项目运营期费用!X5*'G.2进项增值税率-运营成本'!$C4/(1+'G.2进项增值税率-运营成本'!$C4)</f>
        <v>0</v>
      </c>
      <c r="U6" s="68">
        <f>E.1项目运营期费用!Y5*'G.2进项增值税率-运营成本'!$C4/(1+'G.2进项增值税率-运营成本'!$C4)</f>
        <v>0</v>
      </c>
      <c r="V6" s="68">
        <f>E.1项目运营期费用!Z5*'G.2进项增值税率-运营成本'!$C4/(1+'G.2进项增值税率-运营成本'!$C4)</f>
        <v>0</v>
      </c>
      <c r="W6" s="68">
        <f>E.1项目运营期费用!AA5*'G.2进项增值税率-运营成本'!$C4/(1+'G.2进项增值税率-运营成本'!$C4)</f>
        <v>0</v>
      </c>
      <c r="X6" s="68">
        <f>E.1项目运营期费用!AB5*'G.2进项增值税率-运营成本'!$C4/(1+'G.2进项增值税率-运营成本'!$C4)</f>
        <v>0</v>
      </c>
      <c r="Y6" s="68">
        <f>E.1项目运营期费用!AC5*'G.2进项增值税率-运营成本'!$C4/(1+'G.2进项增值税率-运营成本'!$C4)</f>
        <v>0</v>
      </c>
      <c r="Z6" s="68">
        <f>E.1项目运营期费用!AD5*'G.2进项增值税率-运营成本'!$C4/(1+'G.2进项增值税率-运营成本'!$C4)</f>
        <v>0</v>
      </c>
    </row>
    <row r="7" ht="16.5" customHeight="1" spans="1:26">
      <c r="A7" s="8"/>
      <c r="B7" s="67" t="str">
        <f>E.1项目运营期费用!C6</f>
        <v>消防设施年检</v>
      </c>
      <c r="C7" s="8"/>
      <c r="D7" s="68">
        <f>E.1项目运营期费用!H6*'G.2进项增值税率-运营成本'!$C5/(1+'G.2进项增值税率-运营成本'!$C5)</f>
        <v>0</v>
      </c>
      <c r="E7" s="68">
        <f>E.1项目运营期费用!I6*'G.2进项增值税率-运营成本'!$C5/(1+'G.2进项增值税率-运营成本'!$C5)</f>
        <v>0</v>
      </c>
      <c r="F7" s="68">
        <f>E.1项目运营期费用!J6*'G.2进项增值税率-运营成本'!$C5/(1+'G.2进项增值税率-运营成本'!$C5)</f>
        <v>0</v>
      </c>
      <c r="G7" s="68">
        <f>E.1项目运营期费用!K6*'G.2进项增值税率-运营成本'!$C5/(1+'G.2进项增值税率-运营成本'!$C5)</f>
        <v>0</v>
      </c>
      <c r="H7" s="68">
        <f>E.1项目运营期费用!L6*'G.2进项增值税率-运营成本'!$C5/(1+'G.2进项增值税率-运营成本'!$C5)</f>
        <v>0</v>
      </c>
      <c r="I7" s="68">
        <f>E.1项目运营期费用!M6*'G.2进项增值税率-运营成本'!$C5/(1+'G.2进项增值税率-运营成本'!$C5)</f>
        <v>0</v>
      </c>
      <c r="J7" s="68">
        <f>E.1项目运营期费用!N6*'G.2进项增值税率-运营成本'!$C5/(1+'G.2进项增值税率-运营成本'!$C5)</f>
        <v>0</v>
      </c>
      <c r="K7" s="68">
        <f>E.1项目运营期费用!O6*'G.2进项增值税率-运营成本'!$C5/(1+'G.2进项增值税率-运营成本'!$C5)</f>
        <v>0</v>
      </c>
      <c r="L7" s="68">
        <f>E.1项目运营期费用!P6*'G.2进项增值税率-运营成本'!$C5/(1+'G.2进项增值税率-运营成本'!$C5)</f>
        <v>0</v>
      </c>
      <c r="M7" s="68">
        <f>E.1项目运营期费用!Q6*'G.2进项增值税率-运营成本'!$C5/(1+'G.2进项增值税率-运营成本'!$C5)</f>
        <v>0</v>
      </c>
      <c r="N7" s="68">
        <f>E.1项目运营期费用!R6*'G.2进项增值税率-运营成本'!$C5/(1+'G.2进项增值税率-运营成本'!$C5)</f>
        <v>0</v>
      </c>
      <c r="O7" s="68">
        <f>E.1项目运营期费用!S6*'G.2进项增值税率-运营成本'!$C5/(1+'G.2进项增值税率-运营成本'!$C5)</f>
        <v>0</v>
      </c>
      <c r="P7" s="68">
        <f>E.1项目运营期费用!T6*'G.2进项增值税率-运营成本'!$C5/(1+'G.2进项增值税率-运营成本'!$C5)</f>
        <v>0</v>
      </c>
      <c r="Q7" s="68">
        <f>E.1项目运营期费用!U6*'G.2进项增值税率-运营成本'!$C5/(1+'G.2进项增值税率-运营成本'!$C5)</f>
        <v>0</v>
      </c>
      <c r="R7" s="68">
        <f>E.1项目运营期费用!V6*'G.2进项增值税率-运营成本'!$C5/(1+'G.2进项增值税率-运营成本'!$C5)</f>
        <v>0</v>
      </c>
      <c r="S7" s="68">
        <f>E.1项目运营期费用!W6*'G.2进项增值税率-运营成本'!$C5/(1+'G.2进项增值税率-运营成本'!$C5)</f>
        <v>0</v>
      </c>
      <c r="T7" s="68">
        <f>E.1项目运营期费用!X6*'G.2进项增值税率-运营成本'!$C5/(1+'G.2进项增值税率-运营成本'!$C5)</f>
        <v>0</v>
      </c>
      <c r="U7" s="68">
        <f>E.1项目运营期费用!Y6*'G.2进项增值税率-运营成本'!$C5/(1+'G.2进项增值税率-运营成本'!$C5)</f>
        <v>0</v>
      </c>
      <c r="V7" s="68">
        <f>E.1项目运营期费用!Z6*'G.2进项增值税率-运营成本'!$C5/(1+'G.2进项增值税率-运营成本'!$C5)</f>
        <v>0</v>
      </c>
      <c r="W7" s="68">
        <f>E.1项目运营期费用!AA6*'G.2进项增值税率-运营成本'!$C5/(1+'G.2进项增值税率-运营成本'!$C5)</f>
        <v>0</v>
      </c>
      <c r="X7" s="68">
        <f>E.1项目运营期费用!AB6*'G.2进项增值税率-运营成本'!$C5/(1+'G.2进项增值税率-运营成本'!$C5)</f>
        <v>0</v>
      </c>
      <c r="Y7" s="68">
        <f>E.1项目运营期费用!AC6*'G.2进项增值税率-运营成本'!$C5/(1+'G.2进项增值税率-运营成本'!$C5)</f>
        <v>0</v>
      </c>
      <c r="Z7" s="68">
        <f>E.1项目运营期费用!AD6*'G.2进项增值税率-运营成本'!$C5/(1+'G.2进项增值税率-运营成本'!$C5)</f>
        <v>0</v>
      </c>
    </row>
    <row r="8" ht="16.5" customHeight="1" spans="1:26">
      <c r="A8" s="8"/>
      <c r="B8" s="67" t="str">
        <f>E.1项目运营期费用!C7</f>
        <v>防鸟措施（驱鸟器维护）</v>
      </c>
      <c r="C8" s="8"/>
      <c r="D8" s="68">
        <f>E.1项目运营期费用!H7*'G.2进项增值税率-运营成本'!$C6/(1+'G.2进项增值税率-运营成本'!$C6)</f>
        <v>0</v>
      </c>
      <c r="E8" s="68">
        <f>E.1项目运营期费用!I7*'G.2进项增值税率-运营成本'!$C6/(1+'G.2进项增值税率-运营成本'!$C6)</f>
        <v>0</v>
      </c>
      <c r="F8" s="68">
        <f>E.1项目运营期费用!J7*'G.2进项增值税率-运营成本'!$C6/(1+'G.2进项增值税率-运营成本'!$C6)</f>
        <v>0</v>
      </c>
      <c r="G8" s="68">
        <f>E.1项目运营期费用!K7*'G.2进项增值税率-运营成本'!$C6/(1+'G.2进项增值税率-运营成本'!$C6)</f>
        <v>0</v>
      </c>
      <c r="H8" s="68">
        <f>E.1项目运营期费用!L7*'G.2进项增值税率-运营成本'!$C6/(1+'G.2进项增值税率-运营成本'!$C6)</f>
        <v>0</v>
      </c>
      <c r="I8" s="68">
        <f>E.1项目运营期费用!M7*'G.2进项增值税率-运营成本'!$C6/(1+'G.2进项增值税率-运营成本'!$C6)</f>
        <v>0</v>
      </c>
      <c r="J8" s="68">
        <f>E.1项目运营期费用!N7*'G.2进项增值税率-运营成本'!$C6/(1+'G.2进项增值税率-运营成本'!$C6)</f>
        <v>0</v>
      </c>
      <c r="K8" s="68">
        <f>E.1项目运营期费用!O7*'G.2进项增值税率-运营成本'!$C6/(1+'G.2进项增值税率-运营成本'!$C6)</f>
        <v>0</v>
      </c>
      <c r="L8" s="68">
        <f>E.1项目运营期费用!P7*'G.2进项增值税率-运营成本'!$C6/(1+'G.2进项增值税率-运营成本'!$C6)</f>
        <v>0</v>
      </c>
      <c r="M8" s="68">
        <f>E.1项目运营期费用!Q7*'G.2进项增值税率-运营成本'!$C6/(1+'G.2进项增值税率-运营成本'!$C6)</f>
        <v>0</v>
      </c>
      <c r="N8" s="68">
        <f>E.1项目运营期费用!R7*'G.2进项增值税率-运营成本'!$C6/(1+'G.2进项增值税率-运营成本'!$C6)</f>
        <v>0</v>
      </c>
      <c r="O8" s="68">
        <f>E.1项目运营期费用!S7*'G.2进项增值税率-运营成本'!$C6/(1+'G.2进项增值税率-运营成本'!$C6)</f>
        <v>0</v>
      </c>
      <c r="P8" s="68">
        <f>E.1项目运营期费用!T7*'G.2进项增值税率-运营成本'!$C6/(1+'G.2进项增值税率-运营成本'!$C6)</f>
        <v>0</v>
      </c>
      <c r="Q8" s="68">
        <f>E.1项目运营期费用!U7*'G.2进项增值税率-运营成本'!$C6/(1+'G.2进项增值税率-运营成本'!$C6)</f>
        <v>0</v>
      </c>
      <c r="R8" s="68">
        <f>E.1项目运营期费用!V7*'G.2进项增值税率-运营成本'!$C6/(1+'G.2进项增值税率-运营成本'!$C6)</f>
        <v>0</v>
      </c>
      <c r="S8" s="68">
        <f>E.1项目运营期费用!W7*'G.2进项增值税率-运营成本'!$C6/(1+'G.2进项增值税率-运营成本'!$C6)</f>
        <v>0</v>
      </c>
      <c r="T8" s="68">
        <f>E.1项目运营期费用!X7*'G.2进项增值税率-运营成本'!$C6/(1+'G.2进项增值税率-运营成本'!$C6)</f>
        <v>0</v>
      </c>
      <c r="U8" s="68">
        <f>E.1项目运营期费用!Y7*'G.2进项增值税率-运营成本'!$C6/(1+'G.2进项增值税率-运营成本'!$C6)</f>
        <v>0</v>
      </c>
      <c r="V8" s="68">
        <f>E.1项目运营期费用!Z7*'G.2进项增值税率-运营成本'!$C6/(1+'G.2进项增值税率-运营成本'!$C6)</f>
        <v>0</v>
      </c>
      <c r="W8" s="68">
        <f>E.1项目运营期费用!AA7*'G.2进项增值税率-运营成本'!$C6/(1+'G.2进项增值税率-运营成本'!$C6)</f>
        <v>0</v>
      </c>
      <c r="X8" s="68">
        <f>E.1项目运营期费用!AB7*'G.2进项增值税率-运营成本'!$C6/(1+'G.2进项增值税率-运营成本'!$C6)</f>
        <v>0</v>
      </c>
      <c r="Y8" s="68">
        <f>E.1项目运营期费用!AC7*'G.2进项增值税率-运营成本'!$C6/(1+'G.2进项增值税率-运营成本'!$C6)</f>
        <v>0</v>
      </c>
      <c r="Z8" s="68">
        <f>E.1项目运营期费用!AD7*'G.2进项增值税率-运营成本'!$C6/(1+'G.2进项增值税率-运营成本'!$C6)</f>
        <v>0</v>
      </c>
    </row>
    <row r="9" ht="16.5" customHeight="1" spans="1:26">
      <c r="A9" s="8"/>
      <c r="B9" s="67" t="str">
        <f>E.1项目运营期费用!C8</f>
        <v>飞行器能耗</v>
      </c>
      <c r="C9" s="8"/>
      <c r="D9" s="68">
        <f>E.1项目运营期费用!H8*'G.2进项增值税率-运营成本'!$C7/(1+'G.2进项增值税率-运营成本'!$C7)</f>
        <v>0</v>
      </c>
      <c r="E9" s="68">
        <f>E.1项目运营期费用!I8*'G.2进项增值税率-运营成本'!$C7/(1+'G.2进项增值税率-运营成本'!$C7)</f>
        <v>0</v>
      </c>
      <c r="F9" s="68">
        <f>E.1项目运营期费用!J8*'G.2进项增值税率-运营成本'!$C7/(1+'G.2进项增值税率-运营成本'!$C7)</f>
        <v>0</v>
      </c>
      <c r="G9" s="68">
        <f>E.1项目运营期费用!K8*'G.2进项增值税率-运营成本'!$C7/(1+'G.2进项增值税率-运营成本'!$C7)</f>
        <v>0</v>
      </c>
      <c r="H9" s="68">
        <f>E.1项目运营期费用!L8*'G.2进项增值税率-运营成本'!$C7/(1+'G.2进项增值税率-运营成本'!$C7)</f>
        <v>0</v>
      </c>
      <c r="I9" s="68">
        <f>E.1项目运营期费用!M8*'G.2进项增值税率-运营成本'!$C7/(1+'G.2进项增值税率-运营成本'!$C7)</f>
        <v>0</v>
      </c>
      <c r="J9" s="68">
        <f>E.1项目运营期费用!N8*'G.2进项增值税率-运营成本'!$C7/(1+'G.2进项增值税率-运营成本'!$C7)</f>
        <v>0</v>
      </c>
      <c r="K9" s="68">
        <f>E.1项目运营期费用!O8*'G.2进项增值税率-运营成本'!$C7/(1+'G.2进项增值税率-运营成本'!$C7)</f>
        <v>0</v>
      </c>
      <c r="L9" s="68">
        <f>E.1项目运营期费用!P8*'G.2进项增值税率-运营成本'!$C7/(1+'G.2进项增值税率-运营成本'!$C7)</f>
        <v>0</v>
      </c>
      <c r="M9" s="68">
        <f>E.1项目运营期费用!Q8*'G.2进项增值税率-运营成本'!$C7/(1+'G.2进项增值税率-运营成本'!$C7)</f>
        <v>0</v>
      </c>
      <c r="N9" s="68">
        <f>E.1项目运营期费用!R8*'G.2进项增值税率-运营成本'!$C7/(1+'G.2进项增值税率-运营成本'!$C7)</f>
        <v>0</v>
      </c>
      <c r="O9" s="68">
        <f>E.1项目运营期费用!S8*'G.2进项增值税率-运营成本'!$C7/(1+'G.2进项增值税率-运营成本'!$C7)</f>
        <v>0</v>
      </c>
      <c r="P9" s="68">
        <f>E.1项目运营期费用!T8*'G.2进项增值税率-运营成本'!$C7/(1+'G.2进项增值税率-运营成本'!$C7)</f>
        <v>0</v>
      </c>
      <c r="Q9" s="68">
        <f>E.1项目运营期费用!U8*'G.2进项增值税率-运营成本'!$C7/(1+'G.2进项增值税率-运营成本'!$C7)</f>
        <v>0</v>
      </c>
      <c r="R9" s="68">
        <f>E.1项目运营期费用!V8*'G.2进项增值税率-运营成本'!$C7/(1+'G.2进项增值税率-运营成本'!$C7)</f>
        <v>0</v>
      </c>
      <c r="S9" s="68">
        <f>E.1项目运营期费用!W8*'G.2进项增值税率-运营成本'!$C7/(1+'G.2进项增值税率-运营成本'!$C7)</f>
        <v>0</v>
      </c>
      <c r="T9" s="68">
        <f>E.1项目运营期费用!X8*'G.2进项增值税率-运营成本'!$C7/(1+'G.2进项增值税率-运营成本'!$C7)</f>
        <v>0</v>
      </c>
      <c r="U9" s="68">
        <f>E.1项目运营期费用!Y8*'G.2进项增值税率-运营成本'!$C7/(1+'G.2进项增值税率-运营成本'!$C7)</f>
        <v>0</v>
      </c>
      <c r="V9" s="68">
        <f>E.1项目运营期费用!Z8*'G.2进项增值税率-运营成本'!$C7/(1+'G.2进项增值税率-运营成本'!$C7)</f>
        <v>0</v>
      </c>
      <c r="W9" s="68">
        <f>E.1项目运营期费用!AA8*'G.2进项增值税率-运营成本'!$C7/(1+'G.2进项增值税率-运营成本'!$C7)</f>
        <v>0</v>
      </c>
      <c r="X9" s="68">
        <f>E.1项目运营期费用!AB8*'G.2进项增值税率-运营成本'!$C7/(1+'G.2进项增值税率-运营成本'!$C7)</f>
        <v>0</v>
      </c>
      <c r="Y9" s="68">
        <f>E.1项目运营期费用!AC8*'G.2进项增值税率-运营成本'!$C7/(1+'G.2进项增值税率-运营成本'!$C7)</f>
        <v>0</v>
      </c>
      <c r="Z9" s="68">
        <f>E.1项目运营期费用!AD8*'G.2进项增值税率-运营成本'!$C7/(1+'G.2进项增值税率-运营成本'!$C7)</f>
        <v>0</v>
      </c>
    </row>
    <row r="10" ht="16.5" customHeight="1" spans="1:26">
      <c r="A10" s="8"/>
      <c r="B10" s="67" t="str">
        <f>E.1项目运营期费用!C9</f>
        <v>核心设备电力能耗</v>
      </c>
      <c r="C10" s="8"/>
      <c r="D10" s="68">
        <f>E.1项目运营期费用!H9*'G.2进项增值税率-运营成本'!$C8/(1+'G.2进项增值税率-运营成本'!$C8)</f>
        <v>0</v>
      </c>
      <c r="E10" s="68">
        <f>E.1项目运营期费用!I9*'G.2进项增值税率-运营成本'!$C8/(1+'G.2进项增值税率-运营成本'!$C8)</f>
        <v>0</v>
      </c>
      <c r="F10" s="68">
        <f>E.1项目运营期费用!J9*'G.2进项增值税率-运营成本'!$C8/(1+'G.2进项增值税率-运营成本'!$C8)</f>
        <v>0</v>
      </c>
      <c r="G10" s="68">
        <f>E.1项目运营期费用!K9*'G.2进项增值税率-运营成本'!$C8/(1+'G.2进项增值税率-运营成本'!$C8)</f>
        <v>0</v>
      </c>
      <c r="H10" s="68">
        <f>E.1项目运营期费用!L9*'G.2进项增值税率-运营成本'!$C8/(1+'G.2进项增值税率-运营成本'!$C8)</f>
        <v>0</v>
      </c>
      <c r="I10" s="68">
        <f>E.1项目运营期费用!M9*'G.2进项增值税率-运营成本'!$C8/(1+'G.2进项增值税率-运营成本'!$C8)</f>
        <v>0</v>
      </c>
      <c r="J10" s="68">
        <f>E.1项目运营期费用!N9*'G.2进项增值税率-运营成本'!$C8/(1+'G.2进项增值税率-运营成本'!$C8)</f>
        <v>0</v>
      </c>
      <c r="K10" s="68">
        <f>E.1项目运营期费用!O9*'G.2进项增值税率-运营成本'!$C8/(1+'G.2进项增值税率-运营成本'!$C8)</f>
        <v>0</v>
      </c>
      <c r="L10" s="68">
        <f>E.1项目运营期费用!P9*'G.2进项增值税率-运营成本'!$C8/(1+'G.2进项增值税率-运营成本'!$C8)</f>
        <v>0</v>
      </c>
      <c r="M10" s="68">
        <f>E.1项目运营期费用!Q9*'G.2进项增值税率-运营成本'!$C8/(1+'G.2进项增值税率-运营成本'!$C8)</f>
        <v>0</v>
      </c>
      <c r="N10" s="68">
        <f>E.1项目运营期费用!R9*'G.2进项增值税率-运营成本'!$C8/(1+'G.2进项增值税率-运营成本'!$C8)</f>
        <v>0</v>
      </c>
      <c r="O10" s="68">
        <f>E.1项目运营期费用!S9*'G.2进项增值税率-运营成本'!$C8/(1+'G.2进项增值税率-运营成本'!$C8)</f>
        <v>0</v>
      </c>
      <c r="P10" s="68">
        <f>E.1项目运营期费用!T9*'G.2进项增值税率-运营成本'!$C8/(1+'G.2进项增值税率-运营成本'!$C8)</f>
        <v>0</v>
      </c>
      <c r="Q10" s="68">
        <f>E.1项目运营期费用!U9*'G.2进项增值税率-运营成本'!$C8/(1+'G.2进项增值税率-运营成本'!$C8)</f>
        <v>0</v>
      </c>
      <c r="R10" s="68">
        <f>E.1项目运营期费用!V9*'G.2进项增值税率-运营成本'!$C8/(1+'G.2进项增值税率-运营成本'!$C8)</f>
        <v>0</v>
      </c>
      <c r="S10" s="68">
        <f>E.1项目运营期费用!W9*'G.2进项增值税率-运营成本'!$C8/(1+'G.2进项增值税率-运营成本'!$C8)</f>
        <v>0</v>
      </c>
      <c r="T10" s="68">
        <f>E.1项目运营期费用!X9*'G.2进项增值税率-运营成本'!$C8/(1+'G.2进项增值税率-运营成本'!$C8)</f>
        <v>0</v>
      </c>
      <c r="U10" s="68">
        <f>E.1项目运营期费用!Y9*'G.2进项增值税率-运营成本'!$C8/(1+'G.2进项增值税率-运营成本'!$C8)</f>
        <v>0</v>
      </c>
      <c r="V10" s="68">
        <f>E.1项目运营期费用!Z9*'G.2进项增值税率-运营成本'!$C8/(1+'G.2进项增值税率-运营成本'!$C8)</f>
        <v>0</v>
      </c>
      <c r="W10" s="68">
        <f>E.1项目运营期费用!AA9*'G.2进项增值税率-运营成本'!$C8/(1+'G.2进项增值税率-运营成本'!$C8)</f>
        <v>0</v>
      </c>
      <c r="X10" s="68">
        <f>E.1项目运营期费用!AB9*'G.2进项增值税率-运营成本'!$C8/(1+'G.2进项增值税率-运营成本'!$C8)</f>
        <v>0</v>
      </c>
      <c r="Y10" s="68">
        <f>E.1项目运营期费用!AC9*'G.2进项增值税率-运营成本'!$C8/(1+'G.2进项增值税率-运营成本'!$C8)</f>
        <v>0</v>
      </c>
      <c r="Z10" s="68">
        <f>E.1项目运营期费用!AD9*'G.2进项增值税率-运营成本'!$C8/(1+'G.2进项增值税率-运营成本'!$C8)</f>
        <v>0</v>
      </c>
    </row>
    <row r="11" ht="16.5" customHeight="1" spans="1:26">
      <c r="A11" s="8"/>
      <c r="B11" s="67" t="str">
        <f>E.1项目运营期费用!C10</f>
        <v>水电能耗</v>
      </c>
      <c r="C11" s="8"/>
      <c r="D11" s="68">
        <f>E.1项目运营期费用!H10*'G.2进项增值税率-运营成本'!$C9/(1+'G.2进项增值税率-运营成本'!$C9)</f>
        <v>0</v>
      </c>
      <c r="E11" s="68">
        <f>E.1项目运营期费用!I10*'G.2进项增值税率-运营成本'!$C9/(1+'G.2进项增值税率-运营成本'!$C9)</f>
        <v>0</v>
      </c>
      <c r="F11" s="68">
        <f>E.1项目运营期费用!J10*'G.2进项增值税率-运营成本'!$C9/(1+'G.2进项增值税率-运营成本'!$C9)</f>
        <v>0</v>
      </c>
      <c r="G11" s="68">
        <f>E.1项目运营期费用!K10*'G.2进项增值税率-运营成本'!$C9/(1+'G.2进项增值税率-运营成本'!$C9)</f>
        <v>0</v>
      </c>
      <c r="H11" s="68">
        <f>E.1项目运营期费用!L10*'G.2进项增值税率-运营成本'!$C9/(1+'G.2进项增值税率-运营成本'!$C9)</f>
        <v>0</v>
      </c>
      <c r="I11" s="68">
        <f>E.1项目运营期费用!M10*'G.2进项增值税率-运营成本'!$C9/(1+'G.2进项增值税率-运营成本'!$C9)</f>
        <v>0</v>
      </c>
      <c r="J11" s="68">
        <f>E.1项目运营期费用!N10*'G.2进项增值税率-运营成本'!$C9/(1+'G.2进项增值税率-运营成本'!$C9)</f>
        <v>0</v>
      </c>
      <c r="K11" s="68">
        <f>E.1项目运营期费用!O10*'G.2进项增值税率-运营成本'!$C9/(1+'G.2进项增值税率-运营成本'!$C9)</f>
        <v>0</v>
      </c>
      <c r="L11" s="68">
        <f>E.1项目运营期费用!P10*'G.2进项增值税率-运营成本'!$C9/(1+'G.2进项增值税率-运营成本'!$C9)</f>
        <v>0</v>
      </c>
      <c r="M11" s="68">
        <f>E.1项目运营期费用!Q10*'G.2进项增值税率-运营成本'!$C9/(1+'G.2进项增值税率-运营成本'!$C9)</f>
        <v>0</v>
      </c>
      <c r="N11" s="68">
        <f>E.1项目运营期费用!R10*'G.2进项增值税率-运营成本'!$C9/(1+'G.2进项增值税率-运营成本'!$C9)</f>
        <v>0</v>
      </c>
      <c r="O11" s="68">
        <f>E.1项目运营期费用!S10*'G.2进项增值税率-运营成本'!$C9/(1+'G.2进项增值税率-运营成本'!$C9)</f>
        <v>0</v>
      </c>
      <c r="P11" s="68">
        <f>E.1项目运营期费用!T10*'G.2进项增值税率-运营成本'!$C9/(1+'G.2进项增值税率-运营成本'!$C9)</f>
        <v>0</v>
      </c>
      <c r="Q11" s="68">
        <f>E.1项目运营期费用!U10*'G.2进项增值税率-运营成本'!$C9/(1+'G.2进项增值税率-运营成本'!$C9)</f>
        <v>0</v>
      </c>
      <c r="R11" s="68">
        <f>E.1项目运营期费用!V10*'G.2进项增值税率-运营成本'!$C9/(1+'G.2进项增值税率-运营成本'!$C9)</f>
        <v>0</v>
      </c>
      <c r="S11" s="68">
        <f>E.1项目运营期费用!W10*'G.2进项增值税率-运营成本'!$C9/(1+'G.2进项增值税率-运营成本'!$C9)</f>
        <v>0</v>
      </c>
      <c r="T11" s="68">
        <f>E.1项目运营期费用!X10*'G.2进项增值税率-运营成本'!$C9/(1+'G.2进项增值税率-运营成本'!$C9)</f>
        <v>0</v>
      </c>
      <c r="U11" s="68">
        <f>E.1项目运营期费用!Y10*'G.2进项增值税率-运营成本'!$C9/(1+'G.2进项增值税率-运营成本'!$C9)</f>
        <v>0</v>
      </c>
      <c r="V11" s="68">
        <f>E.1项目运营期费用!Z10*'G.2进项增值税率-运营成本'!$C9/(1+'G.2进项增值税率-运营成本'!$C9)</f>
        <v>0</v>
      </c>
      <c r="W11" s="68">
        <f>E.1项目运营期费用!AA10*'G.2进项增值税率-运营成本'!$C9/(1+'G.2进项增值税率-运营成本'!$C9)</f>
        <v>0</v>
      </c>
      <c r="X11" s="68">
        <f>E.1项目运营期费用!AB10*'G.2进项增值税率-运营成本'!$C9/(1+'G.2进项增值税率-运营成本'!$C9)</f>
        <v>0</v>
      </c>
      <c r="Y11" s="68">
        <f>E.1项目运营期费用!AC10*'G.2进项增值税率-运营成本'!$C9/(1+'G.2进项增值税率-运营成本'!$C9)</f>
        <v>0</v>
      </c>
      <c r="Z11" s="68">
        <f>E.1项目运营期费用!AD10*'G.2进项增值税率-运营成本'!$C9/(1+'G.2进项增值税率-运营成本'!$C9)</f>
        <v>0</v>
      </c>
    </row>
    <row r="12" ht="16.5" customHeight="1" spans="1:26">
      <c r="A12" s="8"/>
      <c r="B12" s="67" t="str">
        <f>E.1项目运营期费用!C11</f>
        <v>网络通信费用</v>
      </c>
      <c r="C12" s="8"/>
      <c r="D12" s="68">
        <f>E.1项目运营期费用!H11*'G.2进项增值税率-运营成本'!$C10/(1+'G.2进项增值税率-运营成本'!$C10)</f>
        <v>0</v>
      </c>
      <c r="E12" s="68">
        <f>E.1项目运营期费用!I11*'G.2进项增值税率-运营成本'!$C10/(1+'G.2进项增值税率-运营成本'!$C10)</f>
        <v>0</v>
      </c>
      <c r="F12" s="68">
        <f>E.1项目运营期费用!J11*'G.2进项增值税率-运营成本'!$C10/(1+'G.2进项增值税率-运营成本'!$C10)</f>
        <v>0</v>
      </c>
      <c r="G12" s="68">
        <f>E.1项目运营期费用!K11*'G.2进项增值税率-运营成本'!$C10/(1+'G.2进项增值税率-运营成本'!$C10)</f>
        <v>0</v>
      </c>
      <c r="H12" s="68">
        <f>E.1项目运营期费用!L11*'G.2进项增值税率-运营成本'!$C10/(1+'G.2进项增值税率-运营成本'!$C10)</f>
        <v>0</v>
      </c>
      <c r="I12" s="68">
        <f>E.1项目运营期费用!M11*'G.2进项增值税率-运营成本'!$C10/(1+'G.2进项增值税率-运营成本'!$C10)</f>
        <v>0</v>
      </c>
      <c r="J12" s="68">
        <f>E.1项目运营期费用!N11*'G.2进项增值税率-运营成本'!$C10/(1+'G.2进项增值税率-运营成本'!$C10)</f>
        <v>0</v>
      </c>
      <c r="K12" s="68">
        <f>E.1项目运营期费用!O11*'G.2进项增值税率-运营成本'!$C10/(1+'G.2进项增值税率-运营成本'!$C10)</f>
        <v>0</v>
      </c>
      <c r="L12" s="68">
        <f>E.1项目运营期费用!P11*'G.2进项增值税率-运营成本'!$C10/(1+'G.2进项增值税率-运营成本'!$C10)</f>
        <v>0</v>
      </c>
      <c r="M12" s="68">
        <f>E.1项目运营期费用!Q11*'G.2进项增值税率-运营成本'!$C10/(1+'G.2进项增值税率-运营成本'!$C10)</f>
        <v>0</v>
      </c>
      <c r="N12" s="68">
        <f>E.1项目运营期费用!R11*'G.2进项增值税率-运营成本'!$C10/(1+'G.2进项增值税率-运营成本'!$C10)</f>
        <v>0</v>
      </c>
      <c r="O12" s="68">
        <f>E.1项目运营期费用!S11*'G.2进项增值税率-运营成本'!$C10/(1+'G.2进项增值税率-运营成本'!$C10)</f>
        <v>0</v>
      </c>
      <c r="P12" s="68">
        <f>E.1项目运营期费用!T11*'G.2进项增值税率-运营成本'!$C10/(1+'G.2进项增值税率-运营成本'!$C10)</f>
        <v>0</v>
      </c>
      <c r="Q12" s="68">
        <f>E.1项目运营期费用!U11*'G.2进项增值税率-运营成本'!$C10/(1+'G.2进项增值税率-运营成本'!$C10)</f>
        <v>0</v>
      </c>
      <c r="R12" s="68">
        <f>E.1项目运营期费用!V11*'G.2进项增值税率-运营成本'!$C10/(1+'G.2进项增值税率-运营成本'!$C10)</f>
        <v>0</v>
      </c>
      <c r="S12" s="68">
        <f>E.1项目运营期费用!W11*'G.2进项增值税率-运营成本'!$C10/(1+'G.2进项增值税率-运营成本'!$C10)</f>
        <v>0</v>
      </c>
      <c r="T12" s="68">
        <f>E.1项目运营期费用!X11*'G.2进项增值税率-运营成本'!$C10/(1+'G.2进项增值税率-运营成本'!$C10)</f>
        <v>0</v>
      </c>
      <c r="U12" s="68">
        <f>E.1项目运营期费用!Y11*'G.2进项增值税率-运营成本'!$C10/(1+'G.2进项增值税率-运营成本'!$C10)</f>
        <v>0</v>
      </c>
      <c r="V12" s="68">
        <f>E.1项目运营期费用!Z11*'G.2进项增值税率-运营成本'!$C10/(1+'G.2进项增值税率-运营成本'!$C10)</f>
        <v>0</v>
      </c>
      <c r="W12" s="68">
        <f>E.1项目运营期费用!AA11*'G.2进项增值税率-运营成本'!$C10/(1+'G.2进项增值税率-运营成本'!$C10)</f>
        <v>0</v>
      </c>
      <c r="X12" s="68">
        <f>E.1项目运营期费用!AB11*'G.2进项增值税率-运营成本'!$C10/(1+'G.2进项增值税率-运营成本'!$C10)</f>
        <v>0</v>
      </c>
      <c r="Y12" s="68">
        <f>E.1项目运营期费用!AC11*'G.2进项增值税率-运营成本'!$C10/(1+'G.2进项增值税率-运营成本'!$C10)</f>
        <v>0</v>
      </c>
      <c r="Z12" s="68">
        <f>E.1项目运营期费用!AD11*'G.2进项增值税率-运营成本'!$C10/(1+'G.2进项增值税率-运营成本'!$C10)</f>
        <v>0</v>
      </c>
    </row>
    <row r="13" ht="16.5" customHeight="1" spans="1:26">
      <c r="A13" s="8"/>
      <c r="B13" s="67" t="str">
        <f>E.1项目运营期费用!C12</f>
        <v>硬件设备维护</v>
      </c>
      <c r="C13" s="8"/>
      <c r="D13" s="68">
        <f>E.1项目运营期费用!H12*'G.2进项增值税率-运营成本'!$C11/(1+'G.2进项增值税率-运营成本'!$C11)</f>
        <v>0</v>
      </c>
      <c r="E13" s="68">
        <f>E.1项目运营期费用!I12*'G.2进项增值税率-运营成本'!$C11/(1+'G.2进项增值税率-运营成本'!$C11)</f>
        <v>0</v>
      </c>
      <c r="F13" s="68">
        <f>E.1项目运营期费用!J12*'G.2进项增值税率-运营成本'!$C11/(1+'G.2进项增值税率-运营成本'!$C11)</f>
        <v>0</v>
      </c>
      <c r="G13" s="68">
        <f>E.1项目运营期费用!K12*'G.2进项增值税率-运营成本'!$C11/(1+'G.2进项增值税率-运营成本'!$C11)</f>
        <v>0</v>
      </c>
      <c r="H13" s="68">
        <f>E.1项目运营期费用!L12*'G.2进项增值税率-运营成本'!$C11/(1+'G.2进项增值税率-运营成本'!$C11)</f>
        <v>0</v>
      </c>
      <c r="I13" s="68">
        <f>E.1项目运营期费用!M12*'G.2进项增值税率-运营成本'!$C11/(1+'G.2进项增值税率-运营成本'!$C11)</f>
        <v>0</v>
      </c>
      <c r="J13" s="68">
        <f>E.1项目运营期费用!N12*'G.2进项增值税率-运营成本'!$C11/(1+'G.2进项增值税率-运营成本'!$C11)</f>
        <v>0</v>
      </c>
      <c r="K13" s="68">
        <f>E.1项目运营期费用!O12*'G.2进项增值税率-运营成本'!$C11/(1+'G.2进项增值税率-运营成本'!$C11)</f>
        <v>0</v>
      </c>
      <c r="L13" s="68">
        <f>E.1项目运营期费用!P12*'G.2进项增值税率-运营成本'!$C11/(1+'G.2进项增值税率-运营成本'!$C11)</f>
        <v>0</v>
      </c>
      <c r="M13" s="68">
        <f>E.1项目运营期费用!Q12*'G.2进项增值税率-运营成本'!$C11/(1+'G.2进项增值税率-运营成本'!$C11)</f>
        <v>0</v>
      </c>
      <c r="N13" s="68">
        <f>E.1项目运营期费用!R12*'G.2进项增值税率-运营成本'!$C11/(1+'G.2进项增值税率-运营成本'!$C11)</f>
        <v>0</v>
      </c>
      <c r="O13" s="68">
        <f>E.1项目运营期费用!S12*'G.2进项增值税率-运营成本'!$C11/(1+'G.2进项增值税率-运营成本'!$C11)</f>
        <v>0</v>
      </c>
      <c r="P13" s="68">
        <f>E.1项目运营期费用!T12*'G.2进项增值税率-运营成本'!$C11/(1+'G.2进项增值税率-运营成本'!$C11)</f>
        <v>0</v>
      </c>
      <c r="Q13" s="68">
        <f>E.1项目运营期费用!U12*'G.2进项增值税率-运营成本'!$C11/(1+'G.2进项增值税率-运营成本'!$C11)</f>
        <v>0</v>
      </c>
      <c r="R13" s="68">
        <f>E.1项目运营期费用!V12*'G.2进项增值税率-运营成本'!$C11/(1+'G.2进项增值税率-运营成本'!$C11)</f>
        <v>0</v>
      </c>
      <c r="S13" s="68">
        <f>E.1项目运营期费用!W12*'G.2进项增值税率-运营成本'!$C11/(1+'G.2进项增值税率-运营成本'!$C11)</f>
        <v>0</v>
      </c>
      <c r="T13" s="68">
        <f>E.1项目运营期费用!X12*'G.2进项增值税率-运营成本'!$C11/(1+'G.2进项增值税率-运营成本'!$C11)</f>
        <v>0</v>
      </c>
      <c r="U13" s="68">
        <f>E.1项目运营期费用!Y12*'G.2进项增值税率-运营成本'!$C11/(1+'G.2进项增值税率-运营成本'!$C11)</f>
        <v>0</v>
      </c>
      <c r="V13" s="68">
        <f>E.1项目运营期费用!Z12*'G.2进项增值税率-运营成本'!$C11/(1+'G.2进项增值税率-运营成本'!$C11)</f>
        <v>0</v>
      </c>
      <c r="W13" s="68">
        <f>E.1项目运营期费用!AA12*'G.2进项增值税率-运营成本'!$C11/(1+'G.2进项增值税率-运营成本'!$C11)</f>
        <v>0</v>
      </c>
      <c r="X13" s="68">
        <f>E.1项目运营期费用!AB12*'G.2进项增值税率-运营成本'!$C11/(1+'G.2进项增值税率-运营成本'!$C11)</f>
        <v>0</v>
      </c>
      <c r="Y13" s="68">
        <f>E.1项目运营期费用!AC12*'G.2进项增值税率-运营成本'!$C11/(1+'G.2进项增值税率-运营成本'!$C11)</f>
        <v>0</v>
      </c>
      <c r="Z13" s="68">
        <f>E.1项目运营期费用!AD12*'G.2进项增值税率-运营成本'!$C11/(1+'G.2进项增值税率-运营成本'!$C11)</f>
        <v>0</v>
      </c>
    </row>
    <row r="14" ht="16.5" customHeight="1" spans="1:26">
      <c r="A14" s="8"/>
      <c r="B14" s="67" t="str">
        <f>E.1项目运营期费用!C13</f>
        <v>备品备件储备</v>
      </c>
      <c r="C14" s="8"/>
      <c r="D14" s="68">
        <f>E.1项目运营期费用!H13*'G.2进项增值税率-运营成本'!$C12/(1+'G.2进项增值税率-运营成本'!$C12)</f>
        <v>0</v>
      </c>
      <c r="E14" s="68">
        <f>E.1项目运营期费用!I13*'G.2进项增值税率-运营成本'!$C12/(1+'G.2进项增值税率-运营成本'!$C12)</f>
        <v>0</v>
      </c>
      <c r="F14" s="68">
        <f>E.1项目运营期费用!J13*'G.2进项增值税率-运营成本'!$C12/(1+'G.2进项增值税率-运营成本'!$C12)</f>
        <v>0</v>
      </c>
      <c r="G14" s="68">
        <f>E.1项目运营期费用!K13*'G.2进项增值税率-运营成本'!$C12/(1+'G.2进项增值税率-运营成本'!$C12)</f>
        <v>0</v>
      </c>
      <c r="H14" s="68">
        <f>E.1项目运营期费用!L13*'G.2进项增值税率-运营成本'!$C12/(1+'G.2进项增值税率-运营成本'!$C12)</f>
        <v>0</v>
      </c>
      <c r="I14" s="68">
        <f>E.1项目运营期费用!M13*'G.2进项增值税率-运营成本'!$C12/(1+'G.2进项增值税率-运营成本'!$C12)</f>
        <v>0</v>
      </c>
      <c r="J14" s="68">
        <f>E.1项目运营期费用!N13*'G.2进项增值税率-运营成本'!$C12/(1+'G.2进项增值税率-运营成本'!$C12)</f>
        <v>0</v>
      </c>
      <c r="K14" s="68">
        <f>E.1项目运营期费用!O13*'G.2进项增值税率-运营成本'!$C12/(1+'G.2进项增值税率-运营成本'!$C12)</f>
        <v>0</v>
      </c>
      <c r="L14" s="68">
        <f>E.1项目运营期费用!P13*'G.2进项增值税率-运营成本'!$C12/(1+'G.2进项增值税率-运营成本'!$C12)</f>
        <v>0</v>
      </c>
      <c r="M14" s="68">
        <f>E.1项目运营期费用!Q13*'G.2进项增值税率-运营成本'!$C12/(1+'G.2进项增值税率-运营成本'!$C12)</f>
        <v>0</v>
      </c>
      <c r="N14" s="68">
        <f>E.1项目运营期费用!R13*'G.2进项增值税率-运营成本'!$C12/(1+'G.2进项增值税率-运营成本'!$C12)</f>
        <v>0</v>
      </c>
      <c r="O14" s="68">
        <f>E.1项目运营期费用!S13*'G.2进项增值税率-运营成本'!$C12/(1+'G.2进项增值税率-运营成本'!$C12)</f>
        <v>0</v>
      </c>
      <c r="P14" s="68">
        <f>E.1项目运营期费用!T13*'G.2进项增值税率-运营成本'!$C12/(1+'G.2进项增值税率-运营成本'!$C12)</f>
        <v>0</v>
      </c>
      <c r="Q14" s="68">
        <f>E.1项目运营期费用!U13*'G.2进项增值税率-运营成本'!$C12/(1+'G.2进项增值税率-运营成本'!$C12)</f>
        <v>0</v>
      </c>
      <c r="R14" s="68">
        <f>E.1项目运营期费用!V13*'G.2进项增值税率-运营成本'!$C12/(1+'G.2进项增值税率-运营成本'!$C12)</f>
        <v>0</v>
      </c>
      <c r="S14" s="68">
        <f>E.1项目运营期费用!W13*'G.2进项增值税率-运营成本'!$C12/(1+'G.2进项增值税率-运营成本'!$C12)</f>
        <v>0</v>
      </c>
      <c r="T14" s="68">
        <f>E.1项目运营期费用!X13*'G.2进项增值税率-运营成本'!$C12/(1+'G.2进项增值税率-运营成本'!$C12)</f>
        <v>0</v>
      </c>
      <c r="U14" s="68">
        <f>E.1项目运营期费用!Y13*'G.2进项增值税率-运营成本'!$C12/(1+'G.2进项增值税率-运营成本'!$C12)</f>
        <v>0</v>
      </c>
      <c r="V14" s="68">
        <f>E.1项目运营期费用!Z13*'G.2进项增值税率-运营成本'!$C12/(1+'G.2进项增值税率-运营成本'!$C12)</f>
        <v>0</v>
      </c>
      <c r="W14" s="68">
        <f>E.1项目运营期费用!AA13*'G.2进项增值税率-运营成本'!$C12/(1+'G.2进项增值税率-运营成本'!$C12)</f>
        <v>0</v>
      </c>
      <c r="X14" s="68">
        <f>E.1项目运营期费用!AB13*'G.2进项增值税率-运营成本'!$C12/(1+'G.2进项增值税率-运营成本'!$C12)</f>
        <v>0</v>
      </c>
      <c r="Y14" s="68">
        <f>E.1项目运营期费用!AC13*'G.2进项增值税率-运营成本'!$C12/(1+'G.2进项增值税率-运营成本'!$C12)</f>
        <v>0</v>
      </c>
      <c r="Z14" s="68">
        <f>E.1项目运营期费用!AD13*'G.2进项增值税率-运营成本'!$C12/(1+'G.2进项增值税率-运营成本'!$C12)</f>
        <v>0</v>
      </c>
    </row>
    <row r="15" ht="16.5" customHeight="1" spans="1:26">
      <c r="A15" s="8"/>
      <c r="B15" s="67" t="str">
        <f>E.1项目运营期费用!C14</f>
        <v>软件维护</v>
      </c>
      <c r="C15" s="8"/>
      <c r="D15" s="68">
        <f>E.1项目运营期费用!H14*'G.2进项增值税率-运营成本'!$C13/(1+'G.2进项增值税率-运营成本'!$C13)</f>
        <v>0</v>
      </c>
      <c r="E15" s="68">
        <f>E.1项目运营期费用!I14*'G.2进项增值税率-运营成本'!$C13/(1+'G.2进项增值税率-运营成本'!$C13)</f>
        <v>0</v>
      </c>
      <c r="F15" s="68">
        <f>E.1项目运营期费用!J14*'G.2进项增值税率-运营成本'!$C13/(1+'G.2进项增值税率-运营成本'!$C13)</f>
        <v>0</v>
      </c>
      <c r="G15" s="68">
        <f>E.1项目运营期费用!K14*'G.2进项增值税率-运营成本'!$C13/(1+'G.2进项增值税率-运营成本'!$C13)</f>
        <v>0</v>
      </c>
      <c r="H15" s="68">
        <f>E.1项目运营期费用!L14*'G.2进项增值税率-运营成本'!$C13/(1+'G.2进项增值税率-运营成本'!$C13)</f>
        <v>0</v>
      </c>
      <c r="I15" s="68">
        <f>E.1项目运营期费用!M14*'G.2进项增值税率-运营成本'!$C13/(1+'G.2进项增值税率-运营成本'!$C13)</f>
        <v>0</v>
      </c>
      <c r="J15" s="68">
        <f>E.1项目运营期费用!N14*'G.2进项增值税率-运营成本'!$C13/(1+'G.2进项增值税率-运营成本'!$C13)</f>
        <v>0</v>
      </c>
      <c r="K15" s="68">
        <f>E.1项目运营期费用!O14*'G.2进项增值税率-运营成本'!$C13/(1+'G.2进项增值税率-运营成本'!$C13)</f>
        <v>0</v>
      </c>
      <c r="L15" s="68">
        <f>E.1项目运营期费用!P14*'G.2进项增值税率-运营成本'!$C13/(1+'G.2进项增值税率-运营成本'!$C13)</f>
        <v>0</v>
      </c>
      <c r="M15" s="68">
        <f>E.1项目运营期费用!Q14*'G.2进项增值税率-运营成本'!$C13/(1+'G.2进项增值税率-运营成本'!$C13)</f>
        <v>0</v>
      </c>
      <c r="N15" s="68">
        <f>E.1项目运营期费用!R14*'G.2进项增值税率-运营成本'!$C13/(1+'G.2进项增值税率-运营成本'!$C13)</f>
        <v>0</v>
      </c>
      <c r="O15" s="68">
        <f>E.1项目运营期费用!S14*'G.2进项增值税率-运营成本'!$C13/(1+'G.2进项增值税率-运营成本'!$C13)</f>
        <v>0</v>
      </c>
      <c r="P15" s="68">
        <f>E.1项目运营期费用!T14*'G.2进项增值税率-运营成本'!$C13/(1+'G.2进项增值税率-运营成本'!$C13)</f>
        <v>0</v>
      </c>
      <c r="Q15" s="68">
        <f>E.1项目运营期费用!U14*'G.2进项增值税率-运营成本'!$C13/(1+'G.2进项增值税率-运营成本'!$C13)</f>
        <v>0</v>
      </c>
      <c r="R15" s="68">
        <f>E.1项目运营期费用!V14*'G.2进项增值税率-运营成本'!$C13/(1+'G.2进项增值税率-运营成本'!$C13)</f>
        <v>0</v>
      </c>
      <c r="S15" s="68">
        <f>E.1项目运营期费用!W14*'G.2进项增值税率-运营成本'!$C13/(1+'G.2进项增值税率-运营成本'!$C13)</f>
        <v>0</v>
      </c>
      <c r="T15" s="68">
        <f>E.1项目运营期费用!X14*'G.2进项增值税率-运营成本'!$C13/(1+'G.2进项增值税率-运营成本'!$C13)</f>
        <v>0</v>
      </c>
      <c r="U15" s="68">
        <f>E.1项目运营期费用!Y14*'G.2进项增值税率-运营成本'!$C13/(1+'G.2进项增值税率-运营成本'!$C13)</f>
        <v>0</v>
      </c>
      <c r="V15" s="68">
        <f>E.1项目运营期费用!Z14*'G.2进项增值税率-运营成本'!$C13/(1+'G.2进项增值税率-运营成本'!$C13)</f>
        <v>0</v>
      </c>
      <c r="W15" s="68">
        <f>E.1项目运营期费用!AA14*'G.2进项增值税率-运营成本'!$C13/(1+'G.2进项增值税率-运营成本'!$C13)</f>
        <v>0</v>
      </c>
      <c r="X15" s="68">
        <f>E.1项目运营期费用!AB14*'G.2进项增值税率-运营成本'!$C13/(1+'G.2进项增值税率-运营成本'!$C13)</f>
        <v>0</v>
      </c>
      <c r="Y15" s="68">
        <f>E.1项目运营期费用!AC14*'G.2进项增值税率-运营成本'!$C13/(1+'G.2进项增值税率-运营成本'!$C13)</f>
        <v>0</v>
      </c>
      <c r="Z15" s="68">
        <f>E.1项目运营期费用!AD14*'G.2进项增值税率-运营成本'!$C13/(1+'G.2进项增值税率-运营成本'!$C13)</f>
        <v>0</v>
      </c>
    </row>
    <row r="16" ht="16.5" customHeight="1" spans="1:26">
      <c r="A16" s="8"/>
      <c r="B16" s="67" t="str">
        <f>E.1项目运营期费用!C15</f>
        <v>营销及活动</v>
      </c>
      <c r="C16" s="8"/>
      <c r="D16" s="68">
        <f>E.1项目运营期费用!H15*'G.2进项增值税率-运营成本'!$C14/(1+'G.2进项增值税率-运营成本'!$C14)</f>
        <v>0</v>
      </c>
      <c r="E16" s="68">
        <f>E.1项目运营期费用!I15*'G.2进项增值税率-运营成本'!$C14/(1+'G.2进项增值税率-运营成本'!$C14)</f>
        <v>0</v>
      </c>
      <c r="F16" s="68">
        <f>E.1项目运营期费用!J15*'G.2进项增值税率-运营成本'!$C14/(1+'G.2进项增值税率-运营成本'!$C14)</f>
        <v>0</v>
      </c>
      <c r="G16" s="68">
        <f>E.1项目运营期费用!K15*'G.2进项增值税率-运营成本'!$C14/(1+'G.2进项增值税率-运营成本'!$C14)</f>
        <v>0</v>
      </c>
      <c r="H16" s="68">
        <f>E.1项目运营期费用!L15*'G.2进项增值税率-运营成本'!$C14/(1+'G.2进项增值税率-运营成本'!$C14)</f>
        <v>0</v>
      </c>
      <c r="I16" s="68">
        <f>E.1项目运营期费用!M15*'G.2进项增值税率-运营成本'!$C14/(1+'G.2进项增值税率-运营成本'!$C14)</f>
        <v>0</v>
      </c>
      <c r="J16" s="68">
        <f>E.1项目运营期费用!N15*'G.2进项增值税率-运营成本'!$C14/(1+'G.2进项增值税率-运营成本'!$C14)</f>
        <v>0</v>
      </c>
      <c r="K16" s="68">
        <f>E.1项目运营期费用!O15*'G.2进项增值税率-运营成本'!$C14/(1+'G.2进项增值税率-运营成本'!$C14)</f>
        <v>0</v>
      </c>
      <c r="L16" s="68">
        <f>E.1项目运营期费用!P15*'G.2进项增值税率-运营成本'!$C14/(1+'G.2进项增值税率-运营成本'!$C14)</f>
        <v>0</v>
      </c>
      <c r="M16" s="68">
        <f>E.1项目运营期费用!Q15*'G.2进项增值税率-运营成本'!$C14/(1+'G.2进项增值税率-运营成本'!$C14)</f>
        <v>0</v>
      </c>
      <c r="N16" s="68">
        <f>E.1项目运营期费用!R15*'G.2进项增值税率-运营成本'!$C14/(1+'G.2进项增值税率-运营成本'!$C14)</f>
        <v>0</v>
      </c>
      <c r="O16" s="68">
        <f>E.1项目运营期费用!S15*'G.2进项增值税率-运营成本'!$C14/(1+'G.2进项增值税率-运营成本'!$C14)</f>
        <v>0</v>
      </c>
      <c r="P16" s="68">
        <f>E.1项目运营期费用!T15*'G.2进项增值税率-运营成本'!$C14/(1+'G.2进项增值税率-运营成本'!$C14)</f>
        <v>0</v>
      </c>
      <c r="Q16" s="68">
        <f>E.1项目运营期费用!U15*'G.2进项增值税率-运营成本'!$C14/(1+'G.2进项增值税率-运营成本'!$C14)</f>
        <v>0</v>
      </c>
      <c r="R16" s="68">
        <f>E.1项目运营期费用!V15*'G.2进项增值税率-运营成本'!$C14/(1+'G.2进项增值税率-运营成本'!$C14)</f>
        <v>0</v>
      </c>
      <c r="S16" s="68">
        <f>E.1项目运营期费用!W15*'G.2进项增值税率-运营成本'!$C14/(1+'G.2进项增值税率-运营成本'!$C14)</f>
        <v>0</v>
      </c>
      <c r="T16" s="68">
        <f>E.1项目运营期费用!X15*'G.2进项增值税率-运营成本'!$C14/(1+'G.2进项增值税率-运营成本'!$C14)</f>
        <v>0</v>
      </c>
      <c r="U16" s="68">
        <f>E.1项目运营期费用!Y15*'G.2进项增值税率-运营成本'!$C14/(1+'G.2进项增值税率-运营成本'!$C14)</f>
        <v>0</v>
      </c>
      <c r="V16" s="68">
        <f>E.1项目运营期费用!Z15*'G.2进项增值税率-运营成本'!$C14/(1+'G.2进项增值税率-运营成本'!$C14)</f>
        <v>0</v>
      </c>
      <c r="W16" s="68">
        <f>E.1项目运营期费用!AA15*'G.2进项增值税率-运营成本'!$C14/(1+'G.2进项增值税率-运营成本'!$C14)</f>
        <v>0</v>
      </c>
      <c r="X16" s="68">
        <f>E.1项目运营期费用!AB15*'G.2进项增值税率-运营成本'!$C14/(1+'G.2进项增值税率-运营成本'!$C14)</f>
        <v>0</v>
      </c>
      <c r="Y16" s="68">
        <f>E.1项目运营期费用!AC15*'G.2进项增值税率-运营成本'!$C14/(1+'G.2进项增值税率-运营成本'!$C14)</f>
        <v>0</v>
      </c>
      <c r="Z16" s="68">
        <f>E.1项目运营期费用!AD15*'G.2进项增值税率-运营成本'!$C14/(1+'G.2进项增值税率-运营成本'!$C14)</f>
        <v>0</v>
      </c>
    </row>
    <row r="17" ht="16.5" customHeight="1" spans="1:26">
      <c r="A17" s="8"/>
      <c r="B17" s="67" t="str">
        <f>E.1项目运营期费用!C16</f>
        <v>人员薪酬</v>
      </c>
      <c r="C17" s="8"/>
      <c r="D17" s="68">
        <f>E.1项目运营期费用!H16*'G.2进项增值税率-运营成本'!$C15/(1+'G.2进项增值税率-运营成本'!$C15)</f>
        <v>0</v>
      </c>
      <c r="E17" s="68">
        <f>E.1项目运营期费用!I16*'G.2进项增值税率-运营成本'!$C15/(1+'G.2进项增值税率-运营成本'!$C15)</f>
        <v>0</v>
      </c>
      <c r="F17" s="68">
        <f>E.1项目运营期费用!J16*'G.2进项增值税率-运营成本'!$C15/(1+'G.2进项增值税率-运营成本'!$C15)</f>
        <v>0</v>
      </c>
      <c r="G17" s="68">
        <f>E.1项目运营期费用!K16*'G.2进项增值税率-运营成本'!$C15/(1+'G.2进项增值税率-运营成本'!$C15)</f>
        <v>0</v>
      </c>
      <c r="H17" s="68">
        <f>E.1项目运营期费用!L16*'G.2进项增值税率-运营成本'!$C15/(1+'G.2进项增值税率-运营成本'!$C15)</f>
        <v>0</v>
      </c>
      <c r="I17" s="68">
        <f>E.1项目运营期费用!M16*'G.2进项增值税率-运营成本'!$C15/(1+'G.2进项增值税率-运营成本'!$C15)</f>
        <v>0</v>
      </c>
      <c r="J17" s="68">
        <f>E.1项目运营期费用!N16*'G.2进项增值税率-运营成本'!$C15/(1+'G.2进项增值税率-运营成本'!$C15)</f>
        <v>0</v>
      </c>
      <c r="K17" s="68">
        <f>E.1项目运营期费用!O16*'G.2进项增值税率-运营成本'!$C15/(1+'G.2进项增值税率-运营成本'!$C15)</f>
        <v>0</v>
      </c>
      <c r="L17" s="68">
        <f>E.1项目运营期费用!P16*'G.2进项增值税率-运营成本'!$C15/(1+'G.2进项增值税率-运营成本'!$C15)</f>
        <v>0</v>
      </c>
      <c r="M17" s="68">
        <f>E.1项目运营期费用!Q16*'G.2进项增值税率-运营成本'!$C15/(1+'G.2进项增值税率-运营成本'!$C15)</f>
        <v>0</v>
      </c>
      <c r="N17" s="68">
        <f>E.1项目运营期费用!R16*'G.2进项增值税率-运营成本'!$C15/(1+'G.2进项增值税率-运营成本'!$C15)</f>
        <v>0</v>
      </c>
      <c r="O17" s="68">
        <f>E.1项目运营期费用!S16*'G.2进项增值税率-运营成本'!$C15/(1+'G.2进项增值税率-运营成本'!$C15)</f>
        <v>0</v>
      </c>
      <c r="P17" s="68">
        <f>E.1项目运营期费用!T16*'G.2进项增值税率-运营成本'!$C15/(1+'G.2进项增值税率-运营成本'!$C15)</f>
        <v>0</v>
      </c>
      <c r="Q17" s="68">
        <f>E.1项目运营期费用!U16*'G.2进项增值税率-运营成本'!$C15/(1+'G.2进项增值税率-运营成本'!$C15)</f>
        <v>0</v>
      </c>
      <c r="R17" s="68">
        <f>E.1项目运营期费用!V16*'G.2进项增值税率-运营成本'!$C15/(1+'G.2进项增值税率-运营成本'!$C15)</f>
        <v>0</v>
      </c>
      <c r="S17" s="68">
        <f>E.1项目运营期费用!W16*'G.2进项增值税率-运营成本'!$C15/(1+'G.2进项增值税率-运营成本'!$C15)</f>
        <v>0</v>
      </c>
      <c r="T17" s="68">
        <f>E.1项目运营期费用!X16*'G.2进项增值税率-运营成本'!$C15/(1+'G.2进项增值税率-运营成本'!$C15)</f>
        <v>0</v>
      </c>
      <c r="U17" s="68">
        <f>E.1项目运营期费用!Y16*'G.2进项增值税率-运营成本'!$C15/(1+'G.2进项增值税率-运营成本'!$C15)</f>
        <v>0</v>
      </c>
      <c r="V17" s="68">
        <f>E.1项目运营期费用!Z16*'G.2进项增值税率-运营成本'!$C15/(1+'G.2进项增值税率-运营成本'!$C15)</f>
        <v>0</v>
      </c>
      <c r="W17" s="68">
        <f>E.1项目运营期费用!AA16*'G.2进项增值税率-运营成本'!$C15/(1+'G.2进项增值税率-运营成本'!$C15)</f>
        <v>0</v>
      </c>
      <c r="X17" s="68">
        <f>E.1项目运营期费用!AB16*'G.2进项增值税率-运营成本'!$C15/(1+'G.2进项增值税率-运营成本'!$C15)</f>
        <v>0</v>
      </c>
      <c r="Y17" s="68">
        <f>E.1项目运营期费用!AC16*'G.2进项增值税率-运营成本'!$C15/(1+'G.2进项增值税率-运营成本'!$C15)</f>
        <v>0</v>
      </c>
      <c r="Z17" s="68">
        <f>E.1项目运营期费用!AD16*'G.2进项增值税率-运营成本'!$C15/(1+'G.2进项增值税率-运营成本'!$C15)</f>
        <v>0</v>
      </c>
    </row>
    <row r="18" ht="16.5" customHeight="1" spans="1:26">
      <c r="A18" s="8"/>
      <c r="B18" s="67" t="str">
        <f>E.1项目运营期费用!C17</f>
        <v>培训与资质认证</v>
      </c>
      <c r="C18" s="8"/>
      <c r="D18" s="68">
        <f>E.1项目运营期费用!H17*'G.2进项增值税率-运营成本'!$C16/(1+'G.2进项增值税率-运营成本'!$C16)</f>
        <v>0</v>
      </c>
      <c r="E18" s="68">
        <f>E.1项目运营期费用!I17*'G.2进项增值税率-运营成本'!$C16/(1+'G.2进项增值税率-运营成本'!$C16)</f>
        <v>0</v>
      </c>
      <c r="F18" s="68">
        <f>E.1项目运营期费用!J17*'G.2进项增值税率-运营成本'!$C16/(1+'G.2进项增值税率-运营成本'!$C16)</f>
        <v>0</v>
      </c>
      <c r="G18" s="68">
        <f>E.1项目运营期费用!K17*'G.2进项增值税率-运营成本'!$C16/(1+'G.2进项增值税率-运营成本'!$C16)</f>
        <v>0</v>
      </c>
      <c r="H18" s="68">
        <f>E.1项目运营期费用!L17*'G.2进项增值税率-运营成本'!$C16/(1+'G.2进项增值税率-运营成本'!$C16)</f>
        <v>0</v>
      </c>
      <c r="I18" s="68">
        <f>E.1项目运营期费用!M17*'G.2进项增值税率-运营成本'!$C16/(1+'G.2进项增值税率-运营成本'!$C16)</f>
        <v>0</v>
      </c>
      <c r="J18" s="68">
        <f>E.1项目运营期费用!N17*'G.2进项增值税率-运营成本'!$C16/(1+'G.2进项增值税率-运营成本'!$C16)</f>
        <v>0</v>
      </c>
      <c r="K18" s="68">
        <f>E.1项目运营期费用!O17*'G.2进项增值税率-运营成本'!$C16/(1+'G.2进项增值税率-运营成本'!$C16)</f>
        <v>0</v>
      </c>
      <c r="L18" s="68">
        <f>E.1项目运营期费用!P17*'G.2进项增值税率-运营成本'!$C16/(1+'G.2进项增值税率-运营成本'!$C16)</f>
        <v>0</v>
      </c>
      <c r="M18" s="68">
        <f>E.1项目运营期费用!Q17*'G.2进项增值税率-运营成本'!$C16/(1+'G.2进项增值税率-运营成本'!$C16)</f>
        <v>0</v>
      </c>
      <c r="N18" s="68">
        <f>E.1项目运营期费用!R17*'G.2进项增值税率-运营成本'!$C16/(1+'G.2进项增值税率-运营成本'!$C16)</f>
        <v>0</v>
      </c>
      <c r="O18" s="68">
        <f>E.1项目运营期费用!S17*'G.2进项增值税率-运营成本'!$C16/(1+'G.2进项增值税率-运营成本'!$C16)</f>
        <v>0</v>
      </c>
      <c r="P18" s="68">
        <f>E.1项目运营期费用!T17*'G.2进项增值税率-运营成本'!$C16/(1+'G.2进项增值税率-运营成本'!$C16)</f>
        <v>0</v>
      </c>
      <c r="Q18" s="68">
        <f>E.1项目运营期费用!U17*'G.2进项增值税率-运营成本'!$C16/(1+'G.2进项增值税率-运营成本'!$C16)</f>
        <v>0</v>
      </c>
      <c r="R18" s="68">
        <f>E.1项目运营期费用!V17*'G.2进项增值税率-运营成本'!$C16/(1+'G.2进项增值税率-运营成本'!$C16)</f>
        <v>0</v>
      </c>
      <c r="S18" s="68">
        <f>E.1项目运营期费用!W17*'G.2进项增值税率-运营成本'!$C16/(1+'G.2进项增值税率-运营成本'!$C16)</f>
        <v>0</v>
      </c>
      <c r="T18" s="68">
        <f>E.1项目运营期费用!X17*'G.2进项增值税率-运营成本'!$C16/(1+'G.2进项增值税率-运营成本'!$C16)</f>
        <v>0</v>
      </c>
      <c r="U18" s="68">
        <f>E.1项目运营期费用!Y17*'G.2进项增值税率-运营成本'!$C16/(1+'G.2进项增值税率-运营成本'!$C16)</f>
        <v>0</v>
      </c>
      <c r="V18" s="68">
        <f>E.1项目运营期费用!Z17*'G.2进项增值税率-运营成本'!$C16/(1+'G.2进项增值税率-运营成本'!$C16)</f>
        <v>0</v>
      </c>
      <c r="W18" s="68">
        <f>E.1项目运营期费用!AA17*'G.2进项增值税率-运营成本'!$C16/(1+'G.2进项增值税率-运营成本'!$C16)</f>
        <v>0</v>
      </c>
      <c r="X18" s="68">
        <f>E.1项目运营期费用!AB17*'G.2进项增值税率-运营成本'!$C16/(1+'G.2进项增值税率-运营成本'!$C16)</f>
        <v>0</v>
      </c>
      <c r="Y18" s="68">
        <f>E.1项目运营期费用!AC17*'G.2进项增值税率-运营成本'!$C16/(1+'G.2进项增值税率-运营成本'!$C16)</f>
        <v>0</v>
      </c>
      <c r="Z18" s="68">
        <f>E.1项目运营期费用!AD17*'G.2进项增值税率-运营成本'!$C16/(1+'G.2进项增值税率-运营成本'!$C16)</f>
        <v>0</v>
      </c>
    </row>
    <row r="19" ht="16.5" customHeight="1" spans="1:26">
      <c r="A19" s="8"/>
      <c r="B19" s="67" t="str">
        <f>E.1项目运营期费用!C18</f>
        <v>办公与行政支出</v>
      </c>
      <c r="C19" s="8"/>
      <c r="D19" s="68">
        <f>E.1项目运营期费用!H18*'G.2进项增值税率-运营成本'!$C17/(1+'G.2进项增值税率-运营成本'!$C17)</f>
        <v>0</v>
      </c>
      <c r="E19" s="68">
        <f>E.1项目运营期费用!I18*'G.2进项增值税率-运营成本'!$C17/(1+'G.2进项增值税率-运营成本'!$C17)</f>
        <v>0</v>
      </c>
      <c r="F19" s="68">
        <f>E.1项目运营期费用!J18*'G.2进项增值税率-运营成本'!$C17/(1+'G.2进项增值税率-运营成本'!$C17)</f>
        <v>0</v>
      </c>
      <c r="G19" s="68">
        <f>E.1项目运营期费用!K18*'G.2进项增值税率-运营成本'!$C17/(1+'G.2进项增值税率-运营成本'!$C17)</f>
        <v>0</v>
      </c>
      <c r="H19" s="68">
        <f>E.1项目运营期费用!L18*'G.2进项增值税率-运营成本'!$C17/(1+'G.2进项增值税率-运营成本'!$C17)</f>
        <v>0</v>
      </c>
      <c r="I19" s="68">
        <f>E.1项目运营期费用!M18*'G.2进项增值税率-运营成本'!$C17/(1+'G.2进项增值税率-运营成本'!$C17)</f>
        <v>0</v>
      </c>
      <c r="J19" s="68">
        <f>E.1项目运营期费用!N18*'G.2进项增值税率-运营成本'!$C17/(1+'G.2进项增值税率-运营成本'!$C17)</f>
        <v>0</v>
      </c>
      <c r="K19" s="68">
        <f>E.1项目运营期费用!O18*'G.2进项增值税率-运营成本'!$C17/(1+'G.2进项增值税率-运营成本'!$C17)</f>
        <v>0</v>
      </c>
      <c r="L19" s="68">
        <f>E.1项目运营期费用!P18*'G.2进项增值税率-运营成本'!$C17/(1+'G.2进项增值税率-运营成本'!$C17)</f>
        <v>0</v>
      </c>
      <c r="M19" s="68">
        <f>E.1项目运营期费用!Q18*'G.2进项增值税率-运营成本'!$C17/(1+'G.2进项增值税率-运营成本'!$C17)</f>
        <v>0</v>
      </c>
      <c r="N19" s="68">
        <f>E.1项目运营期费用!R18*'G.2进项增值税率-运营成本'!$C17/(1+'G.2进项增值税率-运营成本'!$C17)</f>
        <v>0</v>
      </c>
      <c r="O19" s="68">
        <f>E.1项目运营期费用!S18*'G.2进项增值税率-运营成本'!$C17/(1+'G.2进项增值税率-运营成本'!$C17)</f>
        <v>0</v>
      </c>
      <c r="P19" s="68">
        <f>E.1项目运营期费用!T18*'G.2进项增值税率-运营成本'!$C17/(1+'G.2进项增值税率-运营成本'!$C17)</f>
        <v>0</v>
      </c>
      <c r="Q19" s="68">
        <f>E.1项目运营期费用!U18*'G.2进项增值税率-运营成本'!$C17/(1+'G.2进项增值税率-运营成本'!$C17)</f>
        <v>0</v>
      </c>
      <c r="R19" s="68">
        <f>E.1项目运营期费用!V18*'G.2进项增值税率-运营成本'!$C17/(1+'G.2进项增值税率-运营成本'!$C17)</f>
        <v>0</v>
      </c>
      <c r="S19" s="68">
        <f>E.1项目运营期费用!W18*'G.2进项增值税率-运营成本'!$C17/(1+'G.2进项增值税率-运营成本'!$C17)</f>
        <v>0</v>
      </c>
      <c r="T19" s="68">
        <f>E.1项目运营期费用!X18*'G.2进项增值税率-运营成本'!$C17/(1+'G.2进项增值税率-运营成本'!$C17)</f>
        <v>0</v>
      </c>
      <c r="U19" s="68">
        <f>E.1项目运营期费用!Y18*'G.2进项增值税率-运营成本'!$C17/(1+'G.2进项增值税率-运营成本'!$C17)</f>
        <v>0</v>
      </c>
      <c r="V19" s="68">
        <f>E.1项目运营期费用!Z18*'G.2进项增值税率-运营成本'!$C17/(1+'G.2进项增值税率-运营成本'!$C17)</f>
        <v>0</v>
      </c>
      <c r="W19" s="68">
        <f>E.1项目运营期费用!AA18*'G.2进项增值税率-运营成本'!$C17/(1+'G.2进项增值税率-运营成本'!$C17)</f>
        <v>0</v>
      </c>
      <c r="X19" s="68">
        <f>E.1项目运营期费用!AB18*'G.2进项增值税率-运营成本'!$C17/(1+'G.2进项增值税率-运营成本'!$C17)</f>
        <v>0</v>
      </c>
      <c r="Y19" s="68">
        <f>E.1项目运营期费用!AC18*'G.2进项增值税率-运营成本'!$C17/(1+'G.2进项增值税率-运营成本'!$C17)</f>
        <v>0</v>
      </c>
      <c r="Z19" s="68">
        <f>E.1项目运营期费用!AD18*'G.2进项增值税率-运营成本'!$C17/(1+'G.2进项增值税率-运营成本'!$C17)</f>
        <v>0</v>
      </c>
    </row>
    <row r="20" ht="16.5" customHeight="1" spans="1:26">
      <c r="A20" s="8"/>
      <c r="B20" s="67" t="str">
        <f>E.1项目运营期费用!C19</f>
        <v>空域使用审批费</v>
      </c>
      <c r="C20" s="8"/>
      <c r="D20" s="68">
        <f>E.1项目运营期费用!H19*'G.2进项增值税率-运营成本'!$C18/(1+'G.2进项增值税率-运营成本'!$C18)</f>
        <v>0</v>
      </c>
      <c r="E20" s="68">
        <f>E.1项目运营期费用!I19*'G.2进项增值税率-运营成本'!$C18/(1+'G.2进项增值税率-运营成本'!$C18)</f>
        <v>0</v>
      </c>
      <c r="F20" s="68">
        <f>E.1项目运营期费用!J19*'G.2进项增值税率-运营成本'!$C18/(1+'G.2进项增值税率-运营成本'!$C18)</f>
        <v>0</v>
      </c>
      <c r="G20" s="68">
        <f>E.1项目运营期费用!K19*'G.2进项增值税率-运营成本'!$C18/(1+'G.2进项增值税率-运营成本'!$C18)</f>
        <v>0</v>
      </c>
      <c r="H20" s="68">
        <f>E.1项目运营期费用!L19*'G.2进项增值税率-运营成本'!$C18/(1+'G.2进项增值税率-运营成本'!$C18)</f>
        <v>0</v>
      </c>
      <c r="I20" s="68">
        <f>E.1项目运营期费用!M19*'G.2进项增值税率-运营成本'!$C18/(1+'G.2进项增值税率-运营成本'!$C18)</f>
        <v>0</v>
      </c>
      <c r="J20" s="68">
        <f>E.1项目运营期费用!N19*'G.2进项增值税率-运营成本'!$C18/(1+'G.2进项增值税率-运营成本'!$C18)</f>
        <v>0</v>
      </c>
      <c r="K20" s="68">
        <f>E.1项目运营期费用!O19*'G.2进项增值税率-运营成本'!$C18/(1+'G.2进项增值税率-运营成本'!$C18)</f>
        <v>0</v>
      </c>
      <c r="L20" s="68">
        <f>E.1项目运营期费用!P19*'G.2进项增值税率-运营成本'!$C18/(1+'G.2进项增值税率-运营成本'!$C18)</f>
        <v>0</v>
      </c>
      <c r="M20" s="68">
        <f>E.1项目运营期费用!Q19*'G.2进项增值税率-运营成本'!$C18/(1+'G.2进项增值税率-运营成本'!$C18)</f>
        <v>0</v>
      </c>
      <c r="N20" s="68">
        <f>E.1项目运营期费用!R19*'G.2进项增值税率-运营成本'!$C18/(1+'G.2进项增值税率-运营成本'!$C18)</f>
        <v>0</v>
      </c>
      <c r="O20" s="68">
        <f>E.1项目运营期费用!S19*'G.2进项增值税率-运营成本'!$C18/(1+'G.2进项增值税率-运营成本'!$C18)</f>
        <v>0</v>
      </c>
      <c r="P20" s="68">
        <f>E.1项目运营期费用!T19*'G.2进项增值税率-运营成本'!$C18/(1+'G.2进项增值税率-运营成本'!$C18)</f>
        <v>0</v>
      </c>
      <c r="Q20" s="68">
        <f>E.1项目运营期费用!U19*'G.2进项增值税率-运营成本'!$C18/(1+'G.2进项增值税率-运营成本'!$C18)</f>
        <v>0</v>
      </c>
      <c r="R20" s="68">
        <f>E.1项目运营期费用!V19*'G.2进项增值税率-运营成本'!$C18/(1+'G.2进项增值税率-运营成本'!$C18)</f>
        <v>0</v>
      </c>
      <c r="S20" s="68">
        <f>E.1项目运营期费用!W19*'G.2进项增值税率-运营成本'!$C18/(1+'G.2进项增值税率-运营成本'!$C18)</f>
        <v>0</v>
      </c>
      <c r="T20" s="68">
        <f>E.1项目运营期费用!X19*'G.2进项增值税率-运营成本'!$C18/(1+'G.2进项增值税率-运营成本'!$C18)</f>
        <v>0</v>
      </c>
      <c r="U20" s="68">
        <f>E.1项目运营期费用!Y19*'G.2进项增值税率-运营成本'!$C18/(1+'G.2进项增值税率-运营成本'!$C18)</f>
        <v>0</v>
      </c>
      <c r="V20" s="68">
        <f>E.1项目运营期费用!Z19*'G.2进项增值税率-运营成本'!$C18/(1+'G.2进项增值税率-运营成本'!$C18)</f>
        <v>0</v>
      </c>
      <c r="W20" s="68">
        <f>E.1项目运营期费用!AA19*'G.2进项增值税率-运营成本'!$C18/(1+'G.2进项增值税率-运营成本'!$C18)</f>
        <v>0</v>
      </c>
      <c r="X20" s="68">
        <f>E.1项目运营期费用!AB19*'G.2进项增值税率-运营成本'!$C18/(1+'G.2进项增值税率-运营成本'!$C18)</f>
        <v>0</v>
      </c>
      <c r="Y20" s="68">
        <f>E.1项目运营期费用!AC19*'G.2进项增值税率-运营成本'!$C18/(1+'G.2进项增值税率-运营成本'!$C18)</f>
        <v>0</v>
      </c>
      <c r="Z20" s="68">
        <f>E.1项目运营期费用!AD19*'G.2进项增值税率-运营成本'!$C18/(1+'G.2进项增值税率-运营成本'!$C18)</f>
        <v>0</v>
      </c>
    </row>
    <row r="21" ht="16.5" customHeight="1" spans="1:26">
      <c r="A21" s="8"/>
      <c r="B21" s="67" t="str">
        <f>E.1项目运营期费用!C20</f>
        <v>场地责任险</v>
      </c>
      <c r="C21" s="8"/>
      <c r="D21" s="68">
        <f>E.1项目运营期费用!H20*'G.2进项增值税率-运营成本'!$C19/(1+'G.2进项增值税率-运营成本'!$C19)</f>
        <v>0</v>
      </c>
      <c r="E21" s="68">
        <f>E.1项目运营期费用!I20*'G.2进项增值税率-运营成本'!$C19/(1+'G.2进项增值税率-运营成本'!$C19)</f>
        <v>0</v>
      </c>
      <c r="F21" s="68">
        <f>E.1项目运营期费用!J20*'G.2进项增值税率-运营成本'!$C19/(1+'G.2进项增值税率-运营成本'!$C19)</f>
        <v>0</v>
      </c>
      <c r="G21" s="68">
        <f>E.1项目运营期费用!K20*'G.2进项增值税率-运营成本'!$C19/(1+'G.2进项增值税率-运营成本'!$C19)</f>
        <v>0</v>
      </c>
      <c r="H21" s="68">
        <f>E.1项目运营期费用!L20*'G.2进项增值税率-运营成本'!$C19/(1+'G.2进项增值税率-运营成本'!$C19)</f>
        <v>0</v>
      </c>
      <c r="I21" s="68">
        <f>E.1项目运营期费用!M20*'G.2进项增值税率-运营成本'!$C19/(1+'G.2进项增值税率-运营成本'!$C19)</f>
        <v>0</v>
      </c>
      <c r="J21" s="68">
        <f>E.1项目运营期费用!N20*'G.2进项增值税率-运营成本'!$C19/(1+'G.2进项增值税率-运营成本'!$C19)</f>
        <v>0</v>
      </c>
      <c r="K21" s="68">
        <f>E.1项目运营期费用!O20*'G.2进项增值税率-运营成本'!$C19/(1+'G.2进项增值税率-运营成本'!$C19)</f>
        <v>0</v>
      </c>
      <c r="L21" s="68">
        <f>E.1项目运营期费用!P20*'G.2进项增值税率-运营成本'!$C19/(1+'G.2进项增值税率-运营成本'!$C19)</f>
        <v>0</v>
      </c>
      <c r="M21" s="68">
        <f>E.1项目运营期费用!Q20*'G.2进项增值税率-运营成本'!$C19/(1+'G.2进项增值税率-运营成本'!$C19)</f>
        <v>0</v>
      </c>
      <c r="N21" s="68">
        <f>E.1项目运营期费用!R20*'G.2进项增值税率-运营成本'!$C19/(1+'G.2进项增值税率-运营成本'!$C19)</f>
        <v>0</v>
      </c>
      <c r="O21" s="68">
        <f>E.1项目运营期费用!S20*'G.2进项增值税率-运营成本'!$C19/(1+'G.2进项增值税率-运营成本'!$C19)</f>
        <v>0</v>
      </c>
      <c r="P21" s="68">
        <f>E.1项目运营期费用!T20*'G.2进项增值税率-运营成本'!$C19/(1+'G.2进项增值税率-运营成本'!$C19)</f>
        <v>0</v>
      </c>
      <c r="Q21" s="68">
        <f>E.1项目运营期费用!U20*'G.2进项增值税率-运营成本'!$C19/(1+'G.2进项增值税率-运营成本'!$C19)</f>
        <v>0</v>
      </c>
      <c r="R21" s="68">
        <f>E.1项目运营期费用!V20*'G.2进项增值税率-运营成本'!$C19/(1+'G.2进项增值税率-运营成本'!$C19)</f>
        <v>0</v>
      </c>
      <c r="S21" s="68">
        <f>E.1项目运营期费用!W20*'G.2进项增值税率-运营成本'!$C19/(1+'G.2进项增值税率-运营成本'!$C19)</f>
        <v>0</v>
      </c>
      <c r="T21" s="68">
        <f>E.1项目运营期费用!X20*'G.2进项增值税率-运营成本'!$C19/(1+'G.2进项增值税率-运营成本'!$C19)</f>
        <v>0</v>
      </c>
      <c r="U21" s="68">
        <f>E.1项目运营期费用!Y20*'G.2进项增值税率-运营成本'!$C19/(1+'G.2进项增值税率-运营成本'!$C19)</f>
        <v>0</v>
      </c>
      <c r="V21" s="68">
        <f>E.1项目运营期费用!Z20*'G.2进项增值税率-运营成本'!$C19/(1+'G.2进项增值税率-运营成本'!$C19)</f>
        <v>0</v>
      </c>
      <c r="W21" s="68">
        <f>E.1项目运营期费用!AA20*'G.2进项增值税率-运营成本'!$C19/(1+'G.2进项增值税率-运营成本'!$C19)</f>
        <v>0</v>
      </c>
      <c r="X21" s="68">
        <f>E.1项目运营期费用!AB20*'G.2进项增值税率-运营成本'!$C19/(1+'G.2进项增值税率-运营成本'!$C19)</f>
        <v>0</v>
      </c>
      <c r="Y21" s="68">
        <f>E.1项目运营期费用!AC20*'G.2进项增值税率-运营成本'!$C19/(1+'G.2进项增值税率-运营成本'!$C19)</f>
        <v>0</v>
      </c>
      <c r="Z21" s="68">
        <f>E.1项目运营期费用!AD20*'G.2进项增值税率-运营成本'!$C19/(1+'G.2进项增值税率-运营成本'!$C19)</f>
        <v>0</v>
      </c>
    </row>
    <row r="22" ht="16.5" customHeight="1" spans="1:26">
      <c r="A22" s="8"/>
      <c r="B22" s="67" t="str">
        <f>E.1项目运营期费用!C21</f>
        <v>安全演练与应急处置</v>
      </c>
      <c r="C22" s="8"/>
      <c r="D22" s="68">
        <f>E.1项目运营期费用!H21*'G.2进项增值税率-运营成本'!$C20/(1+'G.2进项增值税率-运营成本'!$C20)</f>
        <v>0</v>
      </c>
      <c r="E22" s="68">
        <f>E.1项目运营期费用!I21*'G.2进项增值税率-运营成本'!$C20/(1+'G.2进项增值税率-运营成本'!$C20)</f>
        <v>0</v>
      </c>
      <c r="F22" s="68">
        <f>E.1项目运营期费用!J21*'G.2进项增值税率-运营成本'!$C20/(1+'G.2进项增值税率-运营成本'!$C20)</f>
        <v>0</v>
      </c>
      <c r="G22" s="68">
        <f>E.1项目运营期费用!K21*'G.2进项增值税率-运营成本'!$C20/(1+'G.2进项增值税率-运营成本'!$C20)</f>
        <v>0</v>
      </c>
      <c r="H22" s="68">
        <f>E.1项目运营期费用!L21*'G.2进项增值税率-运营成本'!$C20/(1+'G.2进项增值税率-运营成本'!$C20)</f>
        <v>0</v>
      </c>
      <c r="I22" s="68">
        <f>E.1项目运营期费用!M21*'G.2进项增值税率-运营成本'!$C20/(1+'G.2进项增值税率-运营成本'!$C20)</f>
        <v>0</v>
      </c>
      <c r="J22" s="68">
        <f>E.1项目运营期费用!N21*'G.2进项增值税率-运营成本'!$C20/(1+'G.2进项增值税率-运营成本'!$C20)</f>
        <v>0</v>
      </c>
      <c r="K22" s="68">
        <f>E.1项目运营期费用!O21*'G.2进项增值税率-运营成本'!$C20/(1+'G.2进项增值税率-运营成本'!$C20)</f>
        <v>0</v>
      </c>
      <c r="L22" s="68">
        <f>E.1项目运营期费用!P21*'G.2进项增值税率-运营成本'!$C20/(1+'G.2进项增值税率-运营成本'!$C20)</f>
        <v>0</v>
      </c>
      <c r="M22" s="68">
        <f>E.1项目运营期费用!Q21*'G.2进项增值税率-运营成本'!$C20/(1+'G.2进项增值税率-运营成本'!$C20)</f>
        <v>0</v>
      </c>
      <c r="N22" s="68">
        <f>E.1项目运营期费用!R21*'G.2进项增值税率-运营成本'!$C20/(1+'G.2进项增值税率-运营成本'!$C20)</f>
        <v>0</v>
      </c>
      <c r="O22" s="68">
        <f>E.1项目运营期费用!S21*'G.2进项增值税率-运营成本'!$C20/(1+'G.2进项增值税率-运营成本'!$C20)</f>
        <v>0</v>
      </c>
      <c r="P22" s="68">
        <f>E.1项目运营期费用!T21*'G.2进项增值税率-运营成本'!$C20/(1+'G.2进项增值税率-运营成本'!$C20)</f>
        <v>0</v>
      </c>
      <c r="Q22" s="68">
        <f>E.1项目运营期费用!U21*'G.2进项增值税率-运营成本'!$C20/(1+'G.2进项增值税率-运营成本'!$C20)</f>
        <v>0</v>
      </c>
      <c r="R22" s="68">
        <f>E.1项目运营期费用!V21*'G.2进项增值税率-运营成本'!$C20/(1+'G.2进项增值税率-运营成本'!$C20)</f>
        <v>0</v>
      </c>
      <c r="S22" s="68">
        <f>E.1项目运营期费用!W21*'G.2进项增值税率-运营成本'!$C20/(1+'G.2进项增值税率-运营成本'!$C20)</f>
        <v>0</v>
      </c>
      <c r="T22" s="68">
        <f>E.1项目运营期费用!X21*'G.2进项增值税率-运营成本'!$C20/(1+'G.2进项增值税率-运营成本'!$C20)</f>
        <v>0</v>
      </c>
      <c r="U22" s="68">
        <f>E.1项目运营期费用!Y21*'G.2进项增值税率-运营成本'!$C20/(1+'G.2进项增值税率-运营成本'!$C20)</f>
        <v>0</v>
      </c>
      <c r="V22" s="68">
        <f>E.1项目运营期费用!Z21*'G.2进项增值税率-运营成本'!$C20/(1+'G.2进项增值税率-运营成本'!$C20)</f>
        <v>0</v>
      </c>
      <c r="W22" s="68">
        <f>E.1项目运营期费用!AA21*'G.2进项增值税率-运营成本'!$C20/(1+'G.2进项增值税率-运营成本'!$C20)</f>
        <v>0</v>
      </c>
      <c r="X22" s="68">
        <f>E.1项目运营期费用!AB21*'G.2进项增值税率-运营成本'!$C20/(1+'G.2进项增值税率-运营成本'!$C20)</f>
        <v>0</v>
      </c>
      <c r="Y22" s="68">
        <f>E.1项目运营期费用!AC21*'G.2进项增值税率-运营成本'!$C20/(1+'G.2进项增值税率-运营成本'!$C20)</f>
        <v>0</v>
      </c>
      <c r="Z22" s="68">
        <f>E.1项目运营期费用!AD21*'G.2进项增值税率-运营成本'!$C20/(1+'G.2进项增值税率-运营成本'!$C20)</f>
        <v>0</v>
      </c>
    </row>
    <row r="23" ht="16.5" customHeight="1" spans="1:26">
      <c r="A23" s="8"/>
      <c r="B23" s="67" t="str">
        <f>E.1项目运营期费用!C22</f>
        <v>第三方安全评估</v>
      </c>
      <c r="C23" s="8"/>
      <c r="D23" s="68">
        <f>E.1项目运营期费用!H22*'G.2进项增值税率-运营成本'!$C21/(1+'G.2进项增值税率-运营成本'!$C21)</f>
        <v>0</v>
      </c>
      <c r="E23" s="68">
        <f>E.1项目运营期费用!I22*'G.2进项增值税率-运营成本'!$C21/(1+'G.2进项增值税率-运营成本'!$C21)</f>
        <v>0</v>
      </c>
      <c r="F23" s="68">
        <f>E.1项目运营期费用!J22*'G.2进项增值税率-运营成本'!$C21/(1+'G.2进项增值税率-运营成本'!$C21)</f>
        <v>0</v>
      </c>
      <c r="G23" s="68">
        <f>E.1项目运营期费用!K22*'G.2进项增值税率-运营成本'!$C21/(1+'G.2进项增值税率-运营成本'!$C21)</f>
        <v>0</v>
      </c>
      <c r="H23" s="68">
        <f>E.1项目运营期费用!L22*'G.2进项增值税率-运营成本'!$C21/(1+'G.2进项增值税率-运营成本'!$C21)</f>
        <v>0</v>
      </c>
      <c r="I23" s="68">
        <f>E.1项目运营期费用!M22*'G.2进项增值税率-运营成本'!$C21/(1+'G.2进项增值税率-运营成本'!$C21)</f>
        <v>0</v>
      </c>
      <c r="J23" s="68">
        <f>E.1项目运营期费用!N22*'G.2进项增值税率-运营成本'!$C21/(1+'G.2进项增值税率-运营成本'!$C21)</f>
        <v>0</v>
      </c>
      <c r="K23" s="68">
        <f>E.1项目运营期费用!O22*'G.2进项增值税率-运营成本'!$C21/(1+'G.2进项增值税率-运营成本'!$C21)</f>
        <v>0</v>
      </c>
      <c r="L23" s="68">
        <f>E.1项目运营期费用!P22*'G.2进项增值税率-运营成本'!$C21/(1+'G.2进项增值税率-运营成本'!$C21)</f>
        <v>0</v>
      </c>
      <c r="M23" s="68">
        <f>E.1项目运营期费用!Q22*'G.2进项增值税率-运营成本'!$C21/(1+'G.2进项增值税率-运营成本'!$C21)</f>
        <v>0</v>
      </c>
      <c r="N23" s="68">
        <f>E.1项目运营期费用!R22*'G.2进项增值税率-运营成本'!$C21/(1+'G.2进项增值税率-运营成本'!$C21)</f>
        <v>0</v>
      </c>
      <c r="O23" s="68">
        <f>E.1项目运营期费用!S22*'G.2进项增值税率-运营成本'!$C21/(1+'G.2进项增值税率-运营成本'!$C21)</f>
        <v>0</v>
      </c>
      <c r="P23" s="68">
        <f>E.1项目运营期费用!T22*'G.2进项增值税率-运营成本'!$C21/(1+'G.2进项增值税率-运营成本'!$C21)</f>
        <v>0</v>
      </c>
      <c r="Q23" s="68">
        <f>E.1项目运营期费用!U22*'G.2进项增值税率-运营成本'!$C21/(1+'G.2进项增值税率-运营成本'!$C21)</f>
        <v>0</v>
      </c>
      <c r="R23" s="68">
        <f>E.1项目运营期费用!V22*'G.2进项增值税率-运营成本'!$C21/(1+'G.2进项增值税率-运营成本'!$C21)</f>
        <v>0</v>
      </c>
      <c r="S23" s="68">
        <f>E.1项目运营期费用!W22*'G.2进项增值税率-运营成本'!$C21/(1+'G.2进项增值税率-运营成本'!$C21)</f>
        <v>0</v>
      </c>
      <c r="T23" s="68">
        <f>E.1项目运营期费用!X22*'G.2进项增值税率-运营成本'!$C21/(1+'G.2进项增值税率-运营成本'!$C21)</f>
        <v>0</v>
      </c>
      <c r="U23" s="68">
        <f>E.1项目运营期费用!Y22*'G.2进项增值税率-运营成本'!$C21/(1+'G.2进项增值税率-运营成本'!$C21)</f>
        <v>0</v>
      </c>
      <c r="V23" s="68">
        <f>E.1项目运营期费用!Z22*'G.2进项增值税率-运营成本'!$C21/(1+'G.2进项增值税率-运营成本'!$C21)</f>
        <v>0</v>
      </c>
      <c r="W23" s="68">
        <f>E.1项目运营期费用!AA22*'G.2进项增值税率-运营成本'!$C21/(1+'G.2进项增值税率-运营成本'!$C21)</f>
        <v>0</v>
      </c>
      <c r="X23" s="68">
        <f>E.1项目运营期费用!AB22*'G.2进项增值税率-运营成本'!$C21/(1+'G.2进项增值税率-运营成本'!$C21)</f>
        <v>0</v>
      </c>
      <c r="Y23" s="68">
        <f>E.1项目运营期费用!AC22*'G.2进项增值税率-运营成本'!$C21/(1+'G.2进项增值税率-运营成本'!$C21)</f>
        <v>0</v>
      </c>
      <c r="Z23" s="68">
        <f>E.1项目运营期费用!AD22*'G.2进项增值税率-运营成本'!$C21/(1+'G.2进项增值税率-运营成本'!$C21)</f>
        <v>0</v>
      </c>
    </row>
    <row r="24" ht="16.5" customHeight="1" spans="1:26">
      <c r="A24" s="8"/>
      <c r="B24" s="67" t="str">
        <f>E.1项目运营期费用!C23</f>
        <v>不可预见支出</v>
      </c>
      <c r="C24" s="8"/>
      <c r="D24" s="68">
        <f>E.1项目运营期费用!H23*'G.2进项增值税率-运营成本'!$C22/(1+'G.2进项增值税率-运营成本'!$C22)</f>
        <v>0</v>
      </c>
      <c r="E24" s="68">
        <f>E.1项目运营期费用!I23*'G.2进项增值税率-运营成本'!$C22/(1+'G.2进项增值税率-运营成本'!$C22)</f>
        <v>0</v>
      </c>
      <c r="F24" s="68">
        <f>E.1项目运营期费用!J23*'G.2进项增值税率-运营成本'!$C22/(1+'G.2进项增值税率-运营成本'!$C22)</f>
        <v>0</v>
      </c>
      <c r="G24" s="68">
        <f>E.1项目运营期费用!K23*'G.2进项增值税率-运营成本'!$C22/(1+'G.2进项增值税率-运营成本'!$C22)</f>
        <v>0</v>
      </c>
      <c r="H24" s="68">
        <f>E.1项目运营期费用!L23*'G.2进项增值税率-运营成本'!$C22/(1+'G.2进项增值税率-运营成本'!$C22)</f>
        <v>0</v>
      </c>
      <c r="I24" s="68">
        <f>E.1项目运营期费用!M23*'G.2进项增值税率-运营成本'!$C22/(1+'G.2进项增值税率-运营成本'!$C22)</f>
        <v>0</v>
      </c>
      <c r="J24" s="68">
        <f>E.1项目运营期费用!N23*'G.2进项增值税率-运营成本'!$C22/(1+'G.2进项增值税率-运营成本'!$C22)</f>
        <v>0</v>
      </c>
      <c r="K24" s="68">
        <f>E.1项目运营期费用!O23*'G.2进项增值税率-运营成本'!$C22/(1+'G.2进项增值税率-运营成本'!$C22)</f>
        <v>0</v>
      </c>
      <c r="L24" s="68">
        <f>E.1项目运营期费用!P23*'G.2进项增值税率-运营成本'!$C22/(1+'G.2进项增值税率-运营成本'!$C22)</f>
        <v>0</v>
      </c>
      <c r="M24" s="68">
        <f>E.1项目运营期费用!Q23*'G.2进项增值税率-运营成本'!$C22/(1+'G.2进项增值税率-运营成本'!$C22)</f>
        <v>0</v>
      </c>
      <c r="N24" s="68">
        <f>E.1项目运营期费用!R23*'G.2进项增值税率-运营成本'!$C22/(1+'G.2进项增值税率-运营成本'!$C22)</f>
        <v>0</v>
      </c>
      <c r="O24" s="68">
        <f>E.1项目运营期费用!S23*'G.2进项增值税率-运营成本'!$C22/(1+'G.2进项增值税率-运营成本'!$C22)</f>
        <v>0</v>
      </c>
      <c r="P24" s="68">
        <f>E.1项目运营期费用!T23*'G.2进项增值税率-运营成本'!$C22/(1+'G.2进项增值税率-运营成本'!$C22)</f>
        <v>0</v>
      </c>
      <c r="Q24" s="68">
        <f>E.1项目运营期费用!U23*'G.2进项增值税率-运营成本'!$C22/(1+'G.2进项增值税率-运营成本'!$C22)</f>
        <v>0</v>
      </c>
      <c r="R24" s="68">
        <f>E.1项目运营期费用!V23*'G.2进项增值税率-运营成本'!$C22/(1+'G.2进项增值税率-运营成本'!$C22)</f>
        <v>0</v>
      </c>
      <c r="S24" s="68">
        <f>E.1项目运营期费用!W23*'G.2进项增值税率-运营成本'!$C22/(1+'G.2进项增值税率-运营成本'!$C22)</f>
        <v>0</v>
      </c>
      <c r="T24" s="68">
        <f>E.1项目运营期费用!X23*'G.2进项增值税率-运营成本'!$C22/(1+'G.2进项增值税率-运营成本'!$C22)</f>
        <v>0</v>
      </c>
      <c r="U24" s="68">
        <f>E.1项目运营期费用!Y23*'G.2进项增值税率-运营成本'!$C22/(1+'G.2进项增值税率-运营成本'!$C22)</f>
        <v>0</v>
      </c>
      <c r="V24" s="68">
        <f>E.1项目运营期费用!Z23*'G.2进项增值税率-运营成本'!$C22/(1+'G.2进项增值税率-运营成本'!$C22)</f>
        <v>0</v>
      </c>
      <c r="W24" s="68">
        <f>E.1项目运营期费用!AA23*'G.2进项增值税率-运营成本'!$C22/(1+'G.2进项增值税率-运营成本'!$C22)</f>
        <v>0</v>
      </c>
      <c r="X24" s="68">
        <f>E.1项目运营期费用!AB23*'G.2进项增值税率-运营成本'!$C22/(1+'G.2进项增值税率-运营成本'!$C22)</f>
        <v>0</v>
      </c>
      <c r="Y24" s="68">
        <f>E.1项目运营期费用!AC23*'G.2进项增值税率-运营成本'!$C22/(1+'G.2进项增值税率-运营成本'!$C22)</f>
        <v>0</v>
      </c>
      <c r="Z24" s="68">
        <f>E.1项目运营期费用!AD23*'G.2进项增值税率-运营成本'!$C22/(1+'G.2进项增值税率-运营成本'!$C22)</f>
        <v>0</v>
      </c>
    </row>
    <row r="25" ht="16.5" customHeight="1" spans="1:26">
      <c r="A25" s="8">
        <v>2</v>
      </c>
      <c r="B25" s="8" t="s">
        <v>334</v>
      </c>
      <c r="C25" s="8"/>
      <c r="D25" s="14">
        <f>(SUM(D26:D28))</f>
        <v>0</v>
      </c>
      <c r="E25" s="46">
        <f>(SUM(E26:E28))</f>
        <v>17.5</v>
      </c>
      <c r="F25" s="46">
        <f>(SUM(F26:F28))</f>
        <v>26.82</v>
      </c>
      <c r="G25" s="46">
        <f>(SUM(G26:G28))</f>
        <v>33.308</v>
      </c>
      <c r="H25" s="46">
        <f>(SUM(H26:H28))</f>
        <v>33.84916</v>
      </c>
      <c r="I25" s="46">
        <f t="shared" ref="I25:Z25" si="1">SUM(I26:I28)</f>
        <v>34.2736432</v>
      </c>
      <c r="J25" s="46">
        <f t="shared" si="1"/>
        <v>0</v>
      </c>
      <c r="K25" s="46">
        <f t="shared" si="1"/>
        <v>0</v>
      </c>
      <c r="L25" s="46">
        <f t="shared" si="1"/>
        <v>0</v>
      </c>
      <c r="M25" s="46">
        <f t="shared" si="1"/>
        <v>0</v>
      </c>
      <c r="N25" s="46">
        <f t="shared" si="1"/>
        <v>0</v>
      </c>
      <c r="O25" s="46">
        <f t="shared" si="1"/>
        <v>0</v>
      </c>
      <c r="P25" s="46">
        <f t="shared" si="1"/>
        <v>0</v>
      </c>
      <c r="Q25" s="46">
        <f t="shared" si="1"/>
        <v>0</v>
      </c>
      <c r="R25" s="46">
        <f t="shared" si="1"/>
        <v>0</v>
      </c>
      <c r="S25" s="46">
        <f t="shared" si="1"/>
        <v>0</v>
      </c>
      <c r="T25" s="46">
        <f t="shared" si="1"/>
        <v>0</v>
      </c>
      <c r="U25" s="46">
        <f t="shared" si="1"/>
        <v>0</v>
      </c>
      <c r="V25" s="46">
        <f t="shared" si="1"/>
        <v>0</v>
      </c>
      <c r="W25" s="46">
        <f t="shared" si="1"/>
        <v>0</v>
      </c>
      <c r="X25" s="46">
        <f t="shared" si="1"/>
        <v>0</v>
      </c>
      <c r="Y25" s="46">
        <f t="shared" si="1"/>
        <v>0</v>
      </c>
      <c r="Z25" s="46">
        <f t="shared" si="1"/>
        <v>0</v>
      </c>
    </row>
    <row r="26" ht="16.5" customHeight="1" spans="1:26">
      <c r="A26" s="8"/>
      <c r="B26" s="67" t="str">
        <f>F项目收入!B3</f>
        <v>租赁收入</v>
      </c>
      <c r="C26" s="8"/>
      <c r="D26" s="39">
        <f>F项目收入!D3*G.3销项增值税率!$C3/(1+G.3销项增值税率!$C3)</f>
        <v>0</v>
      </c>
      <c r="E26" s="39">
        <f>F项目收入!E3*G.3销项增值税率!$C3/(1+G.3销项增值税率!$C3)</f>
        <v>5</v>
      </c>
      <c r="F26" s="39">
        <f>F项目收入!F3*G.3销项增值税率!$C3/(1+G.3销项增值税率!$C3)</f>
        <v>8</v>
      </c>
      <c r="G26" s="39">
        <f>F项目收入!G3*G.3销项增值税率!$C3/(1+G.3销项增值税率!$C3)</f>
        <v>10</v>
      </c>
      <c r="H26" s="39">
        <f>F项目收入!H3*G.3销项增值税率!$C3/(1+G.3销项增值税率!$C3)</f>
        <v>10</v>
      </c>
      <c r="I26" s="39">
        <f>F项目收入!I3*G.3销项增值税率!$C3/(1+G.3销项增值税率!$C3)</f>
        <v>10</v>
      </c>
      <c r="J26" s="39">
        <f>F项目收入!J3*G.3销项增值税率!$C3/(1+G.3销项增值税率!$C3)</f>
        <v>0</v>
      </c>
      <c r="K26" s="39">
        <f>F项目收入!K3*G.3销项增值税率!$C3/(1+G.3销项增值税率!$C3)</f>
        <v>0</v>
      </c>
      <c r="L26" s="39">
        <f>F项目收入!L3*G.3销项增值税率!$C3/(1+G.3销项增值税率!$C3)</f>
        <v>0</v>
      </c>
      <c r="M26" s="39">
        <f>F项目收入!M3*G.3销项增值税率!$C3/(1+G.3销项增值税率!$C3)</f>
        <v>0</v>
      </c>
      <c r="N26" s="39">
        <f>F项目收入!N3*G.3销项增值税率!$C3/(1+G.3销项增值税率!$C3)</f>
        <v>0</v>
      </c>
      <c r="O26" s="39">
        <f>F项目收入!O3*G.3销项增值税率!$C3/(1+G.3销项增值税率!$C3)</f>
        <v>0</v>
      </c>
      <c r="P26" s="39">
        <f>F项目收入!P3*G.3销项增值税率!$C3/(1+G.3销项增值税率!$C3)</f>
        <v>0</v>
      </c>
      <c r="Q26" s="39">
        <f>F项目收入!Q3*G.3销项增值税率!$C3/(1+G.3销项增值税率!$C3)</f>
        <v>0</v>
      </c>
      <c r="R26" s="39">
        <f>F项目收入!R3*G.3销项增值税率!$C3/(1+G.3销项增值税率!$C3)</f>
        <v>0</v>
      </c>
      <c r="S26" s="39">
        <f>F项目收入!S3*G.3销项增值税率!$C3/(1+G.3销项增值税率!$C3)</f>
        <v>0</v>
      </c>
      <c r="T26" s="39">
        <f>F项目收入!T3*G.3销项增值税率!$C3/(1+G.3销项增值税率!$C3)</f>
        <v>0</v>
      </c>
      <c r="U26" s="39">
        <f>F项目收入!U3*G.3销项增值税率!$C3/(1+G.3销项增值税率!$C3)</f>
        <v>0</v>
      </c>
      <c r="V26" s="39">
        <f>F项目收入!V3*G.3销项增值税率!$C3/(1+G.3销项增值税率!$C3)</f>
        <v>0</v>
      </c>
      <c r="W26" s="39">
        <f>F项目收入!W3*G.3销项增值税率!$C3/(1+G.3销项增值税率!$C3)</f>
        <v>0</v>
      </c>
      <c r="X26" s="39">
        <f>F项目收入!X3*G.3销项增值税率!$C3/(1+G.3销项增值税率!$C3)</f>
        <v>0</v>
      </c>
      <c r="Y26" s="39">
        <f>F项目收入!Y3*G.3销项增值税率!$C3/(1+G.3销项增值税率!$C3)</f>
        <v>0</v>
      </c>
      <c r="Z26" s="39">
        <f>F项目收入!Z3*G.3销项增值税率!$C3/(1+G.3销项增值税率!$C3)</f>
        <v>0</v>
      </c>
    </row>
    <row r="27" ht="16.5" customHeight="1" spans="1:26">
      <c r="A27" s="8"/>
      <c r="B27" s="67" t="str">
        <f>F项目收入!B5</f>
        <v>停车收入</v>
      </c>
      <c r="C27" s="8"/>
      <c r="D27" s="39">
        <f>F项目收入!D5*G.3销项增值税率!$C4/(1+G.3销项增值税率!$C4)</f>
        <v>0</v>
      </c>
      <c r="E27" s="39">
        <f>F项目收入!E5*G.3销项增值税率!$C4/(1+G.3销项增值税率!$C4)</f>
        <v>10</v>
      </c>
      <c r="F27" s="39">
        <f>F项目收入!F5*G.3销项增值税率!$C4/(1+G.3销项增值税率!$C4)</f>
        <v>16.32</v>
      </c>
      <c r="G27" s="39">
        <f>F项目收入!G5*G.3销项增值税率!$C4/(1+G.3销项增值税率!$C4)</f>
        <v>20.808</v>
      </c>
      <c r="H27" s="39">
        <f>F项目收入!H5*G.3销项增值税率!$C4/(1+G.3销项增值税率!$C4)</f>
        <v>21.22416</v>
      </c>
      <c r="I27" s="39">
        <f>F项目收入!I5*G.3销项增值税率!$C4/(1+G.3销项增值税率!$C4)</f>
        <v>21.6486432</v>
      </c>
      <c r="J27" s="39">
        <f>F项目收入!J5*G.3销项增值税率!$C4/(1+G.3销项增值税率!$C4)</f>
        <v>0</v>
      </c>
      <c r="K27" s="39">
        <f>F项目收入!K5*G.3销项增值税率!$C4/(1+G.3销项增值税率!$C4)</f>
        <v>0</v>
      </c>
      <c r="L27" s="39">
        <f>F项目收入!L5*G.3销项增值税率!$C4/(1+G.3销项增值税率!$C4)</f>
        <v>0</v>
      </c>
      <c r="M27" s="39">
        <f>F项目收入!M5*G.3销项增值税率!$C4/(1+G.3销项增值税率!$C4)</f>
        <v>0</v>
      </c>
      <c r="N27" s="39">
        <f>F项目收入!N5*G.3销项增值税率!$C4/(1+G.3销项增值税率!$C4)</f>
        <v>0</v>
      </c>
      <c r="O27" s="39">
        <f>F项目收入!O5*G.3销项增值税率!$C4/(1+G.3销项增值税率!$C4)</f>
        <v>0</v>
      </c>
      <c r="P27" s="39">
        <f>F项目收入!P5*G.3销项增值税率!$C4/(1+G.3销项增值税率!$C4)</f>
        <v>0</v>
      </c>
      <c r="Q27" s="39">
        <f>F项目收入!Q5*G.3销项增值税率!$C4/(1+G.3销项增值税率!$C4)</f>
        <v>0</v>
      </c>
      <c r="R27" s="39">
        <f>F项目收入!R5*G.3销项增值税率!$C4/(1+G.3销项增值税率!$C4)</f>
        <v>0</v>
      </c>
      <c r="S27" s="39">
        <f>F项目收入!S5*G.3销项增值税率!$C4/(1+G.3销项增值税率!$C4)</f>
        <v>0</v>
      </c>
      <c r="T27" s="39">
        <f>F项目收入!T5*G.3销项增值税率!$C4/(1+G.3销项增值税率!$C4)</f>
        <v>0</v>
      </c>
      <c r="U27" s="39">
        <f>F项目收入!U5*G.3销项增值税率!$C4/(1+G.3销项增值税率!$C4)</f>
        <v>0</v>
      </c>
      <c r="V27" s="39">
        <f>F项目收入!V5*G.3销项增值税率!$C4/(1+G.3销项增值税率!$C4)</f>
        <v>0</v>
      </c>
      <c r="W27" s="39">
        <f>F项目收入!W5*G.3销项增值税率!$C4/(1+G.3销项增值税率!$C4)</f>
        <v>0</v>
      </c>
      <c r="X27" s="39">
        <f>F项目收入!X5*G.3销项增值税率!$C4/(1+G.3销项增值税率!$C4)</f>
        <v>0</v>
      </c>
      <c r="Y27" s="39">
        <f>F项目收入!Y5*G.3销项增值税率!$C4/(1+G.3销项增值税率!$C4)</f>
        <v>0</v>
      </c>
      <c r="Z27" s="39">
        <f>F项目收入!Z5*G.3销项增值税率!$C4/(1+G.3销项增值税率!$C4)</f>
        <v>0</v>
      </c>
    </row>
    <row r="28" ht="16.5" customHeight="1" spans="1:26">
      <c r="A28" s="8"/>
      <c r="B28" s="67" t="str">
        <f>F项目收入!B7</f>
        <v>充电桩收入</v>
      </c>
      <c r="C28" s="8"/>
      <c r="D28" s="39">
        <f>F项目收入!D7*G.3销项增值税率!$C5/(1+G.3销项增值税率!$C5)</f>
        <v>0</v>
      </c>
      <c r="E28" s="39">
        <f>F项目收入!E7*G.3销项增值税率!$C5/(1+G.3销项增值税率!$C5)</f>
        <v>2.5</v>
      </c>
      <c r="F28" s="39">
        <f>F项目收入!F7*G.3销项增值税率!$C5/(1+G.3销项增值税率!$C5)</f>
        <v>2.5</v>
      </c>
      <c r="G28" s="39">
        <f>F项目收入!G7*G.3销项增值税率!$C5/(1+G.3销项增值税率!$C5)</f>
        <v>2.5</v>
      </c>
      <c r="H28" s="39">
        <f>F项目收入!H7*G.3销项增值税率!$C5/(1+G.3销项增值税率!$C5)</f>
        <v>2.625</v>
      </c>
      <c r="I28" s="39">
        <f>F项目收入!I7*G.3销项增值税率!$C5/(1+G.3销项增值税率!$C5)</f>
        <v>2.625</v>
      </c>
      <c r="J28" s="39">
        <f>F项目收入!J7*G.3销项增值税率!$C5/(1+G.3销项增值税率!$C5)</f>
        <v>0</v>
      </c>
      <c r="K28" s="39">
        <f>F项目收入!K7*G.3销项增值税率!$C5/(1+G.3销项增值税率!$C5)</f>
        <v>0</v>
      </c>
      <c r="L28" s="39">
        <f>F项目收入!L7*G.3销项增值税率!$C5/(1+G.3销项增值税率!$C5)</f>
        <v>0</v>
      </c>
      <c r="M28" s="39">
        <f>F项目收入!M7*G.3销项增值税率!$C5/(1+G.3销项增值税率!$C5)</f>
        <v>0</v>
      </c>
      <c r="N28" s="39">
        <f>F项目收入!N7*G.3销项增值税率!$C5/(1+G.3销项增值税率!$C5)</f>
        <v>0</v>
      </c>
      <c r="O28" s="39">
        <f>F项目收入!O7*G.3销项增值税率!$C5/(1+G.3销项增值税率!$C5)</f>
        <v>0</v>
      </c>
      <c r="P28" s="39">
        <f>F项目收入!P7*G.3销项增值税率!$C5/(1+G.3销项增值税率!$C5)</f>
        <v>0</v>
      </c>
      <c r="Q28" s="39">
        <f>F项目收入!Q7*G.3销项增值税率!$C5/(1+G.3销项增值税率!$C5)</f>
        <v>0</v>
      </c>
      <c r="R28" s="39">
        <f>F项目收入!R7*G.3销项增值税率!$C5/(1+G.3销项增值税率!$C5)</f>
        <v>0</v>
      </c>
      <c r="S28" s="39">
        <f>F项目收入!S7*G.3销项增值税率!$C5/(1+G.3销项增值税率!$C5)</f>
        <v>0</v>
      </c>
      <c r="T28" s="39">
        <f>F项目收入!T7*G.3销项增值税率!$C5/(1+G.3销项增值税率!$C5)</f>
        <v>0</v>
      </c>
      <c r="U28" s="39">
        <f>F项目收入!U7*G.3销项增值税率!$C5/(1+G.3销项增值税率!$C5)</f>
        <v>0</v>
      </c>
      <c r="V28" s="39">
        <f>F项目收入!V7*G.3销项增值税率!$C5/(1+G.3销项增值税率!$C5)</f>
        <v>0</v>
      </c>
      <c r="W28" s="39">
        <f>F项目收入!W7*G.3销项增值税率!$C5/(1+G.3销项增值税率!$C5)</f>
        <v>0</v>
      </c>
      <c r="X28" s="39">
        <f>F项目收入!X7*G.3销项增值税率!$C5/(1+G.3销项增值税率!$C5)</f>
        <v>0</v>
      </c>
      <c r="Y28" s="39">
        <f>F项目收入!Y7*G.3销项增值税率!$C5/(1+G.3销项增值税率!$C5)</f>
        <v>0</v>
      </c>
      <c r="Z28" s="39">
        <f>F项目收入!Z7*G.3销项增值税率!$C5/(1+G.3销项增值税率!$C5)</f>
        <v>0</v>
      </c>
    </row>
    <row r="29" ht="16.5" customHeight="1" spans="1:26">
      <c r="A29" s="8">
        <v>3</v>
      </c>
      <c r="B29" s="36" t="s">
        <v>335</v>
      </c>
      <c r="C29" s="8"/>
      <c r="D29" s="36">
        <v>0</v>
      </c>
      <c r="E29" s="46">
        <f>(MAX(E25-E4-E3,0))</f>
        <v>0</v>
      </c>
      <c r="F29" s="46">
        <f>(MAX(F25-F4-F3,0))</f>
        <v>0</v>
      </c>
      <c r="G29" s="46">
        <f>(MAX(G25-G4-G3,0))</f>
        <v>0</v>
      </c>
      <c r="H29" s="46">
        <f>(MAX(H25-H4-H3,0))</f>
        <v>0</v>
      </c>
      <c r="I29" s="46">
        <f t="shared" ref="I29:Z29" si="2">MAX(I25-I4-I3,0)</f>
        <v>0</v>
      </c>
      <c r="J29" s="46">
        <f t="shared" si="2"/>
        <v>0</v>
      </c>
      <c r="K29" s="46">
        <f t="shared" si="2"/>
        <v>0</v>
      </c>
      <c r="L29" s="46">
        <f t="shared" si="2"/>
        <v>0</v>
      </c>
      <c r="M29" s="46">
        <f t="shared" si="2"/>
        <v>0</v>
      </c>
      <c r="N29" s="46">
        <f t="shared" si="2"/>
        <v>0</v>
      </c>
      <c r="O29" s="46">
        <f t="shared" si="2"/>
        <v>0</v>
      </c>
      <c r="P29" s="46">
        <f t="shared" si="2"/>
        <v>0</v>
      </c>
      <c r="Q29" s="46">
        <f t="shared" si="2"/>
        <v>0</v>
      </c>
      <c r="R29" s="46">
        <f t="shared" si="2"/>
        <v>0</v>
      </c>
      <c r="S29" s="46">
        <f t="shared" si="2"/>
        <v>0</v>
      </c>
      <c r="T29" s="46">
        <f t="shared" si="2"/>
        <v>0</v>
      </c>
      <c r="U29" s="46">
        <f t="shared" si="2"/>
        <v>0</v>
      </c>
      <c r="V29" s="46">
        <f t="shared" si="2"/>
        <v>0</v>
      </c>
      <c r="W29" s="46">
        <f t="shared" si="2"/>
        <v>0</v>
      </c>
      <c r="X29" s="46">
        <f t="shared" si="2"/>
        <v>0</v>
      </c>
      <c r="Y29" s="46">
        <f t="shared" si="2"/>
        <v>0</v>
      </c>
      <c r="Z29" s="46">
        <f t="shared" si="2"/>
        <v>0</v>
      </c>
    </row>
    <row r="30" ht="16.5" customHeight="1" spans="1:26">
      <c r="A30" s="8">
        <v>4</v>
      </c>
      <c r="B30" s="36" t="s">
        <v>336</v>
      </c>
      <c r="C30" s="8"/>
      <c r="D30" s="36">
        <v>0</v>
      </c>
      <c r="E30" s="46">
        <f>(E29*(A财务假设!$D$6+A财务假设!$D$7+A财务假设!$D$8))</f>
        <v>0</v>
      </c>
      <c r="F30" s="46">
        <f>(F29*(A财务假设!$D$6+A财务假设!$D$7+A财务假设!$D$8))</f>
        <v>0</v>
      </c>
      <c r="G30" s="46">
        <f>(G29*(A财务假设!$D$6+A财务假设!$D$7+A财务假设!$D$8))</f>
        <v>0</v>
      </c>
      <c r="H30" s="46">
        <f>(H29*(A财务假设!$D$6+A财务假设!$D$7+A财务假设!$D$8))</f>
        <v>0</v>
      </c>
      <c r="I30" s="46">
        <f>I29*(A财务假设!$D$6+A财务假设!$D$7+A财务假设!$D$8)</f>
        <v>0</v>
      </c>
      <c r="J30" s="46">
        <f>J29*(A财务假设!$D$6+A财务假设!$D$7+A财务假设!$D$8)</f>
        <v>0</v>
      </c>
      <c r="K30" s="46">
        <f>K29*(A财务假设!$D$6+A财务假设!$D$7+A财务假设!$D$8)</f>
        <v>0</v>
      </c>
      <c r="L30" s="46">
        <f>L29*(A财务假设!$D$6+A财务假设!$D$7+A财务假设!$D$8)</f>
        <v>0</v>
      </c>
      <c r="M30" s="46">
        <f>M29*(A财务假设!$D$6+A财务假设!$D$7+A财务假设!$D$8)</f>
        <v>0</v>
      </c>
      <c r="N30" s="46">
        <f>N29*(A财务假设!$D$6+A财务假设!$D$7+A财务假设!$D$8)</f>
        <v>0</v>
      </c>
      <c r="O30" s="46">
        <f>O29*(A财务假设!$D$6+A财务假设!$D$7+A财务假设!$D$8)</f>
        <v>0</v>
      </c>
      <c r="P30" s="46">
        <f>P29*(A财务假设!$D$6+A财务假设!$D$7+A财务假设!$D$8)</f>
        <v>0</v>
      </c>
      <c r="Q30" s="46">
        <f>Q29*(A财务假设!$D$6+A财务假设!$D$7+A财务假设!$D$8)</f>
        <v>0</v>
      </c>
      <c r="R30" s="46">
        <f>R29*(A财务假设!$D$6+A财务假设!$D$7+A财务假设!$D$8)</f>
        <v>0</v>
      </c>
      <c r="S30" s="46">
        <f>S29*(A财务假设!$D$6+A财务假设!$D$7+A财务假设!$D$8)</f>
        <v>0</v>
      </c>
      <c r="T30" s="46">
        <f>T29*(A财务假设!$D$6+A财务假设!$D$7+A财务假设!$D$8)</f>
        <v>0</v>
      </c>
      <c r="U30" s="46">
        <f>U29*(A财务假设!$D$6+A财务假设!$D$7+A财务假设!$D$8)</f>
        <v>0</v>
      </c>
      <c r="V30" s="46">
        <f>V29*(A财务假设!$D$6+A财务假设!$D$7+A财务假设!$D$8)</f>
        <v>0</v>
      </c>
      <c r="W30" s="46">
        <f>W29*(A财务假设!$D$6+A财务假设!$D$7+A财务假设!$D$8)</f>
        <v>0</v>
      </c>
      <c r="X30" s="46">
        <f>X29*(A财务假设!$D$6+A财务假设!$D$7+A财务假设!$D$8)</f>
        <v>0</v>
      </c>
      <c r="Y30" s="46">
        <f>Y29*(A财务假设!$D$6+A财务假设!$D$7+A财务假设!$D$8)</f>
        <v>0</v>
      </c>
      <c r="Z30" s="46">
        <f>Z29*(A财务假设!$D$6+A财务假设!$D$7+A财务假设!$D$8)</f>
        <v>0</v>
      </c>
    </row>
    <row r="31" ht="16.5" customHeight="1" spans="1:26">
      <c r="A31" s="8"/>
      <c r="B31" s="8" t="s">
        <v>95</v>
      </c>
      <c r="C31" s="8"/>
      <c r="D31" s="36">
        <f>(D29+D29)</f>
        <v>0</v>
      </c>
      <c r="E31" s="12">
        <f>(E29+E29)</f>
        <v>0</v>
      </c>
      <c r="F31" s="12">
        <f>(F29+F29)</f>
        <v>0</v>
      </c>
      <c r="G31" s="12">
        <f>(G29+G29)</f>
        <v>0</v>
      </c>
      <c r="H31" s="12">
        <f>(H29+H29)</f>
        <v>0</v>
      </c>
      <c r="I31" s="12">
        <f t="shared" ref="I31:Z31" si="3">I30+I29</f>
        <v>0</v>
      </c>
      <c r="J31" s="12">
        <f t="shared" si="3"/>
        <v>0</v>
      </c>
      <c r="K31" s="12">
        <f t="shared" si="3"/>
        <v>0</v>
      </c>
      <c r="L31" s="12">
        <f t="shared" si="3"/>
        <v>0</v>
      </c>
      <c r="M31" s="12">
        <f t="shared" si="3"/>
        <v>0</v>
      </c>
      <c r="N31" s="12">
        <f t="shared" si="3"/>
        <v>0</v>
      </c>
      <c r="O31" s="12">
        <f t="shared" si="3"/>
        <v>0</v>
      </c>
      <c r="P31" s="12">
        <f t="shared" si="3"/>
        <v>0</v>
      </c>
      <c r="Q31" s="12">
        <f t="shared" si="3"/>
        <v>0</v>
      </c>
      <c r="R31" s="12">
        <f t="shared" si="3"/>
        <v>0</v>
      </c>
      <c r="S31" s="12">
        <f t="shared" si="3"/>
        <v>0</v>
      </c>
      <c r="T31" s="12">
        <f t="shared" si="3"/>
        <v>0</v>
      </c>
      <c r="U31" s="12">
        <f t="shared" si="3"/>
        <v>0</v>
      </c>
      <c r="V31" s="12">
        <f t="shared" si="3"/>
        <v>0</v>
      </c>
      <c r="W31" s="12">
        <f t="shared" si="3"/>
        <v>0</v>
      </c>
      <c r="X31" s="12">
        <f t="shared" si="3"/>
        <v>0</v>
      </c>
      <c r="Y31" s="12">
        <f t="shared" si="3"/>
        <v>0</v>
      </c>
      <c r="Z31" s="12">
        <f t="shared" si="3"/>
        <v>0</v>
      </c>
    </row>
  </sheetData>
  <mergeCells count="1">
    <mergeCell ref="A1:I1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FFFF00"/>
  </sheetPr>
  <dimension ref="A1:G21"/>
  <sheetViews>
    <sheetView zoomScale="70" zoomScaleNormal="70" workbookViewId="0">
      <selection activeCell="H22" sqref="H22"/>
    </sheetView>
  </sheetViews>
  <sheetFormatPr defaultColWidth="8.89090909090909" defaultRowHeight="28.05" customHeight="1" outlineLevelCol="6"/>
  <cols>
    <col min="1" max="1" width="8.89090909090909" style="45" customWidth="1"/>
    <col min="2" max="2" width="17.6636363636364" style="45" customWidth="1"/>
    <col min="3" max="3" width="37.5545454545455" style="45" customWidth="1"/>
    <col min="4" max="4" width="15.1090909090909" style="45" customWidth="1"/>
    <col min="5" max="5" width="10.4454545454545" style="45" customWidth="1"/>
    <col min="6" max="6" width="14.8909090909091" style="45" customWidth="1"/>
    <col min="7" max="16384" width="8.89090909090909" style="45" customWidth="1"/>
  </cols>
  <sheetData>
    <row r="1" ht="20" customHeight="1" spans="1:7">
      <c r="A1" s="38" t="s">
        <v>337</v>
      </c>
      <c r="B1" s="3"/>
      <c r="C1" s="3"/>
      <c r="D1" s="3"/>
      <c r="E1" s="3"/>
      <c r="F1" s="4"/>
      <c r="G1" s="63" t="s">
        <v>338</v>
      </c>
    </row>
    <row r="2" ht="16.5" customHeight="1" spans="1:6">
      <c r="A2" s="5" t="str">
        <f>D.3建设投资分年计划表!A2</f>
        <v>序号</v>
      </c>
      <c r="B2" s="5" t="str">
        <f>D.3建设投资分年计划表!B2</f>
        <v>分项费用</v>
      </c>
      <c r="C2" s="5" t="str">
        <f>D.3建设投资分年计划表!C2</f>
        <v>说明</v>
      </c>
      <c r="D2" s="5" t="str">
        <f>D.3建设投资分年计划表!D2</f>
        <v>金额</v>
      </c>
      <c r="E2" s="5" t="s">
        <v>295</v>
      </c>
      <c r="F2" s="5" t="s">
        <v>339</v>
      </c>
    </row>
    <row r="3" ht="16.5" customHeight="1" spans="1:6">
      <c r="A3" s="8" t="str">
        <f>D.3建设投资分年计划表!A3</f>
        <v>一</v>
      </c>
      <c r="B3" s="8" t="str">
        <f>D.3建设投资分年计划表!B3</f>
        <v>工程建设费用</v>
      </c>
      <c r="C3" s="8" t="str">
        <f>IF(D.3建设投资分年计划表!C3=0,"",D.3建设投资分年计划表!C3)</f>
        <v/>
      </c>
      <c r="D3" s="39">
        <f>D.3建设投资分年计划表!D3</f>
        <v>1824</v>
      </c>
      <c r="E3" s="8" t="s">
        <v>118</v>
      </c>
      <c r="F3" s="14">
        <f>F4+F8</f>
        <v>188.28</v>
      </c>
    </row>
    <row r="4" ht="16.5" customHeight="1" spans="1:6">
      <c r="A4" s="8">
        <f>D.3建设投资分年计划表!A4</f>
        <v>1</v>
      </c>
      <c r="B4" s="8" t="str">
        <f>D.3建设投资分年计划表!B4</f>
        <v>工程类费用</v>
      </c>
      <c r="C4" s="8" t="str">
        <f>IF(D.3建设投资分年计划表!C4=0,"",D.3建设投资分年计划表!C4)</f>
        <v/>
      </c>
      <c r="D4" s="39">
        <f>D.3建设投资分年计划表!D4</f>
        <v>1800</v>
      </c>
      <c r="E4" s="8" t="s">
        <v>118</v>
      </c>
      <c r="F4" s="14">
        <f>SUM(F5:F7)</f>
        <v>186</v>
      </c>
    </row>
    <row r="5" ht="112.95" customHeight="1" spans="1:6">
      <c r="A5" s="8">
        <f>D.3建设投资分年计划表!A5</f>
        <v>1.1</v>
      </c>
      <c r="B5" s="11" t="str">
        <f>D.3建设投资分年计划表!B5</f>
        <v>建筑工程费</v>
      </c>
      <c r="C5" s="64" t="str">
        <f>IF(D.3建设投资分年计划表!C5=0,"",D.3建设投资分年计划表!C5)</f>
        <v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v>
      </c>
      <c r="D5" s="39">
        <f>D.3建设投资分年计划表!D5</f>
        <v>600</v>
      </c>
      <c r="E5" s="61">
        <v>0.09</v>
      </c>
      <c r="F5" s="65">
        <f>D5*E5</f>
        <v>54</v>
      </c>
    </row>
    <row r="6" ht="16.5" customHeight="1" spans="1:6">
      <c r="A6" s="8">
        <f>D.3建设投资分年计划表!A6</f>
        <v>1.2</v>
      </c>
      <c r="B6" s="11" t="str">
        <f>D.3建设投资分年计划表!B6</f>
        <v>设备购置费</v>
      </c>
      <c r="C6" s="8" t="str">
        <f>IF(D.3建设投资分年计划表!C6=0,"",D.3建设投资分年计划表!C6)</f>
        <v/>
      </c>
      <c r="D6" s="39">
        <f>D.3建设投资分年计划表!D6</f>
        <v>600</v>
      </c>
      <c r="E6" s="61">
        <v>0.13</v>
      </c>
      <c r="F6" s="14">
        <f>D6*E6</f>
        <v>78</v>
      </c>
    </row>
    <row r="7" ht="64.05" customHeight="1" spans="1:6">
      <c r="A7" s="8">
        <f>D.3建设投资分年计划表!A7</f>
        <v>1.3</v>
      </c>
      <c r="B7" s="11" t="str">
        <f>D.3建设投资分年计划表!B7</f>
        <v>安装工程费</v>
      </c>
      <c r="C7" s="64" t="str">
        <f>IF(D.3建设投资分年计划表!C7=0,"",D.3建设投资分年计划表!C7)</f>
        <v>指的是建筑工程中的管线安装、设备安装（如空调、电线、水管等），以及室内装修、园林绿化等方面的费用。</v>
      </c>
      <c r="D7" s="39">
        <f>D.3建设投资分年计划表!D7</f>
        <v>600</v>
      </c>
      <c r="E7" s="61">
        <v>0.09</v>
      </c>
      <c r="F7" s="14">
        <f>D7*E7</f>
        <v>54</v>
      </c>
    </row>
    <row r="8" ht="16.5" customHeight="1" spans="1:6">
      <c r="A8" s="8">
        <f>D.3建设投资分年计划表!A8</f>
        <v>2</v>
      </c>
      <c r="B8" s="8" t="str">
        <f>D.3建设投资分年计划表!B8</f>
        <v>信息化建设费用</v>
      </c>
      <c r="C8" s="8" t="str">
        <f>IF(D.3建设投资分年计划表!C8=0,"",D.3建设投资分年计划表!C8)</f>
        <v/>
      </c>
      <c r="D8" s="39">
        <f>D.3建设投资分年计划表!D8</f>
        <v>24</v>
      </c>
      <c r="E8" s="8" t="s">
        <v>118</v>
      </c>
      <c r="F8" s="14">
        <f>SUM(F9:F12)</f>
        <v>2.28</v>
      </c>
    </row>
    <row r="9" ht="16.5" customHeight="1" spans="1:6">
      <c r="A9" s="8">
        <f>D.3建设投资分年计划表!A9</f>
        <v>2.1</v>
      </c>
      <c r="B9" s="11" t="str">
        <f>D.3建设投资分年计划表!B9</f>
        <v>硬件类</v>
      </c>
      <c r="C9" s="8" t="str">
        <f>IF(D.3建设投资分年计划表!C9=0,"",D.3建设投资分年计划表!C9)</f>
        <v>包括服务器、存储、网络等设备</v>
      </c>
      <c r="D9" s="39">
        <f>D.3建设投资分年计划表!D9</f>
        <v>6</v>
      </c>
      <c r="E9" s="61">
        <v>0.13</v>
      </c>
      <c r="F9" s="14">
        <f>D9*E9</f>
        <v>0.78</v>
      </c>
    </row>
    <row r="10" ht="16.5" customHeight="1" spans="1:6">
      <c r="A10" s="8">
        <f>D.3建设投资分年计划表!A10</f>
        <v>2.2</v>
      </c>
      <c r="B10" s="11" t="str">
        <f>D.3建设投资分年计划表!B10</f>
        <v>软件类</v>
      </c>
      <c r="C10" s="8" t="str">
        <f>IF(D.3建设投资分年计划表!C10=0,"",D.3建设投资分年计划表!C10)</f>
        <v/>
      </c>
      <c r="D10" s="39">
        <f>D.3建设投资分年计划表!D10</f>
        <v>6</v>
      </c>
      <c r="E10" s="61">
        <v>0.06</v>
      </c>
      <c r="F10" s="14">
        <f>D10*E10</f>
        <v>0.36</v>
      </c>
    </row>
    <row r="11" ht="16.5" customHeight="1" spans="1:6">
      <c r="A11" s="8">
        <f>D.3建设投资分年计划表!A11</f>
        <v>2.3</v>
      </c>
      <c r="B11" s="11" t="str">
        <f>D.3建设投资分年计划表!B11</f>
        <v>安全类</v>
      </c>
      <c r="C11" s="8" t="str">
        <f>IF(D.3建设投资分年计划表!C11=0,"",D.3建设投资分年计划表!C11)</f>
        <v/>
      </c>
      <c r="D11" s="39">
        <f>D.3建设投资分年计划表!D11</f>
        <v>6</v>
      </c>
      <c r="E11" s="61">
        <v>0.13</v>
      </c>
      <c r="F11" s="14">
        <f>D11*E11</f>
        <v>0.78</v>
      </c>
    </row>
    <row r="12" ht="16.5" customHeight="1" spans="1:6">
      <c r="A12" s="8">
        <f>D.3建设投资分年计划表!A12</f>
        <v>2.4</v>
      </c>
      <c r="B12" s="11" t="str">
        <f>D.3建设投资分年计划表!B12</f>
        <v>数据类</v>
      </c>
      <c r="C12" s="8" t="str">
        <f>IF(D.3建设投资分年计划表!C12=0,"",D.3建设投资分年计划表!C12)</f>
        <v/>
      </c>
      <c r="D12" s="39">
        <f>D.3建设投资分年计划表!D12</f>
        <v>6</v>
      </c>
      <c r="E12" s="61">
        <v>0.06</v>
      </c>
      <c r="F12" s="14">
        <f>D12*E12</f>
        <v>0.36</v>
      </c>
    </row>
    <row r="13" ht="16.5" customHeight="1" spans="1:6">
      <c r="A13" s="8" t="str">
        <f>D.3建设投资分年计划表!A13</f>
        <v>二</v>
      </c>
      <c r="B13" s="8" t="str">
        <f>D.3建设投资分年计划表!B13</f>
        <v>工程建设其他费用</v>
      </c>
      <c r="C13" s="8" t="str">
        <f>IF(D.3建设投资分年计划表!C13=0,"",D.3建设投资分年计划表!C13)</f>
        <v/>
      </c>
      <c r="D13" s="39">
        <f>D.3建设投资分年计划表!D13</f>
        <v>24</v>
      </c>
      <c r="E13" s="8" t="s">
        <v>118</v>
      </c>
      <c r="F13" s="14">
        <f>SUM(F14:F18)</f>
        <v>1.44</v>
      </c>
    </row>
    <row r="14" ht="16.5" customHeight="1" spans="1:6">
      <c r="A14" s="8">
        <f>D.3建设投资分年计划表!A14</f>
        <v>1</v>
      </c>
      <c r="B14" s="11" t="str">
        <f>D.3建设投资分年计划表!B14</f>
        <v>建设单位管理费</v>
      </c>
      <c r="C14" s="8" t="str">
        <f>IF(D.3建设投资分年计划表!C14=0,"",D.3建设投资分年计划表!C14)</f>
        <v/>
      </c>
      <c r="D14" s="39">
        <f>D.3建设投资分年计划表!D14</f>
        <v>6</v>
      </c>
      <c r="E14" s="61">
        <v>0.06</v>
      </c>
      <c r="F14" s="14">
        <f>D14*E14</f>
        <v>0.36</v>
      </c>
    </row>
    <row r="15" ht="16.5" customHeight="1" spans="1:6">
      <c r="A15" s="8">
        <f>D.3建设投资分年计划表!A15</f>
        <v>2</v>
      </c>
      <c r="B15" s="11" t="str">
        <f>D.3建设投资分年计划表!B15</f>
        <v>前期咨询费</v>
      </c>
      <c r="C15" s="8" t="str">
        <f>IF(D.3建设投资分年计划表!C15=0,"",D.3建设投资分年计划表!C15)</f>
        <v/>
      </c>
      <c r="D15" s="39">
        <f>D.3建设投资分年计划表!D15</f>
        <v>6</v>
      </c>
      <c r="E15" s="61">
        <v>0.06</v>
      </c>
      <c r="F15" s="14">
        <f>D15*E15</f>
        <v>0.36</v>
      </c>
    </row>
    <row r="16" ht="16.5" customHeight="1" spans="1:6">
      <c r="A16" s="8">
        <f>D.3建设投资分年计划表!A16</f>
        <v>3</v>
      </c>
      <c r="B16" s="11" t="str">
        <f>D.3建设投资分年计划表!B16</f>
        <v>工程设计费</v>
      </c>
      <c r="C16" s="8" t="str">
        <f>IF(D.3建设投资分年计划表!C16=0,"",D.3建设投资分年计划表!C16)</f>
        <v/>
      </c>
      <c r="D16" s="39">
        <f>D.3建设投资分年计划表!D16</f>
        <v>6</v>
      </c>
      <c r="E16" s="61">
        <v>0.06</v>
      </c>
      <c r="F16" s="14">
        <f>D16*E16</f>
        <v>0.36</v>
      </c>
    </row>
    <row r="17" ht="16.5" customHeight="1" spans="1:6">
      <c r="A17" s="8">
        <f>D.3建设投资分年计划表!A17</f>
        <v>4</v>
      </c>
      <c r="B17" s="11" t="str">
        <f>D.3建设投资分年计划表!B17</f>
        <v>工程监理费</v>
      </c>
      <c r="C17" s="8" t="str">
        <f>IF(D.3建设投资分年计划表!C17=0,"",D.3建设投资分年计划表!C17)</f>
        <v/>
      </c>
      <c r="D17" s="39">
        <f>D.3建设投资分年计划表!D17</f>
        <v>6</v>
      </c>
      <c r="E17" s="61">
        <v>0.06</v>
      </c>
      <c r="F17" s="14">
        <f>D17*E17</f>
        <v>0.36</v>
      </c>
    </row>
    <row r="18" ht="16.5" customHeight="1" spans="1:6">
      <c r="A18" s="8">
        <f>D.3建设投资分年计划表!A18</f>
        <v>5</v>
      </c>
      <c r="B18" s="11" t="str">
        <f>D.3建设投资分年计划表!B18</f>
        <v>......</v>
      </c>
      <c r="C18" s="8" t="str">
        <f>IF(D.3建设投资分年计划表!C18=0,"",D.3建设投资分年计划表!C18)</f>
        <v/>
      </c>
      <c r="D18" s="39">
        <f>D.3建设投资分年计划表!D18</f>
        <v>0</v>
      </c>
      <c r="E18" s="61">
        <v>0.06</v>
      </c>
      <c r="F18" s="14">
        <f>D18*E18</f>
        <v>0</v>
      </c>
    </row>
    <row r="19" ht="16.5" customHeight="1" spans="1:6">
      <c r="A19" s="8" t="str">
        <f>D.3建设投资分年计划表!A19</f>
        <v>三</v>
      </c>
      <c r="B19" s="8" t="str">
        <f>D.3建设投资分年计划表!B19</f>
        <v>预备费</v>
      </c>
      <c r="C19" s="8" t="str">
        <f>IF(D.3建设投资分年计划表!C19=0,"",D.3建设投资分年计划表!C19)</f>
        <v/>
      </c>
      <c r="D19" s="39">
        <f>D.3建设投资分年计划表!D19</f>
        <v>6</v>
      </c>
      <c r="E19" s="8" t="s">
        <v>118</v>
      </c>
      <c r="F19" s="14">
        <f>F20</f>
        <v>0</v>
      </c>
    </row>
    <row r="20" ht="16.5" customHeight="1" spans="1:6">
      <c r="A20" s="8">
        <f>D.3建设投资分年计划表!A20</f>
        <v>1</v>
      </c>
      <c r="B20" s="8" t="str">
        <f>D.3建设投资分年计划表!B20</f>
        <v>基本预备费</v>
      </c>
      <c r="C20" s="8" t="str">
        <f>IF(D.3建设投资分年计划表!C20=0,"",D.3建设投资分年计划表!C20)</f>
        <v/>
      </c>
      <c r="D20" s="39">
        <f>D.3建设投资分年计划表!D20</f>
        <v>6</v>
      </c>
      <c r="E20" s="61">
        <v>0</v>
      </c>
      <c r="F20" s="14">
        <f>D20*E20</f>
        <v>0</v>
      </c>
    </row>
    <row r="21" ht="16.5" customHeight="1" spans="1:6">
      <c r="A21" s="8"/>
      <c r="B21" s="8" t="s">
        <v>340</v>
      </c>
      <c r="C21" s="4"/>
      <c r="D21" s="8"/>
      <c r="E21" s="8"/>
      <c r="F21" s="14">
        <f>F3+F13+F19</f>
        <v>189.72</v>
      </c>
    </row>
  </sheetData>
  <mergeCells count="2">
    <mergeCell ref="A1:F1"/>
    <mergeCell ref="B21:C21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rgb="FFFFFF00"/>
  </sheetPr>
  <dimension ref="A1:D22"/>
  <sheetViews>
    <sheetView zoomScale="70" zoomScaleNormal="70" workbookViewId="0">
      <selection activeCell="B24" sqref="B24"/>
    </sheetView>
  </sheetViews>
  <sheetFormatPr defaultColWidth="8.89090909090909" defaultRowHeight="28.05" customHeight="1" outlineLevelCol="3"/>
  <cols>
    <col min="2" max="2" width="67.5545454545454" style="1" customWidth="1"/>
    <col min="3" max="3" width="20.3363636363636" style="1" customWidth="1"/>
    <col min="4" max="4" width="14.3363636363636" style="1" customWidth="1"/>
  </cols>
  <sheetData>
    <row r="1" ht="31.8" customHeight="1" spans="1:4">
      <c r="A1" s="60" t="s">
        <v>341</v>
      </c>
      <c r="B1" s="3"/>
      <c r="C1" s="4"/>
      <c r="D1" s="27" t="s">
        <v>342</v>
      </c>
    </row>
    <row r="2" ht="16.5" customHeight="1" spans="1:3">
      <c r="A2" s="5" t="str">
        <f>E.1项目运营期费用!B2</f>
        <v>序号</v>
      </c>
      <c r="B2" s="5" t="str">
        <f>E.1项目运营期费用!C2</f>
        <v>科目</v>
      </c>
      <c r="C2" s="5" t="s">
        <v>295</v>
      </c>
    </row>
    <row r="3" ht="16.5" customHeight="1" spans="1:3">
      <c r="A3" s="11">
        <f>E.1项目运营期费用!B4</f>
        <v>1</v>
      </c>
      <c r="B3" s="11" t="s">
        <v>202</v>
      </c>
      <c r="C3" s="61" t="s">
        <v>27</v>
      </c>
    </row>
    <row r="4" ht="27.6" customHeight="1" spans="1:3">
      <c r="A4" s="11">
        <f>E.1项目运营期费用!B5</f>
        <v>2</v>
      </c>
      <c r="B4" s="23" t="s">
        <v>204</v>
      </c>
      <c r="C4" s="61" t="s">
        <v>27</v>
      </c>
    </row>
    <row r="5" ht="16.5" customHeight="1" spans="1:3">
      <c r="A5" s="11">
        <f>E.1项目运营期费用!B6</f>
        <v>3</v>
      </c>
      <c r="B5" s="11" t="s">
        <v>206</v>
      </c>
      <c r="C5" s="61" t="s">
        <v>27</v>
      </c>
    </row>
    <row r="6" ht="16.5" customHeight="1" spans="1:3">
      <c r="A6" s="11">
        <f>E.1项目运营期费用!B7</f>
        <v>4</v>
      </c>
      <c r="B6" s="11" t="s">
        <v>208</v>
      </c>
      <c r="C6" s="61" t="s">
        <v>27</v>
      </c>
    </row>
    <row r="7" ht="16.5" customHeight="1" spans="1:3">
      <c r="A7" s="11">
        <f>E.1项目运营期费用!B8</f>
        <v>5</v>
      </c>
      <c r="B7" s="11" t="s">
        <v>211</v>
      </c>
      <c r="C7" s="61" t="s">
        <v>27</v>
      </c>
    </row>
    <row r="8" ht="16.5" customHeight="1" spans="1:3">
      <c r="A8" s="11">
        <f>E.1项目运营期费用!B9</f>
        <v>6</v>
      </c>
      <c r="B8" s="11" t="s">
        <v>213</v>
      </c>
      <c r="C8" s="61" t="s">
        <v>27</v>
      </c>
    </row>
    <row r="9" ht="16.5" customHeight="1" spans="1:4">
      <c r="A9" s="11">
        <f>E.1项目运营期费用!B10</f>
        <v>7</v>
      </c>
      <c r="B9" s="11" t="s">
        <v>215</v>
      </c>
      <c r="C9" s="61" t="s">
        <v>27</v>
      </c>
      <c r="D9" s="62"/>
    </row>
    <row r="10" ht="16.5" customHeight="1" spans="1:3">
      <c r="A10" s="11">
        <f>E.1项目运营期费用!B11</f>
        <v>8</v>
      </c>
      <c r="B10" s="11" t="s">
        <v>218</v>
      </c>
      <c r="C10" s="61" t="s">
        <v>27</v>
      </c>
    </row>
    <row r="11" ht="16.5" customHeight="1" spans="1:3">
      <c r="A11" s="11">
        <f>E.1项目运营期费用!B12</f>
        <v>9</v>
      </c>
      <c r="B11" s="11" t="s">
        <v>221</v>
      </c>
      <c r="C11" s="61" t="s">
        <v>27</v>
      </c>
    </row>
    <row r="12" ht="16.5" customHeight="1" spans="1:3">
      <c r="A12" s="11">
        <f>E.1项目运营期费用!B13</f>
        <v>10</v>
      </c>
      <c r="B12" s="11" t="s">
        <v>223</v>
      </c>
      <c r="C12" s="61" t="s">
        <v>27</v>
      </c>
    </row>
    <row r="13" ht="16.5" customHeight="1" spans="1:3">
      <c r="A13" s="11">
        <f>E.1项目运营期费用!B14</f>
        <v>11</v>
      </c>
      <c r="B13" s="11" t="s">
        <v>226</v>
      </c>
      <c r="C13" s="61" t="s">
        <v>343</v>
      </c>
    </row>
    <row r="14" ht="16.5" customHeight="1" spans="1:3">
      <c r="A14" s="11">
        <f>E.1项目运营期费用!B15</f>
        <v>12</v>
      </c>
      <c r="B14" s="11" t="s">
        <v>229</v>
      </c>
      <c r="C14" s="61" t="s">
        <v>27</v>
      </c>
    </row>
    <row r="15" ht="16.5" customHeight="1" spans="1:3">
      <c r="A15" s="11">
        <f>E.1项目运营期费用!B16</f>
        <v>13</v>
      </c>
      <c r="B15" s="11" t="s">
        <v>232</v>
      </c>
      <c r="C15" s="61" t="s">
        <v>27</v>
      </c>
    </row>
    <row r="16" ht="16.5" customHeight="1" spans="1:3">
      <c r="A16" s="11">
        <f>E.1项目运营期费用!B17</f>
        <v>14</v>
      </c>
      <c r="B16" s="11" t="s">
        <v>234</v>
      </c>
      <c r="C16" s="61" t="s">
        <v>27</v>
      </c>
    </row>
    <row r="17" ht="16.5" customHeight="1" spans="1:3">
      <c r="A17" s="11">
        <f>E.1项目运营期费用!B18</f>
        <v>15</v>
      </c>
      <c r="B17" s="11" t="s">
        <v>236</v>
      </c>
      <c r="C17" s="61" t="s">
        <v>27</v>
      </c>
    </row>
    <row r="18" ht="16.5" customHeight="1" spans="1:3">
      <c r="A18" s="11">
        <f>E.1项目运营期费用!B19</f>
        <v>16</v>
      </c>
      <c r="B18" s="11" t="s">
        <v>239</v>
      </c>
      <c r="C18" s="61" t="s">
        <v>27</v>
      </c>
    </row>
    <row r="19" ht="16.5" customHeight="1" spans="1:3">
      <c r="A19" s="11">
        <f>E.1项目运营期费用!B20</f>
        <v>17</v>
      </c>
      <c r="B19" s="11" t="s">
        <v>241</v>
      </c>
      <c r="C19" s="61" t="s">
        <v>27</v>
      </c>
    </row>
    <row r="20" ht="16.5" customHeight="1" spans="1:3">
      <c r="A20" s="11">
        <f>E.1项目运营期费用!B21</f>
        <v>18</v>
      </c>
      <c r="B20" s="11" t="s">
        <v>243</v>
      </c>
      <c r="C20" s="61" t="s">
        <v>27</v>
      </c>
    </row>
    <row r="21" ht="16.5" customHeight="1" spans="1:3">
      <c r="A21" s="11">
        <f>E.1项目运营期费用!B22</f>
        <v>19</v>
      </c>
      <c r="B21" s="11" t="s">
        <v>246</v>
      </c>
      <c r="C21" s="61" t="s">
        <v>27</v>
      </c>
    </row>
    <row r="22" ht="16.5" customHeight="1" spans="1:3">
      <c r="A22" s="11">
        <f>E.1项目运营期费用!B23</f>
        <v>20</v>
      </c>
      <c r="B22" s="11" t="s">
        <v>248</v>
      </c>
      <c r="C22" s="61" t="s">
        <v>27</v>
      </c>
    </row>
  </sheetData>
  <mergeCells count="1">
    <mergeCell ref="A1:C1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FFFF00"/>
  </sheetPr>
  <dimension ref="A1:D12"/>
  <sheetViews>
    <sheetView workbookViewId="0">
      <selection activeCell="B14" sqref="B14"/>
    </sheetView>
  </sheetViews>
  <sheetFormatPr defaultColWidth="8.89090909090909" defaultRowHeight="28.05" customHeight="1" outlineLevelCol="3"/>
  <cols>
    <col min="2" max="2" width="27.4454545454545" style="1" customWidth="1"/>
    <col min="3" max="3" width="14.7818181818182" style="1" customWidth="1"/>
  </cols>
  <sheetData>
    <row r="1" ht="20" customHeight="1" spans="1:4">
      <c r="A1" s="60" t="s">
        <v>344</v>
      </c>
      <c r="B1" s="3"/>
      <c r="C1" s="4"/>
      <c r="D1" s="27" t="s">
        <v>345</v>
      </c>
    </row>
    <row r="2" ht="16.5" customHeight="1" spans="1:3">
      <c r="A2" s="5" t="s">
        <v>1</v>
      </c>
      <c r="B2" s="5" t="s">
        <v>301</v>
      </c>
      <c r="C2" s="5" t="s">
        <v>295</v>
      </c>
    </row>
    <row r="3" ht="16.5" customHeight="1" spans="1:3">
      <c r="A3" s="11">
        <v>1</v>
      </c>
      <c r="B3" s="11" t="s">
        <v>314</v>
      </c>
      <c r="C3" s="61" t="s">
        <v>27</v>
      </c>
    </row>
    <row r="4" ht="16.5" customHeight="1" spans="1:3">
      <c r="A4" s="11">
        <v>2</v>
      </c>
      <c r="B4" s="11" t="s">
        <v>317</v>
      </c>
      <c r="C4" s="61" t="s">
        <v>27</v>
      </c>
    </row>
    <row r="5" ht="16.5" customHeight="1" spans="1:3">
      <c r="A5" s="11">
        <v>3</v>
      </c>
      <c r="B5" s="11" t="s">
        <v>319</v>
      </c>
      <c r="C5" s="61" t="s">
        <v>27</v>
      </c>
    </row>
    <row r="6" ht="16.5" customHeight="1" spans="1:3">
      <c r="A6" s="11">
        <v>4</v>
      </c>
      <c r="B6" s="11" t="s">
        <v>321</v>
      </c>
      <c r="C6" s="61" t="s">
        <v>343</v>
      </c>
    </row>
    <row r="7" ht="16.5" customHeight="1" spans="1:3">
      <c r="A7" s="11">
        <v>5</v>
      </c>
      <c r="B7" s="11" t="s">
        <v>346</v>
      </c>
      <c r="C7" s="61" t="s">
        <v>27</v>
      </c>
    </row>
    <row r="8" ht="16.5" customHeight="1" spans="1:3">
      <c r="A8" s="11">
        <v>6</v>
      </c>
      <c r="B8" s="11" t="s">
        <v>347</v>
      </c>
      <c r="C8" s="61" t="s">
        <v>343</v>
      </c>
    </row>
    <row r="9" ht="16.5" customHeight="1" spans="1:3">
      <c r="A9" s="11">
        <v>7</v>
      </c>
      <c r="B9" s="11" t="s">
        <v>348</v>
      </c>
      <c r="C9" s="61" t="s">
        <v>27</v>
      </c>
    </row>
    <row r="10" ht="16.5" customHeight="1" spans="1:3">
      <c r="A10" s="11">
        <v>8</v>
      </c>
      <c r="B10" s="11" t="s">
        <v>349</v>
      </c>
      <c r="C10" s="61" t="s">
        <v>343</v>
      </c>
    </row>
    <row r="11" ht="16.5" customHeight="1" spans="1:3">
      <c r="A11" s="11">
        <v>9</v>
      </c>
      <c r="B11" s="11" t="s">
        <v>350</v>
      </c>
      <c r="C11" s="61" t="s">
        <v>343</v>
      </c>
    </row>
    <row r="12" ht="16.5" customHeight="1" spans="1:3">
      <c r="A12" s="11">
        <v>10</v>
      </c>
      <c r="B12" s="11" t="s">
        <v>351</v>
      </c>
      <c r="C12" s="61" t="s">
        <v>27</v>
      </c>
    </row>
  </sheetData>
  <mergeCells count="1">
    <mergeCell ref="A1:C1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C000"/>
  </sheetPr>
  <dimension ref="A1:Z31"/>
  <sheetViews>
    <sheetView zoomScale="75" zoomScaleNormal="75" workbookViewId="0">
      <pane xSplit="3" ySplit="2" topLeftCell="D3" activePane="bottomRight" state="frozen"/>
      <selection/>
      <selection pane="topRight"/>
      <selection pane="bottomLeft"/>
      <selection pane="bottomRight" activeCell="K24" sqref="D24:Z24"/>
    </sheetView>
  </sheetViews>
  <sheetFormatPr defaultColWidth="8.89090909090909" defaultRowHeight="14"/>
  <cols>
    <col min="1" max="1" width="6" style="1" customWidth="1"/>
    <col min="2" max="2" width="35.5545454545455" style="1" customWidth="1"/>
    <col min="3" max="3" width="11.5545454545455" style="1" customWidth="1"/>
    <col min="4" max="5" width="10.2181818181818" style="1" customWidth="1"/>
    <col min="6" max="6" width="11.5545454545455" style="1" customWidth="1"/>
    <col min="7" max="9" width="10.2181818181818" style="1" customWidth="1"/>
    <col min="10" max="10" width="23.8909090909091" style="1" customWidth="1"/>
  </cols>
  <sheetData>
    <row r="1" ht="22.5" customHeight="1" spans="1:9">
      <c r="A1" s="53" t="s">
        <v>352</v>
      </c>
      <c r="B1" s="3"/>
      <c r="C1" s="3"/>
      <c r="D1" s="3"/>
      <c r="E1" s="3"/>
      <c r="F1" s="3"/>
      <c r="G1" s="3"/>
      <c r="H1" s="3"/>
      <c r="I1" s="4"/>
    </row>
    <row r="2" ht="16.5" customHeight="1" spans="1:26">
      <c r="A2" s="5" t="s">
        <v>1</v>
      </c>
      <c r="B2" s="5" t="s">
        <v>151</v>
      </c>
      <c r="C2" s="5" t="s">
        <v>95</v>
      </c>
      <c r="D2" s="34">
        <v>2025</v>
      </c>
      <c r="E2" s="34">
        <v>2026</v>
      </c>
      <c r="F2" s="34">
        <v>2027</v>
      </c>
      <c r="G2" s="34">
        <v>2028</v>
      </c>
      <c r="H2" s="34">
        <v>2029</v>
      </c>
      <c r="I2" s="34">
        <v>2030</v>
      </c>
      <c r="J2" s="34">
        <v>2031</v>
      </c>
      <c r="K2" s="34">
        <v>2032</v>
      </c>
      <c r="L2" s="34">
        <v>2033</v>
      </c>
      <c r="M2" s="34">
        <v>2034</v>
      </c>
      <c r="N2" s="34">
        <v>2035</v>
      </c>
      <c r="O2" s="34">
        <v>2036</v>
      </c>
      <c r="P2" s="34">
        <v>2037</v>
      </c>
      <c r="Q2" s="34">
        <v>2038</v>
      </c>
      <c r="R2" s="34">
        <v>2039</v>
      </c>
      <c r="S2" s="34">
        <v>2040</v>
      </c>
      <c r="T2" s="34">
        <v>2041</v>
      </c>
      <c r="U2" s="34">
        <v>2042</v>
      </c>
      <c r="V2" s="34">
        <v>2043</v>
      </c>
      <c r="W2" s="34">
        <v>2044</v>
      </c>
      <c r="X2" s="34">
        <v>2045</v>
      </c>
      <c r="Y2" s="34">
        <v>2046</v>
      </c>
      <c r="Z2" s="34">
        <v>2047</v>
      </c>
    </row>
    <row r="3" ht="16.5" customHeight="1" spans="1:26">
      <c r="A3" s="8">
        <v>1</v>
      </c>
      <c r="B3" s="8" t="s">
        <v>353</v>
      </c>
      <c r="C3" s="12">
        <f t="shared" ref="C3:C23" si="0">(SUM(D3:Z3))</f>
        <v>3075.69020255835</v>
      </c>
      <c r="D3" s="14">
        <f t="shared" ref="D3:Z3" si="1">SUM(D4:D7)</f>
        <v>0</v>
      </c>
      <c r="E3" s="14">
        <f t="shared" si="1"/>
        <v>350</v>
      </c>
      <c r="F3" s="14">
        <f t="shared" si="1"/>
        <v>536.4</v>
      </c>
      <c r="G3" s="14">
        <f t="shared" si="1"/>
        <v>666.16</v>
      </c>
      <c r="H3" s="14">
        <f t="shared" si="1"/>
        <v>676.9832</v>
      </c>
      <c r="I3" s="14">
        <f t="shared" si="1"/>
        <v>685.472864</v>
      </c>
      <c r="J3" s="14">
        <f t="shared" si="1"/>
        <v>0</v>
      </c>
      <c r="K3" s="14">
        <f t="shared" si="1"/>
        <v>0</v>
      </c>
      <c r="L3" s="14">
        <f t="shared" si="1"/>
        <v>0</v>
      </c>
      <c r="M3" s="14">
        <f t="shared" si="1"/>
        <v>0</v>
      </c>
      <c r="N3" s="14">
        <f t="shared" si="1"/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 t="shared" si="1"/>
        <v>160.674138558348</v>
      </c>
    </row>
    <row r="4" ht="16.5" customHeight="1" spans="1:26">
      <c r="A4" s="8">
        <v>1.1</v>
      </c>
      <c r="B4" s="8" t="s">
        <v>354</v>
      </c>
      <c r="C4" s="12">
        <f t="shared" si="0"/>
        <v>2915.016064</v>
      </c>
      <c r="D4" s="12">
        <f>(F项目收入!D12)</f>
        <v>0</v>
      </c>
      <c r="E4" s="12">
        <f>(F项目收入!E12)</f>
        <v>350</v>
      </c>
      <c r="F4" s="12">
        <f>(F项目收入!F12)</f>
        <v>536.4</v>
      </c>
      <c r="G4" s="12">
        <f>(F项目收入!G12)</f>
        <v>666.16</v>
      </c>
      <c r="H4" s="12">
        <f>(F项目收入!H12)</f>
        <v>676.9832</v>
      </c>
      <c r="I4" s="12">
        <f>(F项目收入!I12)</f>
        <v>685.472864</v>
      </c>
      <c r="J4" s="12">
        <f>(F项目收入!J12)</f>
        <v>0</v>
      </c>
      <c r="K4" s="12">
        <f>(F项目收入!K12)</f>
        <v>0</v>
      </c>
      <c r="L4" s="12">
        <f>(F项目收入!L12)</f>
        <v>0</v>
      </c>
      <c r="M4" s="12">
        <f>(F项目收入!M12)</f>
        <v>0</v>
      </c>
      <c r="N4" s="12">
        <f>(F项目收入!N12)</f>
        <v>0</v>
      </c>
      <c r="O4" s="12">
        <f>(F项目收入!O12)</f>
        <v>0</v>
      </c>
      <c r="P4" s="12">
        <f>(F项目收入!P12)</f>
        <v>0</v>
      </c>
      <c r="Q4" s="12">
        <f>(F项目收入!Q12)</f>
        <v>0</v>
      </c>
      <c r="R4" s="12">
        <f>(F项目收入!R12)</f>
        <v>0</v>
      </c>
      <c r="S4" s="12">
        <f>(F项目收入!S12)</f>
        <v>0</v>
      </c>
      <c r="T4" s="12">
        <f>(F项目收入!T12)</f>
        <v>0</v>
      </c>
      <c r="U4" s="12">
        <f>(F项目收入!U12)</f>
        <v>0</v>
      </c>
      <c r="V4" s="12">
        <f>(F项目收入!V12)</f>
        <v>0</v>
      </c>
      <c r="W4" s="12">
        <f>(F项目收入!W12)</f>
        <v>0</v>
      </c>
      <c r="X4" s="12">
        <f>(F项目收入!X12)</f>
        <v>0</v>
      </c>
      <c r="Y4" s="12">
        <f>(F项目收入!Y12)</f>
        <v>0</v>
      </c>
      <c r="Z4" s="12">
        <f>F项目收入!Z12-F项目收入!Z10</f>
        <v>0</v>
      </c>
    </row>
    <row r="5" ht="16.5" customHeight="1" spans="1:26">
      <c r="A5" s="8">
        <v>1.2</v>
      </c>
      <c r="B5" s="8" t="s">
        <v>306</v>
      </c>
      <c r="C5" s="12">
        <f t="shared" si="0"/>
        <v>0</v>
      </c>
      <c r="D5" s="46">
        <f>(F项目收入!D10)</f>
        <v>0</v>
      </c>
      <c r="E5" s="46">
        <f>(F项目收入!E10)</f>
        <v>0</v>
      </c>
      <c r="F5" s="46">
        <f>(F项目收入!F10)</f>
        <v>0</v>
      </c>
      <c r="G5" s="46">
        <f>(F项目收入!G10)</f>
        <v>0</v>
      </c>
      <c r="H5" s="46">
        <f>(F项目收入!H10)</f>
        <v>0</v>
      </c>
      <c r="I5" s="46">
        <f>(F项目收入!I10)</f>
        <v>0</v>
      </c>
      <c r="J5" s="46">
        <f>(F项目收入!J10)</f>
        <v>0</v>
      </c>
      <c r="K5" s="46">
        <f>(F项目收入!K10)</f>
        <v>0</v>
      </c>
      <c r="L5" s="46">
        <f>(F项目收入!L10)</f>
        <v>0</v>
      </c>
      <c r="M5" s="46">
        <f>(F项目收入!M10)</f>
        <v>0</v>
      </c>
      <c r="N5" s="46">
        <f>(F项目收入!N10)</f>
        <v>0</v>
      </c>
      <c r="O5" s="46">
        <f>(F项目收入!O10)</f>
        <v>0</v>
      </c>
      <c r="P5" s="46">
        <f>(F项目收入!P10)</f>
        <v>0</v>
      </c>
      <c r="Q5" s="46">
        <f>(F项目收入!Q10)</f>
        <v>0</v>
      </c>
      <c r="R5" s="46">
        <f>(F项目收入!R10)</f>
        <v>0</v>
      </c>
      <c r="S5" s="46">
        <f>(F项目收入!S10)</f>
        <v>0</v>
      </c>
      <c r="T5" s="46">
        <f>(F项目收入!T10)</f>
        <v>0</v>
      </c>
      <c r="U5" s="46">
        <f>(F项目收入!U10)</f>
        <v>0</v>
      </c>
      <c r="V5" s="46">
        <f>(F项目收入!V10)</f>
        <v>0</v>
      </c>
      <c r="W5" s="46">
        <f>(F项目收入!W10)</f>
        <v>0</v>
      </c>
      <c r="X5" s="46">
        <f>(F项目收入!X10)</f>
        <v>0</v>
      </c>
      <c r="Y5" s="46">
        <f>(F项目收入!Y10)</f>
        <v>0</v>
      </c>
      <c r="Z5" s="46">
        <f>F项目收入!Z10</f>
        <v>0</v>
      </c>
    </row>
    <row r="6" ht="16.5" customHeight="1" spans="1:26">
      <c r="A6" s="8">
        <v>1.3</v>
      </c>
      <c r="B6" s="8" t="s">
        <v>355</v>
      </c>
      <c r="C6" s="12">
        <f t="shared" si="0"/>
        <v>109.117172990033</v>
      </c>
      <c r="D6" s="14" t="s">
        <v>118</v>
      </c>
      <c r="E6" s="14" t="s">
        <v>118</v>
      </c>
      <c r="F6" s="14" t="s">
        <v>118</v>
      </c>
      <c r="G6" s="14" t="s">
        <v>118</v>
      </c>
      <c r="H6" s="14" t="s">
        <v>118</v>
      </c>
      <c r="I6" s="14" t="s">
        <v>118</v>
      </c>
      <c r="J6" s="14" t="s">
        <v>118</v>
      </c>
      <c r="K6" s="14" t="s">
        <v>118</v>
      </c>
      <c r="L6" s="14" t="s">
        <v>118</v>
      </c>
      <c r="M6" s="14" t="s">
        <v>118</v>
      </c>
      <c r="N6" s="14" t="s">
        <v>118</v>
      </c>
      <c r="O6" s="14" t="s">
        <v>118</v>
      </c>
      <c r="P6" s="14" t="s">
        <v>118</v>
      </c>
      <c r="Q6" s="14" t="s">
        <v>118</v>
      </c>
      <c r="R6" s="14" t="s">
        <v>118</v>
      </c>
      <c r="S6" s="14" t="s">
        <v>118</v>
      </c>
      <c r="T6" s="14" t="s">
        <v>118</v>
      </c>
      <c r="U6" s="14" t="s">
        <v>118</v>
      </c>
      <c r="V6" s="14" t="s">
        <v>118</v>
      </c>
      <c r="W6" s="14" t="s">
        <v>118</v>
      </c>
      <c r="X6" s="14" t="s">
        <v>118</v>
      </c>
      <c r="Y6" s="14" t="s">
        <v>118</v>
      </c>
      <c r="Z6" s="14">
        <f>E.2固定资产折旧费估算表!C7*A财务假设!$D$12</f>
        <v>109.117172990033</v>
      </c>
    </row>
    <row r="7" ht="16.5" customHeight="1" spans="1:26">
      <c r="A7" s="8">
        <v>1.4</v>
      </c>
      <c r="B7" s="8" t="s">
        <v>356</v>
      </c>
      <c r="C7" s="12">
        <f t="shared" si="0"/>
        <v>51.5569655683145</v>
      </c>
      <c r="D7" s="14" t="s">
        <v>118</v>
      </c>
      <c r="E7" s="14" t="s">
        <v>118</v>
      </c>
      <c r="F7" s="14" t="s">
        <v>118</v>
      </c>
      <c r="G7" s="14" t="s">
        <v>118</v>
      </c>
      <c r="H7" s="14" t="s">
        <v>118</v>
      </c>
      <c r="I7" s="14" t="s">
        <v>118</v>
      </c>
      <c r="J7" s="14" t="s">
        <v>118</v>
      </c>
      <c r="K7" s="14" t="s">
        <v>118</v>
      </c>
      <c r="L7" s="14" t="s">
        <v>118</v>
      </c>
      <c r="M7" s="14" t="s">
        <v>118</v>
      </c>
      <c r="N7" s="14" t="s">
        <v>118</v>
      </c>
      <c r="O7" s="14" t="s">
        <v>118</v>
      </c>
      <c r="P7" s="14" t="s">
        <v>118</v>
      </c>
      <c r="Q7" s="14" t="s">
        <v>118</v>
      </c>
      <c r="R7" s="14" t="s">
        <v>118</v>
      </c>
      <c r="S7" s="14" t="s">
        <v>118</v>
      </c>
      <c r="T7" s="14" t="s">
        <v>118</v>
      </c>
      <c r="U7" s="14" t="s">
        <v>118</v>
      </c>
      <c r="V7" s="14" t="s">
        <v>118</v>
      </c>
      <c r="W7" s="14" t="s">
        <v>118</v>
      </c>
      <c r="X7" s="14" t="s">
        <v>118</v>
      </c>
      <c r="Y7" s="14" t="s">
        <v>118</v>
      </c>
      <c r="Z7" s="14">
        <f>D.4流动资金估算表!AA13</f>
        <v>51.5569655683145</v>
      </c>
    </row>
    <row r="8" ht="16.5" customHeight="1" spans="1:26">
      <c r="A8" s="8">
        <v>2</v>
      </c>
      <c r="B8" s="8" t="s">
        <v>357</v>
      </c>
      <c r="C8" s="12">
        <f t="shared" si="0"/>
        <v>17315.4839686354</v>
      </c>
      <c r="D8" s="14">
        <f t="shared" ref="D8:Z8" si="2">SUM(D9:D14)</f>
        <v>288.84239147918</v>
      </c>
      <c r="E8" s="14">
        <f t="shared" si="2"/>
        <v>606.764199176973</v>
      </c>
      <c r="F8" s="14">
        <f t="shared" si="2"/>
        <v>1396.05706505873</v>
      </c>
      <c r="G8" s="14">
        <f t="shared" si="2"/>
        <v>677.306180746516</v>
      </c>
      <c r="H8" s="14">
        <f t="shared" si="2"/>
        <v>663.580005624936</v>
      </c>
      <c r="I8" s="14">
        <f t="shared" si="2"/>
        <v>673.20573615431</v>
      </c>
      <c r="J8" s="14">
        <f t="shared" si="2"/>
        <v>592.204141590624</v>
      </c>
      <c r="K8" s="14">
        <f t="shared" si="2"/>
        <v>692.404657035483</v>
      </c>
      <c r="L8" s="14">
        <f t="shared" si="2"/>
        <v>702.790342111016</v>
      </c>
      <c r="M8" s="14">
        <f t="shared" si="2"/>
        <v>713.331812462681</v>
      </c>
      <c r="N8" s="14">
        <f t="shared" si="2"/>
        <v>724.031404869621</v>
      </c>
      <c r="O8" s="14">
        <f t="shared" si="2"/>
        <v>734.891491162665</v>
      </c>
      <c r="P8" s="14">
        <f t="shared" si="2"/>
        <v>745.914478750106</v>
      </c>
      <c r="Q8" s="14">
        <f t="shared" si="2"/>
        <v>757.102811151356</v>
      </c>
      <c r="R8" s="14">
        <f t="shared" si="2"/>
        <v>768.458968538627</v>
      </c>
      <c r="S8" s="14">
        <f t="shared" si="2"/>
        <v>779.985468286705</v>
      </c>
      <c r="T8" s="14">
        <f t="shared" si="2"/>
        <v>791.684865531007</v>
      </c>
      <c r="U8" s="14">
        <f t="shared" si="2"/>
        <v>803.559753733971</v>
      </c>
      <c r="V8" s="14">
        <f t="shared" si="2"/>
        <v>815.612765259982</v>
      </c>
      <c r="W8" s="14">
        <f t="shared" si="2"/>
        <v>827.846571958881</v>
      </c>
      <c r="X8" s="14">
        <f t="shared" si="2"/>
        <v>840.370830202708</v>
      </c>
      <c r="Y8" s="14">
        <f t="shared" si="2"/>
        <v>853.392743097971</v>
      </c>
      <c r="Z8" s="14">
        <f t="shared" si="2"/>
        <v>866.145284651385</v>
      </c>
    </row>
    <row r="9" ht="16.5" customHeight="1" spans="1:26">
      <c r="A9" s="8">
        <v>2.1</v>
      </c>
      <c r="B9" s="8" t="s">
        <v>101</v>
      </c>
      <c r="C9" s="12">
        <f t="shared" si="0"/>
        <v>1682.47261569759</v>
      </c>
      <c r="D9" s="14">
        <f>(E.4建设投资税后金额表!H21)</f>
        <v>288.84239147918</v>
      </c>
      <c r="E9" s="14">
        <f>(E.4建设投资税后金额表!I21)</f>
        <v>560.824205232529</v>
      </c>
      <c r="F9" s="14">
        <f>(E.4建设投资税后金额表!J21)</f>
        <v>832.806018985878</v>
      </c>
      <c r="G9" s="14">
        <f>(E.4建设投资税后金额表!K21)</f>
        <v>0</v>
      </c>
      <c r="H9" s="14">
        <f>(E.4建设投资税后金额表!L21)</f>
        <v>0</v>
      </c>
      <c r="I9" s="14">
        <f>(E.4建设投资税后金额表!M21)</f>
        <v>0</v>
      </c>
      <c r="J9" s="14">
        <f>(E.4建设投资税后金额表!N21)</f>
        <v>0</v>
      </c>
      <c r="K9" s="14">
        <f>(E.4建设投资税后金额表!O21)</f>
        <v>0</v>
      </c>
      <c r="L9" s="14">
        <f>(E.4建设投资税后金额表!P21)</f>
        <v>0</v>
      </c>
      <c r="M9" s="14">
        <f>(E.4建设投资税后金额表!Q21)</f>
        <v>0</v>
      </c>
      <c r="N9" s="14">
        <f>(E.4建设投资税后金额表!R21)</f>
        <v>0</v>
      </c>
      <c r="O9" s="14">
        <f>(E.4建设投资税后金额表!S21)</f>
        <v>0</v>
      </c>
      <c r="P9" s="14">
        <f>(E.4建设投资税后金额表!T21)</f>
        <v>0</v>
      </c>
      <c r="Q9" s="14">
        <f>(E.4建设投资税后金额表!U21)</f>
        <v>0</v>
      </c>
      <c r="R9" s="14">
        <f>(E.4建设投资税后金额表!V21)</f>
        <v>0</v>
      </c>
      <c r="S9" s="14">
        <f>(E.4建设投资税后金额表!W21)</f>
        <v>0</v>
      </c>
      <c r="T9" s="14">
        <f>(E.4建设投资税后金额表!X21)</f>
        <v>0</v>
      </c>
      <c r="U9" s="14">
        <f>(E.4建设投资税后金额表!Y21)</f>
        <v>0</v>
      </c>
      <c r="V9" s="14">
        <f>(E.4建设投资税后金额表!Z21)</f>
        <v>0</v>
      </c>
      <c r="W9" s="14">
        <f>(E.4建设投资税后金额表!AA21)</f>
        <v>0</v>
      </c>
      <c r="X9" s="14">
        <f>(E.4建设投资税后金额表!AB21)</f>
        <v>0</v>
      </c>
      <c r="Y9" s="14">
        <f>(E.4建设投资税后金额表!AC21)</f>
        <v>0</v>
      </c>
      <c r="Z9" s="14">
        <f>E.4建设投资税后金额表!AD21</f>
        <v>0</v>
      </c>
    </row>
    <row r="10" ht="16.5" customHeight="1" spans="1:26">
      <c r="A10" s="8">
        <v>2.2</v>
      </c>
      <c r="B10" s="8" t="s">
        <v>103</v>
      </c>
      <c r="C10" s="12">
        <f t="shared" si="0"/>
        <v>51.5569655683145</v>
      </c>
      <c r="D10" s="14">
        <f>D.2项目总投资使用计划与资金筹措表!D6</f>
        <v>0</v>
      </c>
      <c r="E10" s="14">
        <f>D.2项目总投资使用计划与资金筹措表!E6</f>
        <v>45.9376619444444</v>
      </c>
      <c r="F10" s="14">
        <f>D.2项目总投资使用计划与资金筹措表!F6</f>
        <v>54.818810994177</v>
      </c>
      <c r="G10" s="14">
        <f>D.2项目总投资使用计划与资金筹措表!G6</f>
        <v>25.5057459260237</v>
      </c>
      <c r="H10" s="14">
        <f>D.2项目总投资使用计划与资金筹措表!H6</f>
        <v>2.00294906213635</v>
      </c>
      <c r="I10" s="14">
        <f>D.2项目总投资使用计划与资金筹措表!I6</f>
        <v>1.70540852306837</v>
      </c>
      <c r="J10" s="14">
        <f>D.2项目总投资使用计划与资金筹措表!J6</f>
        <v>-89.3683061750856</v>
      </c>
      <c r="K10" s="14">
        <f>D.2项目总投资使用计划与资金筹措表!K6</f>
        <v>0.609007333288098</v>
      </c>
      <c r="L10" s="14">
        <f>D.2项目总投资使用计划与资金筹措表!L6</f>
        <v>0.618142443287468</v>
      </c>
      <c r="M10" s="14">
        <f>D.2项目总投资使用计划与资金筹措表!M6</f>
        <v>0.627414579936733</v>
      </c>
      <c r="N10" s="14">
        <f>D.2项目总投资使用计划与资金筹措表!N6</f>
        <v>0.636825798635861</v>
      </c>
      <c r="O10" s="14">
        <f>D.2项目总投资使用计划与资金筹措表!O6</f>
        <v>0.646378185615319</v>
      </c>
      <c r="P10" s="14">
        <f>D.2项目总投资使用计划与资金筹措表!P6</f>
        <v>0.656073858399608</v>
      </c>
      <c r="Q10" s="14">
        <f>D.2项目总投资使用计划与资金筹措表!Q6</f>
        <v>0.66591496627553</v>
      </c>
      <c r="R10" s="14">
        <f>D.2项目总投资使用计划与资金筹措表!R6</f>
        <v>0.675903690769722</v>
      </c>
      <c r="S10" s="14">
        <f>D.2项目总投资使用计划与资金筹措表!S6</f>
        <v>0.686042246131201</v>
      </c>
      <c r="T10" s="14">
        <f>D.2项目总投资使用计划与资金筹措表!T6</f>
        <v>0.696332879823281</v>
      </c>
      <c r="U10" s="14">
        <f>D.2项目总投资使用计划与资金筹措表!U6</f>
        <v>0.706777873020513</v>
      </c>
      <c r="V10" s="14">
        <f>D.2项目总投资使用计划与资金筹措表!V6</f>
        <v>0.717379541115946</v>
      </c>
      <c r="W10" s="14">
        <f>D.2项目总投资使用计划与资金筹措表!W6</f>
        <v>0.728140234232569</v>
      </c>
      <c r="X10" s="14">
        <f>D.2项目总投资使用计划与资金筹措表!X6</f>
        <v>0.746006782190548</v>
      </c>
      <c r="Y10" s="14">
        <f>D.2项目总投资使用计划与资金筹措表!Y6</f>
        <v>0.777764106145639</v>
      </c>
      <c r="Z10" s="14">
        <f>D.2项目总投资使用计划与资金筹措表!Z6</f>
        <v>0.76059077468225</v>
      </c>
    </row>
    <row r="11" ht="16.5" customHeight="1" spans="1:26">
      <c r="A11" s="8">
        <v>2.3</v>
      </c>
      <c r="B11" s="8" t="s">
        <v>358</v>
      </c>
      <c r="C11" s="12">
        <f t="shared" si="0"/>
        <v>15581.4543873695</v>
      </c>
      <c r="D11" s="14">
        <f>E总成本费用估算表!C11</f>
        <v>0</v>
      </c>
      <c r="E11" s="14">
        <f>E总成本费用估算表!D11</f>
        <v>0.002332</v>
      </c>
      <c r="F11" s="14">
        <f>E总成本费用估算表!E11</f>
        <v>508.432235078672</v>
      </c>
      <c r="G11" s="14">
        <f>E总成本费用估算表!F11</f>
        <v>651.800434820492</v>
      </c>
      <c r="H11" s="14">
        <f>E总成本费用估算表!G11</f>
        <v>661.577056562799</v>
      </c>
      <c r="I11" s="14">
        <f>E总成本费用估算表!H11</f>
        <v>671.500327631241</v>
      </c>
      <c r="J11" s="14">
        <f>E总成本费用估算表!I11</f>
        <v>681.57244776571</v>
      </c>
      <c r="K11" s="14">
        <f>E总成本费用估算表!J11</f>
        <v>691.795649702195</v>
      </c>
      <c r="L11" s="14">
        <f>E总成本费用估算表!K11</f>
        <v>702.172199667728</v>
      </c>
      <c r="M11" s="14">
        <f>E总成本费用估算表!L11</f>
        <v>712.704397882744</v>
      </c>
      <c r="N11" s="14">
        <f>E总成本费用估算表!M11</f>
        <v>723.394579070986</v>
      </c>
      <c r="O11" s="14">
        <f>E总成本费用估算表!N11</f>
        <v>734.24511297705</v>
      </c>
      <c r="P11" s="14">
        <f>E总成本费用估算表!O11</f>
        <v>745.258404891706</v>
      </c>
      <c r="Q11" s="14">
        <f>E总成本费用估算表!P11</f>
        <v>756.436896185081</v>
      </c>
      <c r="R11" s="14">
        <f>E总成本费用估算表!Q11</f>
        <v>767.783064847858</v>
      </c>
      <c r="S11" s="14">
        <f>E总成本费用估算表!R11</f>
        <v>779.299426040574</v>
      </c>
      <c r="T11" s="14">
        <f>E总成本费用估算表!S11</f>
        <v>790.988532651184</v>
      </c>
      <c r="U11" s="14">
        <f>E总成本费用估算表!T11</f>
        <v>802.852975860951</v>
      </c>
      <c r="V11" s="14">
        <f>E总成本费用估算表!U11</f>
        <v>814.895385718866</v>
      </c>
      <c r="W11" s="14">
        <f>E总成本费用估算表!V11</f>
        <v>827.118431724648</v>
      </c>
      <c r="X11" s="14">
        <f>E总成本费用估算表!W11</f>
        <v>839.624823420518</v>
      </c>
      <c r="Y11" s="14">
        <f>E总成本费用估算表!X11</f>
        <v>852.614978991826</v>
      </c>
      <c r="Z11" s="14">
        <f>E总成本费用估算表!Y11</f>
        <v>865.384693876703</v>
      </c>
    </row>
    <row r="12" ht="16.5" customHeight="1" spans="1:26">
      <c r="A12" s="8">
        <v>2.4</v>
      </c>
      <c r="B12" s="8" t="s">
        <v>359</v>
      </c>
      <c r="C12" s="12">
        <f t="shared" si="0"/>
        <v>0</v>
      </c>
      <c r="D12" s="46">
        <f>(G.税金及附加测算表!D30)</f>
        <v>0</v>
      </c>
      <c r="E12" s="46">
        <f>(G.税金及附加测算表!E30)</f>
        <v>0</v>
      </c>
      <c r="F12" s="46">
        <f>(G.税金及附加测算表!F30)</f>
        <v>0</v>
      </c>
      <c r="G12" s="46">
        <f>(G.税金及附加测算表!G30)</f>
        <v>0</v>
      </c>
      <c r="H12" s="46">
        <f>(G.税金及附加测算表!H30)</f>
        <v>0</v>
      </c>
      <c r="I12" s="46">
        <f>(G.税金及附加测算表!I30)</f>
        <v>0</v>
      </c>
      <c r="J12" s="46">
        <f>(G.税金及附加测算表!J30)</f>
        <v>0</v>
      </c>
      <c r="K12" s="46">
        <f>(G.税金及附加测算表!K30)</f>
        <v>0</v>
      </c>
      <c r="L12" s="46">
        <f>(G.税金及附加测算表!L30)</f>
        <v>0</v>
      </c>
      <c r="M12" s="46">
        <f>(G.税金及附加测算表!M30)</f>
        <v>0</v>
      </c>
      <c r="N12" s="46">
        <f>(G.税金及附加测算表!N30)</f>
        <v>0</v>
      </c>
      <c r="O12" s="46">
        <f>(G.税金及附加测算表!O30)</f>
        <v>0</v>
      </c>
      <c r="P12" s="46">
        <f>(G.税金及附加测算表!P30)</f>
        <v>0</v>
      </c>
      <c r="Q12" s="46">
        <f>(G.税金及附加测算表!Q30)</f>
        <v>0</v>
      </c>
      <c r="R12" s="46">
        <f>(G.税金及附加测算表!R30)</f>
        <v>0</v>
      </c>
      <c r="S12" s="46">
        <f>(G.税金及附加测算表!S30)</f>
        <v>0</v>
      </c>
      <c r="T12" s="46">
        <f>(G.税金及附加测算表!T30)</f>
        <v>0</v>
      </c>
      <c r="U12" s="46">
        <f>(G.税金及附加测算表!U30)</f>
        <v>0</v>
      </c>
      <c r="V12" s="46">
        <f>(G.税金及附加测算表!V30)</f>
        <v>0</v>
      </c>
      <c r="W12" s="46">
        <f>(G.税金及附加测算表!W30)</f>
        <v>0</v>
      </c>
      <c r="X12" s="46">
        <f>(G.税金及附加测算表!X30)</f>
        <v>0</v>
      </c>
      <c r="Y12" s="46">
        <f>(G.税金及附加测算表!Y30)</f>
        <v>0</v>
      </c>
      <c r="Z12" s="46">
        <f>G.税金及附加测算表!Z30</f>
        <v>0</v>
      </c>
    </row>
    <row r="13" ht="16.5" customHeight="1" spans="1:26">
      <c r="A13" s="8">
        <v>2.5</v>
      </c>
      <c r="B13" s="8" t="s">
        <v>360</v>
      </c>
      <c r="C13" s="12">
        <f t="shared" si="0"/>
        <v>0</v>
      </c>
      <c r="D13" s="46">
        <f>(G.税金及附加测算表!D29)</f>
        <v>0</v>
      </c>
      <c r="E13" s="46">
        <f>(G.税金及附加测算表!E29)</f>
        <v>0</v>
      </c>
      <c r="F13" s="46">
        <f>(G.税金及附加测算表!F29)</f>
        <v>0</v>
      </c>
      <c r="G13" s="46">
        <f>(G.税金及附加测算表!G29)</f>
        <v>0</v>
      </c>
      <c r="H13" s="46">
        <f>(G.税金及附加测算表!H29)</f>
        <v>0</v>
      </c>
      <c r="I13" s="46">
        <f>(G.税金及附加测算表!I29)</f>
        <v>0</v>
      </c>
      <c r="J13" s="46">
        <f>(G.税金及附加测算表!J29)</f>
        <v>0</v>
      </c>
      <c r="K13" s="46">
        <f>(G.税金及附加测算表!K29)</f>
        <v>0</v>
      </c>
      <c r="L13" s="46">
        <f>(G.税金及附加测算表!L29)</f>
        <v>0</v>
      </c>
      <c r="M13" s="46">
        <f>(G.税金及附加测算表!M29)</f>
        <v>0</v>
      </c>
      <c r="N13" s="46">
        <f>(G.税金及附加测算表!N29)</f>
        <v>0</v>
      </c>
      <c r="O13" s="46">
        <f>(G.税金及附加测算表!O29)</f>
        <v>0</v>
      </c>
      <c r="P13" s="46">
        <f>(G.税金及附加测算表!P29)</f>
        <v>0</v>
      </c>
      <c r="Q13" s="46">
        <f>(G.税金及附加测算表!Q29)</f>
        <v>0</v>
      </c>
      <c r="R13" s="46">
        <f>(G.税金及附加测算表!R29)</f>
        <v>0</v>
      </c>
      <c r="S13" s="46">
        <f>(G.税金及附加测算表!S29)</f>
        <v>0</v>
      </c>
      <c r="T13" s="46">
        <f>(G.税金及附加测算表!T29)</f>
        <v>0</v>
      </c>
      <c r="U13" s="46">
        <f>(G.税金及附加测算表!U29)</f>
        <v>0</v>
      </c>
      <c r="V13" s="46">
        <f>(G.税金及附加测算表!V29)</f>
        <v>0</v>
      </c>
      <c r="W13" s="46">
        <f>(G.税金及附加测算表!W29)</f>
        <v>0</v>
      </c>
      <c r="X13" s="46">
        <f>(G.税金及附加测算表!X29)</f>
        <v>0</v>
      </c>
      <c r="Y13" s="46">
        <f>(G.税金及附加测算表!Y29)</f>
        <v>0</v>
      </c>
      <c r="Z13" s="46">
        <f>G.税金及附加测算表!Z29</f>
        <v>0</v>
      </c>
    </row>
    <row r="14" ht="16.5" customHeight="1" spans="1:26">
      <c r="A14" s="8">
        <v>2.6</v>
      </c>
      <c r="B14" s="8" t="s">
        <v>361</v>
      </c>
      <c r="C14" s="12">
        <f t="shared" si="0"/>
        <v>0</v>
      </c>
      <c r="D14" s="39">
        <v>0</v>
      </c>
      <c r="E14" s="39">
        <v>0</v>
      </c>
      <c r="F14" s="39">
        <v>0</v>
      </c>
      <c r="G14" s="39">
        <v>0</v>
      </c>
      <c r="H14" s="39">
        <v>0</v>
      </c>
      <c r="I14" s="39">
        <v>0</v>
      </c>
      <c r="J14" s="39">
        <v>0</v>
      </c>
      <c r="K14" s="39">
        <v>0</v>
      </c>
      <c r="L14" s="39">
        <v>0</v>
      </c>
      <c r="M14" s="39">
        <v>0</v>
      </c>
      <c r="N14" s="39">
        <v>0</v>
      </c>
      <c r="O14" s="39">
        <v>0</v>
      </c>
      <c r="P14" s="39">
        <v>0</v>
      </c>
      <c r="Q14" s="39">
        <v>0</v>
      </c>
      <c r="R14" s="39">
        <v>0</v>
      </c>
      <c r="S14" s="39">
        <v>0</v>
      </c>
      <c r="T14" s="39">
        <v>0</v>
      </c>
      <c r="U14" s="39">
        <v>0</v>
      </c>
      <c r="V14" s="39">
        <v>0</v>
      </c>
      <c r="W14" s="39">
        <v>0</v>
      </c>
      <c r="X14" s="39">
        <v>0</v>
      </c>
      <c r="Y14" s="39">
        <v>0</v>
      </c>
      <c r="Z14" s="39">
        <v>0</v>
      </c>
    </row>
    <row r="15" ht="16.5" customHeight="1" spans="1:26">
      <c r="A15" s="8">
        <v>3</v>
      </c>
      <c r="B15" s="8" t="s">
        <v>362</v>
      </c>
      <c r="C15" s="12">
        <f t="shared" si="0"/>
        <v>-14239.7937660771</v>
      </c>
      <c r="D15" s="14">
        <f t="shared" ref="D15:Z15" si="3">D3-D8</f>
        <v>-288.84239147918</v>
      </c>
      <c r="E15" s="14">
        <f t="shared" si="3"/>
        <v>-256.764199176973</v>
      </c>
      <c r="F15" s="14">
        <f t="shared" si="3"/>
        <v>-859.657065058726</v>
      </c>
      <c r="G15" s="14">
        <f t="shared" si="3"/>
        <v>-11.1461807465157</v>
      </c>
      <c r="H15" s="14">
        <f t="shared" si="3"/>
        <v>13.4031943750642</v>
      </c>
      <c r="I15" s="14">
        <f t="shared" si="3"/>
        <v>12.2671278456902</v>
      </c>
      <c r="J15" s="14">
        <f t="shared" si="3"/>
        <v>-592.204141590624</v>
      </c>
      <c r="K15" s="14">
        <f t="shared" si="3"/>
        <v>-692.404657035483</v>
      </c>
      <c r="L15" s="14">
        <f t="shared" si="3"/>
        <v>-702.790342111016</v>
      </c>
      <c r="M15" s="14">
        <f t="shared" si="3"/>
        <v>-713.331812462681</v>
      </c>
      <c r="N15" s="14">
        <f t="shared" si="3"/>
        <v>-724.031404869621</v>
      </c>
      <c r="O15" s="14">
        <f t="shared" si="3"/>
        <v>-734.891491162665</v>
      </c>
      <c r="P15" s="14">
        <f t="shared" si="3"/>
        <v>-745.914478750106</v>
      </c>
      <c r="Q15" s="14">
        <f t="shared" si="3"/>
        <v>-757.102811151356</v>
      </c>
      <c r="R15" s="14">
        <f t="shared" si="3"/>
        <v>-768.458968538627</v>
      </c>
      <c r="S15" s="14">
        <f t="shared" si="3"/>
        <v>-779.985468286705</v>
      </c>
      <c r="T15" s="14">
        <f t="shared" si="3"/>
        <v>-791.684865531007</v>
      </c>
      <c r="U15" s="14">
        <f t="shared" si="3"/>
        <v>-803.559753733971</v>
      </c>
      <c r="V15" s="14">
        <f t="shared" si="3"/>
        <v>-815.612765259982</v>
      </c>
      <c r="W15" s="14">
        <f t="shared" si="3"/>
        <v>-827.846571958881</v>
      </c>
      <c r="X15" s="14">
        <f t="shared" si="3"/>
        <v>-840.370830202708</v>
      </c>
      <c r="Y15" s="14">
        <f t="shared" si="3"/>
        <v>-853.392743097971</v>
      </c>
      <c r="Z15" s="14">
        <f t="shared" si="3"/>
        <v>-705.471146093038</v>
      </c>
    </row>
    <row r="16" ht="16.5" customHeight="1" spans="1:26">
      <c r="A16" s="8">
        <v>4</v>
      </c>
      <c r="B16" s="8" t="s">
        <v>363</v>
      </c>
      <c r="C16" s="12">
        <f t="shared" si="0"/>
        <v>-141616.065614797</v>
      </c>
      <c r="D16" s="14">
        <f>D15</f>
        <v>-288.84239147918</v>
      </c>
      <c r="E16" s="14">
        <f t="shared" ref="E16:Z16" si="4">E15+D16</f>
        <v>-545.606590656153</v>
      </c>
      <c r="F16" s="14">
        <f t="shared" si="4"/>
        <v>-1405.26365571488</v>
      </c>
      <c r="G16" s="14">
        <f t="shared" si="4"/>
        <v>-1416.40983646139</v>
      </c>
      <c r="H16" s="14">
        <f t="shared" si="4"/>
        <v>-1403.00664208633</v>
      </c>
      <c r="I16" s="14">
        <f t="shared" si="4"/>
        <v>-1390.73951424064</v>
      </c>
      <c r="J16" s="14">
        <f t="shared" si="4"/>
        <v>-1982.94365583126</v>
      </c>
      <c r="K16" s="14">
        <f t="shared" si="4"/>
        <v>-2675.34831286675</v>
      </c>
      <c r="L16" s="14">
        <f t="shared" si="4"/>
        <v>-3378.13865497776</v>
      </c>
      <c r="M16" s="14">
        <f t="shared" si="4"/>
        <v>-4091.47046744044</v>
      </c>
      <c r="N16" s="14">
        <f t="shared" si="4"/>
        <v>-4815.50187231007</v>
      </c>
      <c r="O16" s="14">
        <f t="shared" si="4"/>
        <v>-5550.39336347273</v>
      </c>
      <c r="P16" s="14">
        <f t="shared" si="4"/>
        <v>-6296.30784222284</v>
      </c>
      <c r="Q16" s="14">
        <f t="shared" si="4"/>
        <v>-7053.41065337419</v>
      </c>
      <c r="R16" s="14">
        <f t="shared" si="4"/>
        <v>-7821.86962191282</v>
      </c>
      <c r="S16" s="14">
        <f t="shared" si="4"/>
        <v>-8601.85509019953</v>
      </c>
      <c r="T16" s="14">
        <f t="shared" si="4"/>
        <v>-9393.53995573054</v>
      </c>
      <c r="U16" s="14">
        <f t="shared" si="4"/>
        <v>-10197.0997094645</v>
      </c>
      <c r="V16" s="14">
        <f t="shared" si="4"/>
        <v>-11012.7124747245</v>
      </c>
      <c r="W16" s="14">
        <f t="shared" si="4"/>
        <v>-11840.5590466834</v>
      </c>
      <c r="X16" s="14">
        <f t="shared" si="4"/>
        <v>-12680.9298768861</v>
      </c>
      <c r="Y16" s="14">
        <f t="shared" si="4"/>
        <v>-13534.322619984</v>
      </c>
      <c r="Z16" s="14">
        <f t="shared" si="4"/>
        <v>-14239.7937660771</v>
      </c>
    </row>
    <row r="17" s="37" customFormat="1" ht="16.5" customHeight="1" spans="1:26">
      <c r="A17" s="41">
        <v>5</v>
      </c>
      <c r="B17" s="41" t="s">
        <v>364</v>
      </c>
      <c r="C17" s="12">
        <f t="shared" si="0"/>
        <v>-3559.94436051927</v>
      </c>
      <c r="D17" s="46">
        <f>'b利润与利润分配表（损益和利润分配表）'!D25*A财务假设!$D$9</f>
        <v>4.31866666666667</v>
      </c>
      <c r="E17" s="46">
        <f>'b利润与利润分配表（损益和利润分配表）'!E25*A财务假设!$D$9</f>
        <v>117.445510832662</v>
      </c>
      <c r="F17" s="46">
        <f>'b利润与利润分配表（损益和利润分配表）'!F25*A财务假设!$D$9</f>
        <v>87.3906782003982</v>
      </c>
      <c r="G17" s="46">
        <f>'b利润与利润分配表（损益和利润分配表）'!G25*A财务假设!$D$9</f>
        <v>-21.8100225624372</v>
      </c>
      <c r="H17" s="46">
        <f>'b利润与利润分配表（损益和利润分配表）'!H25*A财务假设!$D$9</f>
        <v>-21.548377998014</v>
      </c>
      <c r="I17" s="46">
        <f>'b利润与利润分配表（损益和利润分配表）'!I25*A财务假设!$D$9</f>
        <v>-21.9067797651245</v>
      </c>
      <c r="J17" s="46">
        <f>'b利润与利润分配表（损益和利润分配表）'!J25*A财务假设!$D$9</f>
        <v>-195.793025798742</v>
      </c>
      <c r="K17" s="46">
        <f>'b利润与利润分配表（损益和利润分配表）'!K25*A财务假设!$D$9</f>
        <v>-198.348826282863</v>
      </c>
      <c r="L17" s="46">
        <f>'b利润与利润分配表（损益和利润分配表）'!L25*A财务假设!$D$9</f>
        <v>-200.942963774246</v>
      </c>
      <c r="M17" s="46">
        <f>'b利润与利润分配表（损益和利润分配表）'!M25*A财务假设!$D$9</f>
        <v>-203.576013328</v>
      </c>
      <c r="N17" s="46">
        <f>'b利润与利润分配表（损益和利润分配表）'!N25*A财务假设!$D$9</f>
        <v>-206.248558625061</v>
      </c>
      <c r="O17" s="46">
        <f>'b利润与利润分配表（损益和利润分配表）'!O25*A财务假设!$D$9</f>
        <v>-208.961192101577</v>
      </c>
      <c r="P17" s="46">
        <f>'b利润与利润分配表（损益和利润分配表）'!P25*A财务假设!$D$9</f>
        <v>-211.714515080241</v>
      </c>
      <c r="Q17" s="46">
        <f>'b利润与利润分配表（损益和利润分配表）'!Q25*A财务假设!$D$9</f>
        <v>-214.509137903584</v>
      </c>
      <c r="R17" s="46">
        <f>'b利润与利润分配表（损益和利润分配表）'!R25*A财务假设!$D$9</f>
        <v>-217.345680069279</v>
      </c>
      <c r="S17" s="46">
        <f>'b利润与利润分配表（损益和利润分配表）'!S25*A财务假设!$D$9</f>
        <v>-220.224770367458</v>
      </c>
      <c r="T17" s="46">
        <f>'b利润与利润分配表（损益和利润分配表）'!T25*A财务假设!$D$9</f>
        <v>-223.14704702011</v>
      </c>
      <c r="U17" s="46">
        <f>'b利润与利润分配表（损益和利润分配表）'!U25*A财务假设!$D$9</f>
        <v>-226.113157822552</v>
      </c>
      <c r="V17" s="46">
        <f>'b利润与利润分配表（损益和利润分配表）'!V25*A财务假设!$D$9</f>
        <v>-229.123760287031</v>
      </c>
      <c r="W17" s="46">
        <f>'b利润与利润分配表（损益和利润分配表）'!W25*A财务假设!$D$9</f>
        <v>-232.179521788476</v>
      </c>
      <c r="X17" s="46">
        <f>'b利润与利润分配表（损益和利润分配表）'!X25*A财务假设!$D$9</f>
        <v>-235.306119712444</v>
      </c>
      <c r="Y17" s="46">
        <f>'b利润与利润分配表（损益和利润分配表）'!Y25*A财务假设!$D$9</f>
        <v>-238.553658605271</v>
      </c>
      <c r="Z17" s="46">
        <f>'b利润与利润分配表（损益和利润分配表）'!Z25*A财务假设!$D$9</f>
        <v>-241.74608732649</v>
      </c>
    </row>
    <row r="18" ht="16.5" customHeight="1" spans="1:26">
      <c r="A18" s="8">
        <v>6</v>
      </c>
      <c r="B18" s="8" t="s">
        <v>365</v>
      </c>
      <c r="C18" s="12">
        <f t="shared" si="0"/>
        <v>-10679.8494055578</v>
      </c>
      <c r="D18" s="14">
        <f t="shared" ref="D18:Z18" si="5">D15-D17</f>
        <v>-293.161058145846</v>
      </c>
      <c r="E18" s="14">
        <f t="shared" si="5"/>
        <v>-374.209710009635</v>
      </c>
      <c r="F18" s="14">
        <f t="shared" si="5"/>
        <v>-947.047743259124</v>
      </c>
      <c r="G18" s="14">
        <f t="shared" si="5"/>
        <v>10.6638418159215</v>
      </c>
      <c r="H18" s="14">
        <f t="shared" si="5"/>
        <v>34.9515723730782</v>
      </c>
      <c r="I18" s="14">
        <f t="shared" si="5"/>
        <v>34.1739076108147</v>
      </c>
      <c r="J18" s="14">
        <f t="shared" si="5"/>
        <v>-396.411115791883</v>
      </c>
      <c r="K18" s="14">
        <f t="shared" si="5"/>
        <v>-494.05583075262</v>
      </c>
      <c r="L18" s="14">
        <f t="shared" si="5"/>
        <v>-501.84737833677</v>
      </c>
      <c r="M18" s="14">
        <f t="shared" si="5"/>
        <v>-509.755799134681</v>
      </c>
      <c r="N18" s="14">
        <f t="shared" si="5"/>
        <v>-517.782846244561</v>
      </c>
      <c r="O18" s="14">
        <f t="shared" si="5"/>
        <v>-525.930299061089</v>
      </c>
      <c r="P18" s="14">
        <f t="shared" si="5"/>
        <v>-534.199963669865</v>
      </c>
      <c r="Q18" s="14">
        <f t="shared" si="5"/>
        <v>-542.593673247772</v>
      </c>
      <c r="R18" s="14">
        <f t="shared" si="5"/>
        <v>-551.113288469349</v>
      </c>
      <c r="S18" s="14">
        <f t="shared" si="5"/>
        <v>-559.760697919248</v>
      </c>
      <c r="T18" s="14">
        <f t="shared" si="5"/>
        <v>-568.537818510897</v>
      </c>
      <c r="U18" s="14">
        <f t="shared" si="5"/>
        <v>-577.446595911419</v>
      </c>
      <c r="V18" s="14">
        <f t="shared" si="5"/>
        <v>-586.489004972951</v>
      </c>
      <c r="W18" s="14">
        <f t="shared" si="5"/>
        <v>-595.667050170405</v>
      </c>
      <c r="X18" s="14">
        <f t="shared" si="5"/>
        <v>-605.064710490265</v>
      </c>
      <c r="Y18" s="14">
        <f t="shared" si="5"/>
        <v>-614.839084492701</v>
      </c>
      <c r="Z18" s="14">
        <f t="shared" si="5"/>
        <v>-463.725058766548</v>
      </c>
    </row>
    <row r="19" ht="16.5" customHeight="1" spans="1:26">
      <c r="A19" s="8">
        <v>7</v>
      </c>
      <c r="B19" s="8" t="s">
        <v>366</v>
      </c>
      <c r="C19" s="12">
        <f t="shared" si="0"/>
        <v>-112729.744633198</v>
      </c>
      <c r="D19" s="14">
        <f>D18</f>
        <v>-293.161058145846</v>
      </c>
      <c r="E19" s="14">
        <f t="shared" ref="E19:Z19" si="6">E18+D19</f>
        <v>-667.370768155482</v>
      </c>
      <c r="F19" s="14">
        <f t="shared" si="6"/>
        <v>-1614.41851141461</v>
      </c>
      <c r="G19" s="14">
        <f t="shared" si="6"/>
        <v>-1603.75466959868</v>
      </c>
      <c r="H19" s="14">
        <f t="shared" si="6"/>
        <v>-1568.80309722561</v>
      </c>
      <c r="I19" s="14">
        <f t="shared" si="6"/>
        <v>-1534.62918961479</v>
      </c>
      <c r="J19" s="14">
        <f t="shared" si="6"/>
        <v>-1931.04030540667</v>
      </c>
      <c r="K19" s="14">
        <f t="shared" si="6"/>
        <v>-2425.09613615929</v>
      </c>
      <c r="L19" s="14">
        <f t="shared" si="6"/>
        <v>-2926.94351449606</v>
      </c>
      <c r="M19" s="14">
        <f t="shared" si="6"/>
        <v>-3436.69931363074</v>
      </c>
      <c r="N19" s="14">
        <f t="shared" si="6"/>
        <v>-3954.48215987531</v>
      </c>
      <c r="O19" s="14">
        <f t="shared" si="6"/>
        <v>-4480.41245893639</v>
      </c>
      <c r="P19" s="14">
        <f t="shared" si="6"/>
        <v>-5014.61242260626</v>
      </c>
      <c r="Q19" s="14">
        <f t="shared" si="6"/>
        <v>-5557.20609585403</v>
      </c>
      <c r="R19" s="14">
        <f t="shared" si="6"/>
        <v>-6108.31938432338</v>
      </c>
      <c r="S19" s="14">
        <f t="shared" si="6"/>
        <v>-6668.08008224263</v>
      </c>
      <c r="T19" s="14">
        <f t="shared" si="6"/>
        <v>-7236.61790075353</v>
      </c>
      <c r="U19" s="14">
        <f t="shared" si="6"/>
        <v>-7814.06449666495</v>
      </c>
      <c r="V19" s="14">
        <f t="shared" si="6"/>
        <v>-8400.5535016379</v>
      </c>
      <c r="W19" s="14">
        <f t="shared" si="6"/>
        <v>-8996.2205518083</v>
      </c>
      <c r="X19" s="14">
        <f t="shared" si="6"/>
        <v>-9601.28526229857</v>
      </c>
      <c r="Y19" s="14">
        <f t="shared" si="6"/>
        <v>-10216.1243467913</v>
      </c>
      <c r="Z19" s="14">
        <f t="shared" si="6"/>
        <v>-10679.8494055578</v>
      </c>
    </row>
    <row r="20" ht="16.5" customHeight="1" spans="1:26">
      <c r="A20" s="8">
        <v>8</v>
      </c>
      <c r="B20" s="8" t="s">
        <v>367</v>
      </c>
      <c r="C20" s="12">
        <f t="shared" si="0"/>
        <v>-5824.44015664725</v>
      </c>
      <c r="D20" s="14">
        <f>D15/(1+A财务假设!$D$14)^(D2-$D$2)</f>
        <v>-288.84239147918</v>
      </c>
      <c r="E20" s="14">
        <f>E15/(1+A财务假设!$D$14)^(E2-$D$2)</f>
        <v>-237.744628867568</v>
      </c>
      <c r="F20" s="14">
        <f>F15/(1+A财务假设!$D$14)^(F2-$D$2)</f>
        <v>-737.017374021542</v>
      </c>
      <c r="G20" s="14">
        <f>G15/(1+A财务假设!$D$14)^(G2-$D$2)</f>
        <v>-8.84819764082243</v>
      </c>
      <c r="H20" s="14">
        <f>H15/(1+A财务假设!$D$14)^(H2-$D$2)</f>
        <v>9.85174798850571</v>
      </c>
      <c r="I20" s="14">
        <f>I15/(1+A财务假设!$D$14)^(I2-$D$2)</f>
        <v>8.34880108764161</v>
      </c>
      <c r="J20" s="14">
        <f>J15/(1+A财务假设!$D$14)^(J2-$D$2)</f>
        <v>-373.189062944793</v>
      </c>
      <c r="K20" s="14">
        <f>K15/(1+A财务假设!$D$14)^(K2-$D$2)</f>
        <v>-404.011467014976</v>
      </c>
      <c r="L20" s="14">
        <f>L15/(1+A财务假设!$D$14)^(L2-$D$2)</f>
        <v>-379.69575417108</v>
      </c>
      <c r="M20" s="14">
        <f>M15/(1+A财务假设!$D$14)^(M2-$D$2)</f>
        <v>-356.843502406468</v>
      </c>
      <c r="N20" s="14">
        <f>N15/(1+A财务假设!$D$14)^(N2-$D$2)</f>
        <v>-335.366631904414</v>
      </c>
      <c r="O20" s="14">
        <f>O15/(1+A财务假设!$D$14)^(O2-$D$2)</f>
        <v>-315.182364032768</v>
      </c>
      <c r="P20" s="14">
        <f>P15/(1+A财务假设!$D$14)^(P2-$D$2)</f>
        <v>-296.21290228492</v>
      </c>
      <c r="Q20" s="14">
        <f>Q15/(1+A财务假设!$D$14)^(Q2-$D$2)</f>
        <v>-278.385132423853</v>
      </c>
      <c r="R20" s="14">
        <f>R15/(1+A财务假设!$D$14)^(R2-$D$2)</f>
        <v>-261.630340673522</v>
      </c>
      <c r="S20" s="14">
        <f>S15/(1+A财务假设!$D$14)^(S2-$D$2)</f>
        <v>-245.883948871319</v>
      </c>
      <c r="T20" s="14">
        <f>T15/(1+A财务假设!$D$14)^(T2-$D$2)</f>
        <v>-231.08526556082</v>
      </c>
      <c r="U20" s="14">
        <f>U15/(1+A财务假设!$D$14)^(U2-$D$2)</f>
        <v>-217.177252065387</v>
      </c>
      <c r="V20" s="14">
        <f>V15/(1+A财务假设!$D$14)^(V2-$D$2)</f>
        <v>-204.106302641001</v>
      </c>
      <c r="W20" s="14">
        <f>W15/(1+A财务假设!$D$14)^(W2-$D$2)</f>
        <v>-191.822037860921</v>
      </c>
      <c r="X20" s="14">
        <f>X15/(1+A财务假设!$D$14)^(X2-$D$2)</f>
        <v>-180.30005517465</v>
      </c>
      <c r="Y20" s="14">
        <f>Y15/(1+A财务假设!$D$14)^(Y2-$D$2)</f>
        <v>-169.531373373426</v>
      </c>
      <c r="Z20" s="14">
        <f>Z15/(1+A财务假设!$D$14)^(Z2-$D$2)</f>
        <v>-129.764720309968</v>
      </c>
    </row>
    <row r="21" ht="16.5" customHeight="1" spans="1:26">
      <c r="A21" s="8">
        <v>9</v>
      </c>
      <c r="B21" s="8" t="s">
        <v>368</v>
      </c>
      <c r="C21" s="12">
        <f t="shared" si="0"/>
        <v>-74914.3670616782</v>
      </c>
      <c r="D21" s="14">
        <f>D20</f>
        <v>-288.84239147918</v>
      </c>
      <c r="E21" s="14">
        <f t="shared" ref="E21:Z21" si="7">E20+D21</f>
        <v>-526.587020346748</v>
      </c>
      <c r="F21" s="14">
        <f t="shared" si="7"/>
        <v>-1263.60439436829</v>
      </c>
      <c r="G21" s="14">
        <f t="shared" si="7"/>
        <v>-1272.45259200911</v>
      </c>
      <c r="H21" s="14">
        <f t="shared" si="7"/>
        <v>-1262.60084402061</v>
      </c>
      <c r="I21" s="14">
        <f t="shared" si="7"/>
        <v>-1254.25204293296</v>
      </c>
      <c r="J21" s="14">
        <f t="shared" si="7"/>
        <v>-1627.44110587776</v>
      </c>
      <c r="K21" s="14">
        <f t="shared" si="7"/>
        <v>-2031.45257289273</v>
      </c>
      <c r="L21" s="14">
        <f t="shared" si="7"/>
        <v>-2411.14832706381</v>
      </c>
      <c r="M21" s="14">
        <f t="shared" si="7"/>
        <v>-2767.99182947028</v>
      </c>
      <c r="N21" s="14">
        <f t="shared" si="7"/>
        <v>-3103.3584613747</v>
      </c>
      <c r="O21" s="14">
        <f t="shared" si="7"/>
        <v>-3418.54082540746</v>
      </c>
      <c r="P21" s="14">
        <f t="shared" si="7"/>
        <v>-3714.75372769238</v>
      </c>
      <c r="Q21" s="14">
        <f t="shared" si="7"/>
        <v>-3993.13886011624</v>
      </c>
      <c r="R21" s="14">
        <f t="shared" si="7"/>
        <v>-4254.76920078976</v>
      </c>
      <c r="S21" s="14">
        <f t="shared" si="7"/>
        <v>-4500.65314966108</v>
      </c>
      <c r="T21" s="14">
        <f t="shared" si="7"/>
        <v>-4731.7384152219</v>
      </c>
      <c r="U21" s="14">
        <f t="shared" si="7"/>
        <v>-4948.91566728729</v>
      </c>
      <c r="V21" s="14">
        <f t="shared" si="7"/>
        <v>-5153.02196992829</v>
      </c>
      <c r="W21" s="14">
        <f t="shared" si="7"/>
        <v>-5344.84400778921</v>
      </c>
      <c r="X21" s="14">
        <f t="shared" si="7"/>
        <v>-5525.14406296386</v>
      </c>
      <c r="Y21" s="14">
        <f t="shared" si="7"/>
        <v>-5694.67543633728</v>
      </c>
      <c r="Z21" s="14">
        <f t="shared" si="7"/>
        <v>-5824.44015664725</v>
      </c>
    </row>
    <row r="22" ht="16.5" customHeight="1" spans="1:26">
      <c r="A22" s="8">
        <v>10</v>
      </c>
      <c r="B22" s="8" t="s">
        <v>369</v>
      </c>
      <c r="C22" s="12">
        <f t="shared" si="0"/>
        <v>-4643.59906752814</v>
      </c>
      <c r="D22" s="14">
        <f>D18/(1+A财务假设!$D$14)^(D2-$D$2)</f>
        <v>-293.161058145846</v>
      </c>
      <c r="E22" s="14">
        <f>E18/(1+A财务假设!$D$14)^(E2-$D$2)</f>
        <v>-346.490472231144</v>
      </c>
      <c r="F22" s="14">
        <f>F18/(1+A财务假设!$D$14)^(F2-$D$2)</f>
        <v>-811.940794975244</v>
      </c>
      <c r="G22" s="14">
        <f>G18/(1+A财务假设!$D$14)^(G2-$D$2)</f>
        <v>8.46530144661754</v>
      </c>
      <c r="H22" s="14">
        <f>H18/(1+A财务假设!$D$14)^(H2-$D$2)</f>
        <v>25.6904490963883</v>
      </c>
      <c r="I22" s="14">
        <f>I18/(1+A财务假设!$D$14)^(I2-$D$2)</f>
        <v>23.2581872969044</v>
      </c>
      <c r="J22" s="14">
        <f>J18/(1+A财务假设!$D$14)^(J2-$D$2)</f>
        <v>-249.806244930886</v>
      </c>
      <c r="K22" s="14">
        <f>K18/(1+A财务假设!$D$14)^(K2-$D$2)</f>
        <v>-288.276831967408</v>
      </c>
      <c r="L22" s="14">
        <f>L18/(1+A财务假设!$D$14)^(L2-$D$2)</f>
        <v>-271.132523284247</v>
      </c>
      <c r="M22" s="14">
        <f>M18/(1+A财务假设!$D$14)^(M2-$D$2)</f>
        <v>-255.004812006395</v>
      </c>
      <c r="N22" s="14">
        <f>N18/(1+A财务假设!$D$14)^(N2-$D$2)</f>
        <v>-239.833642622434</v>
      </c>
      <c r="O22" s="14">
        <f>O18/(1+A财务假设!$D$14)^(O2-$D$2)</f>
        <v>-225.562490473636</v>
      </c>
      <c r="P22" s="14">
        <f>P18/(1+A财务假设!$D$14)^(P2-$D$2)</f>
        <v>-212.138155441492</v>
      </c>
      <c r="Q22" s="14">
        <f>Q18/(1+A财务假设!$D$14)^(Q2-$D$2)</f>
        <v>-199.510567593479</v>
      </c>
      <c r="R22" s="14">
        <f>R18/(1+A财务假设!$D$14)^(R2-$D$2)</f>
        <v>-187.632604101351</v>
      </c>
      <c r="S22" s="14">
        <f>S18/(1+A财务假设!$D$14)^(S2-$D$2)</f>
        <v>-176.45991678496</v>
      </c>
      <c r="T22" s="14">
        <f>T18/(1+A财务假设!$D$14)^(T2-$D$2)</f>
        <v>-165.950769671262</v>
      </c>
      <c r="U22" s="14">
        <f>U18/(1+A财务假设!$D$14)^(U2-$D$2)</f>
        <v>-156.065885992683</v>
      </c>
      <c r="V22" s="14">
        <f>V18/(1+A财务假设!$D$14)^(V2-$D$2)</f>
        <v>-146.768304081744</v>
      </c>
      <c r="W22" s="14">
        <f>W18/(1+A财务假设!$D$14)^(W2-$D$2)</f>
        <v>-138.02324164962</v>
      </c>
      <c r="X22" s="14">
        <f>X18/(1+A财务假设!$D$14)^(X2-$D$2)</f>
        <v>-129.815548999141</v>
      </c>
      <c r="Y22" s="14">
        <f>Y18/(1+A财务假设!$D$14)^(Y2-$D$2)</f>
        <v>-122.141317981352</v>
      </c>
      <c r="Z22" s="14">
        <f>Z18/(1+A财务假设!$D$14)^(Z2-$D$2)</f>
        <v>-85.2978224337307</v>
      </c>
    </row>
    <row r="23" ht="16.5" customHeight="1" spans="1:26">
      <c r="A23" s="8">
        <v>11</v>
      </c>
      <c r="B23" s="8" t="s">
        <v>370</v>
      </c>
      <c r="C23" s="12">
        <f t="shared" si="0"/>
        <v>-64192.9678732829</v>
      </c>
      <c r="D23" s="14">
        <f>D22</f>
        <v>-293.161058145846</v>
      </c>
      <c r="E23" s="14">
        <f t="shared" ref="E23:Z23" si="8">E22+D23</f>
        <v>-639.65153037699</v>
      </c>
      <c r="F23" s="14">
        <f t="shared" si="8"/>
        <v>-1451.59232535223</v>
      </c>
      <c r="G23" s="14">
        <f t="shared" si="8"/>
        <v>-1443.12702390562</v>
      </c>
      <c r="H23" s="14">
        <f t="shared" si="8"/>
        <v>-1417.43657480923</v>
      </c>
      <c r="I23" s="14">
        <f t="shared" si="8"/>
        <v>-1394.17838751232</v>
      </c>
      <c r="J23" s="14">
        <f t="shared" si="8"/>
        <v>-1643.98463244321</v>
      </c>
      <c r="K23" s="14">
        <f t="shared" si="8"/>
        <v>-1932.26146441062</v>
      </c>
      <c r="L23" s="14">
        <f t="shared" si="8"/>
        <v>-2203.39398769487</v>
      </c>
      <c r="M23" s="14">
        <f t="shared" si="8"/>
        <v>-2458.39879970126</v>
      </c>
      <c r="N23" s="14">
        <f t="shared" si="8"/>
        <v>-2698.23244232369</v>
      </c>
      <c r="O23" s="14">
        <f t="shared" si="8"/>
        <v>-2923.79493279733</v>
      </c>
      <c r="P23" s="14">
        <f t="shared" si="8"/>
        <v>-3135.93308823882</v>
      </c>
      <c r="Q23" s="14">
        <f t="shared" si="8"/>
        <v>-3335.4436558323</v>
      </c>
      <c r="R23" s="14">
        <f t="shared" si="8"/>
        <v>-3523.07625993365</v>
      </c>
      <c r="S23" s="14">
        <f t="shared" si="8"/>
        <v>-3699.53617671861</v>
      </c>
      <c r="T23" s="14">
        <f t="shared" si="8"/>
        <v>-3865.48694638987</v>
      </c>
      <c r="U23" s="14">
        <f t="shared" si="8"/>
        <v>-4021.55283238256</v>
      </c>
      <c r="V23" s="14">
        <f t="shared" si="8"/>
        <v>-4168.3211364643</v>
      </c>
      <c r="W23" s="14">
        <f t="shared" si="8"/>
        <v>-4306.34437811392</v>
      </c>
      <c r="X23" s="14">
        <f t="shared" si="8"/>
        <v>-4436.15992711306</v>
      </c>
      <c r="Y23" s="14">
        <f t="shared" si="8"/>
        <v>-4558.30124509441</v>
      </c>
      <c r="Z23" s="14">
        <f t="shared" si="8"/>
        <v>-4643.59906752814</v>
      </c>
    </row>
    <row r="24" ht="33" customHeight="1" spans="1:26">
      <c r="A24" s="8" t="s">
        <v>371</v>
      </c>
      <c r="B24" s="54" t="s">
        <v>372</v>
      </c>
      <c r="C24" s="8"/>
      <c r="D24" s="52" t="e">
        <f>(IRR(D15:Z15))</f>
        <v>#NUM!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4"/>
    </row>
    <row r="25" ht="33" customHeight="1" spans="1:26">
      <c r="A25" s="8" t="s">
        <v>373</v>
      </c>
      <c r="B25" s="54" t="s">
        <v>374</v>
      </c>
      <c r="C25" s="8"/>
      <c r="D25" s="52" t="e">
        <f>(IRR(D18:Z18))</f>
        <v>#NUM!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4"/>
    </row>
    <row r="26" ht="33" customHeight="1" spans="1:26">
      <c r="A26" s="8" t="s">
        <v>375</v>
      </c>
      <c r="B26" s="54" t="s">
        <v>376</v>
      </c>
      <c r="C26" s="55" t="s">
        <v>377</v>
      </c>
      <c r="D26" s="56">
        <f>(NPV(A财务假设!$D$3,D15:Z15))</f>
        <v>-5393.00014504375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4"/>
    </row>
    <row r="27" ht="33" customHeight="1" spans="1:26">
      <c r="A27" s="8" t="s">
        <v>378</v>
      </c>
      <c r="B27" s="54" t="s">
        <v>379</v>
      </c>
      <c r="C27" s="55" t="s">
        <v>377</v>
      </c>
      <c r="D27" s="56">
        <f>(NPV(A财务假设!$D$4,D18:Z18))</f>
        <v>-4299.62876622976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4"/>
    </row>
    <row r="28" ht="33" customHeight="1" spans="1:9">
      <c r="A28" s="8" t="s">
        <v>380</v>
      </c>
      <c r="B28" s="54" t="s">
        <v>381</v>
      </c>
      <c r="C28" s="57" t="e">
        <f>#REF!+H16/#REF!-$D$2</f>
        <v>#REF!</v>
      </c>
      <c r="D28" s="58" t="s">
        <v>382</v>
      </c>
      <c r="E28" s="3"/>
      <c r="F28" s="3"/>
      <c r="G28" s="3"/>
      <c r="H28" s="3"/>
      <c r="I28" s="41"/>
    </row>
    <row r="29" ht="33" customHeight="1" spans="1:9">
      <c r="A29" s="8" t="s">
        <v>383</v>
      </c>
      <c r="B29" s="54" t="s">
        <v>384</v>
      </c>
      <c r="C29" s="57" t="e">
        <f>#REF!+H21/#REF!-$D$2</f>
        <v>#REF!</v>
      </c>
      <c r="D29" s="59" t="s">
        <v>385</v>
      </c>
      <c r="E29" s="3"/>
      <c r="F29" s="3"/>
      <c r="G29" s="3"/>
      <c r="H29" s="3"/>
      <c r="I29" s="8"/>
    </row>
    <row r="30" ht="33" customHeight="1" spans="1:9">
      <c r="A30" s="8" t="s">
        <v>386</v>
      </c>
      <c r="B30" s="54" t="s">
        <v>387</v>
      </c>
      <c r="C30" s="57" t="e">
        <f>#REF!+#REF!/#REF!-$D$2</f>
        <v>#REF!</v>
      </c>
      <c r="D30" s="59" t="s">
        <v>388</v>
      </c>
      <c r="E30" s="3"/>
      <c r="F30" s="3"/>
      <c r="G30" s="3"/>
      <c r="H30" s="3"/>
      <c r="I30" s="8"/>
    </row>
    <row r="31" ht="33" customHeight="1" spans="1:9">
      <c r="A31" s="8" t="s">
        <v>389</v>
      </c>
      <c r="B31" s="54" t="s">
        <v>390</v>
      </c>
      <c r="C31" s="57" t="e">
        <f>#REF!+#REF!/#REF!-$D$2</f>
        <v>#REF!</v>
      </c>
      <c r="D31" s="59" t="s">
        <v>391</v>
      </c>
      <c r="E31" s="3"/>
      <c r="F31" s="3"/>
      <c r="G31" s="3"/>
      <c r="H31" s="3"/>
      <c r="I31" s="8"/>
    </row>
  </sheetData>
  <mergeCells count="9">
    <mergeCell ref="A1:I1"/>
    <mergeCell ref="D24:Z24"/>
    <mergeCell ref="D25:Z25"/>
    <mergeCell ref="D26:Z26"/>
    <mergeCell ref="D27:Z27"/>
    <mergeCell ref="D28:H28"/>
    <mergeCell ref="D29:H29"/>
    <mergeCell ref="D30:H30"/>
    <mergeCell ref="D31:H31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FFC000"/>
  </sheetPr>
  <dimension ref="A1:Z18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F23" sqref="F23"/>
    </sheetView>
  </sheetViews>
  <sheetFormatPr defaultColWidth="8.89090909090909" defaultRowHeight="28.05" customHeight="1"/>
  <cols>
    <col min="2" max="2" width="29.6636363636364" style="1" customWidth="1"/>
    <col min="3" max="3" width="17.1090909090909" style="1" customWidth="1"/>
    <col min="4" max="6" width="11.5545454545455" style="1" customWidth="1"/>
    <col min="7" max="8" width="10.5545454545455" style="1" customWidth="1"/>
    <col min="9" max="9" width="11.8909090909091" style="1" customWidth="1"/>
    <col min="10" max="10" width="8.89090909090909" style="1" customWidth="1"/>
  </cols>
  <sheetData>
    <row r="1" customHeight="1" spans="1:9">
      <c r="A1" s="50" t="s">
        <v>392</v>
      </c>
      <c r="B1" s="51"/>
      <c r="C1" s="51"/>
      <c r="D1" s="51"/>
      <c r="E1" s="51"/>
      <c r="F1" s="51"/>
      <c r="G1" s="51"/>
      <c r="H1" s="51"/>
      <c r="I1" s="51"/>
    </row>
    <row r="2" customHeight="1" spans="1:26">
      <c r="A2" s="5" t="s">
        <v>1</v>
      </c>
      <c r="B2" s="5" t="s">
        <v>151</v>
      </c>
      <c r="C2" s="5" t="s">
        <v>95</v>
      </c>
      <c r="D2" s="34">
        <v>2025</v>
      </c>
      <c r="E2" s="34">
        <v>2026</v>
      </c>
      <c r="F2" s="34">
        <v>2027</v>
      </c>
      <c r="G2" s="34">
        <v>2028</v>
      </c>
      <c r="H2" s="34">
        <v>2029</v>
      </c>
      <c r="I2" s="34">
        <v>2030</v>
      </c>
      <c r="J2" s="34">
        <v>2031</v>
      </c>
      <c r="K2" s="34">
        <v>2032</v>
      </c>
      <c r="L2" s="34">
        <v>2033</v>
      </c>
      <c r="M2" s="34">
        <v>2034</v>
      </c>
      <c r="N2" s="34">
        <v>2035</v>
      </c>
      <c r="O2" s="34">
        <v>2036</v>
      </c>
      <c r="P2" s="34">
        <v>2037</v>
      </c>
      <c r="Q2" s="34">
        <v>2038</v>
      </c>
      <c r="R2" s="34">
        <v>2039</v>
      </c>
      <c r="S2" s="34">
        <v>2040</v>
      </c>
      <c r="T2" s="34">
        <v>2041</v>
      </c>
      <c r="U2" s="34">
        <v>2042</v>
      </c>
      <c r="V2" s="34">
        <v>2043</v>
      </c>
      <c r="W2" s="34">
        <v>2044</v>
      </c>
      <c r="X2" s="34">
        <v>2045</v>
      </c>
      <c r="Y2" s="34">
        <v>2046</v>
      </c>
      <c r="Z2" s="34">
        <v>2047</v>
      </c>
    </row>
    <row r="3" customHeight="1" spans="1:26">
      <c r="A3" s="8">
        <v>1</v>
      </c>
      <c r="B3" s="8" t="s">
        <v>353</v>
      </c>
      <c r="C3" s="12">
        <f t="shared" ref="C3:C17" si="0">(SUM(D3:Z3))</f>
        <v>3075.69020255835</v>
      </c>
      <c r="D3" s="14">
        <f t="shared" ref="D3:Z3" si="1">SUM(D4:D7)</f>
        <v>0</v>
      </c>
      <c r="E3" s="14">
        <f t="shared" si="1"/>
        <v>350</v>
      </c>
      <c r="F3" s="14">
        <f t="shared" si="1"/>
        <v>536.4</v>
      </c>
      <c r="G3" s="14">
        <f t="shared" si="1"/>
        <v>666.16</v>
      </c>
      <c r="H3" s="14">
        <f t="shared" si="1"/>
        <v>676.9832</v>
      </c>
      <c r="I3" s="14">
        <f t="shared" si="1"/>
        <v>685.472864</v>
      </c>
      <c r="J3" s="14">
        <f t="shared" si="1"/>
        <v>0</v>
      </c>
      <c r="K3" s="14">
        <f t="shared" si="1"/>
        <v>0</v>
      </c>
      <c r="L3" s="14">
        <f t="shared" si="1"/>
        <v>0</v>
      </c>
      <c r="M3" s="14">
        <f t="shared" si="1"/>
        <v>0</v>
      </c>
      <c r="N3" s="14">
        <f t="shared" si="1"/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 t="shared" si="1"/>
        <v>160.674138558348</v>
      </c>
    </row>
    <row r="4" customHeight="1" spans="1:26">
      <c r="A4" s="8">
        <v>1.1</v>
      </c>
      <c r="B4" s="8" t="s">
        <v>354</v>
      </c>
      <c r="C4" s="12">
        <f t="shared" si="0"/>
        <v>2915.016064</v>
      </c>
      <c r="D4" s="14">
        <f>(F项目收入!D12)</f>
        <v>0</v>
      </c>
      <c r="E4" s="14">
        <f>(F项目收入!E12)</f>
        <v>350</v>
      </c>
      <c r="F4" s="14">
        <f>(F项目收入!F12)</f>
        <v>536.4</v>
      </c>
      <c r="G4" s="14">
        <f>(F项目收入!G12)</f>
        <v>666.16</v>
      </c>
      <c r="H4" s="14">
        <f>(F项目收入!H12)</f>
        <v>676.9832</v>
      </c>
      <c r="I4" s="14">
        <f>(F项目收入!I12)</f>
        <v>685.472864</v>
      </c>
      <c r="J4" s="14">
        <f>(F项目收入!J12)</f>
        <v>0</v>
      </c>
      <c r="K4" s="14">
        <f>(F项目收入!K12)</f>
        <v>0</v>
      </c>
      <c r="L4" s="14">
        <f>(F项目收入!L12)</f>
        <v>0</v>
      </c>
      <c r="M4" s="14">
        <f>(F项目收入!M12)</f>
        <v>0</v>
      </c>
      <c r="N4" s="14">
        <f>(F项目收入!N12)</f>
        <v>0</v>
      </c>
      <c r="O4" s="14">
        <f>(F项目收入!O12)</f>
        <v>0</v>
      </c>
      <c r="P4" s="14">
        <f>(F项目收入!P12)</f>
        <v>0</v>
      </c>
      <c r="Q4" s="14">
        <f>(F项目收入!Q12)</f>
        <v>0</v>
      </c>
      <c r="R4" s="14">
        <f>(F项目收入!R12)</f>
        <v>0</v>
      </c>
      <c r="S4" s="14">
        <f>(F项目收入!S12)</f>
        <v>0</v>
      </c>
      <c r="T4" s="14">
        <f>(F项目收入!T12)</f>
        <v>0</v>
      </c>
      <c r="U4" s="14">
        <f>(F项目收入!U12)</f>
        <v>0</v>
      </c>
      <c r="V4" s="14">
        <f>(F项目收入!V12)</f>
        <v>0</v>
      </c>
      <c r="W4" s="14">
        <f>(F项目收入!W12)</f>
        <v>0</v>
      </c>
      <c r="X4" s="14">
        <f>(F项目收入!X12)</f>
        <v>0</v>
      </c>
      <c r="Y4" s="14">
        <f>(F项目收入!Y12)</f>
        <v>0</v>
      </c>
      <c r="Z4" s="14">
        <f>F项目收入!Z12-F项目收入!Z10</f>
        <v>0</v>
      </c>
    </row>
    <row r="5" customHeight="1" spans="1:26">
      <c r="A5" s="8">
        <v>1.2</v>
      </c>
      <c r="B5" s="8" t="s">
        <v>306</v>
      </c>
      <c r="C5" s="12">
        <f t="shared" si="0"/>
        <v>0</v>
      </c>
      <c r="D5" s="14">
        <f>(F项目收入!D10)</f>
        <v>0</v>
      </c>
      <c r="E5" s="14">
        <f>(F项目收入!E10)</f>
        <v>0</v>
      </c>
      <c r="F5" s="14">
        <f>(F项目收入!F10)</f>
        <v>0</v>
      </c>
      <c r="G5" s="14">
        <f>(F项目收入!G10)</f>
        <v>0</v>
      </c>
      <c r="H5" s="14">
        <f>(F项目收入!H10)</f>
        <v>0</v>
      </c>
      <c r="I5" s="14">
        <f>(F项目收入!I10)</f>
        <v>0</v>
      </c>
      <c r="J5" s="14">
        <f>(F项目收入!J10)</f>
        <v>0</v>
      </c>
      <c r="K5" s="14">
        <f>(F项目收入!K10)</f>
        <v>0</v>
      </c>
      <c r="L5" s="14">
        <f>(F项目收入!L10)</f>
        <v>0</v>
      </c>
      <c r="M5" s="14">
        <f>(F项目收入!M10)</f>
        <v>0</v>
      </c>
      <c r="N5" s="14">
        <f>(F项目收入!N10)</f>
        <v>0</v>
      </c>
      <c r="O5" s="14">
        <f>(F项目收入!O10)</f>
        <v>0</v>
      </c>
      <c r="P5" s="14">
        <f>(F项目收入!P10)</f>
        <v>0</v>
      </c>
      <c r="Q5" s="14">
        <f>(F项目收入!Q10)</f>
        <v>0</v>
      </c>
      <c r="R5" s="14">
        <f>(F项目收入!R10)</f>
        <v>0</v>
      </c>
      <c r="S5" s="14">
        <f>(F项目收入!S10)</f>
        <v>0</v>
      </c>
      <c r="T5" s="14">
        <f>(F项目收入!T10)</f>
        <v>0</v>
      </c>
      <c r="U5" s="14">
        <f>(F项目收入!U10)</f>
        <v>0</v>
      </c>
      <c r="V5" s="14">
        <f>(F项目收入!V10)</f>
        <v>0</v>
      </c>
      <c r="W5" s="14">
        <f>(F项目收入!W10)</f>
        <v>0</v>
      </c>
      <c r="X5" s="14">
        <f>(F项目收入!X10)</f>
        <v>0</v>
      </c>
      <c r="Y5" s="14">
        <f>(F项目收入!Y10)</f>
        <v>0</v>
      </c>
      <c r="Z5" s="14">
        <f>F项目收入!Z10</f>
        <v>0</v>
      </c>
    </row>
    <row r="6" customHeight="1" spans="1:26">
      <c r="A6" s="8">
        <v>1.3</v>
      </c>
      <c r="B6" s="8" t="s">
        <v>355</v>
      </c>
      <c r="C6" s="12">
        <f t="shared" si="0"/>
        <v>109.117172990033</v>
      </c>
      <c r="D6" s="14" t="s">
        <v>118</v>
      </c>
      <c r="E6" s="14" t="s">
        <v>118</v>
      </c>
      <c r="F6" s="14" t="s">
        <v>118</v>
      </c>
      <c r="G6" s="14" t="s">
        <v>118</v>
      </c>
      <c r="H6" s="14" t="s">
        <v>118</v>
      </c>
      <c r="I6" s="14" t="s">
        <v>118</v>
      </c>
      <c r="J6" s="14" t="s">
        <v>118</v>
      </c>
      <c r="K6" s="14" t="s">
        <v>118</v>
      </c>
      <c r="L6" s="14" t="s">
        <v>118</v>
      </c>
      <c r="M6" s="14" t="s">
        <v>118</v>
      </c>
      <c r="N6" s="14" t="s">
        <v>118</v>
      </c>
      <c r="O6" s="14" t="s">
        <v>118</v>
      </c>
      <c r="P6" s="14" t="s">
        <v>118</v>
      </c>
      <c r="Q6" s="14" t="s">
        <v>118</v>
      </c>
      <c r="R6" s="14" t="s">
        <v>118</v>
      </c>
      <c r="S6" s="14" t="s">
        <v>118</v>
      </c>
      <c r="T6" s="14" t="s">
        <v>118</v>
      </c>
      <c r="U6" s="14" t="s">
        <v>118</v>
      </c>
      <c r="V6" s="14" t="s">
        <v>118</v>
      </c>
      <c r="W6" s="14" t="s">
        <v>118</v>
      </c>
      <c r="X6" s="14" t="s">
        <v>118</v>
      </c>
      <c r="Y6" s="14" t="s">
        <v>118</v>
      </c>
      <c r="Z6" s="14">
        <f>E.2固定资产折旧费估算表!C7*A财务假设!$D$12</f>
        <v>109.117172990033</v>
      </c>
    </row>
    <row r="7" customHeight="1" spans="1:26">
      <c r="A7" s="8">
        <v>1.4</v>
      </c>
      <c r="B7" s="8" t="s">
        <v>356</v>
      </c>
      <c r="C7" s="12">
        <f t="shared" si="0"/>
        <v>51.5569655683145</v>
      </c>
      <c r="D7" s="14" t="s">
        <v>118</v>
      </c>
      <c r="E7" s="14" t="s">
        <v>118</v>
      </c>
      <c r="F7" s="14" t="s">
        <v>118</v>
      </c>
      <c r="G7" s="14" t="s">
        <v>118</v>
      </c>
      <c r="H7" s="14" t="s">
        <v>118</v>
      </c>
      <c r="I7" s="14" t="s">
        <v>118</v>
      </c>
      <c r="J7" s="14" t="s">
        <v>118</v>
      </c>
      <c r="K7" s="14" t="s">
        <v>118</v>
      </c>
      <c r="L7" s="14" t="s">
        <v>118</v>
      </c>
      <c r="M7" s="14" t="s">
        <v>118</v>
      </c>
      <c r="N7" s="14" t="s">
        <v>118</v>
      </c>
      <c r="O7" s="14" t="s">
        <v>118</v>
      </c>
      <c r="P7" s="14" t="s">
        <v>118</v>
      </c>
      <c r="Q7" s="14" t="s">
        <v>118</v>
      </c>
      <c r="R7" s="14" t="s">
        <v>118</v>
      </c>
      <c r="S7" s="14" t="s">
        <v>118</v>
      </c>
      <c r="T7" s="14" t="s">
        <v>118</v>
      </c>
      <c r="U7" s="14" t="s">
        <v>118</v>
      </c>
      <c r="V7" s="14" t="s">
        <v>118</v>
      </c>
      <c r="W7" s="14" t="s">
        <v>118</v>
      </c>
      <c r="X7" s="14" t="s">
        <v>118</v>
      </c>
      <c r="Y7" s="14" t="s">
        <v>118</v>
      </c>
      <c r="Z7" s="14">
        <f>D.4流动资金估算表!AA13</f>
        <v>51.5569655683145</v>
      </c>
    </row>
    <row r="8" customHeight="1" spans="1:26">
      <c r="A8" s="8">
        <v>2</v>
      </c>
      <c r="B8" s="8" t="s">
        <v>357</v>
      </c>
      <c r="C8" s="12">
        <f t="shared" si="0"/>
        <v>28369.1253207705</v>
      </c>
      <c r="D8" s="14">
        <f t="shared" ref="D8:Z8" si="2">SUM(D9:D16)</f>
        <v>-1662.99733333333</v>
      </c>
      <c r="E8" s="14">
        <f t="shared" si="2"/>
        <v>-9063.57274622289</v>
      </c>
      <c r="F8" s="14">
        <f t="shared" si="2"/>
        <v>-7864.04162859382</v>
      </c>
      <c r="G8" s="14">
        <f t="shared" si="2"/>
        <v>1190.37183274652</v>
      </c>
      <c r="H8" s="14">
        <f t="shared" si="2"/>
        <v>1176.64565762494</v>
      </c>
      <c r="I8" s="14">
        <f t="shared" si="2"/>
        <v>1186.27138815431</v>
      </c>
      <c r="J8" s="14">
        <f t="shared" si="2"/>
        <v>1105.26979359062</v>
      </c>
      <c r="K8" s="14">
        <f t="shared" si="2"/>
        <v>1205.47030903548</v>
      </c>
      <c r="L8" s="14">
        <f t="shared" si="2"/>
        <v>1215.85599411102</v>
      </c>
      <c r="M8" s="14">
        <f t="shared" si="2"/>
        <v>1226.39746446268</v>
      </c>
      <c r="N8" s="14">
        <f t="shared" si="2"/>
        <v>1237.09705686962</v>
      </c>
      <c r="O8" s="14">
        <f t="shared" si="2"/>
        <v>1247.95714316267</v>
      </c>
      <c r="P8" s="14">
        <f t="shared" si="2"/>
        <v>1258.98013075011</v>
      </c>
      <c r="Q8" s="14">
        <f t="shared" si="2"/>
        <v>1270.16846315136</v>
      </c>
      <c r="R8" s="14">
        <f t="shared" si="2"/>
        <v>1281.52462053863</v>
      </c>
      <c r="S8" s="14">
        <f t="shared" si="2"/>
        <v>1293.05112028671</v>
      </c>
      <c r="T8" s="14">
        <f t="shared" si="2"/>
        <v>1304.75051753101</v>
      </c>
      <c r="U8" s="14">
        <f t="shared" si="2"/>
        <v>1316.62540573397</v>
      </c>
      <c r="V8" s="14">
        <f t="shared" si="2"/>
        <v>1328.67841725998</v>
      </c>
      <c r="W8" s="14">
        <f t="shared" si="2"/>
        <v>1340.91222395888</v>
      </c>
      <c r="X8" s="14">
        <f t="shared" si="2"/>
        <v>3353.53648220271</v>
      </c>
      <c r="Y8" s="14">
        <f t="shared" si="2"/>
        <v>11320.316063098</v>
      </c>
      <c r="Z8" s="14">
        <f t="shared" si="2"/>
        <v>11099.8569446514</v>
      </c>
    </row>
    <row r="9" customHeight="1" spans="1:26">
      <c r="A9" s="8">
        <v>2.1</v>
      </c>
      <c r="B9" s="8" t="s">
        <v>105</v>
      </c>
      <c r="C9" s="12">
        <f t="shared" si="0"/>
        <v>-19577.9417010983</v>
      </c>
      <c r="D9" s="14">
        <f>D.2项目总投资使用计划与资金筹措表!D8</f>
        <v>-1664.72533333333</v>
      </c>
      <c r="E9" s="14">
        <f>D.2项目总投资使用计划与资金筹措表!E8</f>
        <v>-9203.04900472222</v>
      </c>
      <c r="F9" s="14">
        <f>D.2项目总投资使用计划与资金筹措表!F8</f>
        <v>-8660.96785567249</v>
      </c>
      <c r="G9" s="14">
        <f>D.2项目总投资使用计划与资金筹措表!G8</f>
        <v>25.5057459260237</v>
      </c>
      <c r="H9" s="14">
        <f>D.2项目总投资使用计划与资金筹措表!H8</f>
        <v>2.00294906213635</v>
      </c>
      <c r="I9" s="14">
        <f>D.2项目总投资使用计划与资金筹措表!I8</f>
        <v>1.70540852306837</v>
      </c>
      <c r="J9" s="14">
        <f>D.2项目总投资使用计划与资金筹措表!J8</f>
        <v>-89.3683061750856</v>
      </c>
      <c r="K9" s="14">
        <f>D.2项目总投资使用计划与资金筹措表!K8</f>
        <v>0.609007333288098</v>
      </c>
      <c r="L9" s="14">
        <f>D.2项目总投资使用计划与资金筹措表!L8</f>
        <v>0.618142443287468</v>
      </c>
      <c r="M9" s="14">
        <f>D.2项目总投资使用计划与资金筹措表!M8</f>
        <v>0.627414579936733</v>
      </c>
      <c r="N9" s="14">
        <f>D.2项目总投资使用计划与资金筹措表!N8</f>
        <v>0.636825798635861</v>
      </c>
      <c r="O9" s="14">
        <f>D.2项目总投资使用计划与资金筹措表!O8</f>
        <v>0.646378185615319</v>
      </c>
      <c r="P9" s="14">
        <f>D.2项目总投资使用计划与资金筹措表!P8</f>
        <v>0.656073858399608</v>
      </c>
      <c r="Q9" s="14">
        <f>D.2项目总投资使用计划与资金筹措表!Q8</f>
        <v>0.66591496627553</v>
      </c>
      <c r="R9" s="14">
        <f>D.2项目总投资使用计划与资金筹措表!R8</f>
        <v>0.675903690769722</v>
      </c>
      <c r="S9" s="14">
        <f>D.2项目总投资使用计划与资金筹措表!S8</f>
        <v>0.686042246131201</v>
      </c>
      <c r="T9" s="14">
        <f>D.2项目总投资使用计划与资金筹措表!T8</f>
        <v>0.696332879823281</v>
      </c>
      <c r="U9" s="14">
        <f>D.2项目总投资使用计划与资金筹措表!U8</f>
        <v>0.706777873020513</v>
      </c>
      <c r="V9" s="14">
        <f>D.2项目总投资使用计划与资金筹措表!V8</f>
        <v>0.717379541115946</v>
      </c>
      <c r="W9" s="14">
        <f>D.2项目总投资使用计划与资金筹措表!W8</f>
        <v>0.728140234232569</v>
      </c>
      <c r="X9" s="14">
        <f>D.2项目总投资使用计划与资金筹措表!X8</f>
        <v>0.746006782190548</v>
      </c>
      <c r="Y9" s="14">
        <f>D.2项目总投资使用计划与资金筹措表!Y8</f>
        <v>0.777764106145639</v>
      </c>
      <c r="Z9" s="14">
        <f>D.2项目总投资使用计划与资金筹措表!Z8</f>
        <v>0.76059077468225</v>
      </c>
    </row>
    <row r="10" customHeight="1" spans="1:26">
      <c r="A10" s="8">
        <v>2.2</v>
      </c>
      <c r="B10" s="8" t="s">
        <v>393</v>
      </c>
      <c r="C10" s="12">
        <f t="shared" si="0"/>
        <v>22000</v>
      </c>
      <c r="D10" s="12">
        <f>(c借款还本付息计划表!D33)</f>
        <v>0</v>
      </c>
      <c r="E10" s="12">
        <f>(c借款还本付息计划表!E33)</f>
        <v>0</v>
      </c>
      <c r="F10" s="12">
        <f>(c借款还本付息计划表!F33)</f>
        <v>0</v>
      </c>
      <c r="G10" s="12">
        <f>(c借款还本付息计划表!G33)</f>
        <v>0</v>
      </c>
      <c r="H10" s="12">
        <f>(c借款还本付息计划表!H33)</f>
        <v>0</v>
      </c>
      <c r="I10" s="12">
        <f>(c借款还本付息计划表!I33)</f>
        <v>0</v>
      </c>
      <c r="J10" s="12">
        <f>(c借款还本付息计划表!J33)</f>
        <v>0</v>
      </c>
      <c r="K10" s="12">
        <f>(c借款还本付息计划表!K33)</f>
        <v>0</v>
      </c>
      <c r="L10" s="12">
        <f>(c借款还本付息计划表!L33)</f>
        <v>0</v>
      </c>
      <c r="M10" s="12">
        <f>(c借款还本付息计划表!M33)</f>
        <v>0</v>
      </c>
      <c r="N10" s="12">
        <f>(c借款还本付息计划表!N33)</f>
        <v>0</v>
      </c>
      <c r="O10" s="12">
        <f>(c借款还本付息计划表!O33)</f>
        <v>0</v>
      </c>
      <c r="P10" s="12">
        <f>(c借款还本付息计划表!P33)</f>
        <v>0</v>
      </c>
      <c r="Q10" s="12">
        <f>(c借款还本付息计划表!Q33)</f>
        <v>0</v>
      </c>
      <c r="R10" s="12">
        <f>(c借款还本付息计划表!R33)</f>
        <v>0</v>
      </c>
      <c r="S10" s="12">
        <f>(c借款还本付息计划表!S33)</f>
        <v>0</v>
      </c>
      <c r="T10" s="12">
        <f>(c借款还本付息计划表!T33)</f>
        <v>0</v>
      </c>
      <c r="U10" s="12">
        <f>(c借款还本付息计划表!U33)</f>
        <v>0</v>
      </c>
      <c r="V10" s="12">
        <f>(c借款还本付息计划表!V33)</f>
        <v>0</v>
      </c>
      <c r="W10" s="12">
        <f>(c借款还本付息计划表!W33)</f>
        <v>0</v>
      </c>
      <c r="X10" s="12">
        <f>(c借款还本付息计划表!X33)</f>
        <v>2000</v>
      </c>
      <c r="Y10" s="12">
        <f>(c借款还本付息计划表!Y33)</f>
        <v>10000</v>
      </c>
      <c r="Z10" s="12">
        <f>(c借款还本付息计划表!Z33)</f>
        <v>10000</v>
      </c>
    </row>
    <row r="11" customHeight="1" spans="1:26">
      <c r="A11" s="8">
        <v>2.3</v>
      </c>
      <c r="B11" s="8" t="s">
        <v>394</v>
      </c>
      <c r="C11" s="12">
        <f t="shared" si="0"/>
        <v>10281.42104</v>
      </c>
      <c r="D11" s="12">
        <f>(c借款还本付息计划表!D34+c借款还本付息计划表!D36+c借款还本付息计划表!D37)</f>
        <v>1.728</v>
      </c>
      <c r="E11" s="12">
        <f>(c借款还本付息计划表!E34+c借款还本付息计划表!E36+c借款还本付息计划表!E37)</f>
        <v>55.282332</v>
      </c>
      <c r="F11" s="12">
        <f>(c借款还本付息计划表!F34+c借款还本付息计划表!F36+c借款还本付息计划表!F37)</f>
        <v>288.493992</v>
      </c>
      <c r="G11" s="12">
        <f>(c借款还本付息计划表!G34+c借款还本付息计划表!G36+c借款还本付息计划表!G37)</f>
        <v>513.065652</v>
      </c>
      <c r="H11" s="12">
        <f>(c借款还本付息计划表!H34+c借款还本付息计划表!H36+c借款还本付息计划表!H37)</f>
        <v>513.065652</v>
      </c>
      <c r="I11" s="12">
        <f>(c借款还本付息计划表!I34+c借款还本付息计划表!I36+c借款还本付息计划表!I37)</f>
        <v>513.065652</v>
      </c>
      <c r="J11" s="12">
        <f>(c借款还本付息计划表!J34+c借款还本付息计划表!J36+c借款还本付息计划表!J37)</f>
        <v>513.065652</v>
      </c>
      <c r="K11" s="12">
        <f>(c借款还本付息计划表!K34+c借款还本付息计划表!K36+c借款还本付息计划表!K37)</f>
        <v>513.065652</v>
      </c>
      <c r="L11" s="12">
        <f>(c借款还本付息计划表!L34+c借款还本付息计划表!L36+c借款还本付息计划表!L37)</f>
        <v>513.065652</v>
      </c>
      <c r="M11" s="12">
        <f>(c借款还本付息计划表!M34+c借款还本付息计划表!M36+c借款还本付息计划表!M37)</f>
        <v>513.065652</v>
      </c>
      <c r="N11" s="12">
        <f>(c借款还本付息计划表!N34+c借款还本付息计划表!N36+c借款还本付息计划表!N37)</f>
        <v>513.065652</v>
      </c>
      <c r="O11" s="12">
        <f>(c借款还本付息计划表!O34+c借款还本付息计划表!O36+c借款还本付息计划表!O37)</f>
        <v>513.065652</v>
      </c>
      <c r="P11" s="12">
        <f>(c借款还本付息计划表!P34+c借款还本付息计划表!P36+c借款还本付息计划表!P37)</f>
        <v>513.065652</v>
      </c>
      <c r="Q11" s="12">
        <f>(c借款还本付息计划表!Q34+c借款还本付息计划表!Q36+c借款还本付息计划表!Q37)</f>
        <v>513.065652</v>
      </c>
      <c r="R11" s="12">
        <f>(c借款还本付息计划表!R34+c借款还本付息计划表!R36+c借款还本付息计划表!R37)</f>
        <v>513.065652</v>
      </c>
      <c r="S11" s="12">
        <f>(c借款还本付息计划表!S34+c借款还本付息计划表!S36+c借款还本付息计划表!S37)</f>
        <v>513.065652</v>
      </c>
      <c r="T11" s="12">
        <f>(c借款还本付息计划表!T34+c借款还本付息计划表!T36+c借款还本付息计划表!T37)</f>
        <v>513.065652</v>
      </c>
      <c r="U11" s="12">
        <f>(c借款还本付息计划表!U34+c借款还本付息计划表!U36+c借款还本付息计划表!U37)</f>
        <v>513.065652</v>
      </c>
      <c r="V11" s="12">
        <f>(c借款还本付息计划表!V34+c借款还本付息计划表!V36+c借款还本付息计划表!V37)</f>
        <v>513.065652</v>
      </c>
      <c r="W11" s="12">
        <f>(c借款还本付息计划表!W34+c借款还本付息计划表!W36+c借款还本付息计划表!W37)</f>
        <v>513.065652</v>
      </c>
      <c r="X11" s="12">
        <f>(c借款还本付息计划表!X34+c借款还本付息计划表!X36+c借款还本付息计划表!X37)</f>
        <v>513.165652</v>
      </c>
      <c r="Y11" s="12">
        <f>(c借款还本付息计划表!Y34+c借款还本付息计划表!Y36+c借款还本付息计划表!Y37)</f>
        <v>466.92332</v>
      </c>
      <c r="Z11" s="12">
        <f>(c借款还本付息计划表!Z34+c借款还本付息计划表!Z36+c借款还本付息计划表!Z37)</f>
        <v>233.71166</v>
      </c>
    </row>
    <row r="12" customHeight="1" spans="1:26">
      <c r="A12" s="8">
        <v>2.4</v>
      </c>
      <c r="B12" s="8" t="s">
        <v>358</v>
      </c>
      <c r="C12" s="12">
        <f t="shared" si="0"/>
        <v>15581.4543873695</v>
      </c>
      <c r="D12" s="14">
        <f>E总成本费用估算表!C11</f>
        <v>0</v>
      </c>
      <c r="E12" s="14">
        <f>E总成本费用估算表!D11</f>
        <v>0.002332</v>
      </c>
      <c r="F12" s="14">
        <f>E总成本费用估算表!E11</f>
        <v>508.432235078672</v>
      </c>
      <c r="G12" s="14">
        <f>E总成本费用估算表!F11</f>
        <v>651.800434820492</v>
      </c>
      <c r="H12" s="14">
        <f>E总成本费用估算表!G11</f>
        <v>661.577056562799</v>
      </c>
      <c r="I12" s="14">
        <f>E总成本费用估算表!H11</f>
        <v>671.500327631241</v>
      </c>
      <c r="J12" s="14">
        <f>E总成本费用估算表!I11</f>
        <v>681.57244776571</v>
      </c>
      <c r="K12" s="14">
        <f>E总成本费用估算表!J11</f>
        <v>691.795649702195</v>
      </c>
      <c r="L12" s="14">
        <f>E总成本费用估算表!K11</f>
        <v>702.172199667728</v>
      </c>
      <c r="M12" s="14">
        <f>E总成本费用估算表!L11</f>
        <v>712.704397882744</v>
      </c>
      <c r="N12" s="14">
        <f>E总成本费用估算表!M11</f>
        <v>723.394579070986</v>
      </c>
      <c r="O12" s="14">
        <f>E总成本费用估算表!N11</f>
        <v>734.24511297705</v>
      </c>
      <c r="P12" s="14">
        <f>E总成本费用估算表!O11</f>
        <v>745.258404891706</v>
      </c>
      <c r="Q12" s="14">
        <f>E总成本费用估算表!P11</f>
        <v>756.436896185081</v>
      </c>
      <c r="R12" s="14">
        <f>E总成本费用估算表!Q11</f>
        <v>767.783064847858</v>
      </c>
      <c r="S12" s="14">
        <f>E总成本费用估算表!R11</f>
        <v>779.299426040574</v>
      </c>
      <c r="T12" s="14">
        <f>E总成本费用估算表!S11</f>
        <v>790.988532651184</v>
      </c>
      <c r="U12" s="14">
        <f>E总成本费用估算表!T11</f>
        <v>802.852975860951</v>
      </c>
      <c r="V12" s="14">
        <f>E总成本费用估算表!U11</f>
        <v>814.895385718866</v>
      </c>
      <c r="W12" s="14">
        <f>E总成本费用估算表!V11</f>
        <v>827.118431724648</v>
      </c>
      <c r="X12" s="14">
        <f>E总成本费用估算表!W11</f>
        <v>839.624823420518</v>
      </c>
      <c r="Y12" s="14">
        <f>E总成本费用估算表!X11</f>
        <v>852.614978991826</v>
      </c>
      <c r="Z12" s="14">
        <f>E总成本费用估算表!Y11</f>
        <v>865.384693876703</v>
      </c>
    </row>
    <row r="13" customHeight="1" spans="1:26">
      <c r="A13" s="8">
        <v>2.5</v>
      </c>
      <c r="B13" s="8" t="s">
        <v>359</v>
      </c>
      <c r="C13" s="12">
        <f t="shared" si="0"/>
        <v>0</v>
      </c>
      <c r="D13" s="46">
        <f>(G.税金及附加测算表!D30)</f>
        <v>0</v>
      </c>
      <c r="E13" s="46">
        <f>(G.税金及附加测算表!E30)</f>
        <v>0</v>
      </c>
      <c r="F13" s="46">
        <f>(G.税金及附加测算表!F30)</f>
        <v>0</v>
      </c>
      <c r="G13" s="46">
        <f>(G.税金及附加测算表!G30)</f>
        <v>0</v>
      </c>
      <c r="H13" s="46">
        <f>(G.税金及附加测算表!H30)</f>
        <v>0</v>
      </c>
      <c r="I13" s="46">
        <f>(G.税金及附加测算表!I30)</f>
        <v>0</v>
      </c>
      <c r="J13" s="46">
        <f>(G.税金及附加测算表!J30)</f>
        <v>0</v>
      </c>
      <c r="K13" s="46">
        <f>(G.税金及附加测算表!K30)</f>
        <v>0</v>
      </c>
      <c r="L13" s="46">
        <f>(G.税金及附加测算表!L30)</f>
        <v>0</v>
      </c>
      <c r="M13" s="46">
        <f>(G.税金及附加测算表!M30)</f>
        <v>0</v>
      </c>
      <c r="N13" s="46">
        <f>(G.税金及附加测算表!N30)</f>
        <v>0</v>
      </c>
      <c r="O13" s="46">
        <f>(G.税金及附加测算表!O30)</f>
        <v>0</v>
      </c>
      <c r="P13" s="46">
        <f>(G.税金及附加测算表!P30)</f>
        <v>0</v>
      </c>
      <c r="Q13" s="46">
        <f>(G.税金及附加测算表!Q30)</f>
        <v>0</v>
      </c>
      <c r="R13" s="46">
        <f>(G.税金及附加测算表!R30)</f>
        <v>0</v>
      </c>
      <c r="S13" s="46">
        <f>(G.税金及附加测算表!S30)</f>
        <v>0</v>
      </c>
      <c r="T13" s="46">
        <f>(G.税金及附加测算表!T30)</f>
        <v>0</v>
      </c>
      <c r="U13" s="46">
        <f>(G.税金及附加测算表!U30)</f>
        <v>0</v>
      </c>
      <c r="V13" s="46">
        <f>(G.税金及附加测算表!V30)</f>
        <v>0</v>
      </c>
      <c r="W13" s="46">
        <f>(G.税金及附加测算表!W30)</f>
        <v>0</v>
      </c>
      <c r="X13" s="46">
        <f>(G.税金及附加测算表!X30)</f>
        <v>0</v>
      </c>
      <c r="Y13" s="46">
        <f>(G.税金及附加测算表!Y30)</f>
        <v>0</v>
      </c>
      <c r="Z13" s="46">
        <f>G.税金及附加测算表!Z30</f>
        <v>0</v>
      </c>
    </row>
    <row r="14" customHeight="1" spans="1:26">
      <c r="A14" s="8">
        <v>2.6</v>
      </c>
      <c r="B14" s="8" t="s">
        <v>360</v>
      </c>
      <c r="C14" s="12">
        <f t="shared" si="0"/>
        <v>0</v>
      </c>
      <c r="D14" s="46">
        <f>(G.税金及附加测算表!D29)</f>
        <v>0</v>
      </c>
      <c r="E14" s="46">
        <f>(G.税金及附加测算表!E29)</f>
        <v>0</v>
      </c>
      <c r="F14" s="46">
        <f>(G.税金及附加测算表!F29)</f>
        <v>0</v>
      </c>
      <c r="G14" s="46">
        <f>(G.税金及附加测算表!G29)</f>
        <v>0</v>
      </c>
      <c r="H14" s="46">
        <f>(G.税金及附加测算表!H29)</f>
        <v>0</v>
      </c>
      <c r="I14" s="46">
        <f>(G.税金及附加测算表!I29)</f>
        <v>0</v>
      </c>
      <c r="J14" s="46">
        <f>(G.税金及附加测算表!J29)</f>
        <v>0</v>
      </c>
      <c r="K14" s="46">
        <f>(G.税金及附加测算表!K29)</f>
        <v>0</v>
      </c>
      <c r="L14" s="46">
        <f>(G.税金及附加测算表!L29)</f>
        <v>0</v>
      </c>
      <c r="M14" s="46">
        <f>(G.税金及附加测算表!M29)</f>
        <v>0</v>
      </c>
      <c r="N14" s="46">
        <f>(G.税金及附加测算表!N29)</f>
        <v>0</v>
      </c>
      <c r="O14" s="46">
        <f>(G.税金及附加测算表!O29)</f>
        <v>0</v>
      </c>
      <c r="P14" s="46">
        <f>(G.税金及附加测算表!P29)</f>
        <v>0</v>
      </c>
      <c r="Q14" s="46">
        <f>(G.税金及附加测算表!Q29)</f>
        <v>0</v>
      </c>
      <c r="R14" s="46">
        <f>(G.税金及附加测算表!R29)</f>
        <v>0</v>
      </c>
      <c r="S14" s="46">
        <f>(G.税金及附加测算表!S29)</f>
        <v>0</v>
      </c>
      <c r="T14" s="46">
        <f>(G.税金及附加测算表!T29)</f>
        <v>0</v>
      </c>
      <c r="U14" s="46">
        <f>(G.税金及附加测算表!U29)</f>
        <v>0</v>
      </c>
      <c r="V14" s="46">
        <f>(G.税金及附加测算表!V29)</f>
        <v>0</v>
      </c>
      <c r="W14" s="46">
        <f>(G.税金及附加测算表!W29)</f>
        <v>0</v>
      </c>
      <c r="X14" s="46">
        <f>(G.税金及附加测算表!X29)</f>
        <v>0</v>
      </c>
      <c r="Y14" s="46">
        <f>(G.税金及附加测算表!Y29)</f>
        <v>0</v>
      </c>
      <c r="Z14" s="46">
        <f>G.税金及附加测算表!Z29</f>
        <v>0</v>
      </c>
    </row>
    <row r="15" customHeight="1" spans="1:26">
      <c r="A15" s="8">
        <v>2.7</v>
      </c>
      <c r="B15" s="8" t="s">
        <v>395</v>
      </c>
      <c r="C15" s="12">
        <f t="shared" si="0"/>
        <v>84.1915944993289</v>
      </c>
      <c r="D15" s="14">
        <f>'b利润与利润分配表（损益和利润分配表）'!D11</f>
        <v>0</v>
      </c>
      <c r="E15" s="14">
        <f>'b利润与利润分配表（损益和利润分配表）'!E11</f>
        <v>84.1915944993289</v>
      </c>
      <c r="F15" s="14">
        <f>'b利润与利润分配表（损益和利润分配表）'!F11</f>
        <v>0</v>
      </c>
      <c r="G15" s="14">
        <f>'b利润与利润分配表（损益和利润分配表）'!G11</f>
        <v>0</v>
      </c>
      <c r="H15" s="14">
        <f>'b利润与利润分配表（损益和利润分配表）'!H11</f>
        <v>0</v>
      </c>
      <c r="I15" s="14">
        <f>'b利润与利润分配表（损益和利润分配表）'!I11</f>
        <v>0</v>
      </c>
      <c r="J15" s="14">
        <f>'b利润与利润分配表（损益和利润分配表）'!J11</f>
        <v>0</v>
      </c>
      <c r="K15" s="14">
        <f>'b利润与利润分配表（损益和利润分配表）'!K11</f>
        <v>0</v>
      </c>
      <c r="L15" s="14">
        <f>'b利润与利润分配表（损益和利润分配表）'!L11</f>
        <v>0</v>
      </c>
      <c r="M15" s="14">
        <f>'b利润与利润分配表（损益和利润分配表）'!M11</f>
        <v>0</v>
      </c>
      <c r="N15" s="14">
        <f>'b利润与利润分配表（损益和利润分配表）'!N11</f>
        <v>0</v>
      </c>
      <c r="O15" s="14">
        <f>'b利润与利润分配表（损益和利润分配表）'!O11</f>
        <v>0</v>
      </c>
      <c r="P15" s="14">
        <f>'b利润与利润分配表（损益和利润分配表）'!P11</f>
        <v>0</v>
      </c>
      <c r="Q15" s="14">
        <f>'b利润与利润分配表（损益和利润分配表）'!Q11</f>
        <v>0</v>
      </c>
      <c r="R15" s="14">
        <f>'b利润与利润分配表（损益和利润分配表）'!R11</f>
        <v>0</v>
      </c>
      <c r="S15" s="14">
        <f>'b利润与利润分配表（损益和利润分配表）'!S11</f>
        <v>0</v>
      </c>
      <c r="T15" s="14">
        <f>'b利润与利润分配表（损益和利润分配表）'!T11</f>
        <v>0</v>
      </c>
      <c r="U15" s="14">
        <f>'b利润与利润分配表（损益和利润分配表）'!U11</f>
        <v>0</v>
      </c>
      <c r="V15" s="14">
        <f>'b利润与利润分配表（损益和利润分配表）'!V11</f>
        <v>0</v>
      </c>
      <c r="W15" s="14">
        <f>'b利润与利润分配表（损益和利润分配表）'!W11</f>
        <v>0</v>
      </c>
      <c r="X15" s="14">
        <f>'b利润与利润分配表（损益和利润分配表）'!X11</f>
        <v>0</v>
      </c>
      <c r="Y15" s="14">
        <f>'b利润与利润分配表（损益和利润分配表）'!Y11</f>
        <v>0</v>
      </c>
      <c r="Z15" s="14">
        <f>'b利润与利润分配表（损益和利润分配表）'!Z11</f>
        <v>0</v>
      </c>
    </row>
    <row r="16" customHeight="1" spans="1:26">
      <c r="A16" s="8">
        <v>2.8</v>
      </c>
      <c r="B16" s="8" t="s">
        <v>361</v>
      </c>
      <c r="C16" s="12">
        <f t="shared" si="0"/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  <c r="L16" s="39">
        <v>0</v>
      </c>
      <c r="M16" s="39">
        <v>0</v>
      </c>
      <c r="N16" s="39">
        <v>0</v>
      </c>
      <c r="O16" s="39">
        <v>0</v>
      </c>
      <c r="P16" s="39">
        <v>0</v>
      </c>
      <c r="Q16" s="39">
        <v>0</v>
      </c>
      <c r="R16" s="39">
        <v>0</v>
      </c>
      <c r="S16" s="39">
        <v>0</v>
      </c>
      <c r="T16" s="39">
        <v>0</v>
      </c>
      <c r="U16" s="39">
        <v>0</v>
      </c>
      <c r="V16" s="39">
        <v>0</v>
      </c>
      <c r="W16" s="39">
        <v>0</v>
      </c>
      <c r="X16" s="39">
        <v>0</v>
      </c>
      <c r="Y16" s="39">
        <v>0</v>
      </c>
      <c r="Z16" s="39">
        <v>0</v>
      </c>
    </row>
    <row r="17" customHeight="1" spans="1:26">
      <c r="A17" s="8">
        <v>3</v>
      </c>
      <c r="B17" s="8" t="s">
        <v>396</v>
      </c>
      <c r="C17" s="12">
        <f t="shared" si="0"/>
        <v>-25293.4351182122</v>
      </c>
      <c r="D17" s="14">
        <f t="shared" ref="D17:Z17" si="3">D3-D8</f>
        <v>1662.99733333333</v>
      </c>
      <c r="E17" s="14">
        <f t="shared" si="3"/>
        <v>9413.57274622289</v>
      </c>
      <c r="F17" s="14">
        <f t="shared" si="3"/>
        <v>8400.44162859382</v>
      </c>
      <c r="G17" s="14">
        <f t="shared" si="3"/>
        <v>-524.211832746516</v>
      </c>
      <c r="H17" s="14">
        <f t="shared" si="3"/>
        <v>-499.662457624936</v>
      </c>
      <c r="I17" s="14">
        <f t="shared" si="3"/>
        <v>-500.79852415431</v>
      </c>
      <c r="J17" s="14">
        <f t="shared" si="3"/>
        <v>-1105.26979359062</v>
      </c>
      <c r="K17" s="14">
        <f t="shared" si="3"/>
        <v>-1205.47030903548</v>
      </c>
      <c r="L17" s="14">
        <f t="shared" si="3"/>
        <v>-1215.85599411102</v>
      </c>
      <c r="M17" s="14">
        <f t="shared" si="3"/>
        <v>-1226.39746446268</v>
      </c>
      <c r="N17" s="14">
        <f t="shared" si="3"/>
        <v>-1237.09705686962</v>
      </c>
      <c r="O17" s="14">
        <f t="shared" si="3"/>
        <v>-1247.95714316267</v>
      </c>
      <c r="P17" s="14">
        <f t="shared" si="3"/>
        <v>-1258.98013075011</v>
      </c>
      <c r="Q17" s="14">
        <f t="shared" si="3"/>
        <v>-1270.16846315136</v>
      </c>
      <c r="R17" s="14">
        <f t="shared" si="3"/>
        <v>-1281.52462053863</v>
      </c>
      <c r="S17" s="14">
        <f t="shared" si="3"/>
        <v>-1293.05112028671</v>
      </c>
      <c r="T17" s="14">
        <f t="shared" si="3"/>
        <v>-1304.75051753101</v>
      </c>
      <c r="U17" s="14">
        <f t="shared" si="3"/>
        <v>-1316.62540573397</v>
      </c>
      <c r="V17" s="14">
        <f t="shared" si="3"/>
        <v>-1328.67841725998</v>
      </c>
      <c r="W17" s="14">
        <f t="shared" si="3"/>
        <v>-1340.91222395888</v>
      </c>
      <c r="X17" s="14">
        <f t="shared" si="3"/>
        <v>-3353.53648220271</v>
      </c>
      <c r="Y17" s="14">
        <f t="shared" si="3"/>
        <v>-11320.316063098</v>
      </c>
      <c r="Z17" s="14">
        <f t="shared" si="3"/>
        <v>-10939.182806093</v>
      </c>
    </row>
    <row r="18" customHeight="1" spans="1:26">
      <c r="A18" s="8" t="s">
        <v>371</v>
      </c>
      <c r="B18" s="42" t="s">
        <v>397</v>
      </c>
      <c r="C18" s="8"/>
      <c r="D18" s="52">
        <f>(IRR(D17:Z17))</f>
        <v>0.0568249668529837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4"/>
    </row>
  </sheetData>
  <mergeCells count="2">
    <mergeCell ref="A1:I1"/>
    <mergeCell ref="D18:Z18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FFC000"/>
  </sheetPr>
  <dimension ref="A1:Z28"/>
  <sheetViews>
    <sheetView zoomScale="75" zoomScaleNormal="75" workbookViewId="0">
      <pane xSplit="3" ySplit="2" topLeftCell="D3" activePane="bottomRight" state="frozen"/>
      <selection/>
      <selection pane="topRight"/>
      <selection pane="bottomLeft"/>
      <selection pane="bottomRight" activeCell="D25" sqref="D25"/>
    </sheetView>
  </sheetViews>
  <sheetFormatPr defaultColWidth="8.89090909090909" defaultRowHeight="28.05" customHeight="1"/>
  <cols>
    <col min="1" max="1" width="8.89090909090909" style="45" customWidth="1"/>
    <col min="2" max="2" width="30.2181818181818" style="45" customWidth="1"/>
    <col min="3" max="3" width="19.2181818181818" style="45" customWidth="1"/>
    <col min="4" max="4" width="8" style="45" customWidth="1"/>
    <col min="5" max="5" width="9.33636363636364" style="45" customWidth="1"/>
    <col min="6" max="6" width="10.7818181818182" style="45" customWidth="1"/>
    <col min="7" max="7" width="13.2181818181818" style="45" customWidth="1"/>
    <col min="8" max="9" width="11.5545454545455" style="45" customWidth="1"/>
    <col min="10" max="10" width="110.445454545455" style="45" customWidth="1"/>
    <col min="11" max="16384" width="8.89090909090909" style="45" customWidth="1"/>
  </cols>
  <sheetData>
    <row r="1" ht="20" customHeight="1" spans="1:10">
      <c r="A1" s="38" t="s">
        <v>398</v>
      </c>
      <c r="B1" s="3"/>
      <c r="C1" s="3"/>
      <c r="D1" s="3"/>
      <c r="E1" s="3"/>
      <c r="F1" s="3"/>
      <c r="G1" s="3"/>
      <c r="H1" s="3"/>
      <c r="I1" s="4"/>
      <c r="J1"/>
    </row>
    <row r="2" ht="16.5" customHeight="1" spans="1:26">
      <c r="A2" s="5" t="s">
        <v>1</v>
      </c>
      <c r="B2" s="5" t="s">
        <v>151</v>
      </c>
      <c r="C2" s="5" t="s">
        <v>95</v>
      </c>
      <c r="D2" s="34">
        <v>2025</v>
      </c>
      <c r="E2" s="34">
        <v>2026</v>
      </c>
      <c r="F2" s="34">
        <v>2027</v>
      </c>
      <c r="G2" s="34">
        <v>2028</v>
      </c>
      <c r="H2" s="34">
        <v>2029</v>
      </c>
      <c r="I2" s="34">
        <v>2030</v>
      </c>
      <c r="J2" s="34">
        <v>2031</v>
      </c>
      <c r="K2" s="34">
        <v>2032</v>
      </c>
      <c r="L2" s="34">
        <v>2033</v>
      </c>
      <c r="M2" s="34">
        <v>2034</v>
      </c>
      <c r="N2" s="34">
        <v>2035</v>
      </c>
      <c r="O2" s="34">
        <v>2036</v>
      </c>
      <c r="P2" s="34">
        <v>2037</v>
      </c>
      <c r="Q2" s="34">
        <v>2038</v>
      </c>
      <c r="R2" s="34">
        <v>2039</v>
      </c>
      <c r="S2" s="34">
        <v>2040</v>
      </c>
      <c r="T2" s="34">
        <v>2041</v>
      </c>
      <c r="U2" s="34">
        <v>2042</v>
      </c>
      <c r="V2" s="34">
        <v>2043</v>
      </c>
      <c r="W2" s="34">
        <v>2044</v>
      </c>
      <c r="X2" s="34">
        <v>2045</v>
      </c>
      <c r="Y2" s="34">
        <v>2046</v>
      </c>
      <c r="Z2" s="34">
        <v>2047</v>
      </c>
    </row>
    <row r="3" ht="21.6" customHeight="1" spans="1:26">
      <c r="A3" s="8">
        <v>1</v>
      </c>
      <c r="B3" s="8" t="s">
        <v>399</v>
      </c>
      <c r="C3" s="46">
        <f t="shared" ref="C3:C26" si="0">(SUM(D3:Z3))</f>
        <v>2915.016064</v>
      </c>
      <c r="D3" s="46">
        <f>(F项目收入!D12)</f>
        <v>0</v>
      </c>
      <c r="E3" s="46">
        <f>(F项目收入!E12)</f>
        <v>350</v>
      </c>
      <c r="F3" s="46">
        <f>(F项目收入!F12)</f>
        <v>536.4</v>
      </c>
      <c r="G3" s="46">
        <f>(F项目收入!G12)</f>
        <v>666.16</v>
      </c>
      <c r="H3" s="46">
        <f>(F项目收入!H12)</f>
        <v>676.9832</v>
      </c>
      <c r="I3" s="46">
        <f>(F项目收入!I12)</f>
        <v>685.472864</v>
      </c>
      <c r="J3" s="46">
        <f>(F项目收入!J12)</f>
        <v>0</v>
      </c>
      <c r="K3" s="46">
        <f>(F项目收入!K12)</f>
        <v>0</v>
      </c>
      <c r="L3" s="46">
        <f>(F项目收入!L12)</f>
        <v>0</v>
      </c>
      <c r="M3" s="46">
        <f>(F项目收入!M12)</f>
        <v>0</v>
      </c>
      <c r="N3" s="46">
        <f>(F项目收入!N12)</f>
        <v>0</v>
      </c>
      <c r="O3" s="46">
        <f>(F项目收入!O12)</f>
        <v>0</v>
      </c>
      <c r="P3" s="46">
        <f>(F项目收入!P12)</f>
        <v>0</v>
      </c>
      <c r="Q3" s="46">
        <f>(F项目收入!Q12)</f>
        <v>0</v>
      </c>
      <c r="R3" s="46">
        <f>(F项目收入!R12)</f>
        <v>0</v>
      </c>
      <c r="S3" s="46">
        <f>(F项目收入!S12)</f>
        <v>0</v>
      </c>
      <c r="T3" s="46">
        <f>(F项目收入!T12)</f>
        <v>0</v>
      </c>
      <c r="U3" s="46">
        <f>(F项目收入!U12)</f>
        <v>0</v>
      </c>
      <c r="V3" s="46">
        <f>(F项目收入!V12)</f>
        <v>0</v>
      </c>
      <c r="W3" s="46">
        <f>F项目收入!W12</f>
        <v>0</v>
      </c>
      <c r="X3" s="46">
        <f>F项目收入!X12</f>
        <v>0</v>
      </c>
      <c r="Y3" s="46">
        <f>F项目收入!Y12</f>
        <v>0</v>
      </c>
      <c r="Z3" s="46">
        <f>F项目收入!Z12</f>
        <v>0</v>
      </c>
    </row>
    <row r="4" ht="21.6" customHeight="1" spans="1:26">
      <c r="A4" s="8">
        <v>2</v>
      </c>
      <c r="B4" s="8" t="s">
        <v>359</v>
      </c>
      <c r="C4" s="14">
        <f t="shared" si="0"/>
        <v>0</v>
      </c>
      <c r="D4" s="46">
        <f>(G.税金及附加测算表!D30)</f>
        <v>0</v>
      </c>
      <c r="E4" s="46">
        <f>(G.税金及附加测算表!E30)</f>
        <v>0</v>
      </c>
      <c r="F4" s="46">
        <f>(G.税金及附加测算表!F30)</f>
        <v>0</v>
      </c>
      <c r="G4" s="46">
        <f>(G.税金及附加测算表!G30)</f>
        <v>0</v>
      </c>
      <c r="H4" s="46">
        <f>(G.税金及附加测算表!H30)</f>
        <v>0</v>
      </c>
      <c r="I4" s="46">
        <f>(G.税金及附加测算表!I30)</f>
        <v>0</v>
      </c>
      <c r="J4" s="46">
        <f>(G.税金及附加测算表!J30)</f>
        <v>0</v>
      </c>
      <c r="K4" s="46">
        <f>(G.税金及附加测算表!K30)</f>
        <v>0</v>
      </c>
      <c r="L4" s="46">
        <f>(G.税金及附加测算表!L30)</f>
        <v>0</v>
      </c>
      <c r="M4" s="46">
        <f>(G.税金及附加测算表!M30)</f>
        <v>0</v>
      </c>
      <c r="N4" s="46">
        <f>(G.税金及附加测算表!N30)</f>
        <v>0</v>
      </c>
      <c r="O4" s="46">
        <f>(G.税金及附加测算表!O30)</f>
        <v>0</v>
      </c>
      <c r="P4" s="46">
        <f>(G.税金及附加测算表!P30)</f>
        <v>0</v>
      </c>
      <c r="Q4" s="46">
        <f>(G.税金及附加测算表!Q30)</f>
        <v>0</v>
      </c>
      <c r="R4" s="46">
        <f>(G.税金及附加测算表!R30)</f>
        <v>0</v>
      </c>
      <c r="S4" s="46">
        <f>(G.税金及附加测算表!S30)</f>
        <v>0</v>
      </c>
      <c r="T4" s="46">
        <f>(G.税金及附加测算表!T30)</f>
        <v>0</v>
      </c>
      <c r="U4" s="46">
        <f>(G.税金及附加测算表!U30)</f>
        <v>0</v>
      </c>
      <c r="V4" s="46">
        <f>(G.税金及附加测算表!V30)</f>
        <v>0</v>
      </c>
      <c r="W4" s="46">
        <f>G.税金及附加测算表!W30</f>
        <v>0</v>
      </c>
      <c r="X4" s="46">
        <f>G.税金及附加测算表!X30</f>
        <v>0</v>
      </c>
      <c r="Y4" s="46">
        <f>G.税金及附加测算表!Y30</f>
        <v>0</v>
      </c>
      <c r="Z4" s="46">
        <f>G.税金及附加测算表!Z30</f>
        <v>0</v>
      </c>
    </row>
    <row r="5" ht="21.6" customHeight="1" spans="1:26">
      <c r="A5" s="8">
        <v>3</v>
      </c>
      <c r="B5" s="8" t="s">
        <v>400</v>
      </c>
      <c r="C5" s="14">
        <f t="shared" si="0"/>
        <v>27436.2145460771</v>
      </c>
      <c r="D5" s="14">
        <f>E总成本费用估算表!C15</f>
        <v>0</v>
      </c>
      <c r="E5" s="14">
        <f>E总成本费用估算表!D15</f>
        <v>13.2336220026845</v>
      </c>
      <c r="F5" s="14">
        <f>E总成本费用估算表!E15</f>
        <v>553.064612531741</v>
      </c>
      <c r="G5" s="14">
        <f>E总成本费用估算表!F15</f>
        <v>1266.46574224975</v>
      </c>
      <c r="H5" s="14">
        <f>E总成本费用估算表!G15</f>
        <v>1276.24236399206</v>
      </c>
      <c r="I5" s="14">
        <f>E总成本费用估算表!H15</f>
        <v>1286.1656350605</v>
      </c>
      <c r="J5" s="14">
        <f>E总成本费用估算表!I15</f>
        <v>1296.23775519497</v>
      </c>
      <c r="K5" s="14">
        <f>E总成本费用估算表!J15</f>
        <v>1306.46095713145</v>
      </c>
      <c r="L5" s="14">
        <f>E总成本费用估算表!K15</f>
        <v>1316.83750709699</v>
      </c>
      <c r="M5" s="14">
        <f>E总成本费用估算表!L15</f>
        <v>1327.369705312</v>
      </c>
      <c r="N5" s="14">
        <f>E总成本费用估算表!M15</f>
        <v>1338.05988650024</v>
      </c>
      <c r="O5" s="14">
        <f>E总成本费用估算表!N15</f>
        <v>1348.91042040631</v>
      </c>
      <c r="P5" s="14">
        <f>E总成本费用估算表!O15</f>
        <v>1359.92371232096</v>
      </c>
      <c r="Q5" s="14">
        <f>E总成本费用估算表!P15</f>
        <v>1371.10220361434</v>
      </c>
      <c r="R5" s="14">
        <f>E总成本费用估算表!Q15</f>
        <v>1382.44837227711</v>
      </c>
      <c r="S5" s="14">
        <f>E总成本费用估算表!R15</f>
        <v>1393.96473346983</v>
      </c>
      <c r="T5" s="14">
        <f>E总成本费用估算表!S15</f>
        <v>1405.65384008044</v>
      </c>
      <c r="U5" s="14">
        <f>E总成本费用估算表!T15</f>
        <v>1417.51828329021</v>
      </c>
      <c r="V5" s="14">
        <f>E总成本费用估算表!U15</f>
        <v>1429.56069314812</v>
      </c>
      <c r="W5" s="14">
        <f>E总成本费用估算表!V15</f>
        <v>1441.78373915391</v>
      </c>
      <c r="X5" s="14">
        <f>E总成本费用估算表!W15</f>
        <v>1438.84346418311</v>
      </c>
      <c r="Y5" s="14">
        <f>E总成本费用估算表!X15</f>
        <v>1343.40462108775</v>
      </c>
      <c r="Z5" s="14">
        <f>E总成本费用估算表!Y15</f>
        <v>1122.96267597263</v>
      </c>
    </row>
    <row r="6" ht="21.6" customHeight="1" spans="1:26">
      <c r="A6" s="8">
        <v>4</v>
      </c>
      <c r="B6" s="8" t="s">
        <v>306</v>
      </c>
      <c r="C6" s="14">
        <f t="shared" si="0"/>
        <v>0</v>
      </c>
      <c r="D6" s="14">
        <f>(F项目收入!D10)</f>
        <v>0</v>
      </c>
      <c r="E6" s="14">
        <f>(F项目收入!E10)</f>
        <v>0</v>
      </c>
      <c r="F6" s="14">
        <f>(F项目收入!F10)</f>
        <v>0</v>
      </c>
      <c r="G6" s="14">
        <f>(F项目收入!G10)</f>
        <v>0</v>
      </c>
      <c r="H6" s="14">
        <f>(F项目收入!H10)</f>
        <v>0</v>
      </c>
      <c r="I6" s="14">
        <f>(F项目收入!I10)</f>
        <v>0</v>
      </c>
      <c r="J6" s="14">
        <f>(F项目收入!J10)</f>
        <v>0</v>
      </c>
      <c r="K6" s="14">
        <f>(F项目收入!K10)</f>
        <v>0</v>
      </c>
      <c r="L6" s="14">
        <f>(F项目收入!L10)</f>
        <v>0</v>
      </c>
      <c r="M6" s="14">
        <f>(F项目收入!M10)</f>
        <v>0</v>
      </c>
      <c r="N6" s="14">
        <f>(F项目收入!N10)</f>
        <v>0</v>
      </c>
      <c r="O6" s="14">
        <f>(F项目收入!O10)</f>
        <v>0</v>
      </c>
      <c r="P6" s="14">
        <f>(F项目收入!P10)</f>
        <v>0</v>
      </c>
      <c r="Q6" s="14">
        <f>(F项目收入!Q10)</f>
        <v>0</v>
      </c>
      <c r="R6" s="14">
        <f>(F项目收入!R10)</f>
        <v>0</v>
      </c>
      <c r="S6" s="14">
        <f>(F项目收入!S10)</f>
        <v>0</v>
      </c>
      <c r="T6" s="14">
        <f>(F项目收入!T10)</f>
        <v>0</v>
      </c>
      <c r="U6" s="14">
        <f>(F项目收入!U10)</f>
        <v>0</v>
      </c>
      <c r="V6" s="14">
        <f>(F项目收入!V10)</f>
        <v>0</v>
      </c>
      <c r="W6" s="14">
        <f>F项目收入!W10</f>
        <v>0</v>
      </c>
      <c r="X6" s="14">
        <f>F项目收入!X10</f>
        <v>0</v>
      </c>
      <c r="Y6" s="14">
        <f>F项目收入!Y10</f>
        <v>0</v>
      </c>
      <c r="Z6" s="14">
        <f>F项目收入!Z10</f>
        <v>0</v>
      </c>
    </row>
    <row r="7" ht="21.6" customHeight="1" spans="1:26">
      <c r="A7" s="8">
        <v>5</v>
      </c>
      <c r="B7" s="8" t="s">
        <v>401</v>
      </c>
      <c r="C7" s="14">
        <f t="shared" si="0"/>
        <v>-24521.1984820771</v>
      </c>
      <c r="D7" s="14">
        <f t="shared" ref="D7:Z7" si="1">D3-D4-D5+D6</f>
        <v>0</v>
      </c>
      <c r="E7" s="14">
        <f t="shared" si="1"/>
        <v>336.766377997316</v>
      </c>
      <c r="F7" s="14">
        <f t="shared" si="1"/>
        <v>-16.6646125317404</v>
      </c>
      <c r="G7" s="14">
        <f t="shared" si="1"/>
        <v>-600.305742249749</v>
      </c>
      <c r="H7" s="14">
        <f t="shared" si="1"/>
        <v>-599.259163992056</v>
      </c>
      <c r="I7" s="14">
        <f t="shared" si="1"/>
        <v>-600.692771060498</v>
      </c>
      <c r="J7" s="14">
        <f t="shared" si="1"/>
        <v>-1296.23775519497</v>
      </c>
      <c r="K7" s="14">
        <f t="shared" si="1"/>
        <v>-1306.46095713145</v>
      </c>
      <c r="L7" s="14">
        <f t="shared" si="1"/>
        <v>-1316.83750709699</v>
      </c>
      <c r="M7" s="14">
        <f t="shared" si="1"/>
        <v>-1327.369705312</v>
      </c>
      <c r="N7" s="14">
        <f t="shared" si="1"/>
        <v>-1338.05988650024</v>
      </c>
      <c r="O7" s="14">
        <f t="shared" si="1"/>
        <v>-1348.91042040631</v>
      </c>
      <c r="P7" s="14">
        <f t="shared" si="1"/>
        <v>-1359.92371232096</v>
      </c>
      <c r="Q7" s="14">
        <f t="shared" si="1"/>
        <v>-1371.10220361434</v>
      </c>
      <c r="R7" s="14">
        <f t="shared" si="1"/>
        <v>-1382.44837227711</v>
      </c>
      <c r="S7" s="14">
        <f t="shared" si="1"/>
        <v>-1393.96473346983</v>
      </c>
      <c r="T7" s="14">
        <f t="shared" si="1"/>
        <v>-1405.65384008044</v>
      </c>
      <c r="U7" s="14">
        <f t="shared" si="1"/>
        <v>-1417.51828329021</v>
      </c>
      <c r="V7" s="14">
        <f t="shared" si="1"/>
        <v>-1429.56069314812</v>
      </c>
      <c r="W7" s="14">
        <f t="shared" si="1"/>
        <v>-1441.78373915391</v>
      </c>
      <c r="X7" s="14">
        <f t="shared" si="1"/>
        <v>-1438.84346418311</v>
      </c>
      <c r="Y7" s="14">
        <f t="shared" si="1"/>
        <v>-1343.40462108775</v>
      </c>
      <c r="Z7" s="14">
        <f t="shared" si="1"/>
        <v>-1122.96267597263</v>
      </c>
    </row>
    <row r="8" ht="21.6" customHeight="1" spans="1:26">
      <c r="A8" s="8">
        <v>6</v>
      </c>
      <c r="B8" s="8" t="s">
        <v>402</v>
      </c>
      <c r="C8" s="14">
        <f t="shared" si="0"/>
        <v>0</v>
      </c>
      <c r="D8" s="46">
        <v>0</v>
      </c>
      <c r="E8" s="14">
        <f>IF(E7&lt;0,0,IF(D9&lt;0,IF((E7+D9)&lt;0,E7,-D9),0))</f>
        <v>0</v>
      </c>
      <c r="F8" s="14">
        <f>IF(F7&lt;0,0,IF(E9&lt;0,IF((F7+E9)&lt;0,F7,-E9),0))</f>
        <v>0</v>
      </c>
      <c r="G8" s="14">
        <f>IF(G7&lt;0,0,IF(F9&lt;0,IF((G7+F9)&lt;0,G7,-F9),0))</f>
        <v>0</v>
      </c>
      <c r="H8" s="14">
        <f>IF(H7&lt;0,0,IF(G9&lt;0,IF((H7+G9)&lt;0,H7,-G9),0))</f>
        <v>0</v>
      </c>
      <c r="I8" s="14">
        <f>IF(I7&lt;0,0,IF(H9&lt;0,IF((I7+H9)&lt;0,I7,-H9),0))</f>
        <v>0</v>
      </c>
      <c r="J8" s="14">
        <f>IF(I7&lt;0,0,IF(H9&lt;0,IF((J7+I9)&lt;0,J7,-I9),0))</f>
        <v>0</v>
      </c>
      <c r="K8" s="14">
        <f>IF(I7&lt;0,0,IF(H9&lt;0,IF((K7+J9)&lt;0,K7,-J9),0))</f>
        <v>0</v>
      </c>
      <c r="L8" s="14">
        <f>IF(I7&lt;0,0,IF(H9&lt;0,IF((L7+K9)&lt;0,L7,-K9),0))</f>
        <v>0</v>
      </c>
      <c r="M8" s="14">
        <f>IF(I7&lt;0,0,IF(H9&lt;0,IF((M7+L9)&lt;0,M7,-L9),0))</f>
        <v>0</v>
      </c>
      <c r="N8" s="14">
        <f>IF(I7&lt;0,0,IF(H9&lt;0,IF((N7+M9)&lt;0,N7,-M9),0))</f>
        <v>0</v>
      </c>
      <c r="O8" s="14">
        <f>IF(I7&lt;0,0,IF(H9&lt;0,IF((O7+N9)&lt;0,O7,-N9),0))</f>
        <v>0</v>
      </c>
      <c r="P8" s="14">
        <f>IF(I7&lt;0,0,IF(H9&lt;0,IF((P7+O9)&lt;0,P7,-O9),0))</f>
        <v>0</v>
      </c>
      <c r="Q8" s="14">
        <f>IF(I7&lt;0,0,IF(H9&lt;0,IF((Q7+P9)&lt;0,Q7,-P9),0))</f>
        <v>0</v>
      </c>
      <c r="R8" s="14">
        <f>IF(I7&lt;0,0,IF(H9&lt;0,IF((R7+Q9)&lt;0,R7,-Q9),0))</f>
        <v>0</v>
      </c>
      <c r="S8" s="14">
        <f>IF(I7&lt;0,0,IF(H9&lt;0,IF((S7+R9)&lt;0,S7,-R9),0))</f>
        <v>0</v>
      </c>
      <c r="T8" s="14">
        <f>IF(I7&lt;0,0,IF(H9&lt;0,IF((T7+S9)&lt;0,T7,-S9),0))</f>
        <v>0</v>
      </c>
      <c r="U8" s="14">
        <f>IF(I7&lt;0,0,IF(H9&lt;0,IF((U7+T9)&lt;0,U7,-T9),0))</f>
        <v>0</v>
      </c>
      <c r="V8" s="14">
        <f>IF(I7&lt;0,0,IF(H9&lt;0,IF((V7+U9)&lt;0,V7,-U9),0))</f>
        <v>0</v>
      </c>
      <c r="W8" s="14">
        <f>IF(I7&lt;0,0,IF(H9&lt;0,IF((W7+V9)&lt;0,W7,-V9),0))</f>
        <v>0</v>
      </c>
      <c r="X8" s="14">
        <f>IF(I7&lt;0,0,IF(H9&lt;0,IF((X7+W9)&lt;0,X7,-W9),0))</f>
        <v>0</v>
      </c>
      <c r="Y8" s="14">
        <f>IF(I7&lt;0,0,IF(H9&lt;0,IF((Y7+X9)&lt;0,Y7,-X9),0))</f>
        <v>0</v>
      </c>
      <c r="Z8" s="14">
        <f>IF(I7&lt;0,0,IF(H9&lt;0,IF((Z7+Y9)&lt;0,Z7,-Y9),0))</f>
        <v>0</v>
      </c>
    </row>
    <row r="9" ht="21.6" customHeight="1" spans="1:26">
      <c r="A9" s="8"/>
      <c r="B9" s="8" t="s">
        <v>403</v>
      </c>
      <c r="C9" s="14">
        <f t="shared" si="0"/>
        <v>-241061.188309004</v>
      </c>
      <c r="D9" s="14">
        <f>IF(D7&lt;0,D7,0)</f>
        <v>0</v>
      </c>
      <c r="E9" s="14">
        <f>IF(E7&lt;0,E7+D9,D9+E8)</f>
        <v>0</v>
      </c>
      <c r="F9" s="14">
        <f>IF(F7&lt;0,F7+E9,E9+F8)</f>
        <v>-16.6646125317404</v>
      </c>
      <c r="G9" s="14">
        <f>IF(G7&lt;0,G7+F9,F9+G8)</f>
        <v>-616.970354781489</v>
      </c>
      <c r="H9" s="14">
        <f>IF(H7&lt;0,H7+G9,G9+H8)</f>
        <v>-1216.22951877355</v>
      </c>
      <c r="I9" s="14">
        <f>IF(I7&lt;0,I7+H9,H9+I8)</f>
        <v>-1816.92228983404</v>
      </c>
      <c r="J9" s="14">
        <f>IF(I7&lt;0,J7+I9,I9+J8)</f>
        <v>-3113.16004502901</v>
      </c>
      <c r="K9" s="14">
        <f>IF(I7&lt;0,K7+J9,J9+K8)</f>
        <v>-4419.62100216046</v>
      </c>
      <c r="L9" s="14">
        <f>IF(I7&lt;0,L7+K9,K9+L8)</f>
        <v>-5736.45850925745</v>
      </c>
      <c r="M9" s="14">
        <f>IF(I7&lt;0,M7+L9,L9+M8)</f>
        <v>-7063.82821456945</v>
      </c>
      <c r="N9" s="14">
        <f>IF(I7&lt;0,N7+M9,M9+N8)</f>
        <v>-8401.88810106969</v>
      </c>
      <c r="O9" s="14">
        <f>IF(I7&lt;0,O7+N9,N9+O8)</f>
        <v>-9750.798521476</v>
      </c>
      <c r="P9" s="14">
        <f>IF(I7&lt;0,P7+O9,O9+P8)</f>
        <v>-11110.722233797</v>
      </c>
      <c r="Q9" s="14">
        <f>IF(I7&lt;0,Q7+P9,P9+Q8)</f>
        <v>-12481.8244374113</v>
      </c>
      <c r="R9" s="14">
        <f>IF(I7&lt;0,R7+Q9,Q9+R8)</f>
        <v>-13864.2728096884</v>
      </c>
      <c r="S9" s="14">
        <f>IF(I7&lt;0,S7+R9,R9+S8)</f>
        <v>-15258.2375431582</v>
      </c>
      <c r="T9" s="14">
        <f>IF(I7&lt;0,T7+S9,S9+T8)</f>
        <v>-16663.8913832387</v>
      </c>
      <c r="U9" s="14">
        <f>IF(I7&lt;0,U7+T9,T9+U8)</f>
        <v>-18081.4096665289</v>
      </c>
      <c r="V9" s="14">
        <f>IF(I7&lt;0,V7+U9,U9+V8)</f>
        <v>-19510.970359677</v>
      </c>
      <c r="W9" s="14">
        <f>IF(I7&lt;0,W7+V9,V9+W8)</f>
        <v>-20952.7540988309</v>
      </c>
      <c r="X9" s="14">
        <f>IF(I7&lt;0,X7+W9,W9+X8)</f>
        <v>-22391.597563014</v>
      </c>
      <c r="Y9" s="14">
        <f>IF(I7&lt;0,Y7+X9,X9+Y8)</f>
        <v>-23735.0021841018</v>
      </c>
      <c r="Z9" s="14">
        <f>IF(I7&lt;0,Z7+Y9,Y9+Z8)</f>
        <v>-24857.9648600744</v>
      </c>
    </row>
    <row r="10" ht="21.6" customHeight="1" spans="1:26">
      <c r="A10" s="8">
        <v>7</v>
      </c>
      <c r="B10" s="8" t="s">
        <v>404</v>
      </c>
      <c r="C10" s="14">
        <f t="shared" si="0"/>
        <v>336.766377997316</v>
      </c>
      <c r="D10" s="14">
        <f t="shared" ref="D10:I10" si="2">IF(D9&lt;0,0,(D7-D8))</f>
        <v>0</v>
      </c>
      <c r="E10" s="14">
        <f t="shared" si="2"/>
        <v>336.766377997316</v>
      </c>
      <c r="F10" s="14">
        <f t="shared" si="2"/>
        <v>0</v>
      </c>
      <c r="G10" s="14">
        <f t="shared" si="2"/>
        <v>0</v>
      </c>
      <c r="H10" s="14">
        <f t="shared" si="2"/>
        <v>0</v>
      </c>
      <c r="I10" s="14">
        <f t="shared" si="2"/>
        <v>0</v>
      </c>
      <c r="J10" s="14">
        <f>IF(I9&lt;0,0,(J7-J8))</f>
        <v>0</v>
      </c>
      <c r="K10" s="14">
        <f>IF(I9&lt;0,0,(K7-K8))</f>
        <v>0</v>
      </c>
      <c r="L10" s="14">
        <f>IF(I9&lt;0,0,(L7-L8))</f>
        <v>0</v>
      </c>
      <c r="M10" s="14">
        <f>IF(I9&lt;0,0,(M7-M8))</f>
        <v>0</v>
      </c>
      <c r="N10" s="14">
        <f>IF(I9&lt;0,0,(N7-N8))</f>
        <v>0</v>
      </c>
      <c r="O10" s="14">
        <f>IF(I9&lt;0,0,(O7-O8))</f>
        <v>0</v>
      </c>
      <c r="P10" s="14">
        <f>IF(I9&lt;0,0,(P7-P8))</f>
        <v>0</v>
      </c>
      <c r="Q10" s="14">
        <f>IF(I9&lt;0,0,(Q7-Q8))</f>
        <v>0</v>
      </c>
      <c r="R10" s="14">
        <f>IF(I9&lt;0,0,(R7-R8))</f>
        <v>0</v>
      </c>
      <c r="S10" s="14">
        <f>IF(I9&lt;0,0,(S7-S8))</f>
        <v>0</v>
      </c>
      <c r="T10" s="14">
        <f>IF(I9&lt;0,0,(T7-T8))</f>
        <v>0</v>
      </c>
      <c r="U10" s="14">
        <f>IF(I9&lt;0,0,(U7-U8))</f>
        <v>0</v>
      </c>
      <c r="V10" s="14">
        <f>IF(I9&lt;0,0,(V7-V8))</f>
        <v>0</v>
      </c>
      <c r="W10" s="14">
        <f>IF(I9&lt;0,0,(W7-W8))</f>
        <v>0</v>
      </c>
      <c r="X10" s="14">
        <f>IF(I9&lt;0,0,(X7-X8))</f>
        <v>0</v>
      </c>
      <c r="Y10" s="14">
        <f>IF(I9&lt;0,0,(Y7-Y8))</f>
        <v>0</v>
      </c>
      <c r="Z10" s="14">
        <f>IF(I9&lt;0,0,(Z7-Z8))</f>
        <v>0</v>
      </c>
    </row>
    <row r="11" ht="21.6" customHeight="1" spans="1:26">
      <c r="A11" s="8">
        <v>8</v>
      </c>
      <c r="B11" s="36" t="s">
        <v>395</v>
      </c>
      <c r="C11" s="14">
        <f t="shared" si="0"/>
        <v>84.1915944993289</v>
      </c>
      <c r="D11" s="14">
        <f>D10*A财务假设!$D$9</f>
        <v>0</v>
      </c>
      <c r="E11" s="14">
        <f>E10*A财务假设!$D$9</f>
        <v>84.1915944993289</v>
      </c>
      <c r="F11" s="14">
        <f>F10*A财务假设!$D$9</f>
        <v>0</v>
      </c>
      <c r="G11" s="14">
        <f>G10*A财务假设!$D$9</f>
        <v>0</v>
      </c>
      <c r="H11" s="14">
        <f>H10*A财务假设!$D$9</f>
        <v>0</v>
      </c>
      <c r="I11" s="14">
        <f>I10*A财务假设!$D$9</f>
        <v>0</v>
      </c>
      <c r="J11" s="14">
        <f>J10*A财务假设!$D$9</f>
        <v>0</v>
      </c>
      <c r="K11" s="14">
        <f>K10*A财务假设!$D$9</f>
        <v>0</v>
      </c>
      <c r="L11" s="14">
        <f>L10*A财务假设!$D$9</f>
        <v>0</v>
      </c>
      <c r="M11" s="14">
        <f>M10*A财务假设!$D$9</f>
        <v>0</v>
      </c>
      <c r="N11" s="14">
        <f>N10*A财务假设!$D$9</f>
        <v>0</v>
      </c>
      <c r="O11" s="14">
        <f>O10*A财务假设!$D$9</f>
        <v>0</v>
      </c>
      <c r="P11" s="14">
        <f>P10*A财务假设!$D$9</f>
        <v>0</v>
      </c>
      <c r="Q11" s="14">
        <f>Q10*A财务假设!$D$9</f>
        <v>0</v>
      </c>
      <c r="R11" s="14">
        <f>R10*A财务假设!$D$9</f>
        <v>0</v>
      </c>
      <c r="S11" s="14">
        <f>S10*A财务假设!$D$9</f>
        <v>0</v>
      </c>
      <c r="T11" s="14">
        <f>T10*A财务假设!$D$9</f>
        <v>0</v>
      </c>
      <c r="U11" s="14">
        <f>U10*A财务假设!$D$9</f>
        <v>0</v>
      </c>
      <c r="V11" s="14">
        <f>V10*A财务假设!$D$9</f>
        <v>0</v>
      </c>
      <c r="W11" s="14">
        <f>W10*A财务假设!$D$9</f>
        <v>0</v>
      </c>
      <c r="X11" s="14">
        <f>X10*A财务假设!$D$9</f>
        <v>0</v>
      </c>
      <c r="Y11" s="14">
        <f>Y10*A财务假设!$D$9</f>
        <v>0</v>
      </c>
      <c r="Z11" s="14">
        <f>Z10*A财务假设!$D$9</f>
        <v>0</v>
      </c>
    </row>
    <row r="12" ht="21.6" customHeight="1" spans="1:26">
      <c r="A12" s="8">
        <v>9</v>
      </c>
      <c r="B12" s="8" t="s">
        <v>405</v>
      </c>
      <c r="C12" s="14">
        <f t="shared" si="0"/>
        <v>-24605.3900765764</v>
      </c>
      <c r="D12" s="14">
        <f t="shared" ref="D12:Z12" si="3">D7-D11</f>
        <v>0</v>
      </c>
      <c r="E12" s="14">
        <f t="shared" si="3"/>
        <v>252.574783497987</v>
      </c>
      <c r="F12" s="14">
        <f t="shared" si="3"/>
        <v>-16.6646125317404</v>
      </c>
      <c r="G12" s="14">
        <f t="shared" si="3"/>
        <v>-600.305742249749</v>
      </c>
      <c r="H12" s="14">
        <f t="shared" si="3"/>
        <v>-599.259163992056</v>
      </c>
      <c r="I12" s="14">
        <f t="shared" si="3"/>
        <v>-600.692771060498</v>
      </c>
      <c r="J12" s="14">
        <f t="shared" si="3"/>
        <v>-1296.23775519497</v>
      </c>
      <c r="K12" s="14">
        <f t="shared" si="3"/>
        <v>-1306.46095713145</v>
      </c>
      <c r="L12" s="14">
        <f t="shared" si="3"/>
        <v>-1316.83750709699</v>
      </c>
      <c r="M12" s="14">
        <f t="shared" si="3"/>
        <v>-1327.369705312</v>
      </c>
      <c r="N12" s="14">
        <f t="shared" si="3"/>
        <v>-1338.05988650024</v>
      </c>
      <c r="O12" s="14">
        <f t="shared" si="3"/>
        <v>-1348.91042040631</v>
      </c>
      <c r="P12" s="14">
        <f t="shared" si="3"/>
        <v>-1359.92371232096</v>
      </c>
      <c r="Q12" s="14">
        <f t="shared" si="3"/>
        <v>-1371.10220361434</v>
      </c>
      <c r="R12" s="14">
        <f t="shared" si="3"/>
        <v>-1382.44837227711</v>
      </c>
      <c r="S12" s="14">
        <f t="shared" si="3"/>
        <v>-1393.96473346983</v>
      </c>
      <c r="T12" s="14">
        <f t="shared" si="3"/>
        <v>-1405.65384008044</v>
      </c>
      <c r="U12" s="14">
        <f t="shared" si="3"/>
        <v>-1417.51828329021</v>
      </c>
      <c r="V12" s="14">
        <f t="shared" si="3"/>
        <v>-1429.56069314812</v>
      </c>
      <c r="W12" s="14">
        <f t="shared" si="3"/>
        <v>-1441.78373915391</v>
      </c>
      <c r="X12" s="14">
        <f t="shared" si="3"/>
        <v>-1438.84346418311</v>
      </c>
      <c r="Y12" s="14">
        <f t="shared" si="3"/>
        <v>-1343.40462108775</v>
      </c>
      <c r="Z12" s="14">
        <f t="shared" si="3"/>
        <v>-1122.96267597263</v>
      </c>
    </row>
    <row r="13" ht="21.6" customHeight="1" spans="1:26">
      <c r="A13" s="8">
        <v>10</v>
      </c>
      <c r="B13" s="8" t="s">
        <v>406</v>
      </c>
      <c r="C13" s="14">
        <f t="shared" si="0"/>
        <v>0</v>
      </c>
      <c r="D13" s="39">
        <v>0</v>
      </c>
      <c r="E13" s="39">
        <v>0</v>
      </c>
      <c r="F13" s="39">
        <v>0</v>
      </c>
      <c r="G13" s="39">
        <v>0</v>
      </c>
      <c r="H13" s="39">
        <v>0</v>
      </c>
      <c r="I13" s="39">
        <v>0</v>
      </c>
      <c r="J13" s="39">
        <v>0</v>
      </c>
      <c r="K13" s="39">
        <v>0</v>
      </c>
      <c r="L13" s="39">
        <v>0</v>
      </c>
      <c r="M13" s="39">
        <v>0</v>
      </c>
      <c r="N13" s="39">
        <v>0</v>
      </c>
      <c r="O13" s="39">
        <v>0</v>
      </c>
      <c r="P13" s="39">
        <v>0</v>
      </c>
      <c r="Q13" s="39">
        <v>0</v>
      </c>
      <c r="R13" s="39">
        <v>0</v>
      </c>
      <c r="S13" s="39">
        <v>0</v>
      </c>
      <c r="T13" s="39">
        <v>0</v>
      </c>
      <c r="U13" s="39">
        <v>0</v>
      </c>
      <c r="V13" s="39">
        <v>0</v>
      </c>
      <c r="W13" s="39">
        <v>0</v>
      </c>
      <c r="X13" s="39">
        <v>0</v>
      </c>
      <c r="Y13" s="39">
        <v>0</v>
      </c>
      <c r="Z13" s="39">
        <v>0</v>
      </c>
    </row>
    <row r="14" ht="21.6" customHeight="1" spans="1:26">
      <c r="A14" s="8">
        <v>11</v>
      </c>
      <c r="B14" s="8" t="s">
        <v>407</v>
      </c>
      <c r="C14" s="14">
        <f t="shared" si="0"/>
        <v>-24605.3900765764</v>
      </c>
      <c r="D14" s="14">
        <f t="shared" ref="D14:Z14" si="4">SUM(D12:D13)</f>
        <v>0</v>
      </c>
      <c r="E14" s="14">
        <f t="shared" si="4"/>
        <v>252.574783497987</v>
      </c>
      <c r="F14" s="14">
        <f t="shared" si="4"/>
        <v>-16.6646125317404</v>
      </c>
      <c r="G14" s="14">
        <f t="shared" si="4"/>
        <v>-600.305742249749</v>
      </c>
      <c r="H14" s="14">
        <f t="shared" si="4"/>
        <v>-599.259163992056</v>
      </c>
      <c r="I14" s="14">
        <f t="shared" si="4"/>
        <v>-600.692771060498</v>
      </c>
      <c r="J14" s="14">
        <f t="shared" si="4"/>
        <v>-1296.23775519497</v>
      </c>
      <c r="K14" s="14">
        <f t="shared" si="4"/>
        <v>-1306.46095713145</v>
      </c>
      <c r="L14" s="14">
        <f t="shared" si="4"/>
        <v>-1316.83750709699</v>
      </c>
      <c r="M14" s="14">
        <f t="shared" si="4"/>
        <v>-1327.369705312</v>
      </c>
      <c r="N14" s="14">
        <f t="shared" si="4"/>
        <v>-1338.05988650024</v>
      </c>
      <c r="O14" s="14">
        <f t="shared" si="4"/>
        <v>-1348.91042040631</v>
      </c>
      <c r="P14" s="14">
        <f t="shared" si="4"/>
        <v>-1359.92371232096</v>
      </c>
      <c r="Q14" s="14">
        <f t="shared" si="4"/>
        <v>-1371.10220361434</v>
      </c>
      <c r="R14" s="14">
        <f t="shared" si="4"/>
        <v>-1382.44837227711</v>
      </c>
      <c r="S14" s="14">
        <f t="shared" si="4"/>
        <v>-1393.96473346983</v>
      </c>
      <c r="T14" s="14">
        <f t="shared" si="4"/>
        <v>-1405.65384008044</v>
      </c>
      <c r="U14" s="14">
        <f t="shared" si="4"/>
        <v>-1417.51828329021</v>
      </c>
      <c r="V14" s="14">
        <f t="shared" si="4"/>
        <v>-1429.56069314812</v>
      </c>
      <c r="W14" s="14">
        <f t="shared" si="4"/>
        <v>-1441.78373915391</v>
      </c>
      <c r="X14" s="14">
        <f t="shared" si="4"/>
        <v>-1438.84346418311</v>
      </c>
      <c r="Y14" s="14">
        <f t="shared" si="4"/>
        <v>-1343.40462108775</v>
      </c>
      <c r="Z14" s="14">
        <f t="shared" si="4"/>
        <v>-1122.96267597263</v>
      </c>
    </row>
    <row r="15" ht="21.6" customHeight="1" spans="1:26">
      <c r="A15" s="8">
        <v>12</v>
      </c>
      <c r="B15" s="8" t="s">
        <v>408</v>
      </c>
      <c r="C15" s="14">
        <f t="shared" si="0"/>
        <v>-2460.53900765764</v>
      </c>
      <c r="D15" s="14">
        <f>D12*A财务假设!$D$10</f>
        <v>0</v>
      </c>
      <c r="E15" s="14">
        <f>E12*A财务假设!$D$10</f>
        <v>25.2574783497987</v>
      </c>
      <c r="F15" s="14">
        <f>F12*A财务假设!$D$10</f>
        <v>-1.66646125317404</v>
      </c>
      <c r="G15" s="14">
        <f>G12*A财务假设!$D$10</f>
        <v>-60.0305742249749</v>
      </c>
      <c r="H15" s="14">
        <f>H12*A财务假设!$D$10</f>
        <v>-59.9259163992056</v>
      </c>
      <c r="I15" s="14">
        <f>I12*A财务假设!$D$10</f>
        <v>-60.0692771060498</v>
      </c>
      <c r="J15" s="14">
        <f>J12*A财务假设!$D$10</f>
        <v>-129.623775519497</v>
      </c>
      <c r="K15" s="14">
        <f>K12*A财务假设!$D$10</f>
        <v>-130.646095713145</v>
      </c>
      <c r="L15" s="14">
        <f>L12*A财务假设!$D$10</f>
        <v>-131.683750709699</v>
      </c>
      <c r="M15" s="14">
        <f>M12*A财务假设!$D$10</f>
        <v>-132.7369705312</v>
      </c>
      <c r="N15" s="14">
        <f>N12*A财务假设!$D$10</f>
        <v>-133.805988650024</v>
      </c>
      <c r="O15" s="14">
        <f>O12*A财务假设!$D$10</f>
        <v>-134.891042040631</v>
      </c>
      <c r="P15" s="14">
        <f>P12*A财务假设!$D$10</f>
        <v>-135.992371232096</v>
      </c>
      <c r="Q15" s="14">
        <f>Q12*A财务假设!$D$10</f>
        <v>-137.110220361434</v>
      </c>
      <c r="R15" s="14">
        <f>R12*A财务假设!$D$10</f>
        <v>-138.244837227711</v>
      </c>
      <c r="S15" s="14">
        <f>S12*A财务假设!$D$10</f>
        <v>-139.396473346983</v>
      </c>
      <c r="T15" s="14">
        <f>T12*A财务假设!$D$10</f>
        <v>-140.565384008044</v>
      </c>
      <c r="U15" s="14">
        <f>U12*A财务假设!$D$10</f>
        <v>-141.751828329021</v>
      </c>
      <c r="V15" s="14">
        <f>V12*A财务假设!$D$10</f>
        <v>-142.956069314812</v>
      </c>
      <c r="W15" s="14">
        <f>W12*A财务假设!$D$10</f>
        <v>-144.178373915391</v>
      </c>
      <c r="X15" s="14">
        <f>X12*A财务假设!$D$10</f>
        <v>-143.884346418311</v>
      </c>
      <c r="Y15" s="14">
        <f>Y12*A财务假设!$D$10</f>
        <v>-134.340462108775</v>
      </c>
      <c r="Z15" s="14">
        <f>Z12*A财务假设!$D$10</f>
        <v>-112.296267597263</v>
      </c>
    </row>
    <row r="16" ht="21.6" customHeight="1" spans="1:26">
      <c r="A16" s="8">
        <v>13</v>
      </c>
      <c r="B16" s="8" t="s">
        <v>409</v>
      </c>
      <c r="C16" s="14">
        <f t="shared" si="0"/>
        <v>-22144.8510689188</v>
      </c>
      <c r="D16" s="14">
        <f t="shared" ref="D16:Z16" si="5">D14-D15</f>
        <v>0</v>
      </c>
      <c r="E16" s="14">
        <f t="shared" si="5"/>
        <v>227.317305148188</v>
      </c>
      <c r="F16" s="14">
        <f t="shared" si="5"/>
        <v>-14.9981512785664</v>
      </c>
      <c r="G16" s="14">
        <f t="shared" si="5"/>
        <v>-540.275168024774</v>
      </c>
      <c r="H16" s="14">
        <f t="shared" si="5"/>
        <v>-539.333247592851</v>
      </c>
      <c r="I16" s="14">
        <f t="shared" si="5"/>
        <v>-540.623493954448</v>
      </c>
      <c r="J16" s="14">
        <f t="shared" si="5"/>
        <v>-1166.61397967547</v>
      </c>
      <c r="K16" s="14">
        <f t="shared" si="5"/>
        <v>-1175.81486141831</v>
      </c>
      <c r="L16" s="14">
        <f t="shared" si="5"/>
        <v>-1185.15375638729</v>
      </c>
      <c r="M16" s="14">
        <f t="shared" si="5"/>
        <v>-1194.6327347808</v>
      </c>
      <c r="N16" s="14">
        <f t="shared" si="5"/>
        <v>-1204.25389785022</v>
      </c>
      <c r="O16" s="14">
        <f t="shared" si="5"/>
        <v>-1214.01937836568</v>
      </c>
      <c r="P16" s="14">
        <f t="shared" si="5"/>
        <v>-1223.93134108887</v>
      </c>
      <c r="Q16" s="14">
        <f t="shared" si="5"/>
        <v>-1233.9919832529</v>
      </c>
      <c r="R16" s="14">
        <f t="shared" si="5"/>
        <v>-1244.2035350494</v>
      </c>
      <c r="S16" s="14">
        <f t="shared" si="5"/>
        <v>-1254.56826012285</v>
      </c>
      <c r="T16" s="14">
        <f t="shared" si="5"/>
        <v>-1265.0884560724</v>
      </c>
      <c r="U16" s="14">
        <f t="shared" si="5"/>
        <v>-1275.76645496119</v>
      </c>
      <c r="V16" s="14">
        <f t="shared" si="5"/>
        <v>-1286.60462383331</v>
      </c>
      <c r="W16" s="14">
        <f t="shared" si="5"/>
        <v>-1297.60536523851</v>
      </c>
      <c r="X16" s="14">
        <f t="shared" si="5"/>
        <v>-1294.9591177648</v>
      </c>
      <c r="Y16" s="14">
        <f t="shared" si="5"/>
        <v>-1209.06415897897</v>
      </c>
      <c r="Z16" s="14">
        <f t="shared" si="5"/>
        <v>-1010.66640837536</v>
      </c>
    </row>
    <row r="17" ht="21.6" customHeight="1" spans="1:26">
      <c r="A17" s="8">
        <v>14</v>
      </c>
      <c r="B17" s="47" t="s">
        <v>410</v>
      </c>
      <c r="C17" s="14">
        <f t="shared" si="0"/>
        <v>0</v>
      </c>
      <c r="D17" s="39">
        <v>0</v>
      </c>
      <c r="E17" s="39">
        <v>0</v>
      </c>
      <c r="F17" s="39">
        <v>0</v>
      </c>
      <c r="G17" s="39">
        <v>0</v>
      </c>
      <c r="H17" s="39">
        <v>0</v>
      </c>
      <c r="I17" s="39">
        <v>0</v>
      </c>
      <c r="J17" s="39">
        <v>0</v>
      </c>
      <c r="K17" s="39">
        <v>0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39">
        <v>0</v>
      </c>
      <c r="R17" s="39">
        <v>0</v>
      </c>
      <c r="S17" s="39">
        <v>0</v>
      </c>
      <c r="T17" s="39">
        <v>0</v>
      </c>
      <c r="U17" s="39">
        <v>0</v>
      </c>
      <c r="V17" s="39">
        <v>0</v>
      </c>
      <c r="W17" s="39">
        <v>0</v>
      </c>
      <c r="X17" s="39">
        <v>0</v>
      </c>
      <c r="Y17" s="39">
        <v>0</v>
      </c>
      <c r="Z17" s="39">
        <v>0</v>
      </c>
    </row>
    <row r="18" ht="21.6" customHeight="1" spans="1:26">
      <c r="A18" s="8">
        <v>15</v>
      </c>
      <c r="B18" s="47" t="s">
        <v>411</v>
      </c>
      <c r="C18" s="14">
        <f t="shared" si="0"/>
        <v>-1107.24255344594</v>
      </c>
      <c r="D18" s="14">
        <f>D16*A财务假设!$D$11</f>
        <v>0</v>
      </c>
      <c r="E18" s="14">
        <f>E16*A财务假设!$D$11</f>
        <v>11.3658652574094</v>
      </c>
      <c r="F18" s="14">
        <f>F16*A财务假设!$D$11</f>
        <v>-0.749907563928319</v>
      </c>
      <c r="G18" s="14">
        <f>G16*A财务假设!$D$11</f>
        <v>-27.0137584012387</v>
      </c>
      <c r="H18" s="14">
        <f>H16*A财务假设!$D$11</f>
        <v>-26.9666623796425</v>
      </c>
      <c r="I18" s="14">
        <f>I16*A财务假设!$D$11</f>
        <v>-27.0311746977224</v>
      </c>
      <c r="J18" s="14">
        <f>J16*A财务假设!$D$11</f>
        <v>-58.3306989837735</v>
      </c>
      <c r="K18" s="14">
        <f>K16*A财务假设!$D$11</f>
        <v>-58.7907430709153</v>
      </c>
      <c r="L18" s="14">
        <f>L16*A财务假设!$D$11</f>
        <v>-59.2576878193643</v>
      </c>
      <c r="M18" s="14">
        <f>M16*A财务假设!$D$11</f>
        <v>-59.73163673904</v>
      </c>
      <c r="N18" s="14">
        <f>N16*A财务假设!$D$11</f>
        <v>-60.2126948925109</v>
      </c>
      <c r="O18" s="14">
        <f>O16*A财务假设!$D$11</f>
        <v>-60.7009689182838</v>
      </c>
      <c r="P18" s="14">
        <f>P16*A财务假设!$D$11</f>
        <v>-61.1965670544433</v>
      </c>
      <c r="Q18" s="14">
        <f>Q16*A财务假设!$D$11</f>
        <v>-61.6995991626452</v>
      </c>
      <c r="R18" s="14">
        <f>R16*A财务假设!$D$11</f>
        <v>-62.2101767524701</v>
      </c>
      <c r="S18" s="14">
        <f>S16*A财务假设!$D$11</f>
        <v>-62.7284130061424</v>
      </c>
      <c r="T18" s="14">
        <f>T16*A财务假设!$D$11</f>
        <v>-63.2544228036198</v>
      </c>
      <c r="U18" s="14">
        <f>U16*A财务假设!$D$11</f>
        <v>-63.7883227480593</v>
      </c>
      <c r="V18" s="14">
        <f>V16*A财务假设!$D$11</f>
        <v>-64.3302311916655</v>
      </c>
      <c r="W18" s="14">
        <f>W16*A财务假设!$D$11</f>
        <v>-64.8802682619257</v>
      </c>
      <c r="X18" s="14">
        <f>X16*A财务假设!$D$11</f>
        <v>-64.7479558882399</v>
      </c>
      <c r="Y18" s="14">
        <f>Y16*A财务假设!$D$11</f>
        <v>-60.4532079489487</v>
      </c>
      <c r="Z18" s="14">
        <f>Z16*A财务假设!$D$11</f>
        <v>-50.5333204187682</v>
      </c>
    </row>
    <row r="19" ht="21.6" customHeight="1" spans="1:26">
      <c r="A19" s="8">
        <v>16</v>
      </c>
      <c r="B19" s="47" t="s">
        <v>412</v>
      </c>
      <c r="C19" s="14">
        <f t="shared" si="0"/>
        <v>-21037.6085154728</v>
      </c>
      <c r="D19" s="48">
        <f t="shared" ref="D19:Z19" si="6">D16-D17-D18</f>
        <v>0</v>
      </c>
      <c r="E19" s="48">
        <f t="shared" si="6"/>
        <v>215.951439890779</v>
      </c>
      <c r="F19" s="48">
        <f t="shared" si="6"/>
        <v>-14.2482437146381</v>
      </c>
      <c r="G19" s="48">
        <f t="shared" si="6"/>
        <v>-513.261409623535</v>
      </c>
      <c r="H19" s="48">
        <f t="shared" si="6"/>
        <v>-512.366585213208</v>
      </c>
      <c r="I19" s="48">
        <f t="shared" si="6"/>
        <v>-513.592319256726</v>
      </c>
      <c r="J19" s="48">
        <f t="shared" si="6"/>
        <v>-1108.2832806917</v>
      </c>
      <c r="K19" s="48">
        <f t="shared" si="6"/>
        <v>-1117.02411834739</v>
      </c>
      <c r="L19" s="48">
        <f t="shared" si="6"/>
        <v>-1125.89606856792</v>
      </c>
      <c r="M19" s="48">
        <f t="shared" si="6"/>
        <v>-1134.90109804176</v>
      </c>
      <c r="N19" s="48">
        <f t="shared" si="6"/>
        <v>-1144.04120295771</v>
      </c>
      <c r="O19" s="48">
        <f t="shared" si="6"/>
        <v>-1153.31840944739</v>
      </c>
      <c r="P19" s="48">
        <f t="shared" si="6"/>
        <v>-1162.73477403442</v>
      </c>
      <c r="Q19" s="48">
        <f t="shared" si="6"/>
        <v>-1172.29238409026</v>
      </c>
      <c r="R19" s="48">
        <f t="shared" si="6"/>
        <v>-1181.99335829693</v>
      </c>
      <c r="S19" s="48">
        <f t="shared" si="6"/>
        <v>-1191.83984711671</v>
      </c>
      <c r="T19" s="48">
        <f t="shared" si="6"/>
        <v>-1201.83403326878</v>
      </c>
      <c r="U19" s="48">
        <f t="shared" si="6"/>
        <v>-1211.97813221313</v>
      </c>
      <c r="V19" s="48">
        <f t="shared" si="6"/>
        <v>-1222.27439264165</v>
      </c>
      <c r="W19" s="48">
        <f t="shared" si="6"/>
        <v>-1232.72509697659</v>
      </c>
      <c r="X19" s="48">
        <f t="shared" si="6"/>
        <v>-1230.21116187656</v>
      </c>
      <c r="Y19" s="48">
        <f t="shared" si="6"/>
        <v>-1148.61095103003</v>
      </c>
      <c r="Z19" s="48">
        <f t="shared" si="6"/>
        <v>-960.133087956596</v>
      </c>
    </row>
    <row r="20" ht="21.6" customHeight="1" spans="1:26">
      <c r="A20" s="8">
        <v>17</v>
      </c>
      <c r="B20" s="47" t="s">
        <v>413</v>
      </c>
      <c r="C20" s="14">
        <f t="shared" si="0"/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>
        <v>0</v>
      </c>
      <c r="V20" s="39">
        <v>0</v>
      </c>
      <c r="W20" s="39">
        <v>0</v>
      </c>
      <c r="X20" s="39">
        <v>0</v>
      </c>
      <c r="Y20" s="39">
        <v>0</v>
      </c>
      <c r="Z20" s="39">
        <v>0</v>
      </c>
    </row>
    <row r="21" ht="21.6" customHeight="1" spans="1:26">
      <c r="A21" s="8">
        <v>17.1</v>
      </c>
      <c r="B21" s="47" t="s">
        <v>414</v>
      </c>
      <c r="C21" s="14">
        <f t="shared" si="0"/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>
        <v>0</v>
      </c>
      <c r="V21" s="39">
        <v>0</v>
      </c>
      <c r="W21" s="39">
        <v>0</v>
      </c>
      <c r="X21" s="39">
        <v>0</v>
      </c>
      <c r="Y21" s="39">
        <v>0</v>
      </c>
      <c r="Z21" s="39">
        <v>0</v>
      </c>
    </row>
    <row r="22" ht="21.6" customHeight="1" spans="1:26">
      <c r="A22" s="8">
        <v>18</v>
      </c>
      <c r="B22" s="8" t="s">
        <v>415</v>
      </c>
      <c r="C22" s="14">
        <f t="shared" si="0"/>
        <v>-21037.6085154728</v>
      </c>
      <c r="D22" s="14">
        <f t="shared" ref="D22:Z22" si="7">D16-D17-D18-D20</f>
        <v>0</v>
      </c>
      <c r="E22" s="14">
        <f t="shared" si="7"/>
        <v>215.951439890779</v>
      </c>
      <c r="F22" s="14">
        <f t="shared" si="7"/>
        <v>-14.2482437146381</v>
      </c>
      <c r="G22" s="14">
        <f t="shared" si="7"/>
        <v>-513.261409623535</v>
      </c>
      <c r="H22" s="14">
        <f t="shared" si="7"/>
        <v>-512.366585213208</v>
      </c>
      <c r="I22" s="14">
        <f t="shared" si="7"/>
        <v>-513.592319256726</v>
      </c>
      <c r="J22" s="14">
        <f t="shared" si="7"/>
        <v>-1108.2832806917</v>
      </c>
      <c r="K22" s="14">
        <f t="shared" si="7"/>
        <v>-1117.02411834739</v>
      </c>
      <c r="L22" s="14">
        <f t="shared" si="7"/>
        <v>-1125.89606856792</v>
      </c>
      <c r="M22" s="14">
        <f t="shared" si="7"/>
        <v>-1134.90109804176</v>
      </c>
      <c r="N22" s="14">
        <f t="shared" si="7"/>
        <v>-1144.04120295771</v>
      </c>
      <c r="O22" s="14">
        <f t="shared" si="7"/>
        <v>-1153.31840944739</v>
      </c>
      <c r="P22" s="14">
        <f t="shared" si="7"/>
        <v>-1162.73477403442</v>
      </c>
      <c r="Q22" s="14">
        <f t="shared" si="7"/>
        <v>-1172.29238409026</v>
      </c>
      <c r="R22" s="14">
        <f t="shared" si="7"/>
        <v>-1181.99335829693</v>
      </c>
      <c r="S22" s="14">
        <f t="shared" si="7"/>
        <v>-1191.83984711671</v>
      </c>
      <c r="T22" s="14">
        <f t="shared" si="7"/>
        <v>-1201.83403326878</v>
      </c>
      <c r="U22" s="14">
        <f t="shared" si="7"/>
        <v>-1211.97813221313</v>
      </c>
      <c r="V22" s="14">
        <f t="shared" si="7"/>
        <v>-1222.27439264165</v>
      </c>
      <c r="W22" s="14">
        <f t="shared" si="7"/>
        <v>-1232.72509697659</v>
      </c>
      <c r="X22" s="14">
        <f t="shared" si="7"/>
        <v>-1230.21116187656</v>
      </c>
      <c r="Y22" s="14">
        <f t="shared" si="7"/>
        <v>-1148.61095103003</v>
      </c>
      <c r="Z22" s="14">
        <f t="shared" si="7"/>
        <v>-960.133087956596</v>
      </c>
    </row>
    <row r="23" ht="21.6" customHeight="1" spans="1:26">
      <c r="A23" s="8">
        <v>18.1</v>
      </c>
      <c r="B23" s="8" t="s">
        <v>416</v>
      </c>
      <c r="C23" s="14">
        <f t="shared" si="0"/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>
        <v>0</v>
      </c>
      <c r="W23" s="39">
        <v>0</v>
      </c>
      <c r="X23" s="39">
        <v>0</v>
      </c>
      <c r="Y23" s="39">
        <v>0</v>
      </c>
      <c r="Z23" s="39">
        <v>0</v>
      </c>
    </row>
    <row r="24" ht="21.6" customHeight="1" spans="1:26">
      <c r="A24" s="8">
        <v>18.2</v>
      </c>
      <c r="B24" s="8" t="s">
        <v>417</v>
      </c>
      <c r="C24" s="14">
        <f t="shared" si="0"/>
        <v>-201356.384326601</v>
      </c>
      <c r="D24" s="12">
        <f>D22</f>
        <v>0</v>
      </c>
      <c r="E24" s="12">
        <f t="shared" ref="E24:Z24" si="8">E22+D24</f>
        <v>215.951439890779</v>
      </c>
      <c r="F24" s="12">
        <f t="shared" si="8"/>
        <v>201.70319617614</v>
      </c>
      <c r="G24" s="12">
        <f t="shared" si="8"/>
        <v>-311.558213447395</v>
      </c>
      <c r="H24" s="12">
        <f t="shared" si="8"/>
        <v>-823.924798660603</v>
      </c>
      <c r="I24" s="12">
        <f t="shared" si="8"/>
        <v>-1337.51711791733</v>
      </c>
      <c r="J24" s="12">
        <f t="shared" si="8"/>
        <v>-2445.80039860903</v>
      </c>
      <c r="K24" s="12">
        <f t="shared" si="8"/>
        <v>-3562.82451695642</v>
      </c>
      <c r="L24" s="12">
        <f t="shared" si="8"/>
        <v>-4688.72058552434</v>
      </c>
      <c r="M24" s="12">
        <f t="shared" si="8"/>
        <v>-5823.6216835661</v>
      </c>
      <c r="N24" s="12">
        <f t="shared" si="8"/>
        <v>-6967.66288652381</v>
      </c>
      <c r="O24" s="12">
        <f t="shared" si="8"/>
        <v>-8120.9812959712</v>
      </c>
      <c r="P24" s="12">
        <f t="shared" si="8"/>
        <v>-9283.71607000562</v>
      </c>
      <c r="Q24" s="12">
        <f t="shared" si="8"/>
        <v>-10456.0084540959</v>
      </c>
      <c r="R24" s="12">
        <f t="shared" si="8"/>
        <v>-11638.0018123928</v>
      </c>
      <c r="S24" s="12">
        <f t="shared" si="8"/>
        <v>-12829.8416595095</v>
      </c>
      <c r="T24" s="12">
        <f t="shared" si="8"/>
        <v>-14031.6756927783</v>
      </c>
      <c r="U24" s="12">
        <f t="shared" si="8"/>
        <v>-15243.6538249914</v>
      </c>
      <c r="V24" s="12">
        <f t="shared" si="8"/>
        <v>-16465.9282176331</v>
      </c>
      <c r="W24" s="12">
        <f t="shared" si="8"/>
        <v>-17698.6533146097</v>
      </c>
      <c r="X24" s="12">
        <f t="shared" si="8"/>
        <v>-18928.8644764862</v>
      </c>
      <c r="Y24" s="12">
        <f t="shared" si="8"/>
        <v>-20077.4754275162</v>
      </c>
      <c r="Z24" s="12">
        <f t="shared" si="8"/>
        <v>-21037.6085154728</v>
      </c>
    </row>
    <row r="25" ht="33" customHeight="1" spans="1:26">
      <c r="A25" s="8">
        <v>19</v>
      </c>
      <c r="B25" s="36" t="s">
        <v>418</v>
      </c>
      <c r="C25" s="14">
        <f t="shared" si="0"/>
        <v>-14239.7774420771</v>
      </c>
      <c r="D25" s="12">
        <f>(D7+c借款还本付息计划表!D37+c借款还本付息计划表!D38+c借款还本付息计划表!D36)</f>
        <v>17.2746666666667</v>
      </c>
      <c r="E25" s="12">
        <f>(E7+c借款还本付息计划表!E37+c借款还本付息计划表!E38+c借款还本付息计划表!E36)</f>
        <v>469.782043330649</v>
      </c>
      <c r="F25" s="12">
        <f>(F7+c借款还本付息计划表!F37+c借款还本付息计划表!F38+c借款还本付息计划表!F36)</f>
        <v>349.562712801593</v>
      </c>
      <c r="G25" s="14">
        <f>(G7+E总成本费用估算表!F14)</f>
        <v>-87.2400902497487</v>
      </c>
      <c r="H25" s="14">
        <f>(H7+E总成本费用估算表!G14)</f>
        <v>-86.1935119920561</v>
      </c>
      <c r="I25" s="14">
        <f>(I7+E总成本费用估算表!H14)</f>
        <v>-87.627119060498</v>
      </c>
      <c r="J25" s="14">
        <f>(J7+E总成本费用估算表!I14)</f>
        <v>-783.172103194967</v>
      </c>
      <c r="K25" s="14">
        <f>(K7+E总成本费用估算表!J14)</f>
        <v>-793.395305131452</v>
      </c>
      <c r="L25" s="14">
        <f>(L7+E总成本费用估算表!K14)</f>
        <v>-803.771855096985</v>
      </c>
      <c r="M25" s="14">
        <f>(M7+E总成本费用估算表!L14)</f>
        <v>-814.304053312001</v>
      </c>
      <c r="N25" s="14">
        <f>(N7+E总成本费用估算表!M14)</f>
        <v>-824.994234500242</v>
      </c>
      <c r="O25" s="14">
        <f>(O7+E总成本费用估算表!N14)</f>
        <v>-835.844768406307</v>
      </c>
      <c r="P25" s="14">
        <f>(P7+E总成本费用估算表!O14)</f>
        <v>-846.858060320963</v>
      </c>
      <c r="Q25" s="14">
        <f>(Q7+E总成本费用估算表!P14)</f>
        <v>-858.036551614338</v>
      </c>
      <c r="R25" s="14">
        <f>(R7+E总成本费用估算表!Q14)</f>
        <v>-869.382720277114</v>
      </c>
      <c r="S25" s="14">
        <f>(S7+E总成本费用估算表!R14)</f>
        <v>-880.899081469831</v>
      </c>
      <c r="T25" s="14">
        <f>(T7+E总成本费用估算表!S14)</f>
        <v>-892.588188080441</v>
      </c>
      <c r="U25" s="14">
        <f>(U7+E总成本费用估算表!T14)</f>
        <v>-904.452631290207</v>
      </c>
      <c r="V25" s="14">
        <f>(V7+E总成本费用估算表!U14)</f>
        <v>-916.495041148123</v>
      </c>
      <c r="W25" s="14">
        <f>(W7+E总成本费用估算表!V14)</f>
        <v>-928.718087153905</v>
      </c>
      <c r="X25" s="14">
        <f>(X7+E总成本费用估算表!W14)</f>
        <v>-941.224478849775</v>
      </c>
      <c r="Y25" s="14">
        <f>(Y7+E总成本费用估算表!X14)</f>
        <v>-954.214634421082</v>
      </c>
      <c r="Z25" s="14">
        <f>Z7+E总成本费用估算表!Y14</f>
        <v>-966.98434930596</v>
      </c>
    </row>
    <row r="26" ht="33" customHeight="1" spans="1:26">
      <c r="A26" s="8">
        <v>20</v>
      </c>
      <c r="B26" s="36" t="s">
        <v>419</v>
      </c>
      <c r="C26" s="14">
        <f t="shared" si="0"/>
        <v>-12149.9206660362</v>
      </c>
      <c r="D26" s="14">
        <f>D25+E总成本费用估算表!C12+E总成本费用估算表!C13</f>
        <v>17.2746666666667</v>
      </c>
      <c r="E26" s="14">
        <f>E25+E总成本费用估算表!D12+E总成本费用估算表!D13</f>
        <v>483.013333333333</v>
      </c>
      <c r="F26" s="14">
        <f>F25+E总成本费用估算表!E12+E总成本费用估算表!E13</f>
        <v>394.195090254662</v>
      </c>
      <c r="G26" s="14">
        <f>G25+E总成本费用估算表!F12+E总成本费用估算表!F13</f>
        <v>14.3595651795079</v>
      </c>
      <c r="H26" s="14">
        <f>H25+E总成本费用估算表!G12+E总成本费用估算表!G13</f>
        <v>15.4061434372006</v>
      </c>
      <c r="I26" s="14">
        <f>I25+E总成本费用估算表!H12+E总成本费用估算表!H13</f>
        <v>13.9725363687586</v>
      </c>
      <c r="J26" s="14">
        <f>J25+E总成本费用估算表!I12+E总成本费用估算表!I13</f>
        <v>-681.57244776571</v>
      </c>
      <c r="K26" s="14">
        <f>K25+E总成本费用估算表!J12+E总成本费用估算表!J13</f>
        <v>-691.795649702195</v>
      </c>
      <c r="L26" s="14">
        <f>L25+E总成本费用估算表!K12+E总成本费用估算表!K13</f>
        <v>-702.172199667728</v>
      </c>
      <c r="M26" s="14">
        <f>M25+E总成本费用估算表!L12+E总成本费用估算表!L13</f>
        <v>-712.704397882744</v>
      </c>
      <c r="N26" s="14">
        <f>N25+E总成本费用估算表!M12+E总成本费用估算表!M13</f>
        <v>-723.394579070986</v>
      </c>
      <c r="O26" s="14">
        <f>O25+E总成本费用估算表!N12+E总成本费用估算表!N13</f>
        <v>-734.24511297705</v>
      </c>
      <c r="P26" s="14">
        <f>P25+E总成本费用估算表!O12+E总成本费用估算表!O13</f>
        <v>-745.258404891706</v>
      </c>
      <c r="Q26" s="14">
        <f>Q25+E总成本费用估算表!P12+E总成本费用估算表!P13</f>
        <v>-756.436896185081</v>
      </c>
      <c r="R26" s="14">
        <f>R25+E总成本费用估算表!Q12+E总成本费用估算表!Q13</f>
        <v>-767.783064847857</v>
      </c>
      <c r="S26" s="14">
        <f>S25+E总成本费用估算表!R12+E总成本费用估算表!R13</f>
        <v>-779.299426040574</v>
      </c>
      <c r="T26" s="14">
        <f>T25+E总成本费用估算表!S12+E总成本费用估算表!S13</f>
        <v>-790.988532651184</v>
      </c>
      <c r="U26" s="14">
        <f>U25+E总成本费用估算表!T12+E总成本费用估算表!T13</f>
        <v>-802.852975860951</v>
      </c>
      <c r="V26" s="14">
        <f>V25+E总成本费用估算表!U12+E总成本费用估算表!U13</f>
        <v>-814.895385718866</v>
      </c>
      <c r="W26" s="14">
        <f>W25+E总成本费用估算表!V12+E总成本费用估算表!V13</f>
        <v>-827.118431724648</v>
      </c>
      <c r="X26" s="14">
        <f>X25+E总成本费用估算表!W12+E总成本费用估算表!W13</f>
        <v>-839.624823420518</v>
      </c>
      <c r="Y26" s="14">
        <f>Y25+E总成本费用估算表!X12+E总成本费用估算表!X13</f>
        <v>-852.614978991826</v>
      </c>
      <c r="Z26" s="14">
        <f>Z25+E总成本费用估算表!Y12+E总成本费用估算表!Y13</f>
        <v>-865.384693876703</v>
      </c>
    </row>
    <row r="27" ht="21.6" customHeight="1" spans="1:26">
      <c r="A27" s="8">
        <v>21</v>
      </c>
      <c r="B27" s="36" t="s">
        <v>420</v>
      </c>
      <c r="C27" s="49">
        <f>((C26-C11)/c借款还本付息计划表!C32)</f>
        <v>-0.379225321769315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4"/>
    </row>
    <row r="28" ht="14" customHeight="1" spans="10:10">
      <c r="J28"/>
    </row>
  </sheetData>
  <mergeCells count="2">
    <mergeCell ref="A1:I1"/>
    <mergeCell ref="C27:Z27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C000"/>
  </sheetPr>
  <dimension ref="A2:Z40"/>
  <sheetViews>
    <sheetView zoomScale="70" zoomScaleNormal="70" workbookViewId="0">
      <pane xSplit="2" ySplit="2" topLeftCell="C27" activePane="bottomRight" state="frozen"/>
      <selection/>
      <selection pane="topRight"/>
      <selection pane="bottomLeft"/>
      <selection pane="bottomRight" activeCell="E39" sqref="E39"/>
    </sheetView>
  </sheetViews>
  <sheetFormatPr defaultColWidth="8.89090909090909" defaultRowHeight="28.05" customHeight="1"/>
  <cols>
    <col min="1" max="1" width="10.1090909090909" style="1" customWidth="1"/>
    <col min="2" max="2" width="21.5545454545455" style="1" customWidth="1"/>
    <col min="3" max="3" width="11.8909090909091" style="1" customWidth="1"/>
    <col min="4" max="4" width="10.5545454545455" style="1" customWidth="1"/>
    <col min="5" max="26" width="11.8909090909091" style="1" customWidth="1"/>
    <col min="27" max="27" width="69.4454545454546" style="1" customWidth="1"/>
  </cols>
  <sheetData>
    <row r="2" customHeight="1" spans="1:26">
      <c r="A2" s="43" t="s">
        <v>1</v>
      </c>
      <c r="B2" s="43" t="s">
        <v>151</v>
      </c>
      <c r="C2" s="43" t="s">
        <v>95</v>
      </c>
      <c r="D2" s="43">
        <v>2025</v>
      </c>
      <c r="E2" s="43">
        <v>2026</v>
      </c>
      <c r="F2" s="43">
        <v>2027</v>
      </c>
      <c r="G2" s="43">
        <v>2028</v>
      </c>
      <c r="H2" s="43">
        <v>2029</v>
      </c>
      <c r="I2" s="43">
        <v>2030</v>
      </c>
      <c r="J2" s="43">
        <v>2031</v>
      </c>
      <c r="K2" s="43">
        <v>2032</v>
      </c>
      <c r="L2" s="43">
        <v>2033</v>
      </c>
      <c r="M2" s="43">
        <v>2034</v>
      </c>
      <c r="N2" s="43">
        <v>2035</v>
      </c>
      <c r="O2" s="43">
        <v>2036</v>
      </c>
      <c r="P2" s="43">
        <v>2037</v>
      </c>
      <c r="Q2" s="43">
        <v>2038</v>
      </c>
      <c r="R2" s="43">
        <v>2039</v>
      </c>
      <c r="S2" s="43">
        <v>2040</v>
      </c>
      <c r="T2" s="43">
        <v>2041</v>
      </c>
      <c r="U2" s="43">
        <v>2042</v>
      </c>
      <c r="V2" s="43">
        <v>2043</v>
      </c>
      <c r="W2" s="43">
        <v>2044</v>
      </c>
      <c r="X2" s="43">
        <v>2045</v>
      </c>
      <c r="Y2" s="43">
        <v>2046</v>
      </c>
      <c r="Z2" s="43">
        <v>2047</v>
      </c>
    </row>
    <row r="3" customHeight="1" spans="1:26">
      <c r="A3" s="44">
        <v>1</v>
      </c>
      <c r="B3" s="44" t="s">
        <v>87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customHeight="1" spans="1:26">
      <c r="A4" s="44" t="s">
        <v>272</v>
      </c>
      <c r="B4" s="44" t="s">
        <v>421</v>
      </c>
      <c r="C4" s="44">
        <v>0</v>
      </c>
      <c r="D4" s="44">
        <f t="shared" ref="D4:X4" si="0">(C8)</f>
        <v>0</v>
      </c>
      <c r="E4" s="44">
        <f t="shared" si="0"/>
        <v>2000</v>
      </c>
      <c r="F4" s="44">
        <f t="shared" si="0"/>
        <v>2000</v>
      </c>
      <c r="G4" s="44">
        <f t="shared" si="0"/>
        <v>2000</v>
      </c>
      <c r="H4" s="44">
        <f t="shared" si="0"/>
        <v>2000</v>
      </c>
      <c r="I4" s="44">
        <f t="shared" si="0"/>
        <v>2000</v>
      </c>
      <c r="J4" s="44">
        <f t="shared" si="0"/>
        <v>2000</v>
      </c>
      <c r="K4" s="44">
        <f t="shared" si="0"/>
        <v>2000</v>
      </c>
      <c r="L4" s="44">
        <f t="shared" si="0"/>
        <v>2000</v>
      </c>
      <c r="M4" s="44">
        <f t="shared" si="0"/>
        <v>2000</v>
      </c>
      <c r="N4" s="44">
        <f t="shared" si="0"/>
        <v>2000</v>
      </c>
      <c r="O4" s="44">
        <f t="shared" si="0"/>
        <v>2000</v>
      </c>
      <c r="P4" s="44">
        <f t="shared" si="0"/>
        <v>2000</v>
      </c>
      <c r="Q4" s="44">
        <f t="shared" si="0"/>
        <v>2000</v>
      </c>
      <c r="R4" s="44">
        <f t="shared" si="0"/>
        <v>2000</v>
      </c>
      <c r="S4" s="44">
        <f t="shared" si="0"/>
        <v>2000</v>
      </c>
      <c r="T4" s="44">
        <f t="shared" si="0"/>
        <v>2000</v>
      </c>
      <c r="U4" s="44">
        <f t="shared" si="0"/>
        <v>2000</v>
      </c>
      <c r="V4" s="44">
        <f t="shared" si="0"/>
        <v>2000</v>
      </c>
      <c r="W4" s="44">
        <f t="shared" si="0"/>
        <v>2000</v>
      </c>
      <c r="X4" s="44">
        <f t="shared" si="0"/>
        <v>2000</v>
      </c>
      <c r="Y4" s="44">
        <v>0</v>
      </c>
      <c r="Z4" s="44">
        <v>0</v>
      </c>
    </row>
    <row r="5" customHeight="1" spans="1:26">
      <c r="A5" s="44" t="s">
        <v>280</v>
      </c>
      <c r="B5" s="44" t="s">
        <v>422</v>
      </c>
      <c r="C5" s="44">
        <f>(SUM(D5:X5))</f>
        <v>2932.8</v>
      </c>
      <c r="D5" s="44">
        <f t="shared" ref="D5:X5" si="1">(D6+D7)</f>
        <v>0</v>
      </c>
      <c r="E5" s="44">
        <f t="shared" si="1"/>
        <v>46.64</v>
      </c>
      <c r="F5" s="44">
        <f t="shared" si="1"/>
        <v>46.64</v>
      </c>
      <c r="G5" s="44">
        <f t="shared" si="1"/>
        <v>46.64</v>
      </c>
      <c r="H5" s="44">
        <f t="shared" si="1"/>
        <v>46.64</v>
      </c>
      <c r="I5" s="44">
        <f t="shared" si="1"/>
        <v>46.64</v>
      </c>
      <c r="J5" s="44">
        <f t="shared" si="1"/>
        <v>46.64</v>
      </c>
      <c r="K5" s="44">
        <f t="shared" si="1"/>
        <v>46.64</v>
      </c>
      <c r="L5" s="44">
        <f t="shared" si="1"/>
        <v>46.64</v>
      </c>
      <c r="M5" s="44">
        <f t="shared" si="1"/>
        <v>46.64</v>
      </c>
      <c r="N5" s="44">
        <f t="shared" si="1"/>
        <v>46.64</v>
      </c>
      <c r="O5" s="44">
        <f t="shared" si="1"/>
        <v>46.64</v>
      </c>
      <c r="P5" s="44">
        <f t="shared" si="1"/>
        <v>46.64</v>
      </c>
      <c r="Q5" s="44">
        <f t="shared" si="1"/>
        <v>46.64</v>
      </c>
      <c r="R5" s="44">
        <f t="shared" si="1"/>
        <v>46.64</v>
      </c>
      <c r="S5" s="44">
        <f t="shared" si="1"/>
        <v>46.64</v>
      </c>
      <c r="T5" s="44">
        <f t="shared" si="1"/>
        <v>46.64</v>
      </c>
      <c r="U5" s="44">
        <f t="shared" si="1"/>
        <v>46.64</v>
      </c>
      <c r="V5" s="44">
        <f t="shared" si="1"/>
        <v>46.64</v>
      </c>
      <c r="W5" s="44">
        <f t="shared" si="1"/>
        <v>46.64</v>
      </c>
      <c r="X5" s="44">
        <f t="shared" si="1"/>
        <v>2046.64</v>
      </c>
      <c r="Y5" s="44">
        <v>0</v>
      </c>
      <c r="Z5" s="44">
        <v>0</v>
      </c>
    </row>
    <row r="6" customHeight="1" spans="1:26">
      <c r="A6" s="44" t="s">
        <v>160</v>
      </c>
      <c r="B6" s="44" t="s">
        <v>423</v>
      </c>
      <c r="C6" s="44">
        <f>(SUM(D6:X6))</f>
        <v>2000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44">
        <v>0</v>
      </c>
      <c r="K6" s="44">
        <v>0</v>
      </c>
      <c r="L6" s="44">
        <v>0</v>
      </c>
      <c r="M6" s="44">
        <v>0</v>
      </c>
      <c r="N6" s="44">
        <v>0</v>
      </c>
      <c r="O6" s="44">
        <v>0</v>
      </c>
      <c r="P6" s="44">
        <v>0</v>
      </c>
      <c r="Q6" s="44">
        <v>0</v>
      </c>
      <c r="R6" s="44">
        <v>0</v>
      </c>
      <c r="S6" s="44">
        <v>0</v>
      </c>
      <c r="T6" s="44">
        <v>0</v>
      </c>
      <c r="U6" s="44">
        <v>0</v>
      </c>
      <c r="V6" s="44">
        <v>0</v>
      </c>
      <c r="W6" s="44">
        <v>0</v>
      </c>
      <c r="X6" s="44">
        <f>(C.1项目融资信息!$D$4)</f>
        <v>2000</v>
      </c>
      <c r="Y6" s="44">
        <v>0</v>
      </c>
      <c r="Z6" s="44">
        <v>0</v>
      </c>
    </row>
    <row r="7" customHeight="1" spans="1:26">
      <c r="A7" s="44" t="s">
        <v>163</v>
      </c>
      <c r="B7" s="44" t="s">
        <v>424</v>
      </c>
      <c r="C7" s="44">
        <f>(SUM(D7:X7))</f>
        <v>932.8</v>
      </c>
      <c r="D7" s="44">
        <v>0</v>
      </c>
      <c r="E7" s="44">
        <f>((E8+E6)*C.1项目融资信息!$H$4)</f>
        <v>46.64</v>
      </c>
      <c r="F7" s="44">
        <f>((F8+F6)*C.1项目融资信息!$H$4)</f>
        <v>46.64</v>
      </c>
      <c r="G7" s="44">
        <f>((G8+G6)*C.1项目融资信息!$H$4)</f>
        <v>46.64</v>
      </c>
      <c r="H7" s="44">
        <f>((H8+H6)*C.1项目融资信息!$H$4)</f>
        <v>46.64</v>
      </c>
      <c r="I7" s="44">
        <f>((I8+I6)*C.1项目融资信息!$H$4)</f>
        <v>46.64</v>
      </c>
      <c r="J7" s="44">
        <f>((J8+J6)*C.1项目融资信息!$H$4)</f>
        <v>46.64</v>
      </c>
      <c r="K7" s="44">
        <f>((K8+K6)*C.1项目融资信息!$H$4)</f>
        <v>46.64</v>
      </c>
      <c r="L7" s="44">
        <f>((L8+L6)*C.1项目融资信息!$H$4)</f>
        <v>46.64</v>
      </c>
      <c r="M7" s="44">
        <f>((M8+M6)*C.1项目融资信息!$H$4)</f>
        <v>46.64</v>
      </c>
      <c r="N7" s="44">
        <f>((N8+N6)*C.1项目融资信息!$H$4)</f>
        <v>46.64</v>
      </c>
      <c r="O7" s="44">
        <f>((O8+O6)*C.1项目融资信息!$H$4)</f>
        <v>46.64</v>
      </c>
      <c r="P7" s="44">
        <f>((P8+P6)*C.1项目融资信息!$H$4)</f>
        <v>46.64</v>
      </c>
      <c r="Q7" s="44">
        <f>((Q8+Q6)*C.1项目融资信息!$H$4)</f>
        <v>46.64</v>
      </c>
      <c r="R7" s="44">
        <f>((R8+R6)*C.1项目融资信息!$H$4)</f>
        <v>46.64</v>
      </c>
      <c r="S7" s="44">
        <f>((S8+S6)*C.1项目融资信息!$H$4)</f>
        <v>46.64</v>
      </c>
      <c r="T7" s="44">
        <f>((T8+T6)*C.1项目融资信息!$H$4)</f>
        <v>46.64</v>
      </c>
      <c r="U7" s="44">
        <f>((U8+U6)*C.1项目融资信息!$H$4)</f>
        <v>46.64</v>
      </c>
      <c r="V7" s="44">
        <f>((V8+V6)*C.1项目融资信息!$H$4)</f>
        <v>46.64</v>
      </c>
      <c r="W7" s="44">
        <f>((W8+W6)*C.1项目融资信息!$H$4)</f>
        <v>46.64</v>
      </c>
      <c r="X7" s="44">
        <f>((X8+X6)*C.1项目融资信息!$H$4)</f>
        <v>46.64</v>
      </c>
      <c r="Y7" s="44">
        <v>0</v>
      </c>
      <c r="Z7" s="44">
        <v>0</v>
      </c>
    </row>
    <row r="8" customHeight="1" spans="1:26">
      <c r="A8" s="44" t="s">
        <v>425</v>
      </c>
      <c r="B8" s="44" t="s">
        <v>426</v>
      </c>
      <c r="C8" s="44">
        <v>0</v>
      </c>
      <c r="D8" s="44">
        <f>(D4+C.2项目每年借款信息!$C$3-D6)</f>
        <v>2000</v>
      </c>
      <c r="E8" s="44">
        <f>(E4+C.2项目每年借款信息!$D$3-E6)</f>
        <v>2000</v>
      </c>
      <c r="F8" s="44">
        <f>(F4+C.2项目每年借款信息!$E$3-F6)</f>
        <v>2000</v>
      </c>
      <c r="G8" s="44">
        <f>(G4+C.2项目每年借款信息!$F$3-G6)</f>
        <v>2000</v>
      </c>
      <c r="H8" s="44">
        <f>(H4+C.2项目每年借款信息!$G$3-H6)</f>
        <v>2000</v>
      </c>
      <c r="I8" s="44">
        <f>(I4+C.2项目每年借款信息!$H$3-I6)</f>
        <v>2000</v>
      </c>
      <c r="J8" s="44">
        <f>(J4+C.2项目每年借款信息!$I$3-J6)</f>
        <v>2000</v>
      </c>
      <c r="K8" s="44">
        <f>(K4+C.2项目每年借款信息!$J$3-K6)</f>
        <v>2000</v>
      </c>
      <c r="L8" s="44">
        <f>(L4+C.2项目每年借款信息!$K$3-L6)</f>
        <v>2000</v>
      </c>
      <c r="M8" s="44">
        <f>(M4+C.2项目每年借款信息!$L$3-M6)</f>
        <v>2000</v>
      </c>
      <c r="N8" s="44">
        <f>(N4+C.2项目每年借款信息!$M$3-N6)</f>
        <v>2000</v>
      </c>
      <c r="O8" s="44">
        <f>(O4+C.2项目每年借款信息!$N$3-O6)</f>
        <v>2000</v>
      </c>
      <c r="P8" s="44">
        <f>(P4+C.2项目每年借款信息!$O$3-P6)</f>
        <v>2000</v>
      </c>
      <c r="Q8" s="44">
        <f>(Q4+C.2项目每年借款信息!$P$3-Q6)</f>
        <v>2000</v>
      </c>
      <c r="R8" s="44">
        <f>(R4+C.2项目每年借款信息!$Q$3-R6)</f>
        <v>2000</v>
      </c>
      <c r="S8" s="44">
        <f>(S4+C.2项目每年借款信息!$R$3-S6)</f>
        <v>2000</v>
      </c>
      <c r="T8" s="44">
        <f>(T4+C.2项目每年借款信息!$S$3-T6)</f>
        <v>2000</v>
      </c>
      <c r="U8" s="44">
        <f>(U4+C.2项目每年借款信息!$T$3-U6)</f>
        <v>2000</v>
      </c>
      <c r="V8" s="44">
        <f>(V4+C.2项目每年借款信息!$U$3-V6)</f>
        <v>2000</v>
      </c>
      <c r="W8" s="44">
        <f>(W4+C.2项目每年借款信息!$V$3-W6)</f>
        <v>2000</v>
      </c>
      <c r="X8" s="44">
        <f>(X4+C.2项目每年借款信息!$W$3-X6)</f>
        <v>0</v>
      </c>
      <c r="Y8" s="44">
        <v>0</v>
      </c>
      <c r="Z8" s="44">
        <v>0</v>
      </c>
    </row>
    <row r="9" customHeight="1" spans="1:26">
      <c r="A9" s="44" t="s">
        <v>427</v>
      </c>
      <c r="B9" s="44" t="s">
        <v>428</v>
      </c>
      <c r="C9" s="44">
        <f>(SUM(D9:X9))</f>
        <v>0.14664</v>
      </c>
      <c r="D9" s="44">
        <f>(D5*A财务假设!$D$18)</f>
        <v>0</v>
      </c>
      <c r="E9" s="44">
        <f>(E5*A财务假设!$D$18)</f>
        <v>0.002332</v>
      </c>
      <c r="F9" s="44">
        <f>(F5*A财务假设!$D$18)</f>
        <v>0.002332</v>
      </c>
      <c r="G9" s="44">
        <f>(G5*A财务假设!$D$18)</f>
        <v>0.002332</v>
      </c>
      <c r="H9" s="44">
        <f>(H5*A财务假设!$D$18)</f>
        <v>0.002332</v>
      </c>
      <c r="I9" s="44">
        <f>(I5*A财务假设!$D$18)</f>
        <v>0.002332</v>
      </c>
      <c r="J9" s="44">
        <f>(J5*A财务假设!$D$18)</f>
        <v>0.002332</v>
      </c>
      <c r="K9" s="44">
        <f>(K5*A财务假设!$D$18)</f>
        <v>0.002332</v>
      </c>
      <c r="L9" s="44">
        <f>(L5*A财务假设!$D$18)</f>
        <v>0.002332</v>
      </c>
      <c r="M9" s="44">
        <f>(M5*A财务假设!$D$18)</f>
        <v>0.002332</v>
      </c>
      <c r="N9" s="44">
        <f>(N5*A财务假设!$D$18)</f>
        <v>0.002332</v>
      </c>
      <c r="O9" s="44">
        <f>(O5*A财务假设!$D$18)</f>
        <v>0.002332</v>
      </c>
      <c r="P9" s="44">
        <f>(P5*A财务假设!$D$18)</f>
        <v>0.002332</v>
      </c>
      <c r="Q9" s="44">
        <f>(Q5*A财务假设!$D$18)</f>
        <v>0.002332</v>
      </c>
      <c r="R9" s="44">
        <f>(R5*A财务假设!$D$18)</f>
        <v>0.002332</v>
      </c>
      <c r="S9" s="44">
        <f>(S5*A财务假设!$D$18)</f>
        <v>0.002332</v>
      </c>
      <c r="T9" s="44">
        <f>(T5*A财务假设!$D$18)</f>
        <v>0.002332</v>
      </c>
      <c r="U9" s="44">
        <f>(U5*A财务假设!$D$18)</f>
        <v>0.002332</v>
      </c>
      <c r="V9" s="44">
        <f>(V5*A财务假设!$D$18)</f>
        <v>0.002332</v>
      </c>
      <c r="W9" s="44">
        <f>(W5*A财务假设!$D$18)</f>
        <v>0.002332</v>
      </c>
      <c r="X9" s="44">
        <f>(X5*A财务假设!$D$18)</f>
        <v>0.102332</v>
      </c>
      <c r="Y9" s="44">
        <v>0</v>
      </c>
      <c r="Z9" s="44">
        <v>0</v>
      </c>
    </row>
    <row r="10" customHeight="1" spans="1:26">
      <c r="A10" s="44" t="s">
        <v>429</v>
      </c>
      <c r="B10" s="44" t="s">
        <v>430</v>
      </c>
      <c r="C10" s="44">
        <f>(SUM(D10:X10))</f>
        <v>1.728</v>
      </c>
      <c r="D10" s="44">
        <f>(C.2项目每年借款信息!$C$3*(A财务假设!$D$16+A财务假设!$D$17))</f>
        <v>1.728</v>
      </c>
      <c r="E10" s="44">
        <f>(C.2项目每年借款信息!$D$3*(A财务假设!$D$16+A财务假设!$D$17))</f>
        <v>0</v>
      </c>
      <c r="F10" s="44">
        <f>(C.2项目每年借款信息!$E$3*(A财务假设!$D$16+A财务假设!$D$17))</f>
        <v>0</v>
      </c>
      <c r="G10" s="44">
        <f>(C.2项目每年借款信息!$F$3*(A财务假设!$D$16+A财务假设!$D$17))</f>
        <v>0</v>
      </c>
      <c r="H10" s="44">
        <f>(C.2项目每年借款信息!$G$3*(A财务假设!$D$16+A财务假设!$D$17))</f>
        <v>0</v>
      </c>
      <c r="I10" s="44">
        <f>(C.2项目每年借款信息!$H$3*(A财务假设!$D$16+A财务假设!$D$17))</f>
        <v>0</v>
      </c>
      <c r="J10" s="44">
        <f>(C.2项目每年借款信息!$I$3*(A财务假设!$D$16+A财务假设!$D$17))</f>
        <v>0</v>
      </c>
      <c r="K10" s="44">
        <f>(C.2项目每年借款信息!$J$3*(A财务假设!$D$16+A财务假设!$D$17))</f>
        <v>0</v>
      </c>
      <c r="L10" s="44">
        <f>(C.2项目每年借款信息!$K$3*(A财务假设!$D$16+A财务假设!$D$17))</f>
        <v>0</v>
      </c>
      <c r="M10" s="44">
        <f>(C.2项目每年借款信息!$L$3*(A财务假设!$D$16+A财务假设!$D$17))</f>
        <v>0</v>
      </c>
      <c r="N10" s="44">
        <f>(C.2项目每年借款信息!$M$3*(A财务假设!$D$16+A财务假设!$D$17))</f>
        <v>0</v>
      </c>
      <c r="O10" s="44">
        <f>(C.2项目每年借款信息!$N$3*(A财务假设!$D$16+A财务假设!$D$17))</f>
        <v>0</v>
      </c>
      <c r="P10" s="44">
        <f>(C.2项目每年借款信息!$O$3*(A财务假设!$D$16+A财务假设!$D$17))</f>
        <v>0</v>
      </c>
      <c r="Q10" s="44">
        <f>(C.2项目每年借款信息!$P$3*(A财务假设!$D$16+A财务假设!$D$17))</f>
        <v>0</v>
      </c>
      <c r="R10" s="44">
        <f>(C.2项目每年借款信息!$Q$3*(A财务假设!$D$16+A财务假设!$D$17))</f>
        <v>0</v>
      </c>
      <c r="S10" s="44">
        <f>(C.2项目每年借款信息!$R$3*(A财务假设!$D$16+A财务假设!$D$17))</f>
        <v>0</v>
      </c>
      <c r="T10" s="44">
        <f>(C.2项目每年借款信息!$S$3*(A财务假设!$D$16+A财务假设!$D$17))</f>
        <v>0</v>
      </c>
      <c r="U10" s="44">
        <f>(C.2项目每年借款信息!$T$3*(A财务假设!$D$16+A财务假设!$D$17))</f>
        <v>0</v>
      </c>
      <c r="V10" s="44">
        <f>(C.2项目每年借款信息!$U$3*(A财务假设!$D$16+A财务假设!$D$17))</f>
        <v>0</v>
      </c>
      <c r="W10" s="44">
        <f>(C.2项目每年借款信息!$V$3*(A财务假设!$D$16+A财务假设!$D$17))</f>
        <v>0</v>
      </c>
      <c r="X10" s="44">
        <f>(C.2项目每年借款信息!$W$3*(A财务假设!$D$16+A财务假设!$D$17))</f>
        <v>0</v>
      </c>
      <c r="Y10" s="44">
        <v>0</v>
      </c>
      <c r="Z10" s="44">
        <v>0</v>
      </c>
    </row>
    <row r="11" customHeight="1" spans="1:26">
      <c r="A11" s="44" t="s">
        <v>431</v>
      </c>
      <c r="B11" s="44" t="s">
        <v>432</v>
      </c>
      <c r="C11" s="44">
        <v>0</v>
      </c>
      <c r="D11" s="44">
        <f>(IF(($D$2-YEAR(C.1项目融资信息!$E$4))=0,(12-MONTH(C.1项目融资信息!$E$4)+1)*C.1项目融资信息!$D$4*C.1项目融资信息!$H$4/12,C.1项目融资信息!$D$4*C.1项目融资信息!$H$4))</f>
        <v>15.5466666666667</v>
      </c>
      <c r="E11" s="44">
        <f>(IF(($E$2-YEAR(C.1项目融资信息!$E$4))=0,(12-MONTH(C.1项目融资信息!$E$4)+1)*C.1项目融资信息!$D$4*C.1项目融资信息!$H$4/12,C.1项目融资信息!$D$4*C.1项目融资信息!$H$4))</f>
        <v>46.64</v>
      </c>
      <c r="F11" s="44">
        <f>(IF(($F$2-YEAR(C.1项目融资信息!$E$4))=0,(12-MONTH(C.1项目融资信息!$E$4)+1)*C.1项目融资信息!$D$4*C.1项目融资信息!$H$4/12,C.1项目融资信息!$D$4*C.1项目融资信息!$H$4))</f>
        <v>46.64</v>
      </c>
      <c r="G11" s="44">
        <f>(IF(($G$2-YEAR(C.1项目融资信息!$E$4))=0,(12-MONTH(C.1项目融资信息!$E$4)+1)*C.1项目融资信息!$D$4*C.1项目融资信息!$H$4/12,C.1项目融资信息!$D$4*C.1项目融资信息!$H$4))</f>
        <v>46.64</v>
      </c>
      <c r="H11" s="44">
        <f>(IF(($H$2-YEAR(C.1项目融资信息!$E$4))=0,(12-MONTH(C.1项目融资信息!$E$4)+1)*C.1项目融资信息!$D$4*C.1项目融资信息!$H$4/12,C.1项目融资信息!$D$4*C.1项目融资信息!$H$4))</f>
        <v>46.64</v>
      </c>
      <c r="I11" s="44">
        <f>(IF(($I$2-YEAR(C.1项目融资信息!$E$4))=0,(12-MONTH(C.1项目融资信息!$E$4)+1)*C.1项目融资信息!$D$4*C.1项目融资信息!$H$4/12,C.1项目融资信息!$D$4*C.1项目融资信息!$H$4))</f>
        <v>46.64</v>
      </c>
      <c r="J11" s="44">
        <f>(IF(($J$2-YEAR(C.1项目融资信息!$E$4))=0,(12-MONTH(C.1项目融资信息!$E$4)+1)*C.1项目融资信息!$D$4*C.1项目融资信息!$H$4/12,C.1项目融资信息!$D$4*C.1项目融资信息!$H$4))</f>
        <v>46.64</v>
      </c>
      <c r="K11" s="44">
        <f>(IF(($K$2-YEAR(C.1项目融资信息!$E$4))=0,(12-MONTH(C.1项目融资信息!$E$4)+1)*C.1项目融资信息!$D$4*C.1项目融资信息!$H$4/12,C.1项目融资信息!$D$4*C.1项目融资信息!$H$4))</f>
        <v>46.64</v>
      </c>
      <c r="L11" s="44">
        <f>(IF(($L$2-YEAR(C.1项目融资信息!$E$4))=0,(12-MONTH(C.1项目融资信息!$E$4)+1)*C.1项目融资信息!$D$4*C.1项目融资信息!$H$4/12,C.1项目融资信息!$D$4*C.1项目融资信息!$H$4))</f>
        <v>46.64</v>
      </c>
      <c r="M11" s="44">
        <f>(IF(($M$2-YEAR(C.1项目融资信息!$E$4))=0,(12-MONTH(C.1项目融资信息!$E$4)+1)*C.1项目融资信息!$D$4*C.1项目融资信息!$H$4/12,C.1项目融资信息!$D$4*C.1项目融资信息!$H$4))</f>
        <v>46.64</v>
      </c>
      <c r="N11" s="44">
        <f>(IF(($N$2-YEAR(C.1项目融资信息!$E$4))=0,(12-MONTH(C.1项目融资信息!$E$4)+1)*C.1项目融资信息!$D$4*C.1项目融资信息!$H$4/12,C.1项目融资信息!$D$4*C.1项目融资信息!$H$4))</f>
        <v>46.64</v>
      </c>
      <c r="O11" s="44">
        <f>(IF(($O$2-YEAR(C.1项目融资信息!$E$4))=0,(12-MONTH(C.1项目融资信息!$E$4)+1)*C.1项目融资信息!$D$4*C.1项目融资信息!$H$4/12,C.1项目融资信息!$D$4*C.1项目融资信息!$H$4))</f>
        <v>46.64</v>
      </c>
      <c r="P11" s="44">
        <f>(IF(($P$2-YEAR(C.1项目融资信息!$E$4))=0,(12-MONTH(C.1项目融资信息!$E$4)+1)*C.1项目融资信息!$D$4*C.1项目融资信息!$H$4/12,C.1项目融资信息!$D$4*C.1项目融资信息!$H$4))</f>
        <v>46.64</v>
      </c>
      <c r="Q11" s="44">
        <f>(IF(($Q$2-YEAR(C.1项目融资信息!$E$4))=0,(12-MONTH(C.1项目融资信息!$E$4)+1)*C.1项目融资信息!$D$4*C.1项目融资信息!$H$4/12,C.1项目融资信息!$D$4*C.1项目融资信息!$H$4))</f>
        <v>46.64</v>
      </c>
      <c r="R11" s="44">
        <f>(IF(($R$2-YEAR(C.1项目融资信息!$E$4))=0,(12-MONTH(C.1项目融资信息!$E$4)+1)*C.1项目融资信息!$D$4*C.1项目融资信息!$H$4/12,C.1项目融资信息!$D$4*C.1项目融资信息!$H$4))</f>
        <v>46.64</v>
      </c>
      <c r="S11" s="44">
        <f>(IF(($S$2-YEAR(C.1项目融资信息!$E$4))=0,(12-MONTH(C.1项目融资信息!$E$4)+1)*C.1项目融资信息!$D$4*C.1项目融资信息!$H$4/12,C.1项目融资信息!$D$4*C.1项目融资信息!$H$4))</f>
        <v>46.64</v>
      </c>
      <c r="T11" s="44">
        <f>(IF(($T$2-YEAR(C.1项目融资信息!$E$4))=0,(12-MONTH(C.1项目融资信息!$E$4)+1)*C.1项目融资信息!$D$4*C.1项目融资信息!$H$4/12,C.1项目融资信息!$D$4*C.1项目融资信息!$H$4))</f>
        <v>46.64</v>
      </c>
      <c r="U11" s="44">
        <f>(IF(($U$2-YEAR(C.1项目融资信息!$E$4))=0,(12-MONTH(C.1项目融资信息!$E$4)+1)*C.1项目融资信息!$D$4*C.1项目融资信息!$H$4/12,C.1项目融资信息!$D$4*C.1项目融资信息!$H$4))</f>
        <v>46.64</v>
      </c>
      <c r="V11" s="44">
        <f>(IF(($V$2-YEAR(C.1项目融资信息!$E$4))=0,(12-MONTH(C.1项目融资信息!$E$4)+1)*C.1项目融资信息!$D$4*C.1项目融资信息!$H$4/12,C.1项目融资信息!$D$4*C.1项目融资信息!$H$4))</f>
        <v>46.64</v>
      </c>
      <c r="W11" s="44">
        <f>(IF(($W$2-YEAR(C.1项目融资信息!$E$4))=0,(12-MONTH(C.1项目融资信息!$E$4)+1)*C.1项目融资信息!$D$4*C.1项目融资信息!$H$4/12,C.1项目融资信息!$D$4*C.1项目融资信息!$H$4))</f>
        <v>46.64</v>
      </c>
      <c r="X11" s="44">
        <f>(MONTH(C.1项目融资信息!$E$4)-1)*C.1项目融资信息!$D$4*C.1项目融资信息!$H$4/12</f>
        <v>31.0933333333333</v>
      </c>
      <c r="Y11" s="44">
        <v>0</v>
      </c>
      <c r="Z11" s="44">
        <v>0</v>
      </c>
    </row>
    <row r="12" customHeight="1" spans="1:26">
      <c r="A12" s="44">
        <v>2</v>
      </c>
      <c r="B12" s="44" t="s">
        <v>91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customHeight="1" spans="1:26">
      <c r="A13" s="44" t="s">
        <v>284</v>
      </c>
      <c r="B13" s="44" t="s">
        <v>421</v>
      </c>
      <c r="C13" s="44">
        <v>0</v>
      </c>
      <c r="D13" s="44">
        <v>0</v>
      </c>
      <c r="E13" s="44">
        <f t="shared" ref="E13:Y13" si="2">(D17)</f>
        <v>0</v>
      </c>
      <c r="F13" s="44">
        <f t="shared" si="2"/>
        <v>10000</v>
      </c>
      <c r="G13" s="44">
        <f t="shared" si="2"/>
        <v>10000</v>
      </c>
      <c r="H13" s="44">
        <f t="shared" si="2"/>
        <v>10000</v>
      </c>
      <c r="I13" s="44">
        <f t="shared" si="2"/>
        <v>10000</v>
      </c>
      <c r="J13" s="44">
        <f t="shared" si="2"/>
        <v>10000</v>
      </c>
      <c r="K13" s="44">
        <f t="shared" si="2"/>
        <v>10000</v>
      </c>
      <c r="L13" s="44">
        <f t="shared" si="2"/>
        <v>10000</v>
      </c>
      <c r="M13" s="44">
        <f t="shared" si="2"/>
        <v>10000</v>
      </c>
      <c r="N13" s="44">
        <f t="shared" si="2"/>
        <v>10000</v>
      </c>
      <c r="O13" s="44">
        <f t="shared" si="2"/>
        <v>10000</v>
      </c>
      <c r="P13" s="44">
        <f t="shared" si="2"/>
        <v>10000</v>
      </c>
      <c r="Q13" s="44">
        <f t="shared" si="2"/>
        <v>10000</v>
      </c>
      <c r="R13" s="44">
        <f t="shared" si="2"/>
        <v>10000</v>
      </c>
      <c r="S13" s="44">
        <f t="shared" si="2"/>
        <v>10000</v>
      </c>
      <c r="T13" s="44">
        <f t="shared" si="2"/>
        <v>10000</v>
      </c>
      <c r="U13" s="44">
        <f t="shared" si="2"/>
        <v>10000</v>
      </c>
      <c r="V13" s="44">
        <f t="shared" si="2"/>
        <v>10000</v>
      </c>
      <c r="W13" s="44">
        <f t="shared" si="2"/>
        <v>10000</v>
      </c>
      <c r="X13" s="44">
        <f t="shared" si="2"/>
        <v>10000</v>
      </c>
      <c r="Y13" s="44">
        <f t="shared" si="2"/>
        <v>10000</v>
      </c>
      <c r="Z13" s="44">
        <v>0</v>
      </c>
    </row>
    <row r="14" customHeight="1" spans="1:26">
      <c r="A14" s="44" t="s">
        <v>285</v>
      </c>
      <c r="B14" s="44" t="s">
        <v>422</v>
      </c>
      <c r="C14" s="44">
        <f>(SUM(E14:Y14))</f>
        <v>14664</v>
      </c>
      <c r="D14" s="44">
        <v>0</v>
      </c>
      <c r="E14" s="44">
        <f t="shared" ref="E14:Y14" si="3">(E15+E16)</f>
        <v>0</v>
      </c>
      <c r="F14" s="44">
        <f t="shared" si="3"/>
        <v>233.2</v>
      </c>
      <c r="G14" s="44">
        <f t="shared" si="3"/>
        <v>233.2</v>
      </c>
      <c r="H14" s="44">
        <f t="shared" si="3"/>
        <v>233.2</v>
      </c>
      <c r="I14" s="44">
        <f t="shared" si="3"/>
        <v>233.2</v>
      </c>
      <c r="J14" s="44">
        <f t="shared" si="3"/>
        <v>233.2</v>
      </c>
      <c r="K14" s="44">
        <f t="shared" si="3"/>
        <v>233.2</v>
      </c>
      <c r="L14" s="44">
        <f t="shared" si="3"/>
        <v>233.2</v>
      </c>
      <c r="M14" s="44">
        <f t="shared" si="3"/>
        <v>233.2</v>
      </c>
      <c r="N14" s="44">
        <f t="shared" si="3"/>
        <v>233.2</v>
      </c>
      <c r="O14" s="44">
        <f t="shared" si="3"/>
        <v>233.2</v>
      </c>
      <c r="P14" s="44">
        <f t="shared" si="3"/>
        <v>233.2</v>
      </c>
      <c r="Q14" s="44">
        <f t="shared" si="3"/>
        <v>233.2</v>
      </c>
      <c r="R14" s="44">
        <f t="shared" si="3"/>
        <v>233.2</v>
      </c>
      <c r="S14" s="44">
        <f t="shared" si="3"/>
        <v>233.2</v>
      </c>
      <c r="T14" s="44">
        <f t="shared" si="3"/>
        <v>233.2</v>
      </c>
      <c r="U14" s="44">
        <f t="shared" si="3"/>
        <v>233.2</v>
      </c>
      <c r="V14" s="44">
        <f t="shared" si="3"/>
        <v>233.2</v>
      </c>
      <c r="W14" s="44">
        <f t="shared" si="3"/>
        <v>233.2</v>
      </c>
      <c r="X14" s="44">
        <f t="shared" si="3"/>
        <v>233.2</v>
      </c>
      <c r="Y14" s="44">
        <f t="shared" si="3"/>
        <v>10233.2</v>
      </c>
      <c r="Z14" s="44">
        <v>0</v>
      </c>
    </row>
    <row r="15" customHeight="1" spans="1:26">
      <c r="A15" s="44" t="s">
        <v>113</v>
      </c>
      <c r="B15" s="44" t="s">
        <v>423</v>
      </c>
      <c r="C15" s="44">
        <f>(SUM(E15:Y15))</f>
        <v>10000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f>(C.1项目融资信息!$D$5)</f>
        <v>10000</v>
      </c>
      <c r="Z15" s="44">
        <v>0</v>
      </c>
    </row>
    <row r="16" customHeight="1" spans="1:26">
      <c r="A16" s="44" t="s">
        <v>114</v>
      </c>
      <c r="B16" s="44" t="s">
        <v>424</v>
      </c>
      <c r="C16" s="44">
        <f>(SUM(E16:Y16))</f>
        <v>4664</v>
      </c>
      <c r="D16" s="44">
        <v>0</v>
      </c>
      <c r="E16" s="44">
        <v>0</v>
      </c>
      <c r="F16" s="44">
        <f>((F17+F15)*C.1项目融资信息!$H$5)</f>
        <v>233.2</v>
      </c>
      <c r="G16" s="44">
        <f>((G17+G15)*C.1项目融资信息!$H$5)</f>
        <v>233.2</v>
      </c>
      <c r="H16" s="44">
        <f>((H17+H15)*C.1项目融资信息!$H$5)</f>
        <v>233.2</v>
      </c>
      <c r="I16" s="44">
        <f>((I17+I15)*C.1项目融资信息!$H$5)</f>
        <v>233.2</v>
      </c>
      <c r="J16" s="44">
        <f>((J17+J15)*C.1项目融资信息!$H$5)</f>
        <v>233.2</v>
      </c>
      <c r="K16" s="44">
        <f>((K17+K15)*C.1项目融资信息!$H$5)</f>
        <v>233.2</v>
      </c>
      <c r="L16" s="44">
        <f>((L17+L15)*C.1项目融资信息!$H$5)</f>
        <v>233.2</v>
      </c>
      <c r="M16" s="44">
        <f>((M17+M15)*C.1项目融资信息!$H$5)</f>
        <v>233.2</v>
      </c>
      <c r="N16" s="44">
        <f>((N17+N15)*C.1项目融资信息!$H$5)</f>
        <v>233.2</v>
      </c>
      <c r="O16" s="44">
        <f>((O17+O15)*C.1项目融资信息!$H$5)</f>
        <v>233.2</v>
      </c>
      <c r="P16" s="44">
        <f>((P17+P15)*C.1项目融资信息!$H$5)</f>
        <v>233.2</v>
      </c>
      <c r="Q16" s="44">
        <f>((Q17+Q15)*C.1项目融资信息!$H$5)</f>
        <v>233.2</v>
      </c>
      <c r="R16" s="44">
        <f>((R17+R15)*C.1项目融资信息!$H$5)</f>
        <v>233.2</v>
      </c>
      <c r="S16" s="44">
        <f>((S17+S15)*C.1项目融资信息!$H$5)</f>
        <v>233.2</v>
      </c>
      <c r="T16" s="44">
        <f>((T17+T15)*C.1项目融资信息!$H$5)</f>
        <v>233.2</v>
      </c>
      <c r="U16" s="44">
        <f>((U17+U15)*C.1项目融资信息!$H$5)</f>
        <v>233.2</v>
      </c>
      <c r="V16" s="44">
        <f>((V17+V15)*C.1项目融资信息!$H$5)</f>
        <v>233.2</v>
      </c>
      <c r="W16" s="44">
        <f>((W17+W15)*C.1项目融资信息!$H$5)</f>
        <v>233.2</v>
      </c>
      <c r="X16" s="44">
        <f>((X17+X15)*C.1项目融资信息!$H$5)</f>
        <v>233.2</v>
      </c>
      <c r="Y16" s="44">
        <f>((Y17+Y15)*C.1项目融资信息!$H$5)</f>
        <v>233.2</v>
      </c>
      <c r="Z16" s="44">
        <v>0</v>
      </c>
    </row>
    <row r="17" customHeight="1" spans="1:26">
      <c r="A17" s="44" t="s">
        <v>433</v>
      </c>
      <c r="B17" s="44" t="s">
        <v>426</v>
      </c>
      <c r="C17" s="44">
        <v>0</v>
      </c>
      <c r="D17" s="44">
        <v>0</v>
      </c>
      <c r="E17" s="44">
        <f>(E13+C.2项目每年借款信息!$D$4-E15)</f>
        <v>10000</v>
      </c>
      <c r="F17" s="44">
        <f>(F13+C.2项目每年借款信息!$E$4-F15)</f>
        <v>10000</v>
      </c>
      <c r="G17" s="44">
        <f>(G13+C.2项目每年借款信息!$F$4-G15)</f>
        <v>10000</v>
      </c>
      <c r="H17" s="44">
        <f>(H13+C.2项目每年借款信息!$G$4-H15)</f>
        <v>10000</v>
      </c>
      <c r="I17" s="44">
        <f>(I13+C.2项目每年借款信息!$H$4-I15)</f>
        <v>10000</v>
      </c>
      <c r="J17" s="44">
        <f>(J13+C.2项目每年借款信息!$I$4-J15)</f>
        <v>10000</v>
      </c>
      <c r="K17" s="44">
        <f>(K13+C.2项目每年借款信息!$J$4-K15)</f>
        <v>10000</v>
      </c>
      <c r="L17" s="44">
        <f>(L13+C.2项目每年借款信息!$K$4-L15)</f>
        <v>10000</v>
      </c>
      <c r="M17" s="44">
        <f>(M13+C.2项目每年借款信息!$L$4-M15)</f>
        <v>10000</v>
      </c>
      <c r="N17" s="44">
        <f>(N13+C.2项目每年借款信息!$M$4-N15)</f>
        <v>10000</v>
      </c>
      <c r="O17" s="44">
        <f>(O13+C.2项目每年借款信息!$N$4-O15)</f>
        <v>10000</v>
      </c>
      <c r="P17" s="44">
        <f>(P13+C.2项目每年借款信息!$O$4-P15)</f>
        <v>10000</v>
      </c>
      <c r="Q17" s="44">
        <f>(Q13+C.2项目每年借款信息!$P$4-Q15)</f>
        <v>10000</v>
      </c>
      <c r="R17" s="44">
        <f>(R13+C.2项目每年借款信息!$Q$4-R15)</f>
        <v>10000</v>
      </c>
      <c r="S17" s="44">
        <f>(S13+C.2项目每年借款信息!$R$4-S15)</f>
        <v>10000</v>
      </c>
      <c r="T17" s="44">
        <f>(T13+C.2项目每年借款信息!$S$4-T15)</f>
        <v>10000</v>
      </c>
      <c r="U17" s="44">
        <f>(U13+C.2项目每年借款信息!$T$4-U15)</f>
        <v>10000</v>
      </c>
      <c r="V17" s="44">
        <f>(V13+C.2项目每年借款信息!$U$4-V15)</f>
        <v>10000</v>
      </c>
      <c r="W17" s="44">
        <f>(W13+C.2项目每年借款信息!$V$4-W15)</f>
        <v>10000</v>
      </c>
      <c r="X17" s="44">
        <f>(X13+C.2项目每年借款信息!$W$4-X15)</f>
        <v>10000</v>
      </c>
      <c r="Y17" s="44">
        <f>(Y13+C.2项目每年借款信息!$X$4-Y15)</f>
        <v>0</v>
      </c>
      <c r="Z17" s="44">
        <v>0</v>
      </c>
    </row>
    <row r="18" customHeight="1" spans="1:26">
      <c r="A18" s="44" t="s">
        <v>434</v>
      </c>
      <c r="B18" s="44" t="s">
        <v>428</v>
      </c>
      <c r="C18" s="44">
        <f>(SUM(E18:Y18))</f>
        <v>0.7332</v>
      </c>
      <c r="D18" s="44">
        <v>0</v>
      </c>
      <c r="E18" s="44">
        <f>(E14*A财务假设!$D$18)</f>
        <v>0</v>
      </c>
      <c r="F18" s="44">
        <f>(F14*A财务假设!$D$18)</f>
        <v>0.01166</v>
      </c>
      <c r="G18" s="44">
        <f>(G14*A财务假设!$D$18)</f>
        <v>0.01166</v>
      </c>
      <c r="H18" s="44">
        <f>(H14*A财务假设!$D$18)</f>
        <v>0.01166</v>
      </c>
      <c r="I18" s="44">
        <f>(I14*A财务假设!$D$18)</f>
        <v>0.01166</v>
      </c>
      <c r="J18" s="44">
        <f>(J14*A财务假设!$D$18)</f>
        <v>0.01166</v>
      </c>
      <c r="K18" s="44">
        <f>(K14*A财务假设!$D$18)</f>
        <v>0.01166</v>
      </c>
      <c r="L18" s="44">
        <f>(L14*A财务假设!$D$18)</f>
        <v>0.01166</v>
      </c>
      <c r="M18" s="44">
        <f>(M14*A财务假设!$D$18)</f>
        <v>0.01166</v>
      </c>
      <c r="N18" s="44">
        <f>(N14*A财务假设!$D$18)</f>
        <v>0.01166</v>
      </c>
      <c r="O18" s="44">
        <f>(O14*A财务假设!$D$18)</f>
        <v>0.01166</v>
      </c>
      <c r="P18" s="44">
        <f>(P14*A财务假设!$D$18)</f>
        <v>0.01166</v>
      </c>
      <c r="Q18" s="44">
        <f>(Q14*A财务假设!$D$18)</f>
        <v>0.01166</v>
      </c>
      <c r="R18" s="44">
        <f>(R14*A财务假设!$D$18)</f>
        <v>0.01166</v>
      </c>
      <c r="S18" s="44">
        <f>(S14*A财务假设!$D$18)</f>
        <v>0.01166</v>
      </c>
      <c r="T18" s="44">
        <f>(T14*A财务假设!$D$18)</f>
        <v>0.01166</v>
      </c>
      <c r="U18" s="44">
        <f>(U14*A财务假设!$D$18)</f>
        <v>0.01166</v>
      </c>
      <c r="V18" s="44">
        <f>(V14*A财务假设!$D$18)</f>
        <v>0.01166</v>
      </c>
      <c r="W18" s="44">
        <f>(W14*A财务假设!$D$18)</f>
        <v>0.01166</v>
      </c>
      <c r="X18" s="44">
        <f>(X14*A财务假设!$D$18)</f>
        <v>0.01166</v>
      </c>
      <c r="Y18" s="44">
        <f>(Y14*A财务假设!$D$18)</f>
        <v>0.51166</v>
      </c>
      <c r="Z18" s="44">
        <v>0</v>
      </c>
    </row>
    <row r="19" customHeight="1" spans="1:26">
      <c r="A19" s="44" t="s">
        <v>435</v>
      </c>
      <c r="B19" s="44" t="s">
        <v>430</v>
      </c>
      <c r="C19" s="44">
        <f>(SUM(E19:Y19))</f>
        <v>8.64</v>
      </c>
      <c r="D19" s="44">
        <v>0</v>
      </c>
      <c r="E19" s="44">
        <f>(C.2项目每年借款信息!$D$4*(A财务假设!$D$16+A财务假设!$D$17))</f>
        <v>8.64</v>
      </c>
      <c r="F19" s="44">
        <f>(C.2项目每年借款信息!$E$4*(A财务假设!$D$16+A财务假设!$D$17))</f>
        <v>0</v>
      </c>
      <c r="G19" s="44">
        <f>(C.2项目每年借款信息!$F$4*(A财务假设!$D$16+A财务假设!$D$17))</f>
        <v>0</v>
      </c>
      <c r="H19" s="44">
        <f>(C.2项目每年借款信息!$G$4*(A财务假设!$D$16+A财务假设!$D$17))</f>
        <v>0</v>
      </c>
      <c r="I19" s="44">
        <f>(C.2项目每年借款信息!$H$4*(A财务假设!$D$16+A财务假设!$D$17))</f>
        <v>0</v>
      </c>
      <c r="J19" s="44">
        <f>(C.2项目每年借款信息!$I$4*(A财务假设!$D$16+A财务假设!$D$17))</f>
        <v>0</v>
      </c>
      <c r="K19" s="44">
        <f>(C.2项目每年借款信息!$J$4*(A财务假设!$D$16+A财务假设!$D$17))</f>
        <v>0</v>
      </c>
      <c r="L19" s="44">
        <f>(C.2项目每年借款信息!$K$4*(A财务假设!$D$16+A财务假设!$D$17))</f>
        <v>0</v>
      </c>
      <c r="M19" s="44">
        <f>(C.2项目每年借款信息!$L$4*(A财务假设!$D$16+A财务假设!$D$17))</f>
        <v>0</v>
      </c>
      <c r="N19" s="44">
        <f>(C.2项目每年借款信息!$M$4*(A财务假设!$D$16+A财务假设!$D$17))</f>
        <v>0</v>
      </c>
      <c r="O19" s="44">
        <f>(C.2项目每年借款信息!$N$4*(A财务假设!$D$16+A财务假设!$D$17))</f>
        <v>0</v>
      </c>
      <c r="P19" s="44">
        <f>(C.2项目每年借款信息!$O$4*(A财务假设!$D$16+A财务假设!$D$17))</f>
        <v>0</v>
      </c>
      <c r="Q19" s="44">
        <f>(C.2项目每年借款信息!$P$4*(A财务假设!$D$16+A财务假设!$D$17))</f>
        <v>0</v>
      </c>
      <c r="R19" s="44">
        <f>(C.2项目每年借款信息!$Q$4*(A财务假设!$D$16+A财务假设!$D$17))</f>
        <v>0</v>
      </c>
      <c r="S19" s="44">
        <f>(C.2项目每年借款信息!$R$4*(A财务假设!$D$16+A财务假设!$D$17))</f>
        <v>0</v>
      </c>
      <c r="T19" s="44">
        <f>(C.2项目每年借款信息!$S$4*(A财务假设!$D$16+A财务假设!$D$17))</f>
        <v>0</v>
      </c>
      <c r="U19" s="44">
        <f>(C.2项目每年借款信息!$T$4*(A财务假设!$D$16+A财务假设!$D$17))</f>
        <v>0</v>
      </c>
      <c r="V19" s="44">
        <f>(C.2项目每年借款信息!$U$4*(A财务假设!$D$16+A财务假设!$D$17))</f>
        <v>0</v>
      </c>
      <c r="W19" s="44">
        <f>(C.2项目每年借款信息!$V$4*(A财务假设!$D$16+A财务假设!$D$17))</f>
        <v>0</v>
      </c>
      <c r="X19" s="44">
        <f>(C.2项目每年借款信息!$W$4*(A财务假设!$D$16+A财务假设!$D$17))</f>
        <v>0</v>
      </c>
      <c r="Y19" s="44">
        <f>(C.2项目每年借款信息!$X$4*(A财务假设!$D$16+A财务假设!$D$17))</f>
        <v>0</v>
      </c>
      <c r="Z19" s="44">
        <v>0</v>
      </c>
    </row>
    <row r="20" customHeight="1" spans="1:26">
      <c r="A20" s="44" t="s">
        <v>436</v>
      </c>
      <c r="B20" s="44" t="s">
        <v>432</v>
      </c>
      <c r="C20" s="44">
        <v>0</v>
      </c>
      <c r="D20" s="44">
        <v>0</v>
      </c>
      <c r="E20" s="44">
        <f>(IF(($E$2-YEAR(C.1项目融资信息!$E$5))=0,(12-MONTH(C.1项目融资信息!$E$5)+1)*C.1项目融资信息!$D$5*C.1项目融资信息!$H$5/12,C.1项目融资信息!$D$5*C.1项目融资信息!$H$5))</f>
        <v>77.7333333333333</v>
      </c>
      <c r="F20" s="44">
        <f>(IF(($F$2-YEAR(C.1项目融资信息!$E$5))=0,(12-MONTH(C.1项目融资信息!$E$5)+1)*C.1项目融资信息!$D$5*C.1项目融资信息!$H$5/12,C.1项目融资信息!$D$5*C.1项目融资信息!$H$5))</f>
        <v>233.2</v>
      </c>
      <c r="G20" s="44">
        <f>(IF(($G$2-YEAR(C.1项目融资信息!$E$5))=0,(12-MONTH(C.1项目融资信息!$E$5)+1)*C.1项目融资信息!$D$5*C.1项目融资信息!$H$5/12,C.1项目融资信息!$D$5*C.1项目融资信息!$H$5))</f>
        <v>233.2</v>
      </c>
      <c r="H20" s="44">
        <f>(IF(($H$2-YEAR(C.1项目融资信息!$E$5))=0,(12-MONTH(C.1项目融资信息!$E$5)+1)*C.1项目融资信息!$D$5*C.1项目融资信息!$H$5/12,C.1项目融资信息!$D$5*C.1项目融资信息!$H$5))</f>
        <v>233.2</v>
      </c>
      <c r="I20" s="44">
        <f>(IF(($I$2-YEAR(C.1项目融资信息!$E$5))=0,(12-MONTH(C.1项目融资信息!$E$5)+1)*C.1项目融资信息!$D$5*C.1项目融资信息!$H$5/12,C.1项目融资信息!$D$5*C.1项目融资信息!$H$5))</f>
        <v>233.2</v>
      </c>
      <c r="J20" s="44">
        <f>(IF(($J$2-YEAR(C.1项目融资信息!$E$5))=0,(12-MONTH(C.1项目融资信息!$E$5)+1)*C.1项目融资信息!$D$5*C.1项目融资信息!$H$5/12,C.1项目融资信息!$D$5*C.1项目融资信息!$H$5))</f>
        <v>233.2</v>
      </c>
      <c r="K20" s="44">
        <f>(IF(($K$2-YEAR(C.1项目融资信息!$E$5))=0,(12-MONTH(C.1项目融资信息!$E$5)+1)*C.1项目融资信息!$D$5*C.1项目融资信息!$H$5/12,C.1项目融资信息!$D$5*C.1项目融资信息!$H$5))</f>
        <v>233.2</v>
      </c>
      <c r="L20" s="44">
        <f>(IF(($L$2-YEAR(C.1项目融资信息!$E$5))=0,(12-MONTH(C.1项目融资信息!$E$5)+1)*C.1项目融资信息!$D$5*C.1项目融资信息!$H$5/12,C.1项目融资信息!$D$5*C.1项目融资信息!$H$5))</f>
        <v>233.2</v>
      </c>
      <c r="M20" s="44">
        <f>(IF(($M$2-YEAR(C.1项目融资信息!$E$5))=0,(12-MONTH(C.1项目融资信息!$E$5)+1)*C.1项目融资信息!$D$5*C.1项目融资信息!$H$5/12,C.1项目融资信息!$D$5*C.1项目融资信息!$H$5))</f>
        <v>233.2</v>
      </c>
      <c r="N20" s="44">
        <f>(IF(($N$2-YEAR(C.1项目融资信息!$E$5))=0,(12-MONTH(C.1项目融资信息!$E$5)+1)*C.1项目融资信息!$D$5*C.1项目融资信息!$H$5/12,C.1项目融资信息!$D$5*C.1项目融资信息!$H$5))</f>
        <v>233.2</v>
      </c>
      <c r="O20" s="44">
        <f>(IF(($O$2-YEAR(C.1项目融资信息!$E$5))=0,(12-MONTH(C.1项目融资信息!$E$5)+1)*C.1项目融资信息!$D$5*C.1项目融资信息!$H$5/12,C.1项目融资信息!$D$5*C.1项目融资信息!$H$5))</f>
        <v>233.2</v>
      </c>
      <c r="P20" s="44">
        <f>(IF(($P$2-YEAR(C.1项目融资信息!$E$5))=0,(12-MONTH(C.1项目融资信息!$E$5)+1)*C.1项目融资信息!$D$5*C.1项目融资信息!$H$5/12,C.1项目融资信息!$D$5*C.1项目融资信息!$H$5))</f>
        <v>233.2</v>
      </c>
      <c r="Q20" s="44">
        <f>(IF(($Q$2-YEAR(C.1项目融资信息!$E$5))=0,(12-MONTH(C.1项目融资信息!$E$5)+1)*C.1项目融资信息!$D$5*C.1项目融资信息!$H$5/12,C.1项目融资信息!$D$5*C.1项目融资信息!$H$5))</f>
        <v>233.2</v>
      </c>
      <c r="R20" s="44">
        <f>(IF(($R$2-YEAR(C.1项目融资信息!$E$5))=0,(12-MONTH(C.1项目融资信息!$E$5)+1)*C.1项目融资信息!$D$5*C.1项目融资信息!$H$5/12,C.1项目融资信息!$D$5*C.1项目融资信息!$H$5))</f>
        <v>233.2</v>
      </c>
      <c r="S20" s="44">
        <f>(IF(($S$2-YEAR(C.1项目融资信息!$E$5))=0,(12-MONTH(C.1项目融资信息!$E$5)+1)*C.1项目融资信息!$D$5*C.1项目融资信息!$H$5/12,C.1项目融资信息!$D$5*C.1项目融资信息!$H$5))</f>
        <v>233.2</v>
      </c>
      <c r="T20" s="44">
        <f>(IF(($T$2-YEAR(C.1项目融资信息!$E$5))=0,(12-MONTH(C.1项目融资信息!$E$5)+1)*C.1项目融资信息!$D$5*C.1项目融资信息!$H$5/12,C.1项目融资信息!$D$5*C.1项目融资信息!$H$5))</f>
        <v>233.2</v>
      </c>
      <c r="U20" s="44">
        <f>(IF(($U$2-YEAR(C.1项目融资信息!$E$5))=0,(12-MONTH(C.1项目融资信息!$E$5)+1)*C.1项目融资信息!$D$5*C.1项目融资信息!$H$5/12,C.1项目融资信息!$D$5*C.1项目融资信息!$H$5))</f>
        <v>233.2</v>
      </c>
      <c r="V20" s="44">
        <f>(IF(($V$2-YEAR(C.1项目融资信息!$E$5))=0,(12-MONTH(C.1项目融资信息!$E$5)+1)*C.1项目融资信息!$D$5*C.1项目融资信息!$H$5/12,C.1项目融资信息!$D$5*C.1项目融资信息!$H$5))</f>
        <v>233.2</v>
      </c>
      <c r="W20" s="44">
        <f>(IF(($W$2-YEAR(C.1项目融资信息!$E$5))=0,(12-MONTH(C.1项目融资信息!$E$5)+1)*C.1项目融资信息!$D$5*C.1项目融资信息!$H$5/12,C.1项目融资信息!$D$5*C.1项目融资信息!$H$5))</f>
        <v>233.2</v>
      </c>
      <c r="X20" s="44">
        <f>(IF(($X$2-YEAR(C.1项目融资信息!$E$5))=0,(12-MONTH(C.1项目融资信息!$E$5)+1)*C.1项目融资信息!$D$5*C.1项目融资信息!$H$5/12,C.1项目融资信息!$D$5*C.1项目融资信息!$H$5))</f>
        <v>233.2</v>
      </c>
      <c r="Y20" s="44">
        <f>(MONTH(C.1项目融资信息!$E$5)-1)*C.1项目融资信息!$D$5*C.1项目融资信息!$H$5/12</f>
        <v>155.466666666667</v>
      </c>
      <c r="Z20" s="44">
        <v>0</v>
      </c>
    </row>
    <row r="21" customHeight="1" spans="1:26">
      <c r="A21" s="44">
        <v>3</v>
      </c>
      <c r="B21" s="44" t="s">
        <v>92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customHeight="1" spans="1:26">
      <c r="A22" s="44" t="s">
        <v>287</v>
      </c>
      <c r="B22" s="44" t="s">
        <v>421</v>
      </c>
      <c r="C22" s="44">
        <v>0</v>
      </c>
      <c r="D22" s="44">
        <v>0</v>
      </c>
      <c r="E22" s="44">
        <v>0</v>
      </c>
      <c r="F22" s="44">
        <f t="shared" ref="F22:Z22" si="4">(E26)</f>
        <v>0</v>
      </c>
      <c r="G22" s="44">
        <f t="shared" si="4"/>
        <v>10000</v>
      </c>
      <c r="H22" s="44">
        <f t="shared" si="4"/>
        <v>10000</v>
      </c>
      <c r="I22" s="44">
        <f t="shared" si="4"/>
        <v>10000</v>
      </c>
      <c r="J22" s="44">
        <f t="shared" si="4"/>
        <v>10000</v>
      </c>
      <c r="K22" s="44">
        <f t="shared" si="4"/>
        <v>10000</v>
      </c>
      <c r="L22" s="44">
        <f t="shared" si="4"/>
        <v>10000</v>
      </c>
      <c r="M22" s="44">
        <f t="shared" si="4"/>
        <v>10000</v>
      </c>
      <c r="N22" s="44">
        <f t="shared" si="4"/>
        <v>10000</v>
      </c>
      <c r="O22" s="44">
        <f t="shared" si="4"/>
        <v>10000</v>
      </c>
      <c r="P22" s="44">
        <f t="shared" si="4"/>
        <v>10000</v>
      </c>
      <c r="Q22" s="44">
        <f t="shared" si="4"/>
        <v>10000</v>
      </c>
      <c r="R22" s="44">
        <f t="shared" si="4"/>
        <v>10000</v>
      </c>
      <c r="S22" s="44">
        <f t="shared" si="4"/>
        <v>10000</v>
      </c>
      <c r="T22" s="44">
        <f t="shared" si="4"/>
        <v>10000</v>
      </c>
      <c r="U22" s="44">
        <f t="shared" si="4"/>
        <v>10000</v>
      </c>
      <c r="V22" s="44">
        <f t="shared" si="4"/>
        <v>10000</v>
      </c>
      <c r="W22" s="44">
        <f t="shared" si="4"/>
        <v>10000</v>
      </c>
      <c r="X22" s="44">
        <f t="shared" si="4"/>
        <v>10000</v>
      </c>
      <c r="Y22" s="44">
        <f t="shared" si="4"/>
        <v>10000</v>
      </c>
      <c r="Z22" s="44">
        <f t="shared" si="4"/>
        <v>10000</v>
      </c>
    </row>
    <row r="23" customHeight="1" spans="1:26">
      <c r="A23" s="44" t="s">
        <v>291</v>
      </c>
      <c r="B23" s="44" t="s">
        <v>422</v>
      </c>
      <c r="C23" s="44">
        <f>(SUM(F23:Z23))</f>
        <v>14664</v>
      </c>
      <c r="D23" s="44">
        <v>0</v>
      </c>
      <c r="E23" s="44">
        <v>0</v>
      </c>
      <c r="F23" s="44">
        <f t="shared" ref="F23:Z23" si="5">(F24+F25)</f>
        <v>0</v>
      </c>
      <c r="G23" s="44">
        <f t="shared" si="5"/>
        <v>233.2</v>
      </c>
      <c r="H23" s="44">
        <f t="shared" si="5"/>
        <v>233.2</v>
      </c>
      <c r="I23" s="44">
        <f t="shared" si="5"/>
        <v>233.2</v>
      </c>
      <c r="J23" s="44">
        <f t="shared" si="5"/>
        <v>233.2</v>
      </c>
      <c r="K23" s="44">
        <f t="shared" si="5"/>
        <v>233.2</v>
      </c>
      <c r="L23" s="44">
        <f t="shared" si="5"/>
        <v>233.2</v>
      </c>
      <c r="M23" s="44">
        <f t="shared" si="5"/>
        <v>233.2</v>
      </c>
      <c r="N23" s="44">
        <f t="shared" si="5"/>
        <v>233.2</v>
      </c>
      <c r="O23" s="44">
        <f t="shared" si="5"/>
        <v>233.2</v>
      </c>
      <c r="P23" s="44">
        <f t="shared" si="5"/>
        <v>233.2</v>
      </c>
      <c r="Q23" s="44">
        <f t="shared" si="5"/>
        <v>233.2</v>
      </c>
      <c r="R23" s="44">
        <f t="shared" si="5"/>
        <v>233.2</v>
      </c>
      <c r="S23" s="44">
        <f t="shared" si="5"/>
        <v>233.2</v>
      </c>
      <c r="T23" s="44">
        <f t="shared" si="5"/>
        <v>233.2</v>
      </c>
      <c r="U23" s="44">
        <f t="shared" si="5"/>
        <v>233.2</v>
      </c>
      <c r="V23" s="44">
        <f t="shared" si="5"/>
        <v>233.2</v>
      </c>
      <c r="W23" s="44">
        <f t="shared" si="5"/>
        <v>233.2</v>
      </c>
      <c r="X23" s="44">
        <f t="shared" si="5"/>
        <v>233.2</v>
      </c>
      <c r="Y23" s="44">
        <f t="shared" si="5"/>
        <v>233.2</v>
      </c>
      <c r="Z23" s="44">
        <f t="shared" si="5"/>
        <v>10233.2</v>
      </c>
    </row>
    <row r="24" customHeight="1" spans="1:26">
      <c r="A24" s="44" t="s">
        <v>292</v>
      </c>
      <c r="B24" s="44" t="s">
        <v>423</v>
      </c>
      <c r="C24" s="44">
        <f>(SUM(F24:Z24))</f>
        <v>10000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f>(C.1项目融资信息!$D$6)</f>
        <v>10000</v>
      </c>
    </row>
    <row r="25" customHeight="1" spans="1:26">
      <c r="A25" s="44" t="s">
        <v>437</v>
      </c>
      <c r="B25" s="44" t="s">
        <v>424</v>
      </c>
      <c r="C25" s="44">
        <f>(SUM(F25:Z25))</f>
        <v>4664</v>
      </c>
      <c r="D25" s="44">
        <v>0</v>
      </c>
      <c r="E25" s="44">
        <v>0</v>
      </c>
      <c r="F25" s="44">
        <v>0</v>
      </c>
      <c r="G25" s="44">
        <f>((G26+G24)*C.1项目融资信息!$H$6)</f>
        <v>233.2</v>
      </c>
      <c r="H25" s="44">
        <f>((H26+H24)*C.1项目融资信息!$H$6)</f>
        <v>233.2</v>
      </c>
      <c r="I25" s="44">
        <f>((I26+I24)*C.1项目融资信息!$H$6)</f>
        <v>233.2</v>
      </c>
      <c r="J25" s="44">
        <f>((J26+J24)*C.1项目融资信息!$H$6)</f>
        <v>233.2</v>
      </c>
      <c r="K25" s="44">
        <f>((K26+K24)*C.1项目融资信息!$H$6)</f>
        <v>233.2</v>
      </c>
      <c r="L25" s="44">
        <f>((L26+L24)*C.1项目融资信息!$H$6)</f>
        <v>233.2</v>
      </c>
      <c r="M25" s="44">
        <f>((M26+M24)*C.1项目融资信息!$H$6)</f>
        <v>233.2</v>
      </c>
      <c r="N25" s="44">
        <f>((N26+N24)*C.1项目融资信息!$H$6)</f>
        <v>233.2</v>
      </c>
      <c r="O25" s="44">
        <f>((O26+O24)*C.1项目融资信息!$H$6)</f>
        <v>233.2</v>
      </c>
      <c r="P25" s="44">
        <f>((P26+P24)*C.1项目融资信息!$H$6)</f>
        <v>233.2</v>
      </c>
      <c r="Q25" s="44">
        <f>((Q26+Q24)*C.1项目融资信息!$H$6)</f>
        <v>233.2</v>
      </c>
      <c r="R25" s="44">
        <f>((R26+R24)*C.1项目融资信息!$H$6)</f>
        <v>233.2</v>
      </c>
      <c r="S25" s="44">
        <f>((S26+S24)*C.1项目融资信息!$H$6)</f>
        <v>233.2</v>
      </c>
      <c r="T25" s="44">
        <f>((T26+T24)*C.1项目融资信息!$H$6)</f>
        <v>233.2</v>
      </c>
      <c r="U25" s="44">
        <f>((U26+U24)*C.1项目融资信息!$H$6)</f>
        <v>233.2</v>
      </c>
      <c r="V25" s="44">
        <f>((V26+V24)*C.1项目融资信息!$H$6)</f>
        <v>233.2</v>
      </c>
      <c r="W25" s="44">
        <f>((W26+W24)*C.1项目融资信息!$H$6)</f>
        <v>233.2</v>
      </c>
      <c r="X25" s="44">
        <f>((X26+X24)*C.1项目融资信息!$H$6)</f>
        <v>233.2</v>
      </c>
      <c r="Y25" s="44">
        <f>((Y26+Y24)*C.1项目融资信息!$H$6)</f>
        <v>233.2</v>
      </c>
      <c r="Z25" s="44">
        <f>((Z26+Z24)*C.1项目融资信息!$H$6)</f>
        <v>233.2</v>
      </c>
    </row>
    <row r="26" customHeight="1" spans="1:26">
      <c r="A26" s="44" t="s">
        <v>438</v>
      </c>
      <c r="B26" s="44" t="s">
        <v>426</v>
      </c>
      <c r="C26" s="44">
        <v>0</v>
      </c>
      <c r="D26" s="44">
        <v>0</v>
      </c>
      <c r="E26" s="44">
        <v>0</v>
      </c>
      <c r="F26" s="44">
        <f>(F22+C.2项目每年借款信息!$E$5-F24)</f>
        <v>10000</v>
      </c>
      <c r="G26" s="44">
        <f>(G22+C.2项目每年借款信息!$F$5-G24)</f>
        <v>10000</v>
      </c>
      <c r="H26" s="44">
        <f>(H22+C.2项目每年借款信息!$G$5-H24)</f>
        <v>10000</v>
      </c>
      <c r="I26" s="44">
        <f>(I22+C.2项目每年借款信息!$H$5-I24)</f>
        <v>10000</v>
      </c>
      <c r="J26" s="44">
        <f>(J22+C.2项目每年借款信息!$I$5-J24)</f>
        <v>10000</v>
      </c>
      <c r="K26" s="44">
        <f>(K22+C.2项目每年借款信息!$J$5-K24)</f>
        <v>10000</v>
      </c>
      <c r="L26" s="44">
        <f>(L22+C.2项目每年借款信息!$K$5-L24)</f>
        <v>10000</v>
      </c>
      <c r="M26" s="44">
        <f>(M22+C.2项目每年借款信息!$L$5-M24)</f>
        <v>10000</v>
      </c>
      <c r="N26" s="44">
        <f>(N22+C.2项目每年借款信息!$M$5-N24)</f>
        <v>10000</v>
      </c>
      <c r="O26" s="44">
        <f>(O22+C.2项目每年借款信息!$N$5-O24)</f>
        <v>10000</v>
      </c>
      <c r="P26" s="44">
        <f>(P22+C.2项目每年借款信息!$O$5-P24)</f>
        <v>10000</v>
      </c>
      <c r="Q26" s="44">
        <f>(Q22+C.2项目每年借款信息!$P$5-Q24)</f>
        <v>10000</v>
      </c>
      <c r="R26" s="44">
        <f>(R22+C.2项目每年借款信息!$Q$5-R24)</f>
        <v>10000</v>
      </c>
      <c r="S26" s="44">
        <f>(S22+C.2项目每年借款信息!$R$5-S24)</f>
        <v>10000</v>
      </c>
      <c r="T26" s="44">
        <f>(T22+C.2项目每年借款信息!$S$5-T24)</f>
        <v>10000</v>
      </c>
      <c r="U26" s="44">
        <f>(U22+C.2项目每年借款信息!$T$5-U24)</f>
        <v>10000</v>
      </c>
      <c r="V26" s="44">
        <f>(V22+C.2项目每年借款信息!$U$5-V24)</f>
        <v>10000</v>
      </c>
      <c r="W26" s="44">
        <f>(W22+C.2项目每年借款信息!$V$5-W24)</f>
        <v>10000</v>
      </c>
      <c r="X26" s="44">
        <f>(X22+C.2项目每年借款信息!$W$5-X24)</f>
        <v>10000</v>
      </c>
      <c r="Y26" s="44">
        <f>(Y22+C.2项目每年借款信息!$X$5-Y24)</f>
        <v>10000</v>
      </c>
      <c r="Z26" s="44">
        <f>(Z22+C.2项目每年借款信息!$Y$5-Z24)</f>
        <v>0</v>
      </c>
    </row>
    <row r="27" customHeight="1" spans="1:26">
      <c r="A27" s="44" t="s">
        <v>439</v>
      </c>
      <c r="B27" s="44" t="s">
        <v>428</v>
      </c>
      <c r="C27" s="44">
        <f>(SUM(F27:Z27))</f>
        <v>0.7332</v>
      </c>
      <c r="D27" s="44">
        <v>0</v>
      </c>
      <c r="E27" s="44">
        <v>0</v>
      </c>
      <c r="F27" s="44">
        <f>(F23*A财务假设!$D$18)</f>
        <v>0</v>
      </c>
      <c r="G27" s="44">
        <f>(G23*A财务假设!$D$18)</f>
        <v>0.01166</v>
      </c>
      <c r="H27" s="44">
        <f>(H23*A财务假设!$D$18)</f>
        <v>0.01166</v>
      </c>
      <c r="I27" s="44">
        <f>(I23*A财务假设!$D$18)</f>
        <v>0.01166</v>
      </c>
      <c r="J27" s="44">
        <f>(J23*A财务假设!$D$18)</f>
        <v>0.01166</v>
      </c>
      <c r="K27" s="44">
        <f>(K23*A财务假设!$D$18)</f>
        <v>0.01166</v>
      </c>
      <c r="L27" s="44">
        <f>(L23*A财务假设!$D$18)</f>
        <v>0.01166</v>
      </c>
      <c r="M27" s="44">
        <f>(M23*A财务假设!$D$18)</f>
        <v>0.01166</v>
      </c>
      <c r="N27" s="44">
        <f>(N23*A财务假设!$D$18)</f>
        <v>0.01166</v>
      </c>
      <c r="O27" s="44">
        <f>(O23*A财务假设!$D$18)</f>
        <v>0.01166</v>
      </c>
      <c r="P27" s="44">
        <f>(P23*A财务假设!$D$18)</f>
        <v>0.01166</v>
      </c>
      <c r="Q27" s="44">
        <f>(Q23*A财务假设!$D$18)</f>
        <v>0.01166</v>
      </c>
      <c r="R27" s="44">
        <f>(R23*A财务假设!$D$18)</f>
        <v>0.01166</v>
      </c>
      <c r="S27" s="44">
        <f>(S23*A财务假设!$D$18)</f>
        <v>0.01166</v>
      </c>
      <c r="T27" s="44">
        <f>(T23*A财务假设!$D$18)</f>
        <v>0.01166</v>
      </c>
      <c r="U27" s="44">
        <f>(U23*A财务假设!$D$18)</f>
        <v>0.01166</v>
      </c>
      <c r="V27" s="44">
        <f>(V23*A财务假设!$D$18)</f>
        <v>0.01166</v>
      </c>
      <c r="W27" s="44">
        <f>(W23*A财务假设!$D$18)</f>
        <v>0.01166</v>
      </c>
      <c r="X27" s="44">
        <f>(X23*A财务假设!$D$18)</f>
        <v>0.01166</v>
      </c>
      <c r="Y27" s="44">
        <f>(Y23*A财务假设!$D$18)</f>
        <v>0.01166</v>
      </c>
      <c r="Z27" s="44">
        <f>(Z23*A财务假设!$D$18)</f>
        <v>0.51166</v>
      </c>
    </row>
    <row r="28" customHeight="1" spans="1:26">
      <c r="A28" s="44" t="s">
        <v>440</v>
      </c>
      <c r="B28" s="44" t="s">
        <v>430</v>
      </c>
      <c r="C28" s="44">
        <f>(SUM(F28:Z28))</f>
        <v>8.64</v>
      </c>
      <c r="D28" s="44">
        <v>0</v>
      </c>
      <c r="E28" s="44">
        <v>0</v>
      </c>
      <c r="F28" s="44">
        <f>(C.2项目每年借款信息!$E$5*(A财务假设!$D$16+A财务假设!$D$17))</f>
        <v>8.64</v>
      </c>
      <c r="G28" s="44">
        <f>(C.2项目每年借款信息!$F$5*(A财务假设!$D$16+A财务假设!$D$17))</f>
        <v>0</v>
      </c>
      <c r="H28" s="44">
        <f>(C.2项目每年借款信息!$G$5*(A财务假设!$D$16+A财务假设!$D$17))</f>
        <v>0</v>
      </c>
      <c r="I28" s="44">
        <f>(C.2项目每年借款信息!$H$5*(A财务假设!$D$16+A财务假设!$D$17))</f>
        <v>0</v>
      </c>
      <c r="J28" s="44">
        <f>(C.2项目每年借款信息!$I$5*(A财务假设!$D$16+A财务假设!$D$17))</f>
        <v>0</v>
      </c>
      <c r="K28" s="44">
        <f>(C.2项目每年借款信息!$J$5*(A财务假设!$D$16+A财务假设!$D$17))</f>
        <v>0</v>
      </c>
      <c r="L28" s="44">
        <f>(C.2项目每年借款信息!$K$5*(A财务假设!$D$16+A财务假设!$D$17))</f>
        <v>0</v>
      </c>
      <c r="M28" s="44">
        <f>(C.2项目每年借款信息!$L$5*(A财务假设!$D$16+A财务假设!$D$17))</f>
        <v>0</v>
      </c>
      <c r="N28" s="44">
        <f>(C.2项目每年借款信息!$M$5*(A财务假设!$D$16+A财务假设!$D$17))</f>
        <v>0</v>
      </c>
      <c r="O28" s="44">
        <f>(C.2项目每年借款信息!$N$5*(A财务假设!$D$16+A财务假设!$D$17))</f>
        <v>0</v>
      </c>
      <c r="P28" s="44">
        <f>(C.2项目每年借款信息!$O$5*(A财务假设!$D$16+A财务假设!$D$17))</f>
        <v>0</v>
      </c>
      <c r="Q28" s="44">
        <f>(C.2项目每年借款信息!$P$5*(A财务假设!$D$16+A财务假设!$D$17))</f>
        <v>0</v>
      </c>
      <c r="R28" s="44">
        <f>(C.2项目每年借款信息!$Q$5*(A财务假设!$D$16+A财务假设!$D$17))</f>
        <v>0</v>
      </c>
      <c r="S28" s="44">
        <f>(C.2项目每年借款信息!$R$5*(A财务假设!$D$16+A财务假设!$D$17))</f>
        <v>0</v>
      </c>
      <c r="T28" s="44">
        <f>(C.2项目每年借款信息!$S$5*(A财务假设!$D$16+A财务假设!$D$17))</f>
        <v>0</v>
      </c>
      <c r="U28" s="44">
        <f>(C.2项目每年借款信息!$T$5*(A财务假设!$D$16+A财务假设!$D$17))</f>
        <v>0</v>
      </c>
      <c r="V28" s="44">
        <f>(C.2项目每年借款信息!$U$5*(A财务假设!$D$16+A财务假设!$D$17))</f>
        <v>0</v>
      </c>
      <c r="W28" s="44">
        <f>(C.2项目每年借款信息!$V$5*(A财务假设!$D$16+A财务假设!$D$17))</f>
        <v>0</v>
      </c>
      <c r="X28" s="44">
        <f>(C.2项目每年借款信息!$W$5*(A财务假设!$D$16+A财务假设!$D$17))</f>
        <v>0</v>
      </c>
      <c r="Y28" s="44">
        <f>(C.2项目每年借款信息!$X$5*(A财务假设!$D$16+A财务假设!$D$17))</f>
        <v>0</v>
      </c>
      <c r="Z28" s="44">
        <f>(C.2项目每年借款信息!$Y$5*(A财务假设!$D$16+A财务假设!$D$17))</f>
        <v>0</v>
      </c>
    </row>
    <row r="29" customHeight="1" spans="1:26">
      <c r="A29" s="44" t="s">
        <v>441</v>
      </c>
      <c r="B29" s="44" t="s">
        <v>432</v>
      </c>
      <c r="C29" s="44">
        <v>0</v>
      </c>
      <c r="D29" s="44">
        <v>0</v>
      </c>
      <c r="E29" s="44">
        <v>0</v>
      </c>
      <c r="F29" s="44">
        <f>(IF(($F$2-YEAR(C.1项目融资信息!$E$6))=0,(12-MONTH(C.1项目融资信息!$E$6)+1)*C.1项目融资信息!$D$6*C.1项目融资信息!$H$6/12,C.1项目融资信息!$D$6*C.1项目融资信息!$H$6))</f>
        <v>77.7333333333333</v>
      </c>
      <c r="G29" s="44">
        <f>(IF(($G$2-YEAR(C.1项目融资信息!$E$6))=0,(12-MONTH(C.1项目融资信息!$E$6)+1)*C.1项目融资信息!$D$6*C.1项目融资信息!$H$6/12,C.1项目融资信息!$D$6*C.1项目融资信息!$H$6))</f>
        <v>233.2</v>
      </c>
      <c r="H29" s="44">
        <f>(IF(($H$2-YEAR(C.1项目融资信息!$E$6))=0,(12-MONTH(C.1项目融资信息!$E$6)+1)*C.1项目融资信息!$D$6*C.1项目融资信息!$H$6/12,C.1项目融资信息!$D$6*C.1项目融资信息!$H$6))</f>
        <v>233.2</v>
      </c>
      <c r="I29" s="44">
        <f>(IF(($I$2-YEAR(C.1项目融资信息!$E$6))=0,(12-MONTH(C.1项目融资信息!$E$6)+1)*C.1项目融资信息!$D$6*C.1项目融资信息!$H$6/12,C.1项目融资信息!$D$6*C.1项目融资信息!$H$6))</f>
        <v>233.2</v>
      </c>
      <c r="J29" s="44">
        <f>(IF(($J$2-YEAR(C.1项目融资信息!$E$6))=0,(12-MONTH(C.1项目融资信息!$E$6)+1)*C.1项目融资信息!$D$6*C.1项目融资信息!$H$6/12,C.1项目融资信息!$D$6*C.1项目融资信息!$H$6))</f>
        <v>233.2</v>
      </c>
      <c r="K29" s="44">
        <f>(IF(($K$2-YEAR(C.1项目融资信息!$E$6))=0,(12-MONTH(C.1项目融资信息!$E$6)+1)*C.1项目融资信息!$D$6*C.1项目融资信息!$H$6/12,C.1项目融资信息!$D$6*C.1项目融资信息!$H$6))</f>
        <v>233.2</v>
      </c>
      <c r="L29" s="44">
        <f>(IF(($L$2-YEAR(C.1项目融资信息!$E$6))=0,(12-MONTH(C.1项目融资信息!$E$6)+1)*C.1项目融资信息!$D$6*C.1项目融资信息!$H$6/12,C.1项目融资信息!$D$6*C.1项目融资信息!$H$6))</f>
        <v>233.2</v>
      </c>
      <c r="M29" s="44">
        <f>(IF(($M$2-YEAR(C.1项目融资信息!$E$6))=0,(12-MONTH(C.1项目融资信息!$E$6)+1)*C.1项目融资信息!$D$6*C.1项目融资信息!$H$6/12,C.1项目融资信息!$D$6*C.1项目融资信息!$H$6))</f>
        <v>233.2</v>
      </c>
      <c r="N29" s="44">
        <f>(IF(($N$2-YEAR(C.1项目融资信息!$E$6))=0,(12-MONTH(C.1项目融资信息!$E$6)+1)*C.1项目融资信息!$D$6*C.1项目融资信息!$H$6/12,C.1项目融资信息!$D$6*C.1项目融资信息!$H$6))</f>
        <v>233.2</v>
      </c>
      <c r="O29" s="44">
        <f>(IF(($O$2-YEAR(C.1项目融资信息!$E$6))=0,(12-MONTH(C.1项目融资信息!$E$6)+1)*C.1项目融资信息!$D$6*C.1项目融资信息!$H$6/12,C.1项目融资信息!$D$6*C.1项目融资信息!$H$6))</f>
        <v>233.2</v>
      </c>
      <c r="P29" s="44">
        <f>(IF(($P$2-YEAR(C.1项目融资信息!$E$6))=0,(12-MONTH(C.1项目融资信息!$E$6)+1)*C.1项目融资信息!$D$6*C.1项目融资信息!$H$6/12,C.1项目融资信息!$D$6*C.1项目融资信息!$H$6))</f>
        <v>233.2</v>
      </c>
      <c r="Q29" s="44">
        <f>(IF(($Q$2-YEAR(C.1项目融资信息!$E$6))=0,(12-MONTH(C.1项目融资信息!$E$6)+1)*C.1项目融资信息!$D$6*C.1项目融资信息!$H$6/12,C.1项目融资信息!$D$6*C.1项目融资信息!$H$6))</f>
        <v>233.2</v>
      </c>
      <c r="R29" s="44">
        <f>(IF(($R$2-YEAR(C.1项目融资信息!$E$6))=0,(12-MONTH(C.1项目融资信息!$E$6)+1)*C.1项目融资信息!$D$6*C.1项目融资信息!$H$6/12,C.1项目融资信息!$D$6*C.1项目融资信息!$H$6))</f>
        <v>233.2</v>
      </c>
      <c r="S29" s="44">
        <f>(IF(($S$2-YEAR(C.1项目融资信息!$E$6))=0,(12-MONTH(C.1项目融资信息!$E$6)+1)*C.1项目融资信息!$D$6*C.1项目融资信息!$H$6/12,C.1项目融资信息!$D$6*C.1项目融资信息!$H$6))</f>
        <v>233.2</v>
      </c>
      <c r="T29" s="44">
        <f>(IF(($T$2-YEAR(C.1项目融资信息!$E$6))=0,(12-MONTH(C.1项目融资信息!$E$6)+1)*C.1项目融资信息!$D$6*C.1项目融资信息!$H$6/12,C.1项目融资信息!$D$6*C.1项目融资信息!$H$6))</f>
        <v>233.2</v>
      </c>
      <c r="U29" s="44">
        <f>(IF(($U$2-YEAR(C.1项目融资信息!$E$6))=0,(12-MONTH(C.1项目融资信息!$E$6)+1)*C.1项目融资信息!$D$6*C.1项目融资信息!$H$6/12,C.1项目融资信息!$D$6*C.1项目融资信息!$H$6))</f>
        <v>233.2</v>
      </c>
      <c r="V29" s="44">
        <f>(IF(($V$2-YEAR(C.1项目融资信息!$E$6))=0,(12-MONTH(C.1项目融资信息!$E$6)+1)*C.1项目融资信息!$D$6*C.1项目融资信息!$H$6/12,C.1项目融资信息!$D$6*C.1项目融资信息!$H$6))</f>
        <v>233.2</v>
      </c>
      <c r="W29" s="44">
        <f>(IF(($W$2-YEAR(C.1项目融资信息!$E$6))=0,(12-MONTH(C.1项目融资信息!$E$6)+1)*C.1项目融资信息!$D$6*C.1项目融资信息!$H$6/12,C.1项目融资信息!$D$6*C.1项目融资信息!$H$6))</f>
        <v>233.2</v>
      </c>
      <c r="X29" s="44">
        <f>(IF(($X$2-YEAR(C.1项目融资信息!$E$6))=0,(12-MONTH(C.1项目融资信息!$E$6)+1)*C.1项目融资信息!$D$6*C.1项目融资信息!$H$6/12,C.1项目融资信息!$D$6*C.1项目融资信息!$H$6))</f>
        <v>233.2</v>
      </c>
      <c r="Y29" s="44">
        <f>(IF(($Y$2-YEAR(C.1项目融资信息!$E$6))=0,(12-MONTH(C.1项目融资信息!$E$6)+1)*C.1项目融资信息!$D$6*C.1项目融资信息!$H$6/12,C.1项目融资信息!$D$6*C.1项目融资信息!$H$6))</f>
        <v>233.2</v>
      </c>
      <c r="Z29" s="44">
        <f>(MONTH(C.1项目融资信息!$E$6)-1)*C.1项目融资信息!$D$6*C.1项目融资信息!$H$6/12</f>
        <v>155.466666666667</v>
      </c>
    </row>
    <row r="30" customHeight="1" spans="1:26">
      <c r="A30" s="44">
        <v>4</v>
      </c>
      <c r="B30" s="44" t="s">
        <v>442</v>
      </c>
      <c r="C30" s="44">
        <f>(C.1项目融资信息!$D$4+C.1项目融资信息!$D$5+C.1项目融资信息!$D$6)</f>
        <v>22000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customHeight="1" spans="1:26">
      <c r="A31" s="44" t="s">
        <v>443</v>
      </c>
      <c r="B31" s="44" t="s">
        <v>421</v>
      </c>
      <c r="C31" s="44">
        <v>0</v>
      </c>
      <c r="D31" s="44">
        <f t="shared" ref="D31:Z31" si="6">(D4+D13+D22)</f>
        <v>0</v>
      </c>
      <c r="E31" s="44">
        <f t="shared" si="6"/>
        <v>2000</v>
      </c>
      <c r="F31" s="44">
        <f t="shared" si="6"/>
        <v>12000</v>
      </c>
      <c r="G31" s="44">
        <f t="shared" si="6"/>
        <v>22000</v>
      </c>
      <c r="H31" s="44">
        <f t="shared" si="6"/>
        <v>22000</v>
      </c>
      <c r="I31" s="44">
        <f t="shared" si="6"/>
        <v>22000</v>
      </c>
      <c r="J31" s="44">
        <f t="shared" si="6"/>
        <v>22000</v>
      </c>
      <c r="K31" s="44">
        <f t="shared" si="6"/>
        <v>22000</v>
      </c>
      <c r="L31" s="44">
        <f t="shared" si="6"/>
        <v>22000</v>
      </c>
      <c r="M31" s="44">
        <f t="shared" si="6"/>
        <v>22000</v>
      </c>
      <c r="N31" s="44">
        <f t="shared" si="6"/>
        <v>22000</v>
      </c>
      <c r="O31" s="44">
        <f t="shared" si="6"/>
        <v>22000</v>
      </c>
      <c r="P31" s="44">
        <f t="shared" si="6"/>
        <v>22000</v>
      </c>
      <c r="Q31" s="44">
        <f t="shared" si="6"/>
        <v>22000</v>
      </c>
      <c r="R31" s="44">
        <f t="shared" si="6"/>
        <v>22000</v>
      </c>
      <c r="S31" s="44">
        <f t="shared" si="6"/>
        <v>22000</v>
      </c>
      <c r="T31" s="44">
        <f t="shared" si="6"/>
        <v>22000</v>
      </c>
      <c r="U31" s="44">
        <f t="shared" si="6"/>
        <v>22000</v>
      </c>
      <c r="V31" s="44">
        <f t="shared" si="6"/>
        <v>22000</v>
      </c>
      <c r="W31" s="44">
        <f t="shared" si="6"/>
        <v>22000</v>
      </c>
      <c r="X31" s="44">
        <f t="shared" si="6"/>
        <v>22000</v>
      </c>
      <c r="Y31" s="44">
        <f t="shared" si="6"/>
        <v>20000</v>
      </c>
      <c r="Z31" s="44">
        <f t="shared" si="6"/>
        <v>10000</v>
      </c>
    </row>
    <row r="32" customHeight="1" spans="1:26">
      <c r="A32" s="44" t="s">
        <v>444</v>
      </c>
      <c r="B32" s="44" t="s">
        <v>422</v>
      </c>
      <c r="C32" s="44">
        <f>(SUM(D32:Z32))</f>
        <v>32260.8</v>
      </c>
      <c r="D32" s="44">
        <f t="shared" ref="D32:Z32" si="7">(D5+D14+D23)</f>
        <v>0</v>
      </c>
      <c r="E32" s="44">
        <f t="shared" si="7"/>
        <v>46.64</v>
      </c>
      <c r="F32" s="44">
        <f t="shared" si="7"/>
        <v>279.84</v>
      </c>
      <c r="G32" s="44">
        <f t="shared" si="7"/>
        <v>513.04</v>
      </c>
      <c r="H32" s="44">
        <f t="shared" si="7"/>
        <v>513.04</v>
      </c>
      <c r="I32" s="44">
        <f t="shared" si="7"/>
        <v>513.04</v>
      </c>
      <c r="J32" s="44">
        <f t="shared" si="7"/>
        <v>513.04</v>
      </c>
      <c r="K32" s="44">
        <f t="shared" si="7"/>
        <v>513.04</v>
      </c>
      <c r="L32" s="44">
        <f t="shared" si="7"/>
        <v>513.04</v>
      </c>
      <c r="M32" s="44">
        <f t="shared" si="7"/>
        <v>513.04</v>
      </c>
      <c r="N32" s="44">
        <f t="shared" si="7"/>
        <v>513.04</v>
      </c>
      <c r="O32" s="44">
        <f t="shared" si="7"/>
        <v>513.04</v>
      </c>
      <c r="P32" s="44">
        <f t="shared" si="7"/>
        <v>513.04</v>
      </c>
      <c r="Q32" s="44">
        <f t="shared" si="7"/>
        <v>513.04</v>
      </c>
      <c r="R32" s="44">
        <f t="shared" si="7"/>
        <v>513.04</v>
      </c>
      <c r="S32" s="44">
        <f t="shared" si="7"/>
        <v>513.04</v>
      </c>
      <c r="T32" s="44">
        <f t="shared" si="7"/>
        <v>513.04</v>
      </c>
      <c r="U32" s="44">
        <f t="shared" si="7"/>
        <v>513.04</v>
      </c>
      <c r="V32" s="44">
        <f t="shared" si="7"/>
        <v>513.04</v>
      </c>
      <c r="W32" s="44">
        <f t="shared" si="7"/>
        <v>513.04</v>
      </c>
      <c r="X32" s="44">
        <f t="shared" si="7"/>
        <v>2513.04</v>
      </c>
      <c r="Y32" s="44">
        <f t="shared" si="7"/>
        <v>10466.4</v>
      </c>
      <c r="Z32" s="44">
        <f t="shared" si="7"/>
        <v>10233.2</v>
      </c>
    </row>
    <row r="33" customHeight="1" spans="1:26">
      <c r="A33" s="44" t="s">
        <v>445</v>
      </c>
      <c r="B33" s="44" t="s">
        <v>423</v>
      </c>
      <c r="C33" s="44">
        <f>(SUM(D33:Z33))</f>
        <v>22000</v>
      </c>
      <c r="D33" s="44">
        <f t="shared" ref="D33:Z33" si="8">(D6+D15+D24)</f>
        <v>0</v>
      </c>
      <c r="E33" s="44">
        <f t="shared" si="8"/>
        <v>0</v>
      </c>
      <c r="F33" s="44">
        <f t="shared" si="8"/>
        <v>0</v>
      </c>
      <c r="G33" s="44">
        <f t="shared" si="8"/>
        <v>0</v>
      </c>
      <c r="H33" s="44">
        <f t="shared" si="8"/>
        <v>0</v>
      </c>
      <c r="I33" s="44">
        <f t="shared" si="8"/>
        <v>0</v>
      </c>
      <c r="J33" s="44">
        <f t="shared" si="8"/>
        <v>0</v>
      </c>
      <c r="K33" s="44">
        <f t="shared" si="8"/>
        <v>0</v>
      </c>
      <c r="L33" s="44">
        <f t="shared" si="8"/>
        <v>0</v>
      </c>
      <c r="M33" s="44">
        <f t="shared" si="8"/>
        <v>0</v>
      </c>
      <c r="N33" s="44">
        <f t="shared" si="8"/>
        <v>0</v>
      </c>
      <c r="O33" s="44">
        <f t="shared" si="8"/>
        <v>0</v>
      </c>
      <c r="P33" s="44">
        <f t="shared" si="8"/>
        <v>0</v>
      </c>
      <c r="Q33" s="44">
        <f t="shared" si="8"/>
        <v>0</v>
      </c>
      <c r="R33" s="44">
        <f t="shared" si="8"/>
        <v>0</v>
      </c>
      <c r="S33" s="44">
        <f t="shared" si="8"/>
        <v>0</v>
      </c>
      <c r="T33" s="44">
        <f t="shared" si="8"/>
        <v>0</v>
      </c>
      <c r="U33" s="44">
        <f t="shared" si="8"/>
        <v>0</v>
      </c>
      <c r="V33" s="44">
        <f t="shared" si="8"/>
        <v>0</v>
      </c>
      <c r="W33" s="44">
        <f t="shared" si="8"/>
        <v>0</v>
      </c>
      <c r="X33" s="44">
        <f t="shared" si="8"/>
        <v>2000</v>
      </c>
      <c r="Y33" s="44">
        <f t="shared" si="8"/>
        <v>10000</v>
      </c>
      <c r="Z33" s="44">
        <f t="shared" si="8"/>
        <v>10000</v>
      </c>
    </row>
    <row r="34" customHeight="1" spans="1:26">
      <c r="A34" s="44" t="s">
        <v>446</v>
      </c>
      <c r="B34" s="44" t="s">
        <v>424</v>
      </c>
      <c r="C34" s="44">
        <f>(SUM(D34:Z34))</f>
        <v>10260.8</v>
      </c>
      <c r="D34" s="44">
        <f t="shared" ref="D34:Z34" si="9">(D7+D16+D25)</f>
        <v>0</v>
      </c>
      <c r="E34" s="44">
        <f t="shared" si="9"/>
        <v>46.64</v>
      </c>
      <c r="F34" s="44">
        <f t="shared" si="9"/>
        <v>279.84</v>
      </c>
      <c r="G34" s="44">
        <f t="shared" si="9"/>
        <v>513.04</v>
      </c>
      <c r="H34" s="44">
        <f t="shared" si="9"/>
        <v>513.04</v>
      </c>
      <c r="I34" s="44">
        <f t="shared" si="9"/>
        <v>513.04</v>
      </c>
      <c r="J34" s="44">
        <f t="shared" si="9"/>
        <v>513.04</v>
      </c>
      <c r="K34" s="44">
        <f t="shared" si="9"/>
        <v>513.04</v>
      </c>
      <c r="L34" s="44">
        <f t="shared" si="9"/>
        <v>513.04</v>
      </c>
      <c r="M34" s="44">
        <f t="shared" si="9"/>
        <v>513.04</v>
      </c>
      <c r="N34" s="44">
        <f t="shared" si="9"/>
        <v>513.04</v>
      </c>
      <c r="O34" s="44">
        <f t="shared" si="9"/>
        <v>513.04</v>
      </c>
      <c r="P34" s="44">
        <f t="shared" si="9"/>
        <v>513.04</v>
      </c>
      <c r="Q34" s="44">
        <f t="shared" si="9"/>
        <v>513.04</v>
      </c>
      <c r="R34" s="44">
        <f t="shared" si="9"/>
        <v>513.04</v>
      </c>
      <c r="S34" s="44">
        <f t="shared" si="9"/>
        <v>513.04</v>
      </c>
      <c r="T34" s="44">
        <f t="shared" si="9"/>
        <v>513.04</v>
      </c>
      <c r="U34" s="44">
        <f t="shared" si="9"/>
        <v>513.04</v>
      </c>
      <c r="V34" s="44">
        <f t="shared" si="9"/>
        <v>513.04</v>
      </c>
      <c r="W34" s="44">
        <f t="shared" si="9"/>
        <v>513.04</v>
      </c>
      <c r="X34" s="44">
        <f t="shared" si="9"/>
        <v>513.04</v>
      </c>
      <c r="Y34" s="44">
        <f t="shared" si="9"/>
        <v>466.4</v>
      </c>
      <c r="Z34" s="44">
        <f t="shared" si="9"/>
        <v>233.2</v>
      </c>
    </row>
    <row r="35" customHeight="1" spans="1:26">
      <c r="A35" s="44" t="s">
        <v>447</v>
      </c>
      <c r="B35" s="44" t="s">
        <v>426</v>
      </c>
      <c r="C35" s="44">
        <v>0</v>
      </c>
      <c r="D35" s="44">
        <f t="shared" ref="D35:Z35" si="10">(D8+D17+D26)</f>
        <v>2000</v>
      </c>
      <c r="E35" s="44">
        <f t="shared" si="10"/>
        <v>12000</v>
      </c>
      <c r="F35" s="44">
        <f t="shared" si="10"/>
        <v>22000</v>
      </c>
      <c r="G35" s="44">
        <f t="shared" si="10"/>
        <v>22000</v>
      </c>
      <c r="H35" s="44">
        <f t="shared" si="10"/>
        <v>22000</v>
      </c>
      <c r="I35" s="44">
        <f t="shared" si="10"/>
        <v>22000</v>
      </c>
      <c r="J35" s="44">
        <f t="shared" si="10"/>
        <v>22000</v>
      </c>
      <c r="K35" s="44">
        <f t="shared" si="10"/>
        <v>22000</v>
      </c>
      <c r="L35" s="44">
        <f t="shared" si="10"/>
        <v>22000</v>
      </c>
      <c r="M35" s="44">
        <f t="shared" si="10"/>
        <v>22000</v>
      </c>
      <c r="N35" s="44">
        <f t="shared" si="10"/>
        <v>22000</v>
      </c>
      <c r="O35" s="44">
        <f t="shared" si="10"/>
        <v>22000</v>
      </c>
      <c r="P35" s="44">
        <f t="shared" si="10"/>
        <v>22000</v>
      </c>
      <c r="Q35" s="44">
        <f t="shared" si="10"/>
        <v>22000</v>
      </c>
      <c r="R35" s="44">
        <f t="shared" si="10"/>
        <v>22000</v>
      </c>
      <c r="S35" s="44">
        <f t="shared" si="10"/>
        <v>22000</v>
      </c>
      <c r="T35" s="44">
        <f t="shared" si="10"/>
        <v>22000</v>
      </c>
      <c r="U35" s="44">
        <f t="shared" si="10"/>
        <v>22000</v>
      </c>
      <c r="V35" s="44">
        <f t="shared" si="10"/>
        <v>22000</v>
      </c>
      <c r="W35" s="44">
        <f t="shared" si="10"/>
        <v>22000</v>
      </c>
      <c r="X35" s="44">
        <f t="shared" si="10"/>
        <v>20000</v>
      </c>
      <c r="Y35" s="44">
        <f t="shared" si="10"/>
        <v>10000</v>
      </c>
      <c r="Z35" s="44">
        <f t="shared" si="10"/>
        <v>0</v>
      </c>
    </row>
    <row r="36" customHeight="1" spans="1:26">
      <c r="A36" s="44" t="s">
        <v>448</v>
      </c>
      <c r="B36" s="44" t="s">
        <v>428</v>
      </c>
      <c r="C36" s="44">
        <f>(SUM(D36:Z36))</f>
        <v>1.61304</v>
      </c>
      <c r="D36" s="44">
        <f t="shared" ref="D36:Z36" si="11">(D9+D18+D27)</f>
        <v>0</v>
      </c>
      <c r="E36" s="44">
        <f t="shared" si="11"/>
        <v>0.002332</v>
      </c>
      <c r="F36" s="44">
        <f t="shared" si="11"/>
        <v>0.013992</v>
      </c>
      <c r="G36" s="44">
        <f t="shared" si="11"/>
        <v>0.025652</v>
      </c>
      <c r="H36" s="44">
        <f t="shared" si="11"/>
        <v>0.025652</v>
      </c>
      <c r="I36" s="44">
        <f t="shared" si="11"/>
        <v>0.025652</v>
      </c>
      <c r="J36" s="44">
        <f t="shared" si="11"/>
        <v>0.025652</v>
      </c>
      <c r="K36" s="44">
        <f t="shared" si="11"/>
        <v>0.025652</v>
      </c>
      <c r="L36" s="44">
        <f t="shared" si="11"/>
        <v>0.025652</v>
      </c>
      <c r="M36" s="44">
        <f t="shared" si="11"/>
        <v>0.025652</v>
      </c>
      <c r="N36" s="44">
        <f t="shared" si="11"/>
        <v>0.025652</v>
      </c>
      <c r="O36" s="44">
        <f t="shared" si="11"/>
        <v>0.025652</v>
      </c>
      <c r="P36" s="44">
        <f t="shared" si="11"/>
        <v>0.025652</v>
      </c>
      <c r="Q36" s="44">
        <f t="shared" si="11"/>
        <v>0.025652</v>
      </c>
      <c r="R36" s="44">
        <f t="shared" si="11"/>
        <v>0.025652</v>
      </c>
      <c r="S36" s="44">
        <f t="shared" si="11"/>
        <v>0.025652</v>
      </c>
      <c r="T36" s="44">
        <f t="shared" si="11"/>
        <v>0.025652</v>
      </c>
      <c r="U36" s="44">
        <f t="shared" si="11"/>
        <v>0.025652</v>
      </c>
      <c r="V36" s="44">
        <f t="shared" si="11"/>
        <v>0.025652</v>
      </c>
      <c r="W36" s="44">
        <f t="shared" si="11"/>
        <v>0.025652</v>
      </c>
      <c r="X36" s="44">
        <f t="shared" si="11"/>
        <v>0.125652</v>
      </c>
      <c r="Y36" s="44">
        <f t="shared" si="11"/>
        <v>0.52332</v>
      </c>
      <c r="Z36" s="44">
        <f t="shared" si="11"/>
        <v>0.51166</v>
      </c>
    </row>
    <row r="37" customHeight="1" spans="1:26">
      <c r="A37" s="44" t="s">
        <v>449</v>
      </c>
      <c r="B37" s="44" t="s">
        <v>430</v>
      </c>
      <c r="C37" s="44">
        <f>(SUM(D37:Z37))</f>
        <v>19.008</v>
      </c>
      <c r="D37" s="44">
        <f t="shared" ref="D37:Z37" si="12">(D10+D19+D28)</f>
        <v>1.728</v>
      </c>
      <c r="E37" s="44">
        <f t="shared" si="12"/>
        <v>8.64</v>
      </c>
      <c r="F37" s="44">
        <f t="shared" si="12"/>
        <v>8.64</v>
      </c>
      <c r="G37" s="44">
        <f t="shared" si="12"/>
        <v>0</v>
      </c>
      <c r="H37" s="44">
        <f t="shared" si="12"/>
        <v>0</v>
      </c>
      <c r="I37" s="44">
        <f t="shared" si="12"/>
        <v>0</v>
      </c>
      <c r="J37" s="44">
        <f t="shared" si="12"/>
        <v>0</v>
      </c>
      <c r="K37" s="44">
        <f t="shared" si="12"/>
        <v>0</v>
      </c>
      <c r="L37" s="44">
        <f t="shared" si="12"/>
        <v>0</v>
      </c>
      <c r="M37" s="44">
        <f t="shared" si="12"/>
        <v>0</v>
      </c>
      <c r="N37" s="44">
        <f t="shared" si="12"/>
        <v>0</v>
      </c>
      <c r="O37" s="44">
        <f t="shared" si="12"/>
        <v>0</v>
      </c>
      <c r="P37" s="44">
        <f t="shared" si="12"/>
        <v>0</v>
      </c>
      <c r="Q37" s="44">
        <f t="shared" si="12"/>
        <v>0</v>
      </c>
      <c r="R37" s="44">
        <f t="shared" si="12"/>
        <v>0</v>
      </c>
      <c r="S37" s="44">
        <f t="shared" si="12"/>
        <v>0</v>
      </c>
      <c r="T37" s="44">
        <f t="shared" si="12"/>
        <v>0</v>
      </c>
      <c r="U37" s="44">
        <f t="shared" si="12"/>
        <v>0</v>
      </c>
      <c r="V37" s="44">
        <f t="shared" si="12"/>
        <v>0</v>
      </c>
      <c r="W37" s="44">
        <f t="shared" si="12"/>
        <v>0</v>
      </c>
      <c r="X37" s="44">
        <f t="shared" si="12"/>
        <v>0</v>
      </c>
      <c r="Y37" s="44">
        <f t="shared" si="12"/>
        <v>0</v>
      </c>
      <c r="Z37" s="44">
        <f t="shared" si="12"/>
        <v>0</v>
      </c>
    </row>
    <row r="38" customHeight="1" spans="1:26">
      <c r="A38" s="44" t="s">
        <v>450</v>
      </c>
      <c r="B38" s="44" t="s">
        <v>432</v>
      </c>
      <c r="C38" s="44">
        <v>0</v>
      </c>
      <c r="D38" s="44">
        <f t="shared" ref="D38:Z38" si="13">(D11+D20+D29)</f>
        <v>15.5466666666667</v>
      </c>
      <c r="E38" s="44">
        <f t="shared" si="13"/>
        <v>124.373333333333</v>
      </c>
      <c r="F38" s="44">
        <f t="shared" si="13"/>
        <v>357.573333333333</v>
      </c>
      <c r="G38" s="44">
        <f t="shared" si="13"/>
        <v>513.04</v>
      </c>
      <c r="H38" s="44">
        <f t="shared" si="13"/>
        <v>513.04</v>
      </c>
      <c r="I38" s="44">
        <f t="shared" si="13"/>
        <v>513.04</v>
      </c>
      <c r="J38" s="44">
        <f t="shared" si="13"/>
        <v>513.04</v>
      </c>
      <c r="K38" s="44">
        <f t="shared" si="13"/>
        <v>513.04</v>
      </c>
      <c r="L38" s="44">
        <f t="shared" si="13"/>
        <v>513.04</v>
      </c>
      <c r="M38" s="44">
        <f t="shared" si="13"/>
        <v>513.04</v>
      </c>
      <c r="N38" s="44">
        <f t="shared" si="13"/>
        <v>513.04</v>
      </c>
      <c r="O38" s="44">
        <f t="shared" si="13"/>
        <v>513.04</v>
      </c>
      <c r="P38" s="44">
        <f t="shared" si="13"/>
        <v>513.04</v>
      </c>
      <c r="Q38" s="44">
        <f t="shared" si="13"/>
        <v>513.04</v>
      </c>
      <c r="R38" s="44">
        <f t="shared" si="13"/>
        <v>513.04</v>
      </c>
      <c r="S38" s="44">
        <f t="shared" si="13"/>
        <v>513.04</v>
      </c>
      <c r="T38" s="44">
        <f t="shared" si="13"/>
        <v>513.04</v>
      </c>
      <c r="U38" s="44">
        <f t="shared" si="13"/>
        <v>513.04</v>
      </c>
      <c r="V38" s="44">
        <f t="shared" si="13"/>
        <v>513.04</v>
      </c>
      <c r="W38" s="44">
        <f t="shared" si="13"/>
        <v>513.04</v>
      </c>
      <c r="X38" s="44">
        <f t="shared" si="13"/>
        <v>497.493333333333</v>
      </c>
      <c r="Y38" s="44">
        <f t="shared" si="13"/>
        <v>388.666666666667</v>
      </c>
      <c r="Z38" s="44">
        <f t="shared" si="13"/>
        <v>155.466666666667</v>
      </c>
    </row>
    <row r="39" customHeight="1" spans="1:26">
      <c r="A39" s="44" t="s">
        <v>451</v>
      </c>
      <c r="B39" s="44" t="s">
        <v>452</v>
      </c>
      <c r="C39" s="44" t="s">
        <v>118</v>
      </c>
      <c r="D39" s="44">
        <f>IF(D34&lt;&gt;0,'b利润与利润分配表（损益和利润分配表）'!D25/D34,0)</f>
        <v>0</v>
      </c>
      <c r="E39" s="44">
        <f>IF(E34&lt;&gt;0,'b利润与利润分配表（损益和利润分配表）'!E25/E34,0)</f>
        <v>10.0725137935388</v>
      </c>
      <c r="F39" s="44">
        <f>IF(F34&lt;&gt;0,'b利润与利润分配表（损益和利润分配表）'!F25/F34,0)</f>
        <v>1.24915206118351</v>
      </c>
      <c r="G39" s="44">
        <f>IF(G34&lt;&gt;0,'b利润与利润分配表（损益和利润分配表）'!G25/G34,0)</f>
        <v>-0.170045396557283</v>
      </c>
      <c r="H39" s="44">
        <f>IF(H34&lt;&gt;0,'b利润与利润分配表（损益和利润分配表）'!H25/H34,0)</f>
        <v>-0.16800544205531</v>
      </c>
      <c r="I39" s="44">
        <f>IF(I34&lt;&gt;0,'b利润与利润分配表（损益和利润分配表）'!I25/I34,0)</f>
        <v>-0.17079977986219</v>
      </c>
      <c r="J39" s="44">
        <f>IF(J34&lt;&gt;0,'b利润与利润分配表（损益和利润分配表）'!J25/J34,0)</f>
        <v>-1.52653224542914</v>
      </c>
      <c r="K39" s="44">
        <f>IF(K34&lt;&gt;0,'b利润与利润分配表（损益和利润分配表）'!K25/K34,0)</f>
        <v>-1.54645896057121</v>
      </c>
      <c r="L39" s="44">
        <f>IF(L34&lt;&gt;0,'b利润与利润分配表（损益和利润分配表）'!L25/L34,0)</f>
        <v>-1.5666845764404</v>
      </c>
      <c r="M39" s="44">
        <f>IF(M34&lt;&gt;0,'b利润与利润分配表（损益和利润分配表）'!M25/M34,0)</f>
        <v>-1.58721357654764</v>
      </c>
      <c r="N39" s="44">
        <f>IF(N34&lt;&gt;0,'b利润与利润分配表（损益和利润分配表）'!N25/N34,0)</f>
        <v>-1.60805051165648</v>
      </c>
      <c r="O39" s="44">
        <f>IF(O34&lt;&gt;0,'b利润与利润分配表（损益和利润分配表）'!O25/O34,0)</f>
        <v>-1.62920000079196</v>
      </c>
      <c r="P39" s="44">
        <f>IF(P34&lt;&gt;0,'b利润与利润分配表（损益和利润分配表）'!P25/P34,0)</f>
        <v>-1.65066673226447</v>
      </c>
      <c r="Q39" s="44">
        <f>IF(Q34&lt;&gt;0,'b利润与利润分配表（损益和利润分配表）'!Q25/Q34,0)</f>
        <v>-1.67245546470906</v>
      </c>
      <c r="R39" s="44">
        <f>IF(R34&lt;&gt;0,'b利润与利润分配表（损益和利润分配表）'!R25/R34,0)</f>
        <v>-1.69457102814033</v>
      </c>
      <c r="S39" s="44">
        <f>IF(S34&lt;&gt;0,'b利润与利润分配表（损益和利润分配表）'!S25/S34,0)</f>
        <v>-1.71701832502306</v>
      </c>
      <c r="T39" s="44">
        <f>IF(T34&lt;&gt;0,'b利润与利润分配表（损益和利润分配表）'!T25/T34,0)</f>
        <v>-1.73980233135904</v>
      </c>
      <c r="U39" s="44">
        <f>IF(U34&lt;&gt;0,'b利润与利润分配表（损益和利润分配表）'!U25/U34,0)</f>
        <v>-1.76292809779005</v>
      </c>
      <c r="V39" s="44">
        <f>IF(V34&lt;&gt;0,'b利润与利润分配表（损益和利润分配表）'!V25/V34,0)</f>
        <v>-1.78640075071753</v>
      </c>
      <c r="W39" s="44">
        <f>IF(W34&lt;&gt;0,'b利润与利润分配表（损益和利润分配表）'!W25/W34,0)</f>
        <v>-1.81022549343892</v>
      </c>
      <c r="X39" s="44">
        <f>IF(X34&lt;&gt;0,'b利润与利润分配表（损益和利润分配表）'!X25/X34,0)</f>
        <v>-1.83460252387684</v>
      </c>
      <c r="Y39" s="44">
        <f>IF(Y34&lt;&gt;0,'b利润与利润分配表（损益和利润分配表）'!Y25/Y34,0)</f>
        <v>-2.04591473932479</v>
      </c>
      <c r="Z39" s="44">
        <f>IF(Z34&lt;&gt;0,'b利润与利润分配表（损益和利润分配表）'!Z25/Z34,0)</f>
        <v>-4.14658811880772</v>
      </c>
    </row>
    <row r="40" customHeight="1" spans="1:26">
      <c r="A40" s="16"/>
      <c r="B40" s="44" t="s">
        <v>453</v>
      </c>
      <c r="C40" s="44" t="s">
        <v>118</v>
      </c>
      <c r="D40" s="44">
        <f>(IF(D32&lt;&gt;0,('b利润与利润分配表（损益和利润分配表）'!D26-'b利润与利润分配表（损益和利润分配表）'!D11)/D32,))</f>
        <v>0</v>
      </c>
      <c r="E40" s="44">
        <f>(IF(E32&lt;&gt;0,('b利润与利润分配表（损益和利润分配表）'!E26-'b利润与利润分配表（损益和利润分配表）'!E11)/E32,))</f>
        <v>8.55106644155241</v>
      </c>
      <c r="F40" s="44">
        <f>(IF(F32&lt;&gt;0,('b利润与利润分配表（损益和利润分配表）'!F26-'b利润与利润分配表（损益和利润分配表）'!F11)/F32,))</f>
        <v>1.40864454779396</v>
      </c>
      <c r="G40" s="44">
        <f>(IF(G32&lt;&gt;0,('b利润与利润分配表（损益和利润分配表）'!G26-'b利润与利润分配表（损益和利润分配表）'!G11)/G32,))</f>
        <v>0.0279891727341102</v>
      </c>
      <c r="H40" s="44">
        <f>(IF(H32&lt;&gt;0,('b利润与利润分配表（损益和利润分配表）'!H26-'b利润与利润分配表（损益和利润分配表）'!H11)/H32,))</f>
        <v>0.030029127236084</v>
      </c>
      <c r="I40" s="44">
        <f>(IF(I32&lt;&gt;0,('b利润与利润分配表（损益和利润分配表）'!I26-'b利润与利润分配表（损益和利润分配表）'!I11)/I32,))</f>
        <v>0.0272347894292036</v>
      </c>
      <c r="J40" s="44">
        <f>(IF(J32&lt;&gt;0,('b利润与利润分配表（损益和利润分配表）'!J26-'b利润与利润分配表（损益和利润分配表）'!J11)/J32,))</f>
        <v>-1.32849767613775</v>
      </c>
      <c r="K40" s="44">
        <f>(IF(K32&lt;&gt;0,('b利润与利润分配表（损益和利润分配表）'!K26-'b利润与利润分配表（损益和利润分配表）'!K11)/K32,))</f>
        <v>-1.34842439127981</v>
      </c>
      <c r="L40" s="44">
        <f>(IF(L32&lt;&gt;0,('b利润与利润分配表（损益和利润分配表）'!L26-'b利润与利润分配表（损益和利润分配表）'!L11)/L32,))</f>
        <v>-1.36865000714901</v>
      </c>
      <c r="M40" s="44">
        <f>(IF(M32&lt;&gt;0,('b利润与利润分配表（损益和利润分配表）'!M26-'b利润与利润分配表（损益和利润分配表）'!M11)/M32,))</f>
        <v>-1.38917900725625</v>
      </c>
      <c r="N40" s="44">
        <f>(IF(N32&lt;&gt;0,('b利润与利润分配表（损益和利润分配表）'!N26-'b利润与利润分配表（损益和利润分配表）'!N11)/N32,))</f>
        <v>-1.41001594236509</v>
      </c>
      <c r="O40" s="44">
        <f>(IF(O32&lt;&gt;0,('b利润与利润分配表（损益和利润分配表）'!O26-'b利润与利润分配表（损益和利润分配表）'!O11)/O32,))</f>
        <v>-1.43116543150057</v>
      </c>
      <c r="P40" s="44">
        <f>(IF(P32&lt;&gt;0,('b利润与利润分配表（损益和利润分配表）'!P26-'b利润与利润分配表（损益和利润分配表）'!P11)/P32,))</f>
        <v>-1.45263216297307</v>
      </c>
      <c r="Q40" s="44">
        <f>(IF(Q32&lt;&gt;0,('b利润与利润分配表（损益和利润分配表）'!Q26-'b利润与利润分配表（损益和利润分配表）'!Q11)/Q32,))</f>
        <v>-1.47442089541767</v>
      </c>
      <c r="R40" s="44">
        <f>(IF(R32&lt;&gt;0,('b利润与利润分配表（损益和利润分配表）'!R26-'b利润与利润分配表（损益和利润分配表）'!R11)/R32,))</f>
        <v>-1.49653645884893</v>
      </c>
      <c r="S40" s="44">
        <f>(IF(S32&lt;&gt;0,('b利润与利润分配表（损益和利润分配表）'!S26-'b利润与利润分配表（损益和利润分配表）'!S11)/S32,))</f>
        <v>-1.51898375573167</v>
      </c>
      <c r="T40" s="44">
        <f>(IF(T32&lt;&gt;0,('b利润与利润分配表（损益和利润分配表）'!T26-'b利润与利润分配表（损益和利润分配表）'!T11)/T32,))</f>
        <v>-1.54176776206764</v>
      </c>
      <c r="U40" s="44">
        <f>(IF(U32&lt;&gt;0,('b利润与利润分配表（损益和利润分配表）'!U26-'b利润与利润分配表（损益和利润分配表）'!U11)/U32,))</f>
        <v>-1.56489352849866</v>
      </c>
      <c r="V40" s="44">
        <f>(IF(V32&lt;&gt;0,('b利润与利润分配表（损益和利润分配表）'!V26-'b利润与利润分配表（损益和利润分配表）'!V11)/V32,))</f>
        <v>-1.58836618142614</v>
      </c>
      <c r="W40" s="44">
        <f>(IF(W32&lt;&gt;0,('b利润与利润分配表（损益和利润分配表）'!W26-'b利润与利润分配表（损益和利润分配表）'!W11)/W32,))</f>
        <v>-1.61219092414753</v>
      </c>
      <c r="X40" s="44">
        <f>(IF(X32&lt;&gt;0,('b利润与利润分配表（损益和利润分配表）'!X26-'b利润与利润分配表（损益和利润分配表）'!X11)/X32,))</f>
        <v>-0.33410722607699</v>
      </c>
      <c r="Y40" s="44">
        <f>(IF(Y32&lt;&gt;0,('b利润与利润分配表（损益和利润分配表）'!Y26-'b利润与利润分配表（损益和利润分配表）'!Y11)/Y32,))</f>
        <v>-0.0814621053076345</v>
      </c>
      <c r="Z40" s="44">
        <f>(IF(Z32&lt;&gt;0,('b利润与利润分配表（损益和利润分配表）'!Z26-'b利润与利润分配表（损益和利润分配表）'!Z11)/Z32,))</f>
        <v>-0.084566381374028</v>
      </c>
    </row>
  </sheetData>
  <mergeCells count="1">
    <mergeCell ref="A39:A40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tabColor rgb="FFFFC000"/>
  </sheetPr>
  <dimension ref="A1:Z31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J1" sqref="J1:J33"/>
    </sheetView>
  </sheetViews>
  <sheetFormatPr defaultColWidth="8.89090909090909" defaultRowHeight="28.05" customHeight="1"/>
  <cols>
    <col min="1" max="1" width="6.66363636363636" style="1" customWidth="1"/>
    <col min="2" max="2" width="21.5545454545455" style="1" customWidth="1"/>
    <col min="3" max="3" width="13" style="1" customWidth="1"/>
    <col min="4" max="4" width="11.5545454545455" style="1" customWidth="1"/>
    <col min="5" max="6" width="11.8909090909091" style="1" customWidth="1"/>
    <col min="7" max="9" width="10.2181818181818" style="1" customWidth="1"/>
    <col min="10" max="10" width="35.5545454545455" style="1" customWidth="1"/>
  </cols>
  <sheetData>
    <row r="1" ht="20" customHeight="1" spans="1:9">
      <c r="A1" s="38" t="s">
        <v>454</v>
      </c>
      <c r="B1" s="3"/>
      <c r="C1" s="3"/>
      <c r="D1" s="3"/>
      <c r="E1" s="3"/>
      <c r="F1" s="3"/>
      <c r="G1" s="3"/>
      <c r="H1" s="3"/>
      <c r="I1" s="4"/>
    </row>
    <row r="2" ht="16.5" customHeight="1" spans="1:26">
      <c r="A2" s="5" t="s">
        <v>1</v>
      </c>
      <c r="B2" s="5" t="s">
        <v>151</v>
      </c>
      <c r="C2" s="5" t="s">
        <v>95</v>
      </c>
      <c r="D2" s="34">
        <v>2025</v>
      </c>
      <c r="E2" s="34">
        <v>2026</v>
      </c>
      <c r="F2" s="34">
        <v>2027</v>
      </c>
      <c r="G2" s="34">
        <v>2028</v>
      </c>
      <c r="H2" s="34">
        <v>2029</v>
      </c>
      <c r="I2" s="34">
        <v>2030</v>
      </c>
      <c r="J2" s="34">
        <v>2031</v>
      </c>
      <c r="K2" s="34">
        <v>2032</v>
      </c>
      <c r="L2" s="34">
        <v>2033</v>
      </c>
      <c r="M2" s="34">
        <v>2034</v>
      </c>
      <c r="N2" s="34">
        <v>2035</v>
      </c>
      <c r="O2" s="34">
        <v>2036</v>
      </c>
      <c r="P2" s="34">
        <v>2037</v>
      </c>
      <c r="Q2" s="34">
        <v>2038</v>
      </c>
      <c r="R2" s="34">
        <v>2039</v>
      </c>
      <c r="S2" s="34">
        <v>2040</v>
      </c>
      <c r="T2" s="34">
        <v>2041</v>
      </c>
      <c r="U2" s="34">
        <v>2042</v>
      </c>
      <c r="V2" s="34">
        <v>2043</v>
      </c>
      <c r="W2" s="34">
        <v>2044</v>
      </c>
      <c r="X2" s="34">
        <v>2045</v>
      </c>
      <c r="Y2" s="34">
        <v>2046</v>
      </c>
      <c r="Z2" s="34">
        <v>2047</v>
      </c>
    </row>
    <row r="3" ht="16.5" customHeight="1" spans="1:26">
      <c r="A3" s="8">
        <v>1</v>
      </c>
      <c r="B3" s="8" t="s">
        <v>455</v>
      </c>
      <c r="C3" s="14">
        <f t="shared" ref="C3:C31" si="0">(SUM(D3:Z3))</f>
        <v>-12604.8791146689</v>
      </c>
      <c r="D3" s="14">
        <f t="shared" ref="D3:Z3" si="1">D4-D9</f>
        <v>0</v>
      </c>
      <c r="E3" s="14">
        <f t="shared" si="1"/>
        <v>283.306073500671</v>
      </c>
      <c r="F3" s="14">
        <f t="shared" si="1"/>
        <v>54.7877649213285</v>
      </c>
      <c r="G3" s="14">
        <f t="shared" si="1"/>
        <v>47.667565179508</v>
      </c>
      <c r="H3" s="14">
        <f t="shared" si="1"/>
        <v>49.2553034372006</v>
      </c>
      <c r="I3" s="14">
        <f t="shared" si="1"/>
        <v>48.2461795687586</v>
      </c>
      <c r="J3" s="14">
        <f t="shared" si="1"/>
        <v>-681.57244776571</v>
      </c>
      <c r="K3" s="14">
        <f t="shared" si="1"/>
        <v>-691.795649702195</v>
      </c>
      <c r="L3" s="14">
        <f t="shared" si="1"/>
        <v>-702.172199667728</v>
      </c>
      <c r="M3" s="14">
        <f t="shared" si="1"/>
        <v>-712.704397882744</v>
      </c>
      <c r="N3" s="14">
        <f t="shared" si="1"/>
        <v>-723.394579070986</v>
      </c>
      <c r="O3" s="14">
        <f t="shared" si="1"/>
        <v>-734.24511297705</v>
      </c>
      <c r="P3" s="14">
        <f t="shared" si="1"/>
        <v>-745.258404891706</v>
      </c>
      <c r="Q3" s="14">
        <f t="shared" si="1"/>
        <v>-756.436896185081</v>
      </c>
      <c r="R3" s="14">
        <f t="shared" si="1"/>
        <v>-767.783064847858</v>
      </c>
      <c r="S3" s="14">
        <f t="shared" si="1"/>
        <v>-779.299426040574</v>
      </c>
      <c r="T3" s="14">
        <f t="shared" si="1"/>
        <v>-790.988532651184</v>
      </c>
      <c r="U3" s="14">
        <f t="shared" si="1"/>
        <v>-802.852975860951</v>
      </c>
      <c r="V3" s="14">
        <f t="shared" si="1"/>
        <v>-814.895385718866</v>
      </c>
      <c r="W3" s="14">
        <f t="shared" si="1"/>
        <v>-827.118431724648</v>
      </c>
      <c r="X3" s="14">
        <f t="shared" si="1"/>
        <v>-839.624823420518</v>
      </c>
      <c r="Y3" s="14">
        <f t="shared" si="1"/>
        <v>-852.614978991826</v>
      </c>
      <c r="Z3" s="14">
        <f t="shared" si="1"/>
        <v>-865.384693876703</v>
      </c>
    </row>
    <row r="4" ht="16.5" customHeight="1" spans="1:26">
      <c r="A4" s="8">
        <v>1.1</v>
      </c>
      <c r="B4" s="8" t="s">
        <v>353</v>
      </c>
      <c r="C4" s="14">
        <f t="shared" si="0"/>
        <v>3060.7668672</v>
      </c>
      <c r="D4" s="14">
        <f t="shared" ref="D4:Z4" si="2">SUM(D5:D8)</f>
        <v>0</v>
      </c>
      <c r="E4" s="14">
        <f t="shared" si="2"/>
        <v>367.5</v>
      </c>
      <c r="F4" s="14">
        <f t="shared" si="2"/>
        <v>563.22</v>
      </c>
      <c r="G4" s="14">
        <f t="shared" si="2"/>
        <v>699.468</v>
      </c>
      <c r="H4" s="14">
        <f t="shared" si="2"/>
        <v>710.83236</v>
      </c>
      <c r="I4" s="14">
        <f t="shared" si="2"/>
        <v>719.7465072</v>
      </c>
      <c r="J4" s="14">
        <f t="shared" si="2"/>
        <v>0</v>
      </c>
      <c r="K4" s="14">
        <f t="shared" si="2"/>
        <v>0</v>
      </c>
      <c r="L4" s="14">
        <f t="shared" si="2"/>
        <v>0</v>
      </c>
      <c r="M4" s="14">
        <f t="shared" si="2"/>
        <v>0</v>
      </c>
      <c r="N4" s="14">
        <f t="shared" si="2"/>
        <v>0</v>
      </c>
      <c r="O4" s="14">
        <f t="shared" si="2"/>
        <v>0</v>
      </c>
      <c r="P4" s="14">
        <f t="shared" si="2"/>
        <v>0</v>
      </c>
      <c r="Q4" s="14">
        <f t="shared" si="2"/>
        <v>0</v>
      </c>
      <c r="R4" s="14">
        <f t="shared" si="2"/>
        <v>0</v>
      </c>
      <c r="S4" s="14">
        <f t="shared" si="2"/>
        <v>0</v>
      </c>
      <c r="T4" s="14">
        <f t="shared" si="2"/>
        <v>0</v>
      </c>
      <c r="U4" s="14">
        <f t="shared" si="2"/>
        <v>0</v>
      </c>
      <c r="V4" s="14">
        <f t="shared" si="2"/>
        <v>0</v>
      </c>
      <c r="W4" s="14">
        <f t="shared" si="2"/>
        <v>0</v>
      </c>
      <c r="X4" s="14">
        <f t="shared" si="2"/>
        <v>0</v>
      </c>
      <c r="Y4" s="14">
        <f t="shared" si="2"/>
        <v>0</v>
      </c>
      <c r="Z4" s="14">
        <f t="shared" si="2"/>
        <v>0</v>
      </c>
    </row>
    <row r="5" ht="16.5" customHeight="1" spans="1:26">
      <c r="A5" s="8" t="s">
        <v>274</v>
      </c>
      <c r="B5" s="8" t="s">
        <v>354</v>
      </c>
      <c r="C5" s="14">
        <f t="shared" si="0"/>
        <v>2915.016064</v>
      </c>
      <c r="D5" s="12">
        <f>(F项目收入!D12)</f>
        <v>0</v>
      </c>
      <c r="E5" s="12">
        <f>(F项目收入!E12)</f>
        <v>350</v>
      </c>
      <c r="F5" s="12">
        <f>(F项目收入!F12)</f>
        <v>536.4</v>
      </c>
      <c r="G5" s="12">
        <f>(F项目收入!G12)</f>
        <v>666.16</v>
      </c>
      <c r="H5" s="12">
        <f>(F项目收入!H12)</f>
        <v>676.9832</v>
      </c>
      <c r="I5" s="12">
        <f>(F项目收入!I12)</f>
        <v>685.472864</v>
      </c>
      <c r="J5" s="12">
        <f>(F项目收入!J12)</f>
        <v>0</v>
      </c>
      <c r="K5" s="12">
        <f>(F项目收入!K12)</f>
        <v>0</v>
      </c>
      <c r="L5" s="12">
        <f>(F项目收入!L12)</f>
        <v>0</v>
      </c>
      <c r="M5" s="12">
        <f>(F项目收入!M12)</f>
        <v>0</v>
      </c>
      <c r="N5" s="12">
        <f>(F项目收入!N12)</f>
        <v>0</v>
      </c>
      <c r="O5" s="12">
        <f>(F项目收入!O12)</f>
        <v>0</v>
      </c>
      <c r="P5" s="12">
        <f>(F项目收入!P12)</f>
        <v>0</v>
      </c>
      <c r="Q5" s="12">
        <f>(F项目收入!Q12)</f>
        <v>0</v>
      </c>
      <c r="R5" s="12">
        <f>(F项目收入!R12)</f>
        <v>0</v>
      </c>
      <c r="S5" s="12">
        <f>(F项目收入!S12)</f>
        <v>0</v>
      </c>
      <c r="T5" s="12">
        <f>(F项目收入!T12)</f>
        <v>0</v>
      </c>
      <c r="U5" s="12">
        <f>(F项目收入!U12)</f>
        <v>0</v>
      </c>
      <c r="V5" s="12">
        <f>(F项目收入!V12)</f>
        <v>0</v>
      </c>
      <c r="W5" s="12">
        <f>(F项目收入!W12)</f>
        <v>0</v>
      </c>
      <c r="X5" s="12">
        <f>(F项目收入!X12)</f>
        <v>0</v>
      </c>
      <c r="Y5" s="12">
        <f>(F项目收入!Y12)</f>
        <v>0</v>
      </c>
      <c r="Z5" s="12">
        <f>F项目收入!Z12-F项目收入!Z10</f>
        <v>0</v>
      </c>
    </row>
    <row r="6" ht="16.5" customHeight="1" spans="1:26">
      <c r="A6" s="8" t="s">
        <v>276</v>
      </c>
      <c r="B6" s="8" t="s">
        <v>456</v>
      </c>
      <c r="C6" s="14">
        <f t="shared" si="0"/>
        <v>145.7508032</v>
      </c>
      <c r="D6" s="40">
        <f>(G.税金及附加测算表!D25)</f>
        <v>0</v>
      </c>
      <c r="E6" s="40">
        <f>(G.税金及附加测算表!E25)</f>
        <v>17.5</v>
      </c>
      <c r="F6" s="40">
        <f>(G.税金及附加测算表!F25)</f>
        <v>26.82</v>
      </c>
      <c r="G6" s="40">
        <f>(G.税金及附加测算表!G25)</f>
        <v>33.308</v>
      </c>
      <c r="H6" s="40">
        <f>(G.税金及附加测算表!H25)</f>
        <v>33.84916</v>
      </c>
      <c r="I6" s="40">
        <f>(G.税金及附加测算表!I25)</f>
        <v>34.2736432</v>
      </c>
      <c r="J6" s="40">
        <f>(G.税金及附加测算表!J25)</f>
        <v>0</v>
      </c>
      <c r="K6" s="40">
        <f>(G.税金及附加测算表!K25)</f>
        <v>0</v>
      </c>
      <c r="L6" s="40">
        <f>(G.税金及附加测算表!L25)</f>
        <v>0</v>
      </c>
      <c r="M6" s="40">
        <f>(G.税金及附加测算表!M25)</f>
        <v>0</v>
      </c>
      <c r="N6" s="40">
        <f>(G.税金及附加测算表!N25)</f>
        <v>0</v>
      </c>
      <c r="O6" s="40">
        <f>(G.税金及附加测算表!O25)</f>
        <v>0</v>
      </c>
      <c r="P6" s="40">
        <f>(G.税金及附加测算表!P25)</f>
        <v>0</v>
      </c>
      <c r="Q6" s="40">
        <f>(G.税金及附加测算表!Q25)</f>
        <v>0</v>
      </c>
      <c r="R6" s="40">
        <f>(G.税金及附加测算表!R25)</f>
        <v>0</v>
      </c>
      <c r="S6" s="40">
        <f>(G.税金及附加测算表!S25)</f>
        <v>0</v>
      </c>
      <c r="T6" s="40">
        <f>(G.税金及附加测算表!T25)</f>
        <v>0</v>
      </c>
      <c r="U6" s="40">
        <f>(G.税金及附加测算表!U25)</f>
        <v>0</v>
      </c>
      <c r="V6" s="40">
        <f>(G.税金及附加测算表!V25)</f>
        <v>0</v>
      </c>
      <c r="W6" s="40">
        <f>(G.税金及附加测算表!W25)</f>
        <v>0</v>
      </c>
      <c r="X6" s="40">
        <f>(G.税金及附加测算表!X25)</f>
        <v>0</v>
      </c>
      <c r="Y6" s="40">
        <f>(G.税金及附加测算表!Y25)</f>
        <v>0</v>
      </c>
      <c r="Z6" s="40">
        <f>G.税金及附加测算表!Z25</f>
        <v>0</v>
      </c>
    </row>
    <row r="7" ht="16.5" customHeight="1" spans="1:26">
      <c r="A7" s="8" t="s">
        <v>278</v>
      </c>
      <c r="B7" s="8" t="s">
        <v>306</v>
      </c>
      <c r="C7" s="14">
        <f t="shared" si="0"/>
        <v>0</v>
      </c>
      <c r="D7" s="12">
        <f>(F项目收入!D10)</f>
        <v>0</v>
      </c>
      <c r="E7" s="12">
        <f>(F项目收入!E10)</f>
        <v>0</v>
      </c>
      <c r="F7" s="12">
        <f>(F项目收入!F10)</f>
        <v>0</v>
      </c>
      <c r="G7" s="12">
        <f>(F项目收入!G10)</f>
        <v>0</v>
      </c>
      <c r="H7" s="12">
        <f>(F项目收入!H10)</f>
        <v>0</v>
      </c>
      <c r="I7" s="12">
        <f>(F项目收入!I10)</f>
        <v>0</v>
      </c>
      <c r="J7" s="12">
        <f>(F项目收入!J10)</f>
        <v>0</v>
      </c>
      <c r="K7" s="12">
        <f>(F项目收入!K10)</f>
        <v>0</v>
      </c>
      <c r="L7" s="12">
        <f>(F项目收入!L10)</f>
        <v>0</v>
      </c>
      <c r="M7" s="12">
        <f>(F项目收入!M10)</f>
        <v>0</v>
      </c>
      <c r="N7" s="12">
        <f>(F项目收入!N10)</f>
        <v>0</v>
      </c>
      <c r="O7" s="12">
        <f>(F项目收入!O10)</f>
        <v>0</v>
      </c>
      <c r="P7" s="12">
        <f>(F项目收入!P10)</f>
        <v>0</v>
      </c>
      <c r="Q7" s="12">
        <f>(F项目收入!Q10)</f>
        <v>0</v>
      </c>
      <c r="R7" s="12">
        <f>(F项目收入!R10)</f>
        <v>0</v>
      </c>
      <c r="S7" s="12">
        <f>(F项目收入!S10)</f>
        <v>0</v>
      </c>
      <c r="T7" s="12">
        <f>(F项目收入!T10)</f>
        <v>0</v>
      </c>
      <c r="U7" s="12">
        <f>(F项目收入!U10)</f>
        <v>0</v>
      </c>
      <c r="V7" s="12">
        <f>(F项目收入!V10)</f>
        <v>0</v>
      </c>
      <c r="W7" s="12">
        <f>(F项目收入!W10)</f>
        <v>0</v>
      </c>
      <c r="X7" s="12">
        <f>(F项目收入!X10)</f>
        <v>0</v>
      </c>
      <c r="Y7" s="12">
        <f>(F项目收入!Y10)</f>
        <v>0</v>
      </c>
      <c r="Z7" s="12">
        <f>F项目收入!Z10</f>
        <v>0</v>
      </c>
    </row>
    <row r="8" ht="16.5" customHeight="1" spans="1:26">
      <c r="A8" s="8" t="s">
        <v>457</v>
      </c>
      <c r="B8" s="8" t="s">
        <v>458</v>
      </c>
      <c r="C8" s="14">
        <f t="shared" si="0"/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</row>
    <row r="9" ht="16.5" customHeight="1" spans="1:26">
      <c r="A9" s="8">
        <v>1.2</v>
      </c>
      <c r="B9" s="8" t="s">
        <v>357</v>
      </c>
      <c r="C9" s="14">
        <f t="shared" si="0"/>
        <v>15665.6459818689</v>
      </c>
      <c r="D9" s="14">
        <f t="shared" ref="D9:Z9" si="3">SUM(D10:D15)</f>
        <v>0</v>
      </c>
      <c r="E9" s="14">
        <f t="shared" si="3"/>
        <v>84.1939264993289</v>
      </c>
      <c r="F9" s="14">
        <f t="shared" si="3"/>
        <v>508.432235078672</v>
      </c>
      <c r="G9" s="14">
        <f t="shared" si="3"/>
        <v>651.800434820492</v>
      </c>
      <c r="H9" s="14">
        <f t="shared" si="3"/>
        <v>661.577056562799</v>
      </c>
      <c r="I9" s="14">
        <f t="shared" si="3"/>
        <v>671.500327631241</v>
      </c>
      <c r="J9" s="14">
        <f t="shared" si="3"/>
        <v>681.57244776571</v>
      </c>
      <c r="K9" s="14">
        <f t="shared" si="3"/>
        <v>691.795649702195</v>
      </c>
      <c r="L9" s="14">
        <f t="shared" si="3"/>
        <v>702.172199667728</v>
      </c>
      <c r="M9" s="14">
        <f t="shared" si="3"/>
        <v>712.704397882744</v>
      </c>
      <c r="N9" s="14">
        <f t="shared" si="3"/>
        <v>723.394579070986</v>
      </c>
      <c r="O9" s="14">
        <f t="shared" si="3"/>
        <v>734.24511297705</v>
      </c>
      <c r="P9" s="14">
        <f t="shared" si="3"/>
        <v>745.258404891706</v>
      </c>
      <c r="Q9" s="14">
        <f t="shared" si="3"/>
        <v>756.436896185081</v>
      </c>
      <c r="R9" s="14">
        <f t="shared" si="3"/>
        <v>767.783064847858</v>
      </c>
      <c r="S9" s="14">
        <f t="shared" si="3"/>
        <v>779.299426040574</v>
      </c>
      <c r="T9" s="14">
        <f t="shared" si="3"/>
        <v>790.988532651184</v>
      </c>
      <c r="U9" s="14">
        <f t="shared" si="3"/>
        <v>802.852975860951</v>
      </c>
      <c r="V9" s="14">
        <f t="shared" si="3"/>
        <v>814.895385718866</v>
      </c>
      <c r="W9" s="14">
        <f t="shared" si="3"/>
        <v>827.118431724648</v>
      </c>
      <c r="X9" s="14">
        <f t="shared" si="3"/>
        <v>839.624823420518</v>
      </c>
      <c r="Y9" s="14">
        <f t="shared" si="3"/>
        <v>852.614978991826</v>
      </c>
      <c r="Z9" s="14">
        <f t="shared" si="3"/>
        <v>865.384693876703</v>
      </c>
    </row>
    <row r="10" ht="16.5" customHeight="1" spans="1:26">
      <c r="A10" s="8" t="s">
        <v>160</v>
      </c>
      <c r="B10" s="8" t="s">
        <v>358</v>
      </c>
      <c r="C10" s="14">
        <f t="shared" si="0"/>
        <v>15581.4543873695</v>
      </c>
      <c r="D10" s="14">
        <f>E总成本费用估算表!C11</f>
        <v>0</v>
      </c>
      <c r="E10" s="14">
        <f>E总成本费用估算表!D11</f>
        <v>0.002332</v>
      </c>
      <c r="F10" s="14">
        <f>E总成本费用估算表!E11</f>
        <v>508.432235078672</v>
      </c>
      <c r="G10" s="14">
        <f>E总成本费用估算表!F11</f>
        <v>651.800434820492</v>
      </c>
      <c r="H10" s="14">
        <f>E总成本费用估算表!G11</f>
        <v>661.577056562799</v>
      </c>
      <c r="I10" s="14">
        <f>E总成本费用估算表!H11</f>
        <v>671.500327631241</v>
      </c>
      <c r="J10" s="14">
        <f>E总成本费用估算表!I11</f>
        <v>681.57244776571</v>
      </c>
      <c r="K10" s="14">
        <f>E总成本费用估算表!J11</f>
        <v>691.795649702195</v>
      </c>
      <c r="L10" s="14">
        <f>E总成本费用估算表!K11</f>
        <v>702.172199667728</v>
      </c>
      <c r="M10" s="14">
        <f>E总成本费用估算表!L11</f>
        <v>712.704397882744</v>
      </c>
      <c r="N10" s="14">
        <f>E总成本费用估算表!M11</f>
        <v>723.394579070986</v>
      </c>
      <c r="O10" s="14">
        <f>E总成本费用估算表!N11</f>
        <v>734.24511297705</v>
      </c>
      <c r="P10" s="14">
        <f>E总成本费用估算表!O11</f>
        <v>745.258404891706</v>
      </c>
      <c r="Q10" s="14">
        <f>E总成本费用估算表!P11</f>
        <v>756.436896185081</v>
      </c>
      <c r="R10" s="14">
        <f>E总成本费用估算表!Q11</f>
        <v>767.783064847858</v>
      </c>
      <c r="S10" s="14">
        <f>E总成本费用估算表!R11</f>
        <v>779.299426040574</v>
      </c>
      <c r="T10" s="14">
        <f>E总成本费用估算表!S11</f>
        <v>790.988532651184</v>
      </c>
      <c r="U10" s="14">
        <f>E总成本费用估算表!T11</f>
        <v>802.852975860951</v>
      </c>
      <c r="V10" s="14">
        <f>E总成本费用估算表!U11</f>
        <v>814.895385718866</v>
      </c>
      <c r="W10" s="14">
        <f>E总成本费用估算表!V11</f>
        <v>827.118431724648</v>
      </c>
      <c r="X10" s="14">
        <f>E总成本费用估算表!W11</f>
        <v>839.624823420518</v>
      </c>
      <c r="Y10" s="14">
        <f>E总成本费用估算表!X11</f>
        <v>852.614978991826</v>
      </c>
      <c r="Z10" s="14">
        <f>E总成本费用估算表!Y11</f>
        <v>865.384693876703</v>
      </c>
    </row>
    <row r="11" ht="16.5" customHeight="1" spans="1:26">
      <c r="A11" s="8" t="s">
        <v>163</v>
      </c>
      <c r="B11" s="8" t="s">
        <v>459</v>
      </c>
      <c r="C11" s="14">
        <f t="shared" si="0"/>
        <v>0</v>
      </c>
      <c r="D11" s="40">
        <f>(G.税金及附加测算表!D4)</f>
        <v>0</v>
      </c>
      <c r="E11" s="40">
        <f>(G.税金及附加测算表!E4)</f>
        <v>0</v>
      </c>
      <c r="F11" s="40">
        <f>(G.税金及附加测算表!F4)</f>
        <v>0</v>
      </c>
      <c r="G11" s="40">
        <f>(G.税金及附加测算表!G4)</f>
        <v>0</v>
      </c>
      <c r="H11" s="40">
        <f>(G.税金及附加测算表!H4)</f>
        <v>0</v>
      </c>
      <c r="I11" s="40">
        <f>(G.税金及附加测算表!I4)</f>
        <v>0</v>
      </c>
      <c r="J11" s="40">
        <f>(G.税金及附加测算表!J4)</f>
        <v>0</v>
      </c>
      <c r="K11" s="40">
        <f>(G.税金及附加测算表!K4)</f>
        <v>0</v>
      </c>
      <c r="L11" s="40">
        <f>(G.税金及附加测算表!L4)</f>
        <v>0</v>
      </c>
      <c r="M11" s="40">
        <f>(G.税金及附加测算表!M4)</f>
        <v>0</v>
      </c>
      <c r="N11" s="40">
        <f>(G.税金及附加测算表!N4)</f>
        <v>0</v>
      </c>
      <c r="O11" s="40">
        <f>(G.税金及附加测算表!O4)</f>
        <v>0</v>
      </c>
      <c r="P11" s="40">
        <f>(G.税金及附加测算表!P4)</f>
        <v>0</v>
      </c>
      <c r="Q11" s="40">
        <f>(G.税金及附加测算表!Q4)</f>
        <v>0</v>
      </c>
      <c r="R11" s="40">
        <f>(G.税金及附加测算表!R4)</f>
        <v>0</v>
      </c>
      <c r="S11" s="40">
        <f>(G.税金及附加测算表!S4)</f>
        <v>0</v>
      </c>
      <c r="T11" s="40">
        <f>(G.税金及附加测算表!T4)</f>
        <v>0</v>
      </c>
      <c r="U11" s="40">
        <f>(G.税金及附加测算表!U4)</f>
        <v>0</v>
      </c>
      <c r="V11" s="40">
        <f>(G.税金及附加测算表!V4)</f>
        <v>0</v>
      </c>
      <c r="W11" s="40">
        <f>(G.税金及附加测算表!W4)</f>
        <v>0</v>
      </c>
      <c r="X11" s="40">
        <f>(G.税金及附加测算表!X4)</f>
        <v>0</v>
      </c>
      <c r="Y11" s="40">
        <f>(G.税金及附加测算表!Y4)</f>
        <v>0</v>
      </c>
      <c r="Z11" s="40">
        <f>G.税金及附加测算表!Z4</f>
        <v>0</v>
      </c>
    </row>
    <row r="12" ht="16.5" customHeight="1" spans="1:26">
      <c r="A12" s="8" t="s">
        <v>166</v>
      </c>
      <c r="B12" s="8" t="s">
        <v>359</v>
      </c>
      <c r="C12" s="14">
        <f t="shared" si="0"/>
        <v>0</v>
      </c>
      <c r="D12" s="12">
        <f>(G.税金及附加测算表!D30)</f>
        <v>0</v>
      </c>
      <c r="E12" s="12">
        <f>(G.税金及附加测算表!E30)</f>
        <v>0</v>
      </c>
      <c r="F12" s="12">
        <f>(G.税金及附加测算表!F30)</f>
        <v>0</v>
      </c>
      <c r="G12" s="12">
        <f>(G.税金及附加测算表!G30)</f>
        <v>0</v>
      </c>
      <c r="H12" s="12">
        <f>(G.税金及附加测算表!H30)</f>
        <v>0</v>
      </c>
      <c r="I12" s="12">
        <f>(G.税金及附加测算表!I30)</f>
        <v>0</v>
      </c>
      <c r="J12" s="12">
        <f>(G.税金及附加测算表!J30)</f>
        <v>0</v>
      </c>
      <c r="K12" s="12">
        <f>(G.税金及附加测算表!K30)</f>
        <v>0</v>
      </c>
      <c r="L12" s="12">
        <f>(G.税金及附加测算表!L30)</f>
        <v>0</v>
      </c>
      <c r="M12" s="12">
        <f>(G.税金及附加测算表!M30)</f>
        <v>0</v>
      </c>
      <c r="N12" s="12">
        <f>(G.税金及附加测算表!N30)</f>
        <v>0</v>
      </c>
      <c r="O12" s="12">
        <f>(G.税金及附加测算表!O30)</f>
        <v>0</v>
      </c>
      <c r="P12" s="12">
        <f>(G.税金及附加测算表!P30)</f>
        <v>0</v>
      </c>
      <c r="Q12" s="12">
        <f>(G.税金及附加测算表!Q30)</f>
        <v>0</v>
      </c>
      <c r="R12" s="12">
        <f>(G.税金及附加测算表!R30)</f>
        <v>0</v>
      </c>
      <c r="S12" s="12">
        <f>(G.税金及附加测算表!S30)</f>
        <v>0</v>
      </c>
      <c r="T12" s="12">
        <f>(G.税金及附加测算表!T30)</f>
        <v>0</v>
      </c>
      <c r="U12" s="12">
        <f>(G.税金及附加测算表!U30)</f>
        <v>0</v>
      </c>
      <c r="V12" s="12">
        <f>(G.税金及附加测算表!V30)</f>
        <v>0</v>
      </c>
      <c r="W12" s="12">
        <f>(G.税金及附加测算表!W30)</f>
        <v>0</v>
      </c>
      <c r="X12" s="12">
        <f>(G.税金及附加测算表!X30)</f>
        <v>0</v>
      </c>
      <c r="Y12" s="12">
        <f>(G.税金及附加测算表!Y30)</f>
        <v>0</v>
      </c>
      <c r="Z12" s="12">
        <f>G.税金及附加测算表!Z30</f>
        <v>0</v>
      </c>
    </row>
    <row r="13" ht="16.5" customHeight="1" spans="1:26">
      <c r="A13" s="8" t="s">
        <v>168</v>
      </c>
      <c r="B13" s="8" t="s">
        <v>360</v>
      </c>
      <c r="C13" s="14">
        <f t="shared" si="0"/>
        <v>0</v>
      </c>
      <c r="D13" s="12">
        <f>(G.税金及附加测算表!D29)</f>
        <v>0</v>
      </c>
      <c r="E13" s="12">
        <f>(G.税金及附加测算表!E29)</f>
        <v>0</v>
      </c>
      <c r="F13" s="12">
        <f>(G.税金及附加测算表!F29)</f>
        <v>0</v>
      </c>
      <c r="G13" s="12">
        <f>(G.税金及附加测算表!G29)</f>
        <v>0</v>
      </c>
      <c r="H13" s="12">
        <f>(G.税金及附加测算表!H29)</f>
        <v>0</v>
      </c>
      <c r="I13" s="12">
        <f>(G.税金及附加测算表!I29)</f>
        <v>0</v>
      </c>
      <c r="J13" s="12">
        <f>(G.税金及附加测算表!J29)</f>
        <v>0</v>
      </c>
      <c r="K13" s="12">
        <f>(G.税金及附加测算表!K29)</f>
        <v>0</v>
      </c>
      <c r="L13" s="12">
        <f>(G.税金及附加测算表!L29)</f>
        <v>0</v>
      </c>
      <c r="M13" s="12">
        <f>(G.税金及附加测算表!M29)</f>
        <v>0</v>
      </c>
      <c r="N13" s="12">
        <f>(G.税金及附加测算表!N29)</f>
        <v>0</v>
      </c>
      <c r="O13" s="12">
        <f>(G.税金及附加测算表!O29)</f>
        <v>0</v>
      </c>
      <c r="P13" s="12">
        <f>(G.税金及附加测算表!P29)</f>
        <v>0</v>
      </c>
      <c r="Q13" s="12">
        <f>(G.税金及附加测算表!Q29)</f>
        <v>0</v>
      </c>
      <c r="R13" s="12">
        <f>(G.税金及附加测算表!R29)</f>
        <v>0</v>
      </c>
      <c r="S13" s="12">
        <f>(G.税金及附加测算表!S29)</f>
        <v>0</v>
      </c>
      <c r="T13" s="12">
        <f>(G.税金及附加测算表!T29)</f>
        <v>0</v>
      </c>
      <c r="U13" s="12">
        <f>(G.税金及附加测算表!U29)</f>
        <v>0</v>
      </c>
      <c r="V13" s="12">
        <f>(G.税金及附加测算表!V29)</f>
        <v>0</v>
      </c>
      <c r="W13" s="12">
        <f>(G.税金及附加测算表!W29)</f>
        <v>0</v>
      </c>
      <c r="X13" s="12">
        <f>(G.税金及附加测算表!X29)</f>
        <v>0</v>
      </c>
      <c r="Y13" s="12">
        <f>(G.税金及附加测算表!Y29)</f>
        <v>0</v>
      </c>
      <c r="Z13" s="12">
        <f>G.税金及附加测算表!Z29</f>
        <v>0</v>
      </c>
    </row>
    <row r="14" ht="16.5" customHeight="1" spans="1:26">
      <c r="A14" s="8" t="s">
        <v>460</v>
      </c>
      <c r="B14" s="8" t="s">
        <v>395</v>
      </c>
      <c r="C14" s="14">
        <f t="shared" si="0"/>
        <v>84.1915944993289</v>
      </c>
      <c r="D14" s="14">
        <f>'b利润与利润分配表（损益和利润分配表）'!D11</f>
        <v>0</v>
      </c>
      <c r="E14" s="14">
        <f>'b利润与利润分配表（损益和利润分配表）'!E11</f>
        <v>84.1915944993289</v>
      </c>
      <c r="F14" s="14">
        <f>'b利润与利润分配表（损益和利润分配表）'!F11</f>
        <v>0</v>
      </c>
      <c r="G14" s="14">
        <f>'b利润与利润分配表（损益和利润分配表）'!G11</f>
        <v>0</v>
      </c>
      <c r="H14" s="14">
        <f>'b利润与利润分配表（损益和利润分配表）'!H11</f>
        <v>0</v>
      </c>
      <c r="I14" s="14">
        <f>'b利润与利润分配表（损益和利润分配表）'!I11</f>
        <v>0</v>
      </c>
      <c r="J14" s="14">
        <f>'b利润与利润分配表（损益和利润分配表）'!J11</f>
        <v>0</v>
      </c>
      <c r="K14" s="14">
        <f>'b利润与利润分配表（损益和利润分配表）'!K11</f>
        <v>0</v>
      </c>
      <c r="L14" s="14">
        <f>'b利润与利润分配表（损益和利润分配表）'!L11</f>
        <v>0</v>
      </c>
      <c r="M14" s="14">
        <f>'b利润与利润分配表（损益和利润分配表）'!M11</f>
        <v>0</v>
      </c>
      <c r="N14" s="14">
        <f>'b利润与利润分配表（损益和利润分配表）'!N11</f>
        <v>0</v>
      </c>
      <c r="O14" s="14">
        <f>'b利润与利润分配表（损益和利润分配表）'!O11</f>
        <v>0</v>
      </c>
      <c r="P14" s="14">
        <f>'b利润与利润分配表（损益和利润分配表）'!P11</f>
        <v>0</v>
      </c>
      <c r="Q14" s="14">
        <f>'b利润与利润分配表（损益和利润分配表）'!Q11</f>
        <v>0</v>
      </c>
      <c r="R14" s="14">
        <f>'b利润与利润分配表（损益和利润分配表）'!R11</f>
        <v>0</v>
      </c>
      <c r="S14" s="14">
        <f>'b利润与利润分配表（损益和利润分配表）'!S11</f>
        <v>0</v>
      </c>
      <c r="T14" s="14">
        <f>'b利润与利润分配表（损益和利润分配表）'!T11</f>
        <v>0</v>
      </c>
      <c r="U14" s="14">
        <f>'b利润与利润分配表（损益和利润分配表）'!U11</f>
        <v>0</v>
      </c>
      <c r="V14" s="14">
        <f>'b利润与利润分配表（损益和利润分配表）'!V11</f>
        <v>0</v>
      </c>
      <c r="W14" s="14">
        <f>'b利润与利润分配表（损益和利润分配表）'!W11</f>
        <v>0</v>
      </c>
      <c r="X14" s="14">
        <f>'b利润与利润分配表（损益和利润分配表）'!X11</f>
        <v>0</v>
      </c>
      <c r="Y14" s="14">
        <f>'b利润与利润分配表（损益和利润分配表）'!Y11</f>
        <v>0</v>
      </c>
      <c r="Z14" s="14">
        <f>'b利润与利润分配表（损益和利润分配表）'!Z11</f>
        <v>0</v>
      </c>
    </row>
    <row r="15" ht="16.5" customHeight="1" spans="1:26">
      <c r="A15" s="8" t="s">
        <v>461</v>
      </c>
      <c r="B15" s="8" t="s">
        <v>462</v>
      </c>
      <c r="C15" s="14">
        <f t="shared" si="0"/>
        <v>0</v>
      </c>
      <c r="D15" s="39">
        <v>0</v>
      </c>
      <c r="E15" s="39">
        <v>0</v>
      </c>
      <c r="F15" s="39">
        <v>0</v>
      </c>
      <c r="G15" s="39">
        <v>0</v>
      </c>
      <c r="H15" s="39">
        <v>0</v>
      </c>
      <c r="I15" s="39">
        <v>0</v>
      </c>
      <c r="J15" s="39">
        <v>0</v>
      </c>
      <c r="K15" s="39">
        <v>0</v>
      </c>
      <c r="L15" s="39">
        <v>0</v>
      </c>
      <c r="M15" s="39">
        <v>0</v>
      </c>
      <c r="N15" s="39">
        <v>0</v>
      </c>
      <c r="O15" s="39">
        <v>0</v>
      </c>
      <c r="P15" s="39">
        <v>0</v>
      </c>
      <c r="Q15" s="39">
        <v>0</v>
      </c>
      <c r="R15" s="39">
        <v>0</v>
      </c>
      <c r="S15" s="39">
        <v>0</v>
      </c>
      <c r="T15" s="39">
        <v>0</v>
      </c>
      <c r="U15" s="39">
        <v>0</v>
      </c>
      <c r="V15" s="39">
        <v>0</v>
      </c>
      <c r="W15" s="39">
        <v>0</v>
      </c>
      <c r="X15" s="39">
        <v>0</v>
      </c>
      <c r="Y15" s="39">
        <v>0</v>
      </c>
      <c r="Z15" s="39">
        <v>0</v>
      </c>
    </row>
    <row r="16" ht="16.5" customHeight="1" spans="1:26">
      <c r="A16" s="8">
        <v>2</v>
      </c>
      <c r="B16" s="8" t="s">
        <v>463</v>
      </c>
      <c r="C16" s="14">
        <f t="shared" si="0"/>
        <v>-1734.0295812659</v>
      </c>
      <c r="D16" s="14">
        <f t="shared" ref="D16:Z16" si="4">D17-D18</f>
        <v>-288.84239147918</v>
      </c>
      <c r="E16" s="14">
        <f t="shared" si="4"/>
        <v>-606.761867176973</v>
      </c>
      <c r="F16" s="14">
        <f t="shared" si="4"/>
        <v>-887.624829980055</v>
      </c>
      <c r="G16" s="14">
        <f t="shared" si="4"/>
        <v>-25.5057459260237</v>
      </c>
      <c r="H16" s="14">
        <f t="shared" si="4"/>
        <v>-2.00294906213635</v>
      </c>
      <c r="I16" s="14">
        <f t="shared" si="4"/>
        <v>-1.70540852306837</v>
      </c>
      <c r="J16" s="14">
        <f t="shared" si="4"/>
        <v>89.3683061750856</v>
      </c>
      <c r="K16" s="14">
        <f t="shared" si="4"/>
        <v>-0.609007333288098</v>
      </c>
      <c r="L16" s="14">
        <f t="shared" si="4"/>
        <v>-0.618142443287468</v>
      </c>
      <c r="M16" s="14">
        <f t="shared" si="4"/>
        <v>-0.627414579936733</v>
      </c>
      <c r="N16" s="14">
        <f t="shared" si="4"/>
        <v>-0.636825798635861</v>
      </c>
      <c r="O16" s="14">
        <f t="shared" si="4"/>
        <v>-0.646378185615319</v>
      </c>
      <c r="P16" s="14">
        <f t="shared" si="4"/>
        <v>-0.656073858399608</v>
      </c>
      <c r="Q16" s="14">
        <f t="shared" si="4"/>
        <v>-0.66591496627553</v>
      </c>
      <c r="R16" s="14">
        <f t="shared" si="4"/>
        <v>-0.675903690769722</v>
      </c>
      <c r="S16" s="14">
        <f t="shared" si="4"/>
        <v>-0.686042246131201</v>
      </c>
      <c r="T16" s="14">
        <f t="shared" si="4"/>
        <v>-0.696332879823281</v>
      </c>
      <c r="U16" s="14">
        <f t="shared" si="4"/>
        <v>-0.706777873020513</v>
      </c>
      <c r="V16" s="14">
        <f t="shared" si="4"/>
        <v>-0.717379541115946</v>
      </c>
      <c r="W16" s="14">
        <f t="shared" si="4"/>
        <v>-0.728140234232569</v>
      </c>
      <c r="X16" s="14">
        <f t="shared" si="4"/>
        <v>-0.746006782190548</v>
      </c>
      <c r="Y16" s="14">
        <f t="shared" si="4"/>
        <v>-0.777764106145639</v>
      </c>
      <c r="Z16" s="14">
        <f t="shared" si="4"/>
        <v>-0.76059077468225</v>
      </c>
    </row>
    <row r="17" ht="25.2" customHeight="1" spans="1:26">
      <c r="A17" s="8">
        <v>2.1</v>
      </c>
      <c r="B17" s="36" t="s">
        <v>353</v>
      </c>
      <c r="C17" s="14">
        <f t="shared" si="0"/>
        <v>0</v>
      </c>
      <c r="D17" s="39">
        <v>0</v>
      </c>
      <c r="E17" s="39">
        <v>0</v>
      </c>
      <c r="F17" s="39">
        <v>0</v>
      </c>
      <c r="G17" s="39">
        <v>0</v>
      </c>
      <c r="H17" s="39">
        <v>0</v>
      </c>
      <c r="I17" s="39">
        <v>0</v>
      </c>
      <c r="J17" s="39">
        <v>0</v>
      </c>
      <c r="K17" s="39">
        <v>0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39">
        <v>0</v>
      </c>
      <c r="R17" s="39">
        <v>0</v>
      </c>
      <c r="S17" s="39">
        <v>0</v>
      </c>
      <c r="T17" s="39">
        <v>0</v>
      </c>
      <c r="U17" s="39">
        <v>0</v>
      </c>
      <c r="V17" s="39">
        <v>0</v>
      </c>
      <c r="W17" s="39">
        <v>0</v>
      </c>
      <c r="X17" s="39">
        <v>0</v>
      </c>
      <c r="Y17" s="39">
        <v>0</v>
      </c>
      <c r="Z17" s="39">
        <v>0</v>
      </c>
    </row>
    <row r="18" ht="16.5" customHeight="1" spans="1:26">
      <c r="A18" s="8">
        <v>2.2</v>
      </c>
      <c r="B18" s="8" t="s">
        <v>357</v>
      </c>
      <c r="C18" s="14">
        <f t="shared" si="0"/>
        <v>1734.0295812659</v>
      </c>
      <c r="D18" s="14">
        <f t="shared" ref="D18:Z18" si="5">SUM(D19:D22)</f>
        <v>288.84239147918</v>
      </c>
      <c r="E18" s="14">
        <f t="shared" si="5"/>
        <v>606.761867176973</v>
      </c>
      <c r="F18" s="14">
        <f t="shared" si="5"/>
        <v>887.624829980055</v>
      </c>
      <c r="G18" s="14">
        <f t="shared" si="5"/>
        <v>25.5057459260237</v>
      </c>
      <c r="H18" s="14">
        <f t="shared" si="5"/>
        <v>2.00294906213635</v>
      </c>
      <c r="I18" s="14">
        <f t="shared" si="5"/>
        <v>1.70540852306837</v>
      </c>
      <c r="J18" s="14">
        <f t="shared" si="5"/>
        <v>-89.3683061750856</v>
      </c>
      <c r="K18" s="14">
        <f t="shared" si="5"/>
        <v>0.609007333288098</v>
      </c>
      <c r="L18" s="14">
        <f t="shared" si="5"/>
        <v>0.618142443287468</v>
      </c>
      <c r="M18" s="14">
        <f t="shared" si="5"/>
        <v>0.627414579936733</v>
      </c>
      <c r="N18" s="14">
        <f t="shared" si="5"/>
        <v>0.636825798635861</v>
      </c>
      <c r="O18" s="14">
        <f t="shared" si="5"/>
        <v>0.646378185615319</v>
      </c>
      <c r="P18" s="14">
        <f t="shared" si="5"/>
        <v>0.656073858399608</v>
      </c>
      <c r="Q18" s="14">
        <f t="shared" si="5"/>
        <v>0.66591496627553</v>
      </c>
      <c r="R18" s="14">
        <f t="shared" si="5"/>
        <v>0.675903690769722</v>
      </c>
      <c r="S18" s="14">
        <f t="shared" si="5"/>
        <v>0.686042246131201</v>
      </c>
      <c r="T18" s="14">
        <f t="shared" si="5"/>
        <v>0.696332879823281</v>
      </c>
      <c r="U18" s="14">
        <f t="shared" si="5"/>
        <v>0.706777873020513</v>
      </c>
      <c r="V18" s="14">
        <f t="shared" si="5"/>
        <v>0.717379541115946</v>
      </c>
      <c r="W18" s="14">
        <f t="shared" si="5"/>
        <v>0.728140234232569</v>
      </c>
      <c r="X18" s="14">
        <f t="shared" si="5"/>
        <v>0.746006782190548</v>
      </c>
      <c r="Y18" s="14">
        <f t="shared" si="5"/>
        <v>0.777764106145639</v>
      </c>
      <c r="Z18" s="14">
        <f t="shared" si="5"/>
        <v>0.76059077468225</v>
      </c>
    </row>
    <row r="19" ht="16.5" customHeight="1" spans="1:26">
      <c r="A19" s="8" t="s">
        <v>113</v>
      </c>
      <c r="B19" s="8" t="s">
        <v>101</v>
      </c>
      <c r="C19" s="14">
        <f t="shared" si="0"/>
        <v>1682.47261569759</v>
      </c>
      <c r="D19" s="12">
        <f>(E.4建设投资税后金额表!H21)</f>
        <v>288.84239147918</v>
      </c>
      <c r="E19" s="12">
        <f>(E.4建设投资税后金额表!I21)</f>
        <v>560.824205232529</v>
      </c>
      <c r="F19" s="12">
        <f>(E.4建设投资税后金额表!J21)</f>
        <v>832.806018985878</v>
      </c>
      <c r="G19" s="12">
        <f>(E.4建设投资税后金额表!K21)</f>
        <v>0</v>
      </c>
      <c r="H19" s="12">
        <f>(E.4建设投资税后金额表!L21)</f>
        <v>0</v>
      </c>
      <c r="I19" s="12">
        <f>(E.4建设投资税后金额表!M21)</f>
        <v>0</v>
      </c>
      <c r="J19" s="12">
        <f>(E.4建设投资税后金额表!N21)</f>
        <v>0</v>
      </c>
      <c r="K19" s="12">
        <f>(E.4建设投资税后金额表!O21)</f>
        <v>0</v>
      </c>
      <c r="L19" s="12">
        <f>(E.4建设投资税后金额表!P21)</f>
        <v>0</v>
      </c>
      <c r="M19" s="12">
        <f>(E.4建设投资税后金额表!Q21)</f>
        <v>0</v>
      </c>
      <c r="N19" s="12">
        <f>(E.4建设投资税后金额表!R21)</f>
        <v>0</v>
      </c>
      <c r="O19" s="12">
        <f>(E.4建设投资税后金额表!S21)</f>
        <v>0</v>
      </c>
      <c r="P19" s="12">
        <f>(E.4建设投资税后金额表!T21)</f>
        <v>0</v>
      </c>
      <c r="Q19" s="12">
        <f>(E.4建设投资税后金额表!U21)</f>
        <v>0</v>
      </c>
      <c r="R19" s="12">
        <f>(E.4建设投资税后金额表!V21)</f>
        <v>0</v>
      </c>
      <c r="S19" s="12">
        <f>(E.4建设投资税后金额表!W21)</f>
        <v>0</v>
      </c>
      <c r="T19" s="12">
        <f>(E.4建设投资税后金额表!X21)</f>
        <v>0</v>
      </c>
      <c r="U19" s="12">
        <f>(E.4建设投资税后金额表!Y21)</f>
        <v>0</v>
      </c>
      <c r="V19" s="12">
        <f>(E.4建设投资税后金额表!Z21)</f>
        <v>0</v>
      </c>
      <c r="W19" s="12">
        <f>(E.4建设投资税后金额表!AA21)</f>
        <v>0</v>
      </c>
      <c r="X19" s="12">
        <f>(E.4建设投资税后金额表!AB21)</f>
        <v>0</v>
      </c>
      <c r="Y19" s="12">
        <f>(E.4建设投资税后金额表!AC21)</f>
        <v>0</v>
      </c>
      <c r="Z19" s="12">
        <f>E.4建设投资税后金额表!AD21</f>
        <v>0</v>
      </c>
    </row>
    <row r="20" ht="16.5" customHeight="1" spans="1:26">
      <c r="A20" s="8" t="s">
        <v>114</v>
      </c>
      <c r="B20" s="8" t="s">
        <v>361</v>
      </c>
      <c r="C20" s="14">
        <f t="shared" si="0"/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>
        <v>0</v>
      </c>
      <c r="V20" s="39">
        <v>0</v>
      </c>
      <c r="W20" s="39">
        <v>0</v>
      </c>
      <c r="X20" s="39">
        <v>0</v>
      </c>
      <c r="Y20" s="39">
        <v>0</v>
      </c>
      <c r="Z20" s="39">
        <v>0</v>
      </c>
    </row>
    <row r="21" ht="16.5" customHeight="1" spans="1:26">
      <c r="A21" s="8" t="s">
        <v>115</v>
      </c>
      <c r="B21" s="8" t="s">
        <v>103</v>
      </c>
      <c r="C21" s="14">
        <f t="shared" si="0"/>
        <v>51.5569655683145</v>
      </c>
      <c r="D21" s="14">
        <f>D.2项目总投资使用计划与资金筹措表!D6</f>
        <v>0</v>
      </c>
      <c r="E21" s="14">
        <f>D.2项目总投资使用计划与资金筹措表!E6</f>
        <v>45.9376619444444</v>
      </c>
      <c r="F21" s="14">
        <f>D.2项目总投资使用计划与资金筹措表!F6</f>
        <v>54.818810994177</v>
      </c>
      <c r="G21" s="14">
        <f>D.2项目总投资使用计划与资金筹措表!G6</f>
        <v>25.5057459260237</v>
      </c>
      <c r="H21" s="14">
        <f>D.2项目总投资使用计划与资金筹措表!H6</f>
        <v>2.00294906213635</v>
      </c>
      <c r="I21" s="14">
        <f>D.2项目总投资使用计划与资金筹措表!I6</f>
        <v>1.70540852306837</v>
      </c>
      <c r="J21" s="14">
        <f>D.2项目总投资使用计划与资金筹措表!J6</f>
        <v>-89.3683061750856</v>
      </c>
      <c r="K21" s="14">
        <f>D.2项目总投资使用计划与资金筹措表!K6</f>
        <v>0.609007333288098</v>
      </c>
      <c r="L21" s="14">
        <f>D.2项目总投资使用计划与资金筹措表!L6</f>
        <v>0.618142443287468</v>
      </c>
      <c r="M21" s="14">
        <f>D.2项目总投资使用计划与资金筹措表!M6</f>
        <v>0.627414579936733</v>
      </c>
      <c r="N21" s="14">
        <f>D.2项目总投资使用计划与资金筹措表!N6</f>
        <v>0.636825798635861</v>
      </c>
      <c r="O21" s="14">
        <f>D.2项目总投资使用计划与资金筹措表!O6</f>
        <v>0.646378185615319</v>
      </c>
      <c r="P21" s="14">
        <f>D.2项目总投资使用计划与资金筹措表!P6</f>
        <v>0.656073858399608</v>
      </c>
      <c r="Q21" s="14">
        <f>D.2项目总投资使用计划与资金筹措表!Q6</f>
        <v>0.66591496627553</v>
      </c>
      <c r="R21" s="14">
        <f>D.2项目总投资使用计划与资金筹措表!R6</f>
        <v>0.675903690769722</v>
      </c>
      <c r="S21" s="14">
        <f>D.2项目总投资使用计划与资金筹措表!S6</f>
        <v>0.686042246131201</v>
      </c>
      <c r="T21" s="14">
        <f>D.2项目总投资使用计划与资金筹措表!T6</f>
        <v>0.696332879823281</v>
      </c>
      <c r="U21" s="14">
        <f>D.2项目总投资使用计划与资金筹措表!U6</f>
        <v>0.706777873020513</v>
      </c>
      <c r="V21" s="14">
        <f>D.2项目总投资使用计划与资金筹措表!V6</f>
        <v>0.717379541115946</v>
      </c>
      <c r="W21" s="14">
        <f>D.2项目总投资使用计划与资金筹措表!W6</f>
        <v>0.728140234232569</v>
      </c>
      <c r="X21" s="14">
        <f>D.2项目总投资使用计划与资金筹措表!X6</f>
        <v>0.746006782190548</v>
      </c>
      <c r="Y21" s="14">
        <f>D.2项目总投资使用计划与资金筹措表!Y6</f>
        <v>0.777764106145639</v>
      </c>
      <c r="Z21" s="14">
        <f>D.2项目总投资使用计划与资金筹措表!Z6</f>
        <v>0.76059077468225</v>
      </c>
    </row>
    <row r="22" ht="16.5" customHeight="1" spans="1:26">
      <c r="A22" s="8" t="s">
        <v>464</v>
      </c>
      <c r="B22" s="8" t="s">
        <v>462</v>
      </c>
      <c r="C22" s="14">
        <f t="shared" si="0"/>
        <v>0</v>
      </c>
      <c r="D22" s="39">
        <v>0</v>
      </c>
      <c r="E22" s="39">
        <v>0</v>
      </c>
      <c r="F22" s="39">
        <v>0</v>
      </c>
      <c r="G22" s="39">
        <v>0</v>
      </c>
      <c r="H22" s="39">
        <v>0</v>
      </c>
      <c r="I22" s="39">
        <v>0</v>
      </c>
      <c r="J22" s="39">
        <v>0</v>
      </c>
      <c r="K22" s="39">
        <v>0</v>
      </c>
      <c r="L22" s="39">
        <v>0</v>
      </c>
      <c r="M22" s="39">
        <v>0</v>
      </c>
      <c r="N22" s="39">
        <v>0</v>
      </c>
      <c r="O22" s="39">
        <v>0</v>
      </c>
      <c r="P22" s="39">
        <v>0</v>
      </c>
      <c r="Q22" s="39">
        <v>0</v>
      </c>
      <c r="R22" s="39">
        <v>0</v>
      </c>
      <c r="S22" s="39">
        <v>0</v>
      </c>
      <c r="T22" s="39">
        <v>0</v>
      </c>
      <c r="U22" s="39">
        <v>0</v>
      </c>
      <c r="V22" s="39">
        <v>0</v>
      </c>
      <c r="W22" s="39">
        <v>0</v>
      </c>
      <c r="X22" s="39">
        <v>0</v>
      </c>
      <c r="Y22" s="39">
        <v>0</v>
      </c>
      <c r="Z22" s="39">
        <v>0</v>
      </c>
    </row>
    <row r="23" ht="16.5" customHeight="1" spans="1:26">
      <c r="A23" s="8">
        <v>3</v>
      </c>
      <c r="B23" s="8" t="s">
        <v>465</v>
      </c>
      <c r="C23" s="14">
        <f t="shared" si="0"/>
        <v>-29859.3627410984</v>
      </c>
      <c r="D23" s="14">
        <f t="shared" ref="D23:Z23" si="6">D24-D27</f>
        <v>333.546666666667</v>
      </c>
      <c r="E23" s="14">
        <f t="shared" si="6"/>
        <v>741.668663277777</v>
      </c>
      <c r="F23" s="14">
        <f t="shared" si="6"/>
        <v>1050.53815232751</v>
      </c>
      <c r="G23" s="14">
        <f t="shared" si="6"/>
        <v>-487.559906073976</v>
      </c>
      <c r="H23" s="14">
        <f t="shared" si="6"/>
        <v>-511.062702937864</v>
      </c>
      <c r="I23" s="14">
        <f t="shared" si="6"/>
        <v>-511.360243476932</v>
      </c>
      <c r="J23" s="14">
        <f t="shared" si="6"/>
        <v>-602.433958175086</v>
      </c>
      <c r="K23" s="14">
        <f t="shared" si="6"/>
        <v>-512.456644666712</v>
      </c>
      <c r="L23" s="14">
        <f t="shared" si="6"/>
        <v>-512.447509556713</v>
      </c>
      <c r="M23" s="14">
        <f t="shared" si="6"/>
        <v>-512.438237420063</v>
      </c>
      <c r="N23" s="14">
        <f t="shared" si="6"/>
        <v>-512.428826201364</v>
      </c>
      <c r="O23" s="14">
        <f t="shared" si="6"/>
        <v>-512.419273814385</v>
      </c>
      <c r="P23" s="14">
        <f t="shared" si="6"/>
        <v>-512.4095781416</v>
      </c>
      <c r="Q23" s="14">
        <f t="shared" si="6"/>
        <v>-512.399737033725</v>
      </c>
      <c r="R23" s="14">
        <f t="shared" si="6"/>
        <v>-512.38974830923</v>
      </c>
      <c r="S23" s="14">
        <f t="shared" si="6"/>
        <v>-512.379609753869</v>
      </c>
      <c r="T23" s="14">
        <f t="shared" si="6"/>
        <v>-512.369319120177</v>
      </c>
      <c r="U23" s="14">
        <f t="shared" si="6"/>
        <v>-512.35887412698</v>
      </c>
      <c r="V23" s="14">
        <f t="shared" si="6"/>
        <v>-512.348272458884</v>
      </c>
      <c r="W23" s="14">
        <f t="shared" si="6"/>
        <v>-512.337511765768</v>
      </c>
      <c r="X23" s="14">
        <f t="shared" si="6"/>
        <v>-2512.41964521781</v>
      </c>
      <c r="Y23" s="14">
        <f t="shared" si="6"/>
        <v>-10466.1455558939</v>
      </c>
      <c r="Z23" s="14">
        <f t="shared" si="6"/>
        <v>-10232.9510692253</v>
      </c>
    </row>
    <row r="24" ht="16.5" customHeight="1" spans="1:26">
      <c r="A24" s="8">
        <v>3.1</v>
      </c>
      <c r="B24" s="8" t="s">
        <v>353</v>
      </c>
      <c r="C24" s="14">
        <f t="shared" si="0"/>
        <v>2422.05829890165</v>
      </c>
      <c r="D24" s="14">
        <f t="shared" ref="D24:Z24" si="7">SUM(D25:D26)</f>
        <v>335.274666666667</v>
      </c>
      <c r="E24" s="14">
        <f t="shared" si="7"/>
        <v>796.950995277777</v>
      </c>
      <c r="F24" s="14">
        <f t="shared" si="7"/>
        <v>1339.03214432751</v>
      </c>
      <c r="G24" s="14">
        <f t="shared" si="7"/>
        <v>25.5057459260237</v>
      </c>
      <c r="H24" s="14">
        <f t="shared" si="7"/>
        <v>2.00294906213635</v>
      </c>
      <c r="I24" s="14">
        <f t="shared" si="7"/>
        <v>1.70540852306837</v>
      </c>
      <c r="J24" s="14">
        <f t="shared" si="7"/>
        <v>-89.3683061750856</v>
      </c>
      <c r="K24" s="14">
        <f t="shared" si="7"/>
        <v>0.609007333288098</v>
      </c>
      <c r="L24" s="14">
        <f t="shared" si="7"/>
        <v>0.618142443287468</v>
      </c>
      <c r="M24" s="14">
        <f t="shared" si="7"/>
        <v>0.627414579936733</v>
      </c>
      <c r="N24" s="14">
        <f t="shared" si="7"/>
        <v>0.636825798635861</v>
      </c>
      <c r="O24" s="14">
        <f t="shared" si="7"/>
        <v>0.646378185615319</v>
      </c>
      <c r="P24" s="14">
        <f t="shared" si="7"/>
        <v>0.656073858399608</v>
      </c>
      <c r="Q24" s="14">
        <f t="shared" si="7"/>
        <v>0.66591496627553</v>
      </c>
      <c r="R24" s="14">
        <f t="shared" si="7"/>
        <v>0.675903690769722</v>
      </c>
      <c r="S24" s="14">
        <f t="shared" si="7"/>
        <v>0.686042246131201</v>
      </c>
      <c r="T24" s="14">
        <f t="shared" si="7"/>
        <v>0.696332879823281</v>
      </c>
      <c r="U24" s="14">
        <f t="shared" si="7"/>
        <v>0.706777873020513</v>
      </c>
      <c r="V24" s="14">
        <f t="shared" si="7"/>
        <v>0.717379541115946</v>
      </c>
      <c r="W24" s="14">
        <f t="shared" si="7"/>
        <v>0.728140234232569</v>
      </c>
      <c r="X24" s="14">
        <f t="shared" si="7"/>
        <v>0.746006782190548</v>
      </c>
      <c r="Y24" s="14">
        <f t="shared" si="7"/>
        <v>0.777764106145639</v>
      </c>
      <c r="Z24" s="14">
        <f t="shared" si="7"/>
        <v>0.76059077468225</v>
      </c>
    </row>
    <row r="25" ht="16.5" customHeight="1" spans="1:26">
      <c r="A25" s="8" t="s">
        <v>288</v>
      </c>
      <c r="B25" s="8" t="s">
        <v>466</v>
      </c>
      <c r="C25" s="14">
        <f t="shared" si="0"/>
        <v>-19577.9417010983</v>
      </c>
      <c r="D25" s="14">
        <f>D.2项目总投资使用计划与资金筹措表!D8</f>
        <v>-1664.72533333333</v>
      </c>
      <c r="E25" s="14">
        <f>D.2项目总投资使用计划与资金筹措表!E8</f>
        <v>-9203.04900472222</v>
      </c>
      <c r="F25" s="14">
        <f>D.2项目总投资使用计划与资金筹措表!F8</f>
        <v>-8660.96785567249</v>
      </c>
      <c r="G25" s="14">
        <f>D.2项目总投资使用计划与资金筹措表!G8</f>
        <v>25.5057459260237</v>
      </c>
      <c r="H25" s="14">
        <f>D.2项目总投资使用计划与资金筹措表!H8</f>
        <v>2.00294906213635</v>
      </c>
      <c r="I25" s="14">
        <f>D.2项目总投资使用计划与资金筹措表!I8</f>
        <v>1.70540852306837</v>
      </c>
      <c r="J25" s="14">
        <f>D.2项目总投资使用计划与资金筹措表!J8</f>
        <v>-89.3683061750856</v>
      </c>
      <c r="K25" s="14">
        <f>D.2项目总投资使用计划与资金筹措表!K8</f>
        <v>0.609007333288098</v>
      </c>
      <c r="L25" s="14">
        <f>D.2项目总投资使用计划与资金筹措表!L8</f>
        <v>0.618142443287468</v>
      </c>
      <c r="M25" s="14">
        <f>D.2项目总投资使用计划与资金筹措表!M8</f>
        <v>0.627414579936733</v>
      </c>
      <c r="N25" s="14">
        <f>D.2项目总投资使用计划与资金筹措表!N8</f>
        <v>0.636825798635861</v>
      </c>
      <c r="O25" s="14">
        <f>D.2项目总投资使用计划与资金筹措表!O8</f>
        <v>0.646378185615319</v>
      </c>
      <c r="P25" s="14">
        <f>D.2项目总投资使用计划与资金筹措表!P8</f>
        <v>0.656073858399608</v>
      </c>
      <c r="Q25" s="14">
        <f>D.2项目总投资使用计划与资金筹措表!Q8</f>
        <v>0.66591496627553</v>
      </c>
      <c r="R25" s="14">
        <f>D.2项目总投资使用计划与资金筹措表!R8</f>
        <v>0.675903690769722</v>
      </c>
      <c r="S25" s="14">
        <f>D.2项目总投资使用计划与资金筹措表!S8</f>
        <v>0.686042246131201</v>
      </c>
      <c r="T25" s="14">
        <f>D.2项目总投资使用计划与资金筹措表!T8</f>
        <v>0.696332879823281</v>
      </c>
      <c r="U25" s="14">
        <f>D.2项目总投资使用计划与资金筹措表!U8</f>
        <v>0.706777873020513</v>
      </c>
      <c r="V25" s="14">
        <f>D.2项目总投资使用计划与资金筹措表!V8</f>
        <v>0.717379541115946</v>
      </c>
      <c r="W25" s="14">
        <f>D.2项目总投资使用计划与资金筹措表!W8</f>
        <v>0.728140234232569</v>
      </c>
      <c r="X25" s="14">
        <f>D.2项目总投资使用计划与资金筹措表!X8</f>
        <v>0.746006782190548</v>
      </c>
      <c r="Y25" s="14">
        <f>D.2项目总投资使用计划与资金筹措表!Y8</f>
        <v>0.777764106145639</v>
      </c>
      <c r="Z25" s="14">
        <f>D.2项目总投资使用计划与资金筹措表!Z8</f>
        <v>0.76059077468225</v>
      </c>
    </row>
    <row r="26" ht="16.5" customHeight="1" spans="1:26">
      <c r="A26" s="8" t="s">
        <v>289</v>
      </c>
      <c r="B26" s="8" t="s">
        <v>467</v>
      </c>
      <c r="C26" s="14">
        <f t="shared" si="0"/>
        <v>22000</v>
      </c>
      <c r="D26" s="14">
        <f>D.2项目总投资使用计划与资金筹措表!D12</f>
        <v>2000</v>
      </c>
      <c r="E26" s="14">
        <f>D.2项目总投资使用计划与资金筹措表!E12</f>
        <v>10000</v>
      </c>
      <c r="F26" s="14">
        <f>D.2项目总投资使用计划与资金筹措表!F12</f>
        <v>10000</v>
      </c>
      <c r="G26" s="14">
        <f>D.2项目总投资使用计划与资金筹措表!G12</f>
        <v>0</v>
      </c>
      <c r="H26" s="14">
        <f>D.2项目总投资使用计划与资金筹措表!H12</f>
        <v>0</v>
      </c>
      <c r="I26" s="14">
        <f>D.2项目总投资使用计划与资金筹措表!I12</f>
        <v>0</v>
      </c>
      <c r="J26" s="14">
        <f>D.2项目总投资使用计划与资金筹措表!J12</f>
        <v>0</v>
      </c>
      <c r="K26" s="14">
        <f>D.2项目总投资使用计划与资金筹措表!K12</f>
        <v>0</v>
      </c>
      <c r="L26" s="14">
        <f>D.2项目总投资使用计划与资金筹措表!L12</f>
        <v>0</v>
      </c>
      <c r="M26" s="14">
        <f>D.2项目总投资使用计划与资金筹措表!M12</f>
        <v>0</v>
      </c>
      <c r="N26" s="14">
        <f>D.2项目总投资使用计划与资金筹措表!N12</f>
        <v>0</v>
      </c>
      <c r="O26" s="14">
        <f>D.2项目总投资使用计划与资金筹措表!O12</f>
        <v>0</v>
      </c>
      <c r="P26" s="14">
        <f>D.2项目总投资使用计划与资金筹措表!P12</f>
        <v>0</v>
      </c>
      <c r="Q26" s="14">
        <f>D.2项目总投资使用计划与资金筹措表!Q12</f>
        <v>0</v>
      </c>
      <c r="R26" s="14">
        <f>D.2项目总投资使用计划与资金筹措表!R12</f>
        <v>0</v>
      </c>
      <c r="S26" s="14">
        <f>D.2项目总投资使用计划与资金筹措表!S12</f>
        <v>0</v>
      </c>
      <c r="T26" s="14">
        <f>D.2项目总投资使用计划与资金筹措表!T12</f>
        <v>0</v>
      </c>
      <c r="U26" s="14">
        <f>D.2项目总投资使用计划与资金筹措表!U12</f>
        <v>0</v>
      </c>
      <c r="V26" s="14">
        <f>D.2项目总投资使用计划与资金筹措表!V12</f>
        <v>0</v>
      </c>
      <c r="W26" s="14">
        <f>D.2项目总投资使用计划与资金筹措表!W12</f>
        <v>0</v>
      </c>
      <c r="X26" s="14">
        <f>D.2项目总投资使用计划与资金筹措表!X12</f>
        <v>0</v>
      </c>
      <c r="Y26" s="14">
        <f>D.2项目总投资使用计划与资金筹措表!Y12</f>
        <v>0</v>
      </c>
      <c r="Z26" s="14">
        <f>D.2项目总投资使用计划与资金筹措表!Z12</f>
        <v>0</v>
      </c>
    </row>
    <row r="27" ht="16.5" customHeight="1" spans="1:26">
      <c r="A27" s="8">
        <v>3.2</v>
      </c>
      <c r="B27" s="8" t="s">
        <v>357</v>
      </c>
      <c r="C27" s="14">
        <f t="shared" si="0"/>
        <v>32281.42104</v>
      </c>
      <c r="D27" s="14">
        <f t="shared" ref="D27:Z27" si="8">SUM(D28:D29)</f>
        <v>1.728</v>
      </c>
      <c r="E27" s="14">
        <f t="shared" si="8"/>
        <v>55.282332</v>
      </c>
      <c r="F27" s="14">
        <f t="shared" si="8"/>
        <v>288.493992</v>
      </c>
      <c r="G27" s="14">
        <f t="shared" si="8"/>
        <v>513.065652</v>
      </c>
      <c r="H27" s="14">
        <f t="shared" si="8"/>
        <v>513.065652</v>
      </c>
      <c r="I27" s="14">
        <f t="shared" si="8"/>
        <v>513.065652</v>
      </c>
      <c r="J27" s="14">
        <f t="shared" si="8"/>
        <v>513.065652</v>
      </c>
      <c r="K27" s="14">
        <f t="shared" si="8"/>
        <v>513.065652</v>
      </c>
      <c r="L27" s="14">
        <f t="shared" si="8"/>
        <v>513.065652</v>
      </c>
      <c r="M27" s="14">
        <f t="shared" si="8"/>
        <v>513.065652</v>
      </c>
      <c r="N27" s="14">
        <f t="shared" si="8"/>
        <v>513.065652</v>
      </c>
      <c r="O27" s="14">
        <f t="shared" si="8"/>
        <v>513.065652</v>
      </c>
      <c r="P27" s="14">
        <f t="shared" si="8"/>
        <v>513.065652</v>
      </c>
      <c r="Q27" s="14">
        <f t="shared" si="8"/>
        <v>513.065652</v>
      </c>
      <c r="R27" s="14">
        <f t="shared" si="8"/>
        <v>513.065652</v>
      </c>
      <c r="S27" s="14">
        <f t="shared" si="8"/>
        <v>513.065652</v>
      </c>
      <c r="T27" s="14">
        <f t="shared" si="8"/>
        <v>513.065652</v>
      </c>
      <c r="U27" s="14">
        <f t="shared" si="8"/>
        <v>513.065652</v>
      </c>
      <c r="V27" s="14">
        <f t="shared" si="8"/>
        <v>513.065652</v>
      </c>
      <c r="W27" s="14">
        <f t="shared" si="8"/>
        <v>513.065652</v>
      </c>
      <c r="X27" s="14">
        <f t="shared" si="8"/>
        <v>2513.165652</v>
      </c>
      <c r="Y27" s="14">
        <f t="shared" si="8"/>
        <v>10466.92332</v>
      </c>
      <c r="Z27" s="14">
        <f t="shared" si="8"/>
        <v>10233.71166</v>
      </c>
    </row>
    <row r="28" ht="16.5" customHeight="1" spans="1:26">
      <c r="A28" s="8" t="s">
        <v>292</v>
      </c>
      <c r="B28" s="8" t="s">
        <v>468</v>
      </c>
      <c r="C28" s="14">
        <f t="shared" si="0"/>
        <v>10281.42104</v>
      </c>
      <c r="D28" s="12">
        <f>(c借款还本付息计划表!D34+c借款还本付息计划表!D36+c借款还本付息计划表!D37)</f>
        <v>1.728</v>
      </c>
      <c r="E28" s="12">
        <f>(c借款还本付息计划表!E34+c借款还本付息计划表!E36+c借款还本付息计划表!E37)</f>
        <v>55.282332</v>
      </c>
      <c r="F28" s="12">
        <f>(c借款还本付息计划表!F34+c借款还本付息计划表!F36+c借款还本付息计划表!F37)</f>
        <v>288.493992</v>
      </c>
      <c r="G28" s="12">
        <f>(c借款还本付息计划表!G34+c借款还本付息计划表!G36+c借款还本付息计划表!G37)</f>
        <v>513.065652</v>
      </c>
      <c r="H28" s="12">
        <f>(c借款还本付息计划表!H34+c借款还本付息计划表!H36+c借款还本付息计划表!H37)</f>
        <v>513.065652</v>
      </c>
      <c r="I28" s="12">
        <f>(c借款还本付息计划表!I34+c借款还本付息计划表!I36+c借款还本付息计划表!I37)</f>
        <v>513.065652</v>
      </c>
      <c r="J28" s="12">
        <f>(c借款还本付息计划表!J34+c借款还本付息计划表!J36+c借款还本付息计划表!J37)</f>
        <v>513.065652</v>
      </c>
      <c r="K28" s="12">
        <f>(c借款还本付息计划表!K34+c借款还本付息计划表!K36+c借款还本付息计划表!K37)</f>
        <v>513.065652</v>
      </c>
      <c r="L28" s="12">
        <f>(c借款还本付息计划表!L34+c借款还本付息计划表!L36+c借款还本付息计划表!L37)</f>
        <v>513.065652</v>
      </c>
      <c r="M28" s="12">
        <f>(c借款还本付息计划表!M34+c借款还本付息计划表!M36+c借款还本付息计划表!M37)</f>
        <v>513.065652</v>
      </c>
      <c r="N28" s="12">
        <f>(c借款还本付息计划表!N34+c借款还本付息计划表!N36+c借款还本付息计划表!N37)</f>
        <v>513.065652</v>
      </c>
      <c r="O28" s="12">
        <f>(c借款还本付息计划表!O34+c借款还本付息计划表!O36+c借款还本付息计划表!O37)</f>
        <v>513.065652</v>
      </c>
      <c r="P28" s="12">
        <f>(c借款还本付息计划表!P34+c借款还本付息计划表!P36+c借款还本付息计划表!P37)</f>
        <v>513.065652</v>
      </c>
      <c r="Q28" s="12">
        <f>(c借款还本付息计划表!Q34+c借款还本付息计划表!Q36+c借款还本付息计划表!Q37)</f>
        <v>513.065652</v>
      </c>
      <c r="R28" s="12">
        <f>(c借款还本付息计划表!R34+c借款还本付息计划表!R36+c借款还本付息计划表!R37)</f>
        <v>513.065652</v>
      </c>
      <c r="S28" s="12">
        <f>(c借款还本付息计划表!S34+c借款还本付息计划表!S36+c借款还本付息计划表!S37)</f>
        <v>513.065652</v>
      </c>
      <c r="T28" s="12">
        <f>(c借款还本付息计划表!T34+c借款还本付息计划表!T36+c借款还本付息计划表!T37)</f>
        <v>513.065652</v>
      </c>
      <c r="U28" s="12">
        <f>(c借款还本付息计划表!U34+c借款还本付息计划表!U36+c借款还本付息计划表!U37)</f>
        <v>513.065652</v>
      </c>
      <c r="V28" s="12">
        <f>(c借款还本付息计划表!V34+c借款还本付息计划表!V36+c借款还本付息计划表!V37)</f>
        <v>513.065652</v>
      </c>
      <c r="W28" s="12">
        <f>(c借款还本付息计划表!W34+c借款还本付息计划表!W36+c借款还本付息计划表!W37)</f>
        <v>513.065652</v>
      </c>
      <c r="X28" s="12">
        <f>(c借款还本付息计划表!X34+c借款还本付息计划表!X36+c借款还本付息计划表!X37)</f>
        <v>513.165652</v>
      </c>
      <c r="Y28" s="12">
        <f>(c借款还本付息计划表!Y34+c借款还本付息计划表!Y36+c借款还本付息计划表!Y37)</f>
        <v>466.92332</v>
      </c>
      <c r="Z28" s="12">
        <f>(c借款还本付息计划表!Z34+c借款还本付息计划表!Z36+c借款还本付息计划表!Z37)</f>
        <v>233.71166</v>
      </c>
    </row>
    <row r="29" ht="16.5" customHeight="1" spans="1:26">
      <c r="A29" s="8" t="s">
        <v>437</v>
      </c>
      <c r="B29" s="8" t="s">
        <v>469</v>
      </c>
      <c r="C29" s="14">
        <f t="shared" si="0"/>
        <v>22000</v>
      </c>
      <c r="D29" s="12">
        <f>(c借款还本付息计划表!D33)</f>
        <v>0</v>
      </c>
      <c r="E29" s="12">
        <f>(c借款还本付息计划表!E33)</f>
        <v>0</v>
      </c>
      <c r="F29" s="12">
        <f>(c借款还本付息计划表!F33)</f>
        <v>0</v>
      </c>
      <c r="G29" s="12">
        <f>(c借款还本付息计划表!G33)</f>
        <v>0</v>
      </c>
      <c r="H29" s="12">
        <f>(c借款还本付息计划表!H33)</f>
        <v>0</v>
      </c>
      <c r="I29" s="12">
        <f>(c借款还本付息计划表!I33)</f>
        <v>0</v>
      </c>
      <c r="J29" s="12">
        <f>(c借款还本付息计划表!J33)</f>
        <v>0</v>
      </c>
      <c r="K29" s="12">
        <f>(c借款还本付息计划表!K33)</f>
        <v>0</v>
      </c>
      <c r="L29" s="12">
        <f>(c借款还本付息计划表!L33)</f>
        <v>0</v>
      </c>
      <c r="M29" s="12">
        <f>(c借款还本付息计划表!M33)</f>
        <v>0</v>
      </c>
      <c r="N29" s="12">
        <f>(c借款还本付息计划表!N33)</f>
        <v>0</v>
      </c>
      <c r="O29" s="12">
        <f>(c借款还本付息计划表!O33)</f>
        <v>0</v>
      </c>
      <c r="P29" s="12">
        <f>(c借款还本付息计划表!P33)</f>
        <v>0</v>
      </c>
      <c r="Q29" s="12">
        <f>(c借款还本付息计划表!Q33)</f>
        <v>0</v>
      </c>
      <c r="R29" s="12">
        <f>(c借款还本付息计划表!R33)</f>
        <v>0</v>
      </c>
      <c r="S29" s="12">
        <f>(c借款还本付息计划表!S33)</f>
        <v>0</v>
      </c>
      <c r="T29" s="12">
        <f>(c借款还本付息计划表!T33)</f>
        <v>0</v>
      </c>
      <c r="U29" s="12">
        <f>(c借款还本付息计划表!U33)</f>
        <v>0</v>
      </c>
      <c r="V29" s="12">
        <f>(c借款还本付息计划表!V33)</f>
        <v>0</v>
      </c>
      <c r="W29" s="12">
        <f>(c借款还本付息计划表!W33)</f>
        <v>0</v>
      </c>
      <c r="X29" s="12">
        <f>(c借款还本付息计划表!X33)</f>
        <v>2000</v>
      </c>
      <c r="Y29" s="12">
        <f>(c借款还本付息计划表!Y33)</f>
        <v>10000</v>
      </c>
      <c r="Z29" s="12">
        <f>(c借款还本付息计划表!Z33)</f>
        <v>10000</v>
      </c>
    </row>
    <row r="30" ht="16.5" customHeight="1" spans="1:26">
      <c r="A30" s="8">
        <v>4</v>
      </c>
      <c r="B30" s="8" t="s">
        <v>470</v>
      </c>
      <c r="C30" s="14">
        <f t="shared" si="0"/>
        <v>-44198.2714370331</v>
      </c>
      <c r="D30" s="14">
        <f t="shared" ref="D30:Z30" si="9">D3+D16+D23</f>
        <v>44.704275187487</v>
      </c>
      <c r="E30" s="14">
        <f t="shared" si="9"/>
        <v>418.212869601475</v>
      </c>
      <c r="F30" s="14">
        <f t="shared" si="9"/>
        <v>217.701087268784</v>
      </c>
      <c r="G30" s="14">
        <f t="shared" si="9"/>
        <v>-465.398086820492</v>
      </c>
      <c r="H30" s="14">
        <f t="shared" si="9"/>
        <v>-463.8103485628</v>
      </c>
      <c r="I30" s="14">
        <f t="shared" si="9"/>
        <v>-464.819472431241</v>
      </c>
      <c r="J30" s="14">
        <f t="shared" si="9"/>
        <v>-1194.63809976571</v>
      </c>
      <c r="K30" s="14">
        <f t="shared" si="9"/>
        <v>-1204.8613017022</v>
      </c>
      <c r="L30" s="14">
        <f t="shared" si="9"/>
        <v>-1215.23785166773</v>
      </c>
      <c r="M30" s="14">
        <f t="shared" si="9"/>
        <v>-1225.77004988274</v>
      </c>
      <c r="N30" s="14">
        <f t="shared" si="9"/>
        <v>-1236.46023107099</v>
      </c>
      <c r="O30" s="14">
        <f t="shared" si="9"/>
        <v>-1247.31076497705</v>
      </c>
      <c r="P30" s="14">
        <f t="shared" si="9"/>
        <v>-1258.32405689171</v>
      </c>
      <c r="Q30" s="14">
        <f t="shared" si="9"/>
        <v>-1269.50254818508</v>
      </c>
      <c r="R30" s="14">
        <f t="shared" si="9"/>
        <v>-1280.84871684786</v>
      </c>
      <c r="S30" s="14">
        <f t="shared" si="9"/>
        <v>-1292.36507804057</v>
      </c>
      <c r="T30" s="14">
        <f t="shared" si="9"/>
        <v>-1304.05418465118</v>
      </c>
      <c r="U30" s="14">
        <f t="shared" si="9"/>
        <v>-1315.91862786095</v>
      </c>
      <c r="V30" s="14">
        <f t="shared" si="9"/>
        <v>-1327.96103771887</v>
      </c>
      <c r="W30" s="14">
        <f t="shared" si="9"/>
        <v>-1340.18408372465</v>
      </c>
      <c r="X30" s="14">
        <f t="shared" si="9"/>
        <v>-3352.79047542052</v>
      </c>
      <c r="Y30" s="14">
        <f t="shared" si="9"/>
        <v>-11319.5382989918</v>
      </c>
      <c r="Z30" s="14">
        <f t="shared" si="9"/>
        <v>-11099.0963538767</v>
      </c>
    </row>
    <row r="31" ht="16.5" customHeight="1" spans="1:26">
      <c r="A31" s="8">
        <v>5</v>
      </c>
      <c r="B31" s="8" t="s">
        <v>471</v>
      </c>
      <c r="C31" s="14">
        <f t="shared" si="0"/>
        <v>-238928.319894904</v>
      </c>
      <c r="D31" s="12">
        <f>D30</f>
        <v>44.704275187487</v>
      </c>
      <c r="E31" s="12">
        <f t="shared" ref="E31:Z31" si="10">D31+E30</f>
        <v>462.917144788962</v>
      </c>
      <c r="F31" s="12">
        <f t="shared" si="10"/>
        <v>680.618232057746</v>
      </c>
      <c r="G31" s="12">
        <f t="shared" si="10"/>
        <v>215.220145237254</v>
      </c>
      <c r="H31" s="12">
        <f t="shared" si="10"/>
        <v>-248.590203325546</v>
      </c>
      <c r="I31" s="12">
        <f t="shared" si="10"/>
        <v>-713.409675756787</v>
      </c>
      <c r="J31" s="12">
        <f t="shared" si="10"/>
        <v>-1908.0477755225</v>
      </c>
      <c r="K31" s="12">
        <f t="shared" si="10"/>
        <v>-3112.90907722469</v>
      </c>
      <c r="L31" s="12">
        <f t="shared" si="10"/>
        <v>-4328.14692889242</v>
      </c>
      <c r="M31" s="12">
        <f t="shared" si="10"/>
        <v>-5553.91697877517</v>
      </c>
      <c r="N31" s="12">
        <f t="shared" si="10"/>
        <v>-6790.37720984615</v>
      </c>
      <c r="O31" s="12">
        <f t="shared" si="10"/>
        <v>-8037.6879748232</v>
      </c>
      <c r="P31" s="12">
        <f t="shared" si="10"/>
        <v>-9296.01203171491</v>
      </c>
      <c r="Q31" s="12">
        <f t="shared" si="10"/>
        <v>-10565.5145799</v>
      </c>
      <c r="R31" s="12">
        <f t="shared" si="10"/>
        <v>-11846.3632967478</v>
      </c>
      <c r="S31" s="12">
        <f t="shared" si="10"/>
        <v>-13138.7283747884</v>
      </c>
      <c r="T31" s="12">
        <f t="shared" si="10"/>
        <v>-14442.7825594396</v>
      </c>
      <c r="U31" s="12">
        <f t="shared" si="10"/>
        <v>-15758.7011873006</v>
      </c>
      <c r="V31" s="12">
        <f t="shared" si="10"/>
        <v>-17086.6622250194</v>
      </c>
      <c r="W31" s="12">
        <f t="shared" si="10"/>
        <v>-18426.8463087441</v>
      </c>
      <c r="X31" s="12">
        <f t="shared" si="10"/>
        <v>-21779.6367841646</v>
      </c>
      <c r="Y31" s="12">
        <f t="shared" si="10"/>
        <v>-33099.1750831564</v>
      </c>
      <c r="Z31" s="12">
        <f t="shared" si="10"/>
        <v>-44198.2714370331</v>
      </c>
    </row>
  </sheetData>
  <mergeCells count="1">
    <mergeCell ref="A1:I1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tabColor rgb="FFFFC000"/>
  </sheetPr>
  <dimension ref="A1:Y27"/>
  <sheetViews>
    <sheetView zoomScale="70" zoomScaleNormal="70" workbookViewId="0">
      <pane xSplit="2" ySplit="2" topLeftCell="C13" activePane="bottomRight" state="frozen"/>
      <selection/>
      <selection pane="topRight"/>
      <selection pane="bottomLeft"/>
      <selection pane="bottomRight" activeCell="E27" sqref="E27"/>
    </sheetView>
  </sheetViews>
  <sheetFormatPr defaultColWidth="8.89090909090909" defaultRowHeight="28.05" customHeight="1"/>
  <cols>
    <col min="2" max="2" width="29" style="1" customWidth="1"/>
    <col min="3" max="3" width="11" style="1" customWidth="1"/>
    <col min="4" max="8" width="11.2181818181818" style="1" customWidth="1"/>
  </cols>
  <sheetData>
    <row r="1" customHeight="1" spans="1:8">
      <c r="A1" s="38" t="s">
        <v>472</v>
      </c>
      <c r="B1" s="3"/>
      <c r="C1" s="3"/>
      <c r="D1" s="3"/>
      <c r="E1" s="3"/>
      <c r="F1" s="3"/>
      <c r="G1" s="3"/>
      <c r="H1" s="4"/>
    </row>
    <row r="2" customHeight="1" spans="1:25">
      <c r="A2" s="5" t="s">
        <v>1</v>
      </c>
      <c r="B2" s="5" t="s">
        <v>151</v>
      </c>
      <c r="C2" s="34">
        <v>2025</v>
      </c>
      <c r="D2" s="34">
        <v>2026</v>
      </c>
      <c r="E2" s="34">
        <v>2027</v>
      </c>
      <c r="F2" s="34">
        <v>2028</v>
      </c>
      <c r="G2" s="34">
        <v>2029</v>
      </c>
      <c r="H2" s="34">
        <v>2030</v>
      </c>
      <c r="I2" s="34">
        <v>2031</v>
      </c>
      <c r="J2" s="34">
        <v>2032</v>
      </c>
      <c r="K2" s="34">
        <v>2033</v>
      </c>
      <c r="L2" s="34">
        <v>2034</v>
      </c>
      <c r="M2" s="34">
        <v>2035</v>
      </c>
      <c r="N2" s="34">
        <v>2036</v>
      </c>
      <c r="O2" s="34">
        <v>2037</v>
      </c>
      <c r="P2" s="34">
        <v>2038</v>
      </c>
      <c r="Q2" s="34">
        <v>2039</v>
      </c>
      <c r="R2" s="34">
        <v>2040</v>
      </c>
      <c r="S2" s="34">
        <v>2041</v>
      </c>
      <c r="T2" s="34">
        <v>2042</v>
      </c>
      <c r="U2" s="34">
        <v>2043</v>
      </c>
      <c r="V2" s="34">
        <v>2044</v>
      </c>
      <c r="W2" s="34">
        <v>2045</v>
      </c>
      <c r="X2" s="34">
        <v>2046</v>
      </c>
      <c r="Y2" s="34">
        <v>2047</v>
      </c>
    </row>
    <row r="3" customHeight="1" spans="1:25">
      <c r="A3" s="8">
        <v>1</v>
      </c>
      <c r="B3" s="8" t="s">
        <v>473</v>
      </c>
      <c r="C3" s="14">
        <f t="shared" ref="C3:Y3" si="0">SUM(C4+C10+C11+C12)</f>
        <v>379.978941854154</v>
      </c>
      <c r="D3" s="14">
        <f t="shared" si="0"/>
        <v>1598.69157015435</v>
      </c>
      <c r="E3" s="14">
        <f t="shared" si="0"/>
        <v>3063.26230457372</v>
      </c>
      <c r="F3" s="14">
        <f t="shared" si="0"/>
        <v>2407.26326216772</v>
      </c>
      <c r="G3" s="14">
        <f t="shared" si="0"/>
        <v>1820.36487826382</v>
      </c>
      <c r="H3" s="14">
        <f t="shared" si="0"/>
        <v>1255.36525829558</v>
      </c>
      <c r="I3" s="14">
        <f t="shared" si="0"/>
        <v>-221.30270326575</v>
      </c>
      <c r="J3" s="14">
        <f t="shared" si="0"/>
        <v>-1437.16534783106</v>
      </c>
      <c r="K3" s="14">
        <f t="shared" si="0"/>
        <v>-2753.3634057744</v>
      </c>
      <c r="L3" s="14">
        <f t="shared" si="0"/>
        <v>-4080.08407019546</v>
      </c>
      <c r="M3" s="14">
        <f t="shared" si="0"/>
        <v>-5417.4851801914</v>
      </c>
      <c r="N3" s="14">
        <f t="shared" si="0"/>
        <v>-6765.72694244583</v>
      </c>
      <c r="O3" s="14">
        <f t="shared" si="0"/>
        <v>-8124.97196674265</v>
      </c>
      <c r="P3" s="14">
        <f t="shared" si="0"/>
        <v>-9495.38530201247</v>
      </c>
      <c r="Q3" s="14">
        <f t="shared" si="0"/>
        <v>-10877.1344729199</v>
      </c>
      <c r="R3" s="14">
        <f t="shared" si="0"/>
        <v>-12270.3895169995</v>
      </c>
      <c r="S3" s="14">
        <f t="shared" si="0"/>
        <v>-13675.3230223489</v>
      </c>
      <c r="T3" s="14">
        <f t="shared" si="0"/>
        <v>-15092.110165887</v>
      </c>
      <c r="U3" s="14">
        <f t="shared" si="0"/>
        <v>-16520.9287521868</v>
      </c>
      <c r="V3" s="14">
        <f t="shared" si="0"/>
        <v>-17961.9592528897</v>
      </c>
      <c r="W3" s="14">
        <f t="shared" si="0"/>
        <v>-21415.5709578228</v>
      </c>
      <c r="X3" s="14">
        <f t="shared" si="0"/>
        <v>-32835.8846199384</v>
      </c>
      <c r="Y3" s="14">
        <f t="shared" si="0"/>
        <v>-44035.8222193626</v>
      </c>
    </row>
    <row r="4" customHeight="1" spans="1:25">
      <c r="A4" s="8">
        <v>1.1</v>
      </c>
      <c r="B4" s="8" t="s">
        <v>474</v>
      </c>
      <c r="C4" s="14">
        <f t="shared" ref="C4:Y4" si="1">SUM(C5:C9)</f>
        <v>44.704275187487</v>
      </c>
      <c r="D4" s="14">
        <f t="shared" si="1"/>
        <v>508.854806733406</v>
      </c>
      <c r="E4" s="14">
        <f t="shared" si="1"/>
        <v>782.139230990251</v>
      </c>
      <c r="F4" s="14">
        <f t="shared" si="1"/>
        <v>342.246890095782</v>
      </c>
      <c r="G4" s="14">
        <f t="shared" si="1"/>
        <v>-119.549041514973</v>
      </c>
      <c r="H4" s="14">
        <f t="shared" si="1"/>
        <v>-582.651465514889</v>
      </c>
      <c r="I4" s="14">
        <f t="shared" si="1"/>
        <v>-1866.6460569488</v>
      </c>
      <c r="J4" s="14">
        <f t="shared" si="1"/>
        <v>-3070.88635959323</v>
      </c>
      <c r="K4" s="14">
        <f t="shared" si="1"/>
        <v>-4285.49389721732</v>
      </c>
      <c r="L4" s="14">
        <f t="shared" si="1"/>
        <v>-5510.62417834577</v>
      </c>
      <c r="M4" s="14">
        <f t="shared" si="1"/>
        <v>-6746.43504413114</v>
      </c>
      <c r="N4" s="14">
        <f t="shared" si="1"/>
        <v>-7993.0867033433</v>
      </c>
      <c r="O4" s="14">
        <f t="shared" si="1"/>
        <v>-9250.74176788364</v>
      </c>
      <c r="P4" s="14">
        <f t="shared" si="1"/>
        <v>-10519.5652888321</v>
      </c>
      <c r="Q4" s="14">
        <f t="shared" si="1"/>
        <v>-11799.7247930348</v>
      </c>
      <c r="R4" s="14">
        <f t="shared" si="1"/>
        <v>-13091.3903202405</v>
      </c>
      <c r="S4" s="14">
        <f t="shared" si="1"/>
        <v>-14394.7344607943</v>
      </c>
      <c r="T4" s="14">
        <f t="shared" si="1"/>
        <v>-15709.9323938964</v>
      </c>
      <c r="U4" s="14">
        <f t="shared" si="1"/>
        <v>-17037.161926435</v>
      </c>
      <c r="V4" s="14">
        <f t="shared" si="1"/>
        <v>-18376.6035324017</v>
      </c>
      <c r="W4" s="14">
        <f t="shared" si="1"/>
        <v>-21728.6334484535</v>
      </c>
      <c r="X4" s="14">
        <f t="shared" si="1"/>
        <v>-33047.3792124638</v>
      </c>
      <c r="Y4" s="14">
        <f t="shared" si="1"/>
        <v>-44145.6999831274</v>
      </c>
    </row>
    <row r="5" customHeight="1" spans="1:25">
      <c r="A5" s="8" t="s">
        <v>274</v>
      </c>
      <c r="B5" s="8" t="s">
        <v>475</v>
      </c>
      <c r="C5" s="14">
        <f>D.4流动资金估算表!E10+d财务计划现金流量表!D31</f>
        <v>44.704275187487</v>
      </c>
      <c r="D5" s="14">
        <f>D.4流动资金估算表!F10+d财务计划现金流量表!E31</f>
        <v>462.917177177851</v>
      </c>
      <c r="E5" s="14">
        <f>D.4流动资金估算表!G10+d财务计划现金流量表!F31</f>
        <v>683.108232711161</v>
      </c>
      <c r="F5" s="14">
        <f>D.4流动资金估算表!H10+d财务计划现金流量表!G31</f>
        <v>218.219991831035</v>
      </c>
      <c r="G5" s="14">
        <f>D.4流动资金估算表!I10+d财务计划现金流量表!H31</f>
        <v>-245.545364377024</v>
      </c>
      <c r="H5" s="14">
        <f>D.4流动资金估算表!J10+d财务计划现金流量表!I31</f>
        <v>-710.319169568204</v>
      </c>
      <c r="I5" s="14">
        <f>D.4流动资金估算表!K10+d财务计划现金流量表!J31</f>
        <v>-1904.91091708525</v>
      </c>
      <c r="J5" s="14">
        <f>D.4流动资金估算表!L10+d财务计划现金流量表!K31</f>
        <v>-3109.72517125506</v>
      </c>
      <c r="K5" s="14">
        <f>D.4流动资金估算表!M10+d财务计划现金流量表!L31</f>
        <v>-4324.91526967741</v>
      </c>
      <c r="L5" s="14">
        <f>D.4流动资金估算表!N10+d财务计划现金流量表!M31</f>
        <v>-5550.63685001609</v>
      </c>
      <c r="M5" s="14">
        <f>D.4流动资金估算表!O10+d财务计划现金流量表!N31</f>
        <v>-6787.04788449986</v>
      </c>
      <c r="N5" s="14">
        <f>D.4流动资金估算表!P10+d财务计划现金流量表!O31</f>
        <v>-8034.30871494088</v>
      </c>
      <c r="O5" s="14">
        <f>D.4流动资金估算表!Q10+d财务计划现金流量表!P31</f>
        <v>-9292.58208827852</v>
      </c>
      <c r="P5" s="14">
        <f>D.4流动资金估算表!R10+d财务计划现金流量表!Q31</f>
        <v>-10562.0331926562</v>
      </c>
      <c r="Q5" s="14">
        <f>D.4流动资金估算表!S10+d财务计划现金流量表!R31</f>
        <v>-11842.8296940396</v>
      </c>
      <c r="R5" s="14">
        <f>D.4流动资金估算表!T10+d财务计划现金流量表!S31</f>
        <v>-13135.1417733837</v>
      </c>
      <c r="S5" s="14">
        <f>D.4流动资金估算表!U10+d财务计划现金流量表!T31</f>
        <v>-14439.142164358</v>
      </c>
      <c r="T5" s="14">
        <f>D.4流动资金估算表!V10+d财务计划现金流量表!U31</f>
        <v>-15755.0061916369</v>
      </c>
      <c r="U5" s="14">
        <f>D.4流动资金估算表!W10+d财务计划现金流量表!V31</f>
        <v>-17082.911809765</v>
      </c>
      <c r="V5" s="14">
        <f>D.4流动资金估算表!X10+d财务计划现金流量表!W31</f>
        <v>-18423.039642605</v>
      </c>
      <c r="W5" s="14">
        <f>D.4流动资金估算表!Y10+d财务计划现金流量表!X31</f>
        <v>-21775.7716344887</v>
      </c>
      <c r="X5" s="14">
        <f>D.4流动资金估算表!Z10+d财务计划现金流量表!Y31</f>
        <v>-33095.2464592462</v>
      </c>
      <c r="Y5" s="14">
        <f>D.4流动资金估算表!AA10+d财务计划现金流量表!Z31</f>
        <v>-44194.2841547337</v>
      </c>
    </row>
    <row r="6" customHeight="1" spans="1:25">
      <c r="A6" s="8" t="s">
        <v>276</v>
      </c>
      <c r="B6" s="8" t="s">
        <v>156</v>
      </c>
      <c r="C6" s="14">
        <f>D.4流动资金估算表!E4</f>
        <v>0</v>
      </c>
      <c r="D6" s="14">
        <f>D.4流动资金估算表!F4</f>
        <v>45.9375</v>
      </c>
      <c r="E6" s="14">
        <f>D.4流动资金估算表!G4</f>
        <v>70.4025</v>
      </c>
      <c r="F6" s="14">
        <f>D.4流动资金估算表!H4</f>
        <v>87.4335</v>
      </c>
      <c r="G6" s="14">
        <f>D.4流动资金估算表!I4</f>
        <v>88.854045</v>
      </c>
      <c r="H6" s="14">
        <f>D.4流动资金估算表!J4</f>
        <v>89.9683134</v>
      </c>
      <c r="I6" s="14">
        <f>D.4流动资金估算表!K4</f>
        <v>0</v>
      </c>
      <c r="J6" s="14">
        <f>D.4流动资金估算表!L4</f>
        <v>0</v>
      </c>
      <c r="K6" s="14">
        <f>D.4流动资金估算表!M4</f>
        <v>0</v>
      </c>
      <c r="L6" s="14">
        <f>D.4流动资金估算表!N4</f>
        <v>0</v>
      </c>
      <c r="M6" s="14">
        <f>D.4流动资金估算表!O4</f>
        <v>0</v>
      </c>
      <c r="N6" s="14">
        <f>D.4流动资金估算表!P4</f>
        <v>0</v>
      </c>
      <c r="O6" s="14">
        <f>D.4流动资金估算表!Q4</f>
        <v>0</v>
      </c>
      <c r="P6" s="14">
        <f>D.4流动资金估算表!R4</f>
        <v>0</v>
      </c>
      <c r="Q6" s="14">
        <f>D.4流动资金估算表!S4</f>
        <v>0</v>
      </c>
      <c r="R6" s="14">
        <f>D.4流动资金估算表!T4</f>
        <v>0</v>
      </c>
      <c r="S6" s="14">
        <f>D.4流动资金估算表!U4</f>
        <v>0</v>
      </c>
      <c r="T6" s="14">
        <f>D.4流动资金估算表!V4</f>
        <v>0</v>
      </c>
      <c r="U6" s="14">
        <f>D.4流动资金估算表!W4</f>
        <v>0</v>
      </c>
      <c r="V6" s="14">
        <f>D.4流动资金估算表!X4</f>
        <v>0</v>
      </c>
      <c r="W6" s="14">
        <f>D.4流动资金估算表!Y4</f>
        <v>0</v>
      </c>
      <c r="X6" s="14">
        <f>D.4流动资金估算表!Z4</f>
        <v>0</v>
      </c>
      <c r="Y6" s="14">
        <f>D.4流动资金估算表!AA4</f>
        <v>0</v>
      </c>
    </row>
    <row r="7" customHeight="1" spans="1:25">
      <c r="A7" s="8" t="s">
        <v>278</v>
      </c>
      <c r="B7" s="8" t="s">
        <v>476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</row>
    <row r="8" customHeight="1" spans="1:25">
      <c r="A8" s="8" t="s">
        <v>457</v>
      </c>
      <c r="B8" s="8" t="s">
        <v>158</v>
      </c>
      <c r="C8" s="14">
        <f>D.4流动资金估算表!E5</f>
        <v>0</v>
      </c>
      <c r="D8" s="14">
        <f>D.4流动资金估算表!F5</f>
        <v>0.000129555555555556</v>
      </c>
      <c r="E8" s="14">
        <f>D.4流动资金估算表!G5</f>
        <v>28.6284982790903</v>
      </c>
      <c r="F8" s="14">
        <f>D.4流动资金估算表!H5</f>
        <v>36.593398264747</v>
      </c>
      <c r="G8" s="14">
        <f>D.4流动资金估算表!I5</f>
        <v>37.1422778620516</v>
      </c>
      <c r="H8" s="14">
        <f>D.4流动资金估算表!J5</f>
        <v>37.6993906533157</v>
      </c>
      <c r="I8" s="14">
        <f>D.4流动资金估算表!K5</f>
        <v>38.2648601364487</v>
      </c>
      <c r="J8" s="14">
        <f>D.4流动资金估算表!L5</f>
        <v>38.8388116618288</v>
      </c>
      <c r="K8" s="14">
        <f>D.4流动资金估算表!M5</f>
        <v>39.4213724600895</v>
      </c>
      <c r="L8" s="14">
        <f>D.4流动资金估算表!N5</f>
        <v>40.0126716703242</v>
      </c>
      <c r="M8" s="14">
        <f>D.4流动资金估算表!O5</f>
        <v>40.6128403687124</v>
      </c>
      <c r="N8" s="14">
        <f>D.4流动资金估算表!P5</f>
        <v>41.2220115975764</v>
      </c>
      <c r="O8" s="14">
        <f>D.4流动资金估算表!Q5</f>
        <v>41.8403203948734</v>
      </c>
      <c r="P8" s="14">
        <f>D.4流动资金估算表!R5</f>
        <v>42.4679038241298</v>
      </c>
      <c r="Q8" s="14">
        <f>D.4流动资金估算表!S5</f>
        <v>43.1049010048251</v>
      </c>
      <c r="R8" s="14">
        <f>D.4流动资金估算表!T5</f>
        <v>43.7514531432308</v>
      </c>
      <c r="S8" s="14">
        <f>D.4流动资金估算表!U5</f>
        <v>44.4077035637126</v>
      </c>
      <c r="T8" s="14">
        <f>D.4流动资金估算表!V5</f>
        <v>45.0737977405016</v>
      </c>
      <c r="U8" s="14">
        <f>D.4流动资金估算表!W5</f>
        <v>45.7498833299425</v>
      </c>
      <c r="V8" s="14">
        <f>D.4流动资金估算表!X5</f>
        <v>46.4361102032249</v>
      </c>
      <c r="W8" s="14">
        <f>D.4流动资金估算表!Y5</f>
        <v>47.1381860351622</v>
      </c>
      <c r="X8" s="14">
        <f>D.4流动资金估算表!Z5</f>
        <v>47.8672467823563</v>
      </c>
      <c r="Y8" s="14">
        <f>D.4流动资金估算表!AA5</f>
        <v>48.5841716063138</v>
      </c>
    </row>
    <row r="9" customHeight="1" spans="1:25">
      <c r="A9" s="8" t="s">
        <v>477</v>
      </c>
      <c r="B9" s="8" t="s">
        <v>478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</row>
    <row r="10" customHeight="1" spans="1:25">
      <c r="A10" s="8">
        <v>1.2</v>
      </c>
      <c r="B10" s="8" t="s">
        <v>479</v>
      </c>
      <c r="C10" s="14">
        <f>D.2项目总投资使用计划与资金筹措表!D3</f>
        <v>335.274666666667</v>
      </c>
      <c r="D10" s="14">
        <f>D.2项目总投资使用计划与资金筹措表!E3</f>
        <v>796.950995277778</v>
      </c>
      <c r="E10" s="14">
        <f>D.2项目总投资使用计划与资金筹措表!F3</f>
        <v>1339.03214432751</v>
      </c>
      <c r="F10" s="14">
        <f>D.2项目总投资使用计划与资金筹措表!G3</f>
        <v>25.5057459260237</v>
      </c>
      <c r="G10" s="14">
        <f>D.2项目总投资使用计划与资金筹措表!H3</f>
        <v>2.00294906213635</v>
      </c>
      <c r="H10" s="14">
        <f>D.2项目总投资使用计划与资金筹措表!I3</f>
        <v>1.70540852306837</v>
      </c>
      <c r="I10" s="14">
        <f>D.2项目总投资使用计划与资金筹措表!J3</f>
        <v>-89.3683061750856</v>
      </c>
      <c r="J10" s="14">
        <f>D.2项目总投资使用计划与资金筹措表!K3</f>
        <v>0.609007333288098</v>
      </c>
      <c r="K10" s="14">
        <f>D.2项目总投资使用计划与资金筹措表!L3</f>
        <v>0.618142443287468</v>
      </c>
      <c r="L10" s="14">
        <f>D.2项目总投资使用计划与资金筹措表!M3</f>
        <v>0.627414579936733</v>
      </c>
      <c r="M10" s="14">
        <f>D.2项目总投资使用计划与资金筹措表!N3</f>
        <v>0.636825798635861</v>
      </c>
      <c r="N10" s="14">
        <f>D.2项目总投资使用计划与资金筹措表!O3</f>
        <v>0.646378185615319</v>
      </c>
      <c r="O10" s="14">
        <f>D.2项目总投资使用计划与资金筹措表!P3</f>
        <v>0.656073858399608</v>
      </c>
      <c r="P10" s="14">
        <f>D.2项目总投资使用计划与资金筹措表!Q3</f>
        <v>0.66591496627553</v>
      </c>
      <c r="Q10" s="14">
        <f>D.2项目总投资使用计划与资金筹措表!R3</f>
        <v>0.675903690769722</v>
      </c>
      <c r="R10" s="14">
        <f>D.2项目总投资使用计划与资金筹措表!S3</f>
        <v>0.686042246131201</v>
      </c>
      <c r="S10" s="14">
        <f>D.2项目总投资使用计划与资金筹措表!T3</f>
        <v>0.696332879823281</v>
      </c>
      <c r="T10" s="14">
        <f>D.2项目总投资使用计划与资金筹措表!U3</f>
        <v>0.706777873020513</v>
      </c>
      <c r="U10" s="14">
        <f>D.2项目总投资使用计划与资金筹措表!V3</f>
        <v>0.717379541115946</v>
      </c>
      <c r="V10" s="14">
        <f>D.2项目总投资使用计划与资金筹措表!W3</f>
        <v>0.728140234232569</v>
      </c>
      <c r="W10" s="14">
        <f>D.2项目总投资使用计划与资金筹措表!X3</f>
        <v>0.746006782190548</v>
      </c>
      <c r="X10" s="14">
        <f>D.2项目总投资使用计划与资金筹措表!Y3</f>
        <v>0.777764106145639</v>
      </c>
      <c r="Y10" s="14">
        <f>D.2项目总投资使用计划与资金筹措表!Z3</f>
        <v>0.76059077468225</v>
      </c>
    </row>
    <row r="11" customHeight="1" spans="1:25">
      <c r="A11" s="8">
        <v>1.3</v>
      </c>
      <c r="B11" s="8" t="s">
        <v>480</v>
      </c>
      <c r="C11" s="40">
        <f>(E.2固定资产折旧费估算表!F7)</f>
        <v>0</v>
      </c>
      <c r="D11" s="40">
        <f>(E.2固定资产折旧费估算表!G7)</f>
        <v>287.594248842626</v>
      </c>
      <c r="E11" s="40">
        <f>(E.2固定资产折旧费估算表!H7)</f>
        <v>931.771866674411</v>
      </c>
      <c r="F11" s="40">
        <f>(E.2固定资产折旧费估算表!I7)</f>
        <v>2024.44119510386</v>
      </c>
      <c r="G11" s="40">
        <f>(E.2固定资产折旧费估算表!J7)</f>
        <v>1923.63466762419</v>
      </c>
      <c r="H11" s="40">
        <f>(E.2固定资产折旧费估算表!K7)</f>
        <v>1822.82814014451</v>
      </c>
      <c r="I11" s="40">
        <f>(E.2固定资产折旧费估算表!L7)</f>
        <v>1722.02161266484</v>
      </c>
      <c r="J11" s="40">
        <f>(E.2固定资产折旧费估算表!M7)</f>
        <v>1621.21508518516</v>
      </c>
      <c r="K11" s="40">
        <f>(E.2固定资产折旧费估算表!N7)</f>
        <v>1520.40855770549</v>
      </c>
      <c r="L11" s="40">
        <f>(E.2固定资产折旧费估算表!O7)</f>
        <v>1419.60203022581</v>
      </c>
      <c r="M11" s="40">
        <f>(E.2固定资产折旧费估算表!P7)</f>
        <v>1318.79550274614</v>
      </c>
      <c r="N11" s="40">
        <f>(E.2固定资产折旧费估算表!Q7)</f>
        <v>1217.98897526646</v>
      </c>
      <c r="O11" s="40">
        <f>(E.2固定资产折旧费估算表!R7)</f>
        <v>1117.18244778679</v>
      </c>
      <c r="P11" s="40">
        <f>(E.2固定资产折旧费估算表!S7)</f>
        <v>1016.37592030711</v>
      </c>
      <c r="Q11" s="40">
        <f>(E.2固定资产折旧费估算表!T7)</f>
        <v>915.569392827435</v>
      </c>
      <c r="R11" s="40">
        <f>(E.2固定资产折旧费估算表!U7)</f>
        <v>814.76286534776</v>
      </c>
      <c r="S11" s="40">
        <f>(E.2固定资产折旧费估算表!V7)</f>
        <v>713.956337868084</v>
      </c>
      <c r="T11" s="40">
        <f>(E.2固定资产折旧费估算表!W7)</f>
        <v>613.149810388409</v>
      </c>
      <c r="U11" s="40">
        <f>(E.2固定资产折旧费估算表!X7)</f>
        <v>512.343282908734</v>
      </c>
      <c r="V11" s="40">
        <f>(E.2固定资产折旧费估算表!Y7)</f>
        <v>411.536755429059</v>
      </c>
      <c r="W11" s="40">
        <f>(E.2固定资产折旧费估算表!Z7)</f>
        <v>310.730227949384</v>
      </c>
      <c r="X11" s="40">
        <f>(E.2固定资产折旧费估算表!AA7)</f>
        <v>209.923700469708</v>
      </c>
      <c r="Y11" s="40">
        <f>(E.2固定资产折旧费估算表!AB7)</f>
        <v>109.117172990033</v>
      </c>
    </row>
    <row r="12" customHeight="1" spans="1:25">
      <c r="A12" s="8">
        <v>1.4</v>
      </c>
      <c r="B12" s="8" t="s">
        <v>481</v>
      </c>
      <c r="C12" s="40">
        <f>(E.3无形资产和其他资产摊销费估算表!F25)</f>
        <v>0</v>
      </c>
      <c r="D12" s="40">
        <f>(E.3无形资产和其他资产摊销费估算表!G25)</f>
        <v>5.29151930053583</v>
      </c>
      <c r="E12" s="40">
        <f>(E.3无形资产和其他资产摊销费估算表!H25)</f>
        <v>10.3190625815438</v>
      </c>
      <c r="F12" s="40">
        <f>(E.3无形资产和其他资产摊销费估算表!I25)</f>
        <v>15.0694310420475</v>
      </c>
      <c r="G12" s="40">
        <f>(E.3无形资产和其他资产摊销费估算表!J25)</f>
        <v>14.2763030924661</v>
      </c>
      <c r="H12" s="40">
        <f>(E.3无形资产和其他资产摊销费估算表!K25)</f>
        <v>13.4831751428846</v>
      </c>
      <c r="I12" s="40">
        <f>(E.3无形资产和其他资产摊销费估算表!L25)</f>
        <v>12.6900471933032</v>
      </c>
      <c r="J12" s="40">
        <f>(E.3无形资产和其他资产摊销费估算表!M25)</f>
        <v>11.8969192437217</v>
      </c>
      <c r="K12" s="40">
        <f>(E.3无形资产和其他资产摊销费估算表!N25)</f>
        <v>11.1037912941403</v>
      </c>
      <c r="L12" s="40">
        <f>(E.3无形资产和其他资产摊销费估算表!O25)</f>
        <v>10.3106633445588</v>
      </c>
      <c r="M12" s="40">
        <f>(E.3无形资产和其他资产摊销费估算表!P25)</f>
        <v>9.51753539497737</v>
      </c>
      <c r="N12" s="40">
        <f>(E.3无形资产和其他资产摊销费估算表!Q25)</f>
        <v>8.72440744539592</v>
      </c>
      <c r="O12" s="40">
        <f>(E.3无形资产和其他资产摊销费估算表!R25)</f>
        <v>7.93127949581448</v>
      </c>
      <c r="P12" s="40">
        <f>(E.3无形资产和其他资产摊销费估算表!S25)</f>
        <v>7.13815154623303</v>
      </c>
      <c r="Q12" s="40">
        <f>(E.3无形资产和其他资产摊销费估算表!T25)</f>
        <v>6.34502359665158</v>
      </c>
      <c r="R12" s="40">
        <f>(E.3无形资产和其他资产摊销费估算表!U25)</f>
        <v>5.55189564707013</v>
      </c>
      <c r="S12" s="40">
        <f>(E.3无形资产和其他资产摊销费估算表!V25)</f>
        <v>4.75876769748869</v>
      </c>
      <c r="T12" s="40">
        <f>(E.3无形资产和其他资产摊销费估算表!W25)</f>
        <v>3.96563974790724</v>
      </c>
      <c r="U12" s="40">
        <f>(E.3无形资产和其他资产摊销费估算表!X25)</f>
        <v>3.17251179832579</v>
      </c>
      <c r="V12" s="40">
        <f>(E.3无形资产和其他资产摊销费估算表!Y25)</f>
        <v>2.37938384874434</v>
      </c>
      <c r="W12" s="40">
        <f>(E.3无形资产和其他资产摊销费估算表!Z25)</f>
        <v>1.58625589916289</v>
      </c>
      <c r="X12" s="40">
        <f>(E.3无形资产和其他资产摊销费估算表!AA25)</f>
        <v>0.793127949581447</v>
      </c>
      <c r="Y12" s="40">
        <f>(E.3无形资产和其他资产摊销费估算表!AB25)</f>
        <v>0</v>
      </c>
    </row>
    <row r="13" customHeight="1" spans="1:25">
      <c r="A13" s="8">
        <v>2</v>
      </c>
      <c r="B13" s="8" t="s">
        <v>482</v>
      </c>
      <c r="C13" s="14">
        <f t="shared" ref="C13:Y13" si="2">C21+C22</f>
        <v>335.274666666667</v>
      </c>
      <c r="D13" s="14">
        <f t="shared" si="2"/>
        <v>3049.52577877576</v>
      </c>
      <c r="E13" s="14">
        <f t="shared" si="2"/>
        <v>13539.0834976804</v>
      </c>
      <c r="F13" s="14">
        <f t="shared" si="2"/>
        <v>21627.6677258463</v>
      </c>
      <c r="G13" s="14">
        <f t="shared" si="2"/>
        <v>21091.9615655065</v>
      </c>
      <c r="H13" s="14">
        <f t="shared" si="2"/>
        <v>20577.875472594</v>
      </c>
      <c r="I13" s="14">
        <f t="shared" si="2"/>
        <v>19277.6762690116</v>
      </c>
      <c r="J13" s="14">
        <f t="shared" si="2"/>
        <v>18249.1590916162</v>
      </c>
      <c r="K13" s="14">
        <f t="shared" si="2"/>
        <v>17121.7797300137</v>
      </c>
      <c r="L13" s="14">
        <f t="shared" si="2"/>
        <v>15985.3730895417</v>
      </c>
      <c r="M13" s="14">
        <f t="shared" si="2"/>
        <v>14839.8037610174</v>
      </c>
      <c r="N13" s="14">
        <f t="shared" si="2"/>
        <v>13684.9343041199</v>
      </c>
      <c r="O13" s="14">
        <f t="shared" si="2"/>
        <v>12520.6252169236</v>
      </c>
      <c r="P13" s="14">
        <f t="shared" si="2"/>
        <v>11346.734904974</v>
      </c>
      <c r="Q13" s="14">
        <f t="shared" si="2"/>
        <v>10163.1196498999</v>
      </c>
      <c r="R13" s="14">
        <f t="shared" si="2"/>
        <v>8969.63357755433</v>
      </c>
      <c r="S13" s="14">
        <f t="shared" si="2"/>
        <v>7766.12862567827</v>
      </c>
      <c r="T13" s="14">
        <f t="shared" si="2"/>
        <v>6552.45451107875</v>
      </c>
      <c r="U13" s="14">
        <f t="shared" si="2"/>
        <v>5328.45869631491</v>
      </c>
      <c r="V13" s="14">
        <f t="shared" si="2"/>
        <v>4093.9863558843</v>
      </c>
      <c r="W13" s="14">
        <f t="shared" si="2"/>
        <v>864.233953013027</v>
      </c>
      <c r="X13" s="14">
        <f t="shared" si="2"/>
        <v>-10270.4918375689</v>
      </c>
      <c r="Y13" s="14">
        <f t="shared" si="2"/>
        <v>-21198.6630243767</v>
      </c>
    </row>
    <row r="14" customHeight="1" spans="1:25">
      <c r="A14" s="8">
        <v>2.1</v>
      </c>
      <c r="B14" s="8" t="s">
        <v>483</v>
      </c>
      <c r="C14" s="14">
        <f t="shared" ref="C14:Y14" si="3">SUM(C15:C18)</f>
        <v>0</v>
      </c>
      <c r="D14" s="14">
        <f t="shared" si="3"/>
        <v>0</v>
      </c>
      <c r="E14" s="14">
        <f t="shared" si="3"/>
        <v>0.764525993883792</v>
      </c>
      <c r="F14" s="14">
        <f t="shared" si="3"/>
        <v>0.764525993883792</v>
      </c>
      <c r="G14" s="14">
        <f t="shared" si="3"/>
        <v>0.775993883792049</v>
      </c>
      <c r="H14" s="14">
        <f t="shared" si="3"/>
        <v>0.78763379204893</v>
      </c>
      <c r="I14" s="14">
        <f t="shared" si="3"/>
        <v>0.799448298929664</v>
      </c>
      <c r="J14" s="14">
        <f t="shared" si="3"/>
        <v>0.811440023413609</v>
      </c>
      <c r="K14" s="14">
        <f t="shared" si="3"/>
        <v>0.823611623764809</v>
      </c>
      <c r="L14" s="14">
        <f t="shared" si="3"/>
        <v>0.835965798121284</v>
      </c>
      <c r="M14" s="14">
        <f t="shared" si="3"/>
        <v>0.848505285093104</v>
      </c>
      <c r="N14" s="14">
        <f t="shared" si="3"/>
        <v>0.861232864369503</v>
      </c>
      <c r="O14" s="14">
        <f t="shared" si="3"/>
        <v>0.874151357335046</v>
      </c>
      <c r="P14" s="14">
        <f t="shared" si="3"/>
        <v>0.887263627695069</v>
      </c>
      <c r="Q14" s="14">
        <f t="shared" si="3"/>
        <v>0.900572582110497</v>
      </c>
      <c r="R14" s="14">
        <f t="shared" si="3"/>
        <v>0.914081170842148</v>
      </c>
      <c r="S14" s="14">
        <f t="shared" si="3"/>
        <v>0.927792388404786</v>
      </c>
      <c r="T14" s="14">
        <f t="shared" si="3"/>
        <v>0.941709274230856</v>
      </c>
      <c r="U14" s="14">
        <f t="shared" si="3"/>
        <v>0.955834913344319</v>
      </c>
      <c r="V14" s="14">
        <f t="shared" si="3"/>
        <v>0.97017243704448</v>
      </c>
      <c r="W14" s="14">
        <f t="shared" si="3"/>
        <v>0.984725023600153</v>
      </c>
      <c r="X14" s="14">
        <f t="shared" si="3"/>
        <v>0.999495898954151</v>
      </c>
      <c r="Y14" s="14">
        <f t="shared" si="3"/>
        <v>1.01448833743846</v>
      </c>
    </row>
    <row r="15" customHeight="1" spans="1:25">
      <c r="A15" s="8" t="s">
        <v>106</v>
      </c>
      <c r="B15" s="8" t="s">
        <v>484</v>
      </c>
      <c r="C15" s="39">
        <v>0</v>
      </c>
      <c r="D15" s="39">
        <v>0</v>
      </c>
      <c r="E15" s="39">
        <v>0</v>
      </c>
      <c r="F15" s="39">
        <v>0</v>
      </c>
      <c r="G15" s="39">
        <v>0</v>
      </c>
      <c r="H15" s="39">
        <v>0</v>
      </c>
      <c r="I15" s="39">
        <v>0</v>
      </c>
      <c r="J15" s="39">
        <v>0</v>
      </c>
      <c r="K15" s="39">
        <v>0</v>
      </c>
      <c r="L15" s="39">
        <v>0</v>
      </c>
      <c r="M15" s="39">
        <v>0</v>
      </c>
      <c r="N15" s="39">
        <v>0</v>
      </c>
      <c r="O15" s="39">
        <v>0</v>
      </c>
      <c r="P15" s="39">
        <v>0</v>
      </c>
      <c r="Q15" s="39">
        <v>0</v>
      </c>
      <c r="R15" s="39">
        <v>0</v>
      </c>
      <c r="S15" s="39">
        <v>0</v>
      </c>
      <c r="T15" s="39">
        <v>0</v>
      </c>
      <c r="U15" s="39">
        <v>0</v>
      </c>
      <c r="V15" s="39">
        <v>0</v>
      </c>
      <c r="W15" s="39">
        <v>0</v>
      </c>
      <c r="X15" s="39">
        <v>0</v>
      </c>
      <c r="Y15" s="39">
        <v>0</v>
      </c>
    </row>
    <row r="16" customHeight="1" spans="1:25">
      <c r="A16" s="8" t="s">
        <v>108</v>
      </c>
      <c r="B16" s="8" t="s">
        <v>173</v>
      </c>
      <c r="C16" s="14">
        <f>D.4流动资金估算表!E12</f>
        <v>0</v>
      </c>
      <c r="D16" s="14">
        <f>D.4流动资金估算表!F12</f>
        <v>0</v>
      </c>
      <c r="E16" s="14">
        <f>D.4流动资金估算表!G12</f>
        <v>0.764525993883792</v>
      </c>
      <c r="F16" s="14">
        <f>D.4流动资金估算表!H12</f>
        <v>0.764525993883792</v>
      </c>
      <c r="G16" s="14">
        <f>D.4流动资金估算表!I12</f>
        <v>0.775993883792049</v>
      </c>
      <c r="H16" s="14">
        <f>D.4流动资金估算表!J12</f>
        <v>0.78763379204893</v>
      </c>
      <c r="I16" s="14">
        <f>D.4流动资金估算表!K12</f>
        <v>0.799448298929664</v>
      </c>
      <c r="J16" s="14">
        <f>D.4流动资金估算表!L12</f>
        <v>0.811440023413609</v>
      </c>
      <c r="K16" s="14">
        <f>D.4流动资金估算表!M12</f>
        <v>0.823611623764809</v>
      </c>
      <c r="L16" s="14">
        <f>D.4流动资金估算表!N12</f>
        <v>0.835965798121284</v>
      </c>
      <c r="M16" s="14">
        <f>D.4流动资金估算表!O12</f>
        <v>0.848505285093104</v>
      </c>
      <c r="N16" s="14">
        <f>D.4流动资金估算表!P12</f>
        <v>0.861232864369503</v>
      </c>
      <c r="O16" s="14">
        <f>D.4流动资金估算表!Q12</f>
        <v>0.874151357335046</v>
      </c>
      <c r="P16" s="14">
        <f>D.4流动资金估算表!R12</f>
        <v>0.887263627695069</v>
      </c>
      <c r="Q16" s="14">
        <f>D.4流动资金估算表!S12</f>
        <v>0.900572582110497</v>
      </c>
      <c r="R16" s="14">
        <f>D.4流动资金估算表!T12</f>
        <v>0.914081170842148</v>
      </c>
      <c r="S16" s="14">
        <f>D.4流动资金估算表!U12</f>
        <v>0.927792388404786</v>
      </c>
      <c r="T16" s="14">
        <f>D.4流动资金估算表!V12</f>
        <v>0.941709274230856</v>
      </c>
      <c r="U16" s="14">
        <f>D.4流动资金估算表!W12</f>
        <v>0.955834913344319</v>
      </c>
      <c r="V16" s="14">
        <f>D.4流动资金估算表!X12</f>
        <v>0.97017243704448</v>
      </c>
      <c r="W16" s="14">
        <f>D.4流动资金估算表!Y12</f>
        <v>0.984725023600153</v>
      </c>
      <c r="X16" s="14">
        <f>D.4流动资金估算表!Z12</f>
        <v>0.999495898954151</v>
      </c>
      <c r="Y16" s="14">
        <f>D.4流动资金估算表!AA12</f>
        <v>1.01448833743846</v>
      </c>
    </row>
    <row r="17" customHeight="1" spans="1:25">
      <c r="A17" s="8" t="s">
        <v>110</v>
      </c>
      <c r="B17" s="8" t="s">
        <v>485</v>
      </c>
      <c r="C17" s="39">
        <v>0</v>
      </c>
      <c r="D17" s="39">
        <v>0</v>
      </c>
      <c r="E17" s="39">
        <v>0</v>
      </c>
      <c r="F17" s="39">
        <v>0</v>
      </c>
      <c r="G17" s="39">
        <v>0</v>
      </c>
      <c r="H17" s="39">
        <v>0</v>
      </c>
      <c r="I17" s="39">
        <v>0</v>
      </c>
      <c r="J17" s="39">
        <v>0</v>
      </c>
      <c r="K17" s="39">
        <v>0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39">
        <v>0</v>
      </c>
      <c r="R17" s="39">
        <v>0</v>
      </c>
      <c r="S17" s="39">
        <v>0</v>
      </c>
      <c r="T17" s="39">
        <v>0</v>
      </c>
      <c r="U17" s="39">
        <v>0</v>
      </c>
      <c r="V17" s="39">
        <v>0</v>
      </c>
      <c r="W17" s="39">
        <v>0</v>
      </c>
      <c r="X17" s="39">
        <v>0</v>
      </c>
      <c r="Y17" s="39">
        <v>0</v>
      </c>
    </row>
    <row r="18" customHeight="1" spans="1:25">
      <c r="A18" s="8" t="s">
        <v>486</v>
      </c>
      <c r="B18" s="8" t="s">
        <v>478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  <c r="L18" s="39">
        <v>0</v>
      </c>
      <c r="M18" s="39">
        <v>0</v>
      </c>
      <c r="N18" s="39">
        <v>0</v>
      </c>
      <c r="O18" s="39">
        <v>0</v>
      </c>
      <c r="P18" s="39">
        <v>0</v>
      </c>
      <c r="Q18" s="39">
        <v>0</v>
      </c>
      <c r="R18" s="39">
        <v>0</v>
      </c>
      <c r="S18" s="39">
        <v>0</v>
      </c>
      <c r="T18" s="39">
        <v>0</v>
      </c>
      <c r="U18" s="39">
        <v>0</v>
      </c>
      <c r="V18" s="39">
        <v>0</v>
      </c>
      <c r="W18" s="39">
        <v>0</v>
      </c>
      <c r="X18" s="39">
        <v>0</v>
      </c>
      <c r="Y18" s="39">
        <v>0</v>
      </c>
    </row>
    <row r="19" s="37" customFormat="1" customHeight="1" spans="1:25">
      <c r="A19" s="41">
        <v>2.2</v>
      </c>
      <c r="B19" s="41" t="s">
        <v>467</v>
      </c>
      <c r="C19" s="12">
        <f>(c借款还本付息计划表!D35)</f>
        <v>2000</v>
      </c>
      <c r="D19" s="12">
        <f>(c借款还本付息计划表!E35)</f>
        <v>12000</v>
      </c>
      <c r="E19" s="12">
        <f>(c借款还本付息计划表!F35)</f>
        <v>22000</v>
      </c>
      <c r="F19" s="12">
        <f>(c借款还本付息计划表!G35)</f>
        <v>22000</v>
      </c>
      <c r="G19" s="12">
        <f>(c借款还本付息计划表!H35)</f>
        <v>22000</v>
      </c>
      <c r="H19" s="12">
        <f>(c借款还本付息计划表!I35)</f>
        <v>22000</v>
      </c>
      <c r="I19" s="12">
        <f>(c借款还本付息计划表!J35)</f>
        <v>22000</v>
      </c>
      <c r="J19" s="12">
        <f>(c借款还本付息计划表!K35)</f>
        <v>22000</v>
      </c>
      <c r="K19" s="12">
        <f>(c借款还本付息计划表!L35)</f>
        <v>22000</v>
      </c>
      <c r="L19" s="12">
        <f>(c借款还本付息计划表!M35)</f>
        <v>22000</v>
      </c>
      <c r="M19" s="12">
        <f>(c借款还本付息计划表!N35)</f>
        <v>22000</v>
      </c>
      <c r="N19" s="12">
        <f>(c借款还本付息计划表!O35)</f>
        <v>22000</v>
      </c>
      <c r="O19" s="12">
        <f>(c借款还本付息计划表!P35)</f>
        <v>22000</v>
      </c>
      <c r="P19" s="12">
        <f>(c借款还本付息计划表!Q35)</f>
        <v>22000</v>
      </c>
      <c r="Q19" s="12">
        <f>(c借款还本付息计划表!R35)</f>
        <v>22000</v>
      </c>
      <c r="R19" s="12">
        <f>(c借款还本付息计划表!S35)</f>
        <v>22000</v>
      </c>
      <c r="S19" s="12">
        <f>(c借款还本付息计划表!T35)</f>
        <v>22000</v>
      </c>
      <c r="T19" s="12">
        <f>(c借款还本付息计划表!U35)</f>
        <v>22000</v>
      </c>
      <c r="U19" s="12">
        <f>(c借款还本付息计划表!V35)</f>
        <v>22000</v>
      </c>
      <c r="V19" s="12">
        <f>(c借款还本付息计划表!W35)</f>
        <v>22000</v>
      </c>
      <c r="W19" s="12">
        <f>(c借款还本付息计划表!X35)</f>
        <v>20000</v>
      </c>
      <c r="X19" s="12">
        <f>(c借款还本付息计划表!Y35)</f>
        <v>10000</v>
      </c>
      <c r="Y19" s="12">
        <f>(c借款还本付息计划表!Z35)</f>
        <v>0</v>
      </c>
    </row>
    <row r="20" customHeight="1" spans="1:25">
      <c r="A20" s="8">
        <v>2.3</v>
      </c>
      <c r="B20" s="8" t="s">
        <v>487</v>
      </c>
      <c r="C20" s="14">
        <f>D.4流动资金估算表!E15</f>
        <v>0</v>
      </c>
      <c r="D20" s="14">
        <f>D.4流动资金估算表!F15</f>
        <v>0</v>
      </c>
      <c r="E20" s="14">
        <f>D.4流动资金估算表!G15</f>
        <v>0</v>
      </c>
      <c r="F20" s="14">
        <f>D.4流动资金估算表!H15</f>
        <v>0</v>
      </c>
      <c r="G20" s="14">
        <f>D.4流动资金估算表!I15</f>
        <v>0</v>
      </c>
      <c r="H20" s="14">
        <f>D.4流动资金估算表!J15</f>
        <v>0</v>
      </c>
      <c r="I20" s="14">
        <f>D.4流动资金估算表!K15</f>
        <v>0</v>
      </c>
      <c r="J20" s="14">
        <f>D.4流动资金估算表!L15</f>
        <v>0</v>
      </c>
      <c r="K20" s="14">
        <f>D.4流动资金估算表!M15</f>
        <v>0</v>
      </c>
      <c r="L20" s="14">
        <f>D.4流动资金估算表!N15</f>
        <v>0</v>
      </c>
      <c r="M20" s="14">
        <f>D.4流动资金估算表!O15</f>
        <v>0</v>
      </c>
      <c r="N20" s="14">
        <f>D.4流动资金估算表!P15</f>
        <v>0</v>
      </c>
      <c r="O20" s="14">
        <f>D.4流动资金估算表!Q15</f>
        <v>0</v>
      </c>
      <c r="P20" s="14">
        <f>D.4流动资金估算表!R15</f>
        <v>0</v>
      </c>
      <c r="Q20" s="14">
        <f>D.4流动资金估算表!S15</f>
        <v>0</v>
      </c>
      <c r="R20" s="14">
        <f>D.4流动资金估算表!T15</f>
        <v>0</v>
      </c>
      <c r="S20" s="14">
        <f>D.4流动资金估算表!U15</f>
        <v>0</v>
      </c>
      <c r="T20" s="14">
        <f>D.4流动资金估算表!V15</f>
        <v>0</v>
      </c>
      <c r="U20" s="14">
        <f>D.4流动资金估算表!W15</f>
        <v>0</v>
      </c>
      <c r="V20" s="14">
        <f>D.4流动资金估算表!X15</f>
        <v>0</v>
      </c>
      <c r="W20" s="14">
        <f>D.4流动资金估算表!Y15</f>
        <v>0</v>
      </c>
      <c r="X20" s="14">
        <f>D.4流动资金估算表!Z15</f>
        <v>0</v>
      </c>
      <c r="Y20" s="14">
        <f>D.4流动资金估算表!AA15</f>
        <v>0</v>
      </c>
    </row>
    <row r="21" customHeight="1" spans="1:25">
      <c r="A21" s="8">
        <v>2.4</v>
      </c>
      <c r="B21" s="8" t="s">
        <v>488</v>
      </c>
      <c r="C21" s="14">
        <f t="shared" ref="C21:Y21" si="4">C14+C19+C20</f>
        <v>2000</v>
      </c>
      <c r="D21" s="14">
        <f t="shared" si="4"/>
        <v>12000</v>
      </c>
      <c r="E21" s="14">
        <f t="shared" si="4"/>
        <v>22000.7645259939</v>
      </c>
      <c r="F21" s="14">
        <f t="shared" si="4"/>
        <v>22000.7645259939</v>
      </c>
      <c r="G21" s="14">
        <f t="shared" si="4"/>
        <v>22000.7759938838</v>
      </c>
      <c r="H21" s="14">
        <f t="shared" si="4"/>
        <v>22000.787633792</v>
      </c>
      <c r="I21" s="14">
        <f t="shared" si="4"/>
        <v>22000.7994482989</v>
      </c>
      <c r="J21" s="14">
        <f t="shared" si="4"/>
        <v>22000.8114400234</v>
      </c>
      <c r="K21" s="14">
        <f t="shared" si="4"/>
        <v>22000.8236116238</v>
      </c>
      <c r="L21" s="14">
        <f t="shared" si="4"/>
        <v>22000.8359657981</v>
      </c>
      <c r="M21" s="14">
        <f t="shared" si="4"/>
        <v>22000.8485052851</v>
      </c>
      <c r="N21" s="14">
        <f t="shared" si="4"/>
        <v>22000.8612328644</v>
      </c>
      <c r="O21" s="14">
        <f t="shared" si="4"/>
        <v>22000.8741513573</v>
      </c>
      <c r="P21" s="14">
        <f t="shared" si="4"/>
        <v>22000.8872636277</v>
      </c>
      <c r="Q21" s="14">
        <f t="shared" si="4"/>
        <v>22000.9005725821</v>
      </c>
      <c r="R21" s="14">
        <f t="shared" si="4"/>
        <v>22000.9140811708</v>
      </c>
      <c r="S21" s="14">
        <f t="shared" si="4"/>
        <v>22000.9277923884</v>
      </c>
      <c r="T21" s="14">
        <f t="shared" si="4"/>
        <v>22000.9417092742</v>
      </c>
      <c r="U21" s="14">
        <f t="shared" si="4"/>
        <v>22000.9558349133</v>
      </c>
      <c r="V21" s="14">
        <f t="shared" si="4"/>
        <v>22000.970172437</v>
      </c>
      <c r="W21" s="14">
        <f t="shared" si="4"/>
        <v>20000.9847250236</v>
      </c>
      <c r="X21" s="14">
        <f t="shared" si="4"/>
        <v>10000.999495899</v>
      </c>
      <c r="Y21" s="14">
        <f t="shared" si="4"/>
        <v>1.01448833743846</v>
      </c>
    </row>
    <row r="22" customHeight="1" spans="1:25">
      <c r="A22" s="8">
        <v>2.5</v>
      </c>
      <c r="B22" s="8" t="s">
        <v>489</v>
      </c>
      <c r="C22" s="14">
        <f t="shared" ref="C22:Y22" si="5">SUM(C23:C26)</f>
        <v>-1664.72533333333</v>
      </c>
      <c r="D22" s="14">
        <f t="shared" si="5"/>
        <v>-8950.47422122424</v>
      </c>
      <c r="E22" s="14">
        <f t="shared" si="5"/>
        <v>-8461.68102831345</v>
      </c>
      <c r="F22" s="14">
        <f t="shared" si="5"/>
        <v>-373.096800147585</v>
      </c>
      <c r="G22" s="14">
        <f t="shared" si="5"/>
        <v>-908.814428377314</v>
      </c>
      <c r="H22" s="14">
        <f t="shared" si="5"/>
        <v>-1422.91216119803</v>
      </c>
      <c r="I22" s="14">
        <f t="shared" si="5"/>
        <v>-2723.12317928738</v>
      </c>
      <c r="J22" s="14">
        <f t="shared" si="5"/>
        <v>-3751.65234840719</v>
      </c>
      <c r="K22" s="14">
        <f t="shared" si="5"/>
        <v>-4879.04388161011</v>
      </c>
      <c r="L22" s="14">
        <f t="shared" si="5"/>
        <v>-6015.4628762564</v>
      </c>
      <c r="M22" s="14">
        <f t="shared" si="5"/>
        <v>-7161.04474426771</v>
      </c>
      <c r="N22" s="14">
        <f t="shared" si="5"/>
        <v>-8315.9269287445</v>
      </c>
      <c r="O22" s="14">
        <f t="shared" si="5"/>
        <v>-9480.24893443376</v>
      </c>
      <c r="P22" s="14">
        <f t="shared" si="5"/>
        <v>-10654.1523586537</v>
      </c>
      <c r="Q22" s="14">
        <f t="shared" si="5"/>
        <v>-11837.7809226822</v>
      </c>
      <c r="R22" s="14">
        <f t="shared" si="5"/>
        <v>-13031.2805036165</v>
      </c>
      <c r="S22" s="14">
        <f t="shared" si="5"/>
        <v>-14234.7991667101</v>
      </c>
      <c r="T22" s="14">
        <f t="shared" si="5"/>
        <v>-15448.4871981955</v>
      </c>
      <c r="U22" s="14">
        <f t="shared" si="5"/>
        <v>-16672.4971385984</v>
      </c>
      <c r="V22" s="14">
        <f t="shared" si="5"/>
        <v>-17906.9838165527</v>
      </c>
      <c r="W22" s="14">
        <f t="shared" si="5"/>
        <v>-19136.7507720106</v>
      </c>
      <c r="X22" s="14">
        <f t="shared" si="5"/>
        <v>-20271.4913334678</v>
      </c>
      <c r="Y22" s="14">
        <f t="shared" si="5"/>
        <v>-21199.6775127142</v>
      </c>
    </row>
    <row r="23" customHeight="1" spans="1:25">
      <c r="A23" s="8" t="s">
        <v>490</v>
      </c>
      <c r="B23" s="8" t="s">
        <v>491</v>
      </c>
      <c r="C23" s="14">
        <f>D.2项目总投资使用计划与资金筹措表!D8</f>
        <v>-1664.72533333333</v>
      </c>
      <c r="D23" s="14">
        <f>D.2项目总投资使用计划与资金筹措表!E8</f>
        <v>-9203.04900472222</v>
      </c>
      <c r="E23" s="14">
        <f>D.2项目总投资使用计划与资金筹措表!F8</f>
        <v>-8660.96785567249</v>
      </c>
      <c r="F23" s="14">
        <f>D.2项目总投资使用计划与资金筹措表!G8</f>
        <v>25.5057459260237</v>
      </c>
      <c r="G23" s="14">
        <f>D.2项目总投资使用计划与资金筹措表!H8</f>
        <v>2.00294906213635</v>
      </c>
      <c r="H23" s="14">
        <f>D.2项目总投资使用计划与资金筹措表!I8</f>
        <v>1.70540852306837</v>
      </c>
      <c r="I23" s="14">
        <f>D.2项目总投资使用计划与资金筹措表!J8</f>
        <v>-89.3683061750856</v>
      </c>
      <c r="J23" s="14">
        <f>D.2项目总投资使用计划与资金筹措表!K8</f>
        <v>0.609007333288098</v>
      </c>
      <c r="K23" s="14">
        <f>D.2项目总投资使用计划与资金筹措表!L8</f>
        <v>0.618142443287468</v>
      </c>
      <c r="L23" s="14">
        <f>D.2项目总投资使用计划与资金筹措表!M8</f>
        <v>0.627414579936733</v>
      </c>
      <c r="M23" s="14">
        <f>D.2项目总投资使用计划与资金筹措表!N8</f>
        <v>0.636825798635861</v>
      </c>
      <c r="N23" s="14">
        <f>D.2项目总投资使用计划与资金筹措表!O8</f>
        <v>0.646378185615319</v>
      </c>
      <c r="O23" s="14">
        <f>D.2项目总投资使用计划与资金筹措表!P8</f>
        <v>0.656073858399608</v>
      </c>
      <c r="P23" s="14">
        <f>D.2项目总投资使用计划与资金筹措表!Q8</f>
        <v>0.66591496627553</v>
      </c>
      <c r="Q23" s="14">
        <f>D.2项目总投资使用计划与资金筹措表!R8</f>
        <v>0.675903690769722</v>
      </c>
      <c r="R23" s="14">
        <f>D.2项目总投资使用计划与资金筹措表!S8</f>
        <v>0.686042246131201</v>
      </c>
      <c r="S23" s="14">
        <f>D.2项目总投资使用计划与资金筹措表!T8</f>
        <v>0.696332879823281</v>
      </c>
      <c r="T23" s="14">
        <f>D.2项目总投资使用计划与资金筹措表!U8</f>
        <v>0.706777873020513</v>
      </c>
      <c r="U23" s="14">
        <f>D.2项目总投资使用计划与资金筹措表!V8</f>
        <v>0.717379541115946</v>
      </c>
      <c r="V23" s="14">
        <f>D.2项目总投资使用计划与资金筹措表!W8</f>
        <v>0.728140234232569</v>
      </c>
      <c r="W23" s="14">
        <f>D.2项目总投资使用计划与资金筹措表!X8</f>
        <v>0.746006782190548</v>
      </c>
      <c r="X23" s="14">
        <f>D.2项目总投资使用计划与资金筹措表!Y8</f>
        <v>0.777764106145639</v>
      </c>
      <c r="Y23" s="14">
        <f>D.2项目总投资使用计划与资金筹措表!Z8</f>
        <v>0.76059077468225</v>
      </c>
    </row>
    <row r="24" customHeight="1" spans="1:25">
      <c r="A24" s="8" t="s">
        <v>492</v>
      </c>
      <c r="B24" s="8" t="s">
        <v>493</v>
      </c>
      <c r="C24" s="14">
        <f>'b利润与利润分配表（损益和利润分配表）'!D15</f>
        <v>0</v>
      </c>
      <c r="D24" s="14">
        <f>'b利润与利润分配表（损益和利润分配表）'!E15</f>
        <v>25.2574783497987</v>
      </c>
      <c r="E24" s="14">
        <f>'b利润与利润分配表（损益和利润分配表）'!F15</f>
        <v>-1.66646125317404</v>
      </c>
      <c r="F24" s="14">
        <f>'b利润与利润分配表（损益和利润分配表）'!G15</f>
        <v>-60.0305742249749</v>
      </c>
      <c r="G24" s="14">
        <f>'b利润与利润分配表（损益和利润分配表）'!H15</f>
        <v>-59.9259163992056</v>
      </c>
      <c r="H24" s="14">
        <f>'b利润与利润分配表（损益和利润分配表）'!I15</f>
        <v>-60.0692771060498</v>
      </c>
      <c r="I24" s="14">
        <f>'b利润与利润分配表（损益和利润分配表）'!J15</f>
        <v>-129.623775519497</v>
      </c>
      <c r="J24" s="14">
        <f>'b利润与利润分配表（损益和利润分配表）'!K15</f>
        <v>-130.646095713145</v>
      </c>
      <c r="K24" s="14">
        <f>'b利润与利润分配表（损益和利润分配表）'!L15</f>
        <v>-131.683750709699</v>
      </c>
      <c r="L24" s="14">
        <f>'b利润与利润分配表（损益和利润分配表）'!M15</f>
        <v>-132.7369705312</v>
      </c>
      <c r="M24" s="14">
        <f>'b利润与利润分配表（损益和利润分配表）'!N15</f>
        <v>-133.805988650024</v>
      </c>
      <c r="N24" s="14">
        <f>'b利润与利润分配表（损益和利润分配表）'!O15</f>
        <v>-134.891042040631</v>
      </c>
      <c r="O24" s="14">
        <f>'b利润与利润分配表（损益和利润分配表）'!P15</f>
        <v>-135.992371232096</v>
      </c>
      <c r="P24" s="14">
        <f>'b利润与利润分配表（损益和利润分配表）'!Q15</f>
        <v>-137.110220361434</v>
      </c>
      <c r="Q24" s="14">
        <f>'b利润与利润分配表（损益和利润分配表）'!R15</f>
        <v>-138.244837227711</v>
      </c>
      <c r="R24" s="14">
        <f>'b利润与利润分配表（损益和利润分配表）'!S15</f>
        <v>-139.396473346983</v>
      </c>
      <c r="S24" s="14">
        <f>'b利润与利润分配表（损益和利润分配表）'!T15</f>
        <v>-140.565384008044</v>
      </c>
      <c r="T24" s="14">
        <f>'b利润与利润分配表（损益和利润分配表）'!U15</f>
        <v>-141.751828329021</v>
      </c>
      <c r="U24" s="14">
        <f>'b利润与利润分配表（损益和利润分配表）'!V15</f>
        <v>-142.956069314812</v>
      </c>
      <c r="V24" s="14">
        <f>'b利润与利润分配表（损益和利润分配表）'!W15</f>
        <v>-144.178373915391</v>
      </c>
      <c r="W24" s="14">
        <f>'b利润与利润分配表（损益和利润分配表）'!X15</f>
        <v>-143.884346418311</v>
      </c>
      <c r="X24" s="14">
        <f>'b利润与利润分配表（损益和利润分配表）'!Y15</f>
        <v>-134.340462108775</v>
      </c>
      <c r="Y24" s="14">
        <f>'b利润与利润分配表（损益和利润分配表）'!Z15</f>
        <v>-112.296267597263</v>
      </c>
    </row>
    <row r="25" customHeight="1" spans="1:25">
      <c r="A25" s="8" t="s">
        <v>494</v>
      </c>
      <c r="B25" s="8" t="s">
        <v>495</v>
      </c>
      <c r="C25" s="14">
        <f>'b利润与利润分配表（损益和利润分配表）'!D18</f>
        <v>0</v>
      </c>
      <c r="D25" s="14">
        <f>'b利润与利润分配表（损益和利润分配表）'!E18</f>
        <v>11.3658652574094</v>
      </c>
      <c r="E25" s="14">
        <f>'b利润与利润分配表（损益和利润分配表）'!F18</f>
        <v>-0.749907563928319</v>
      </c>
      <c r="F25" s="14">
        <f>'b利润与利润分配表（损益和利润分配表）'!G18</f>
        <v>-27.0137584012387</v>
      </c>
      <c r="G25" s="14">
        <f>'b利润与利润分配表（损益和利润分配表）'!H18</f>
        <v>-26.9666623796425</v>
      </c>
      <c r="H25" s="14">
        <f>'b利润与利润分配表（损益和利润分配表）'!I18</f>
        <v>-27.0311746977224</v>
      </c>
      <c r="I25" s="14">
        <f>'b利润与利润分配表（损益和利润分配表）'!J18</f>
        <v>-58.3306989837735</v>
      </c>
      <c r="J25" s="14">
        <f>'b利润与利润分配表（损益和利润分配表）'!K18</f>
        <v>-58.7907430709153</v>
      </c>
      <c r="K25" s="14">
        <f>'b利润与利润分配表（损益和利润分配表）'!L18</f>
        <v>-59.2576878193643</v>
      </c>
      <c r="L25" s="14">
        <f>'b利润与利润分配表（损益和利润分配表）'!M18</f>
        <v>-59.73163673904</v>
      </c>
      <c r="M25" s="14">
        <f>'b利润与利润分配表（损益和利润分配表）'!N18</f>
        <v>-60.2126948925109</v>
      </c>
      <c r="N25" s="14">
        <f>'b利润与利润分配表（损益和利润分配表）'!O18</f>
        <v>-60.7009689182838</v>
      </c>
      <c r="O25" s="14">
        <f>'b利润与利润分配表（损益和利润分配表）'!P18</f>
        <v>-61.1965670544433</v>
      </c>
      <c r="P25" s="14">
        <f>'b利润与利润分配表（损益和利润分配表）'!Q18</f>
        <v>-61.6995991626452</v>
      </c>
      <c r="Q25" s="14">
        <f>'b利润与利润分配表（损益和利润分配表）'!R18</f>
        <v>-62.2101767524701</v>
      </c>
      <c r="R25" s="14">
        <f>'b利润与利润分配表（损益和利润分配表）'!S18</f>
        <v>-62.7284130061424</v>
      </c>
      <c r="S25" s="14">
        <f>'b利润与利润分配表（损益和利润分配表）'!T18</f>
        <v>-63.2544228036198</v>
      </c>
      <c r="T25" s="14">
        <f>'b利润与利润分配表（损益和利润分配表）'!U18</f>
        <v>-63.7883227480593</v>
      </c>
      <c r="U25" s="14">
        <f>'b利润与利润分配表（损益和利润分配表）'!V18</f>
        <v>-64.3302311916655</v>
      </c>
      <c r="V25" s="14">
        <f>'b利润与利润分配表（损益和利润分配表）'!W18</f>
        <v>-64.8802682619257</v>
      </c>
      <c r="W25" s="14">
        <f>'b利润与利润分配表（损益和利润分配表）'!X18</f>
        <v>-64.7479558882399</v>
      </c>
      <c r="X25" s="14">
        <f>'b利润与利润分配表（损益和利润分配表）'!Y18</f>
        <v>-60.4532079489487</v>
      </c>
      <c r="Y25" s="14">
        <f>'b利润与利润分配表（损益和利润分配表）'!Z18</f>
        <v>-50.5333204187682</v>
      </c>
    </row>
    <row r="26" customHeight="1" spans="1:25">
      <c r="A26" s="8" t="s">
        <v>496</v>
      </c>
      <c r="B26" s="8" t="s">
        <v>417</v>
      </c>
      <c r="C26" s="14">
        <f>'b利润与利润分配表（损益和利润分配表）'!D24</f>
        <v>0</v>
      </c>
      <c r="D26" s="14">
        <f>'b利润与利润分配表（损益和利润分配表）'!E24</f>
        <v>215.951439890779</v>
      </c>
      <c r="E26" s="14">
        <f>'b利润与利润分配表（损益和利润分配表）'!F24</f>
        <v>201.70319617614</v>
      </c>
      <c r="F26" s="14">
        <f>'b利润与利润分配表（损益和利润分配表）'!G24</f>
        <v>-311.558213447395</v>
      </c>
      <c r="G26" s="14">
        <f>'b利润与利润分配表（损益和利润分配表）'!H24</f>
        <v>-823.924798660603</v>
      </c>
      <c r="H26" s="14">
        <f>'b利润与利润分配表（损益和利润分配表）'!I24</f>
        <v>-1337.51711791733</v>
      </c>
      <c r="I26" s="14">
        <f>'b利润与利润分配表（损益和利润分配表）'!J24</f>
        <v>-2445.80039860903</v>
      </c>
      <c r="J26" s="14">
        <f>'b利润与利润分配表（损益和利润分配表）'!K24</f>
        <v>-3562.82451695642</v>
      </c>
      <c r="K26" s="14">
        <f>'b利润与利润分配表（损益和利润分配表）'!L24</f>
        <v>-4688.72058552434</v>
      </c>
      <c r="L26" s="14">
        <f>'b利润与利润分配表（损益和利润分配表）'!M24</f>
        <v>-5823.6216835661</v>
      </c>
      <c r="M26" s="14">
        <f>'b利润与利润分配表（损益和利润分配表）'!N24</f>
        <v>-6967.66288652381</v>
      </c>
      <c r="N26" s="14">
        <f>'b利润与利润分配表（损益和利润分配表）'!O24</f>
        <v>-8120.9812959712</v>
      </c>
      <c r="O26" s="14">
        <f>'b利润与利润分配表（损益和利润分配表）'!P24</f>
        <v>-9283.71607000562</v>
      </c>
      <c r="P26" s="14">
        <f>'b利润与利润分配表（损益和利润分配表）'!Q24</f>
        <v>-10456.0084540959</v>
      </c>
      <c r="Q26" s="14">
        <f>'b利润与利润分配表（损益和利润分配表）'!R24</f>
        <v>-11638.0018123928</v>
      </c>
      <c r="R26" s="14">
        <f>'b利润与利润分配表（损益和利润分配表）'!S24</f>
        <v>-12829.8416595095</v>
      </c>
      <c r="S26" s="14">
        <f>'b利润与利润分配表（损益和利润分配表）'!T24</f>
        <v>-14031.6756927783</v>
      </c>
      <c r="T26" s="14">
        <f>'b利润与利润分配表（损益和利润分配表）'!U24</f>
        <v>-15243.6538249914</v>
      </c>
      <c r="U26" s="14">
        <f>'b利润与利润分配表（损益和利润分配表）'!V24</f>
        <v>-16465.9282176331</v>
      </c>
      <c r="V26" s="14">
        <f>'b利润与利润分配表（损益和利润分配表）'!W24</f>
        <v>-17698.6533146097</v>
      </c>
      <c r="W26" s="14">
        <f>'b利润与利润分配表（损益和利润分配表）'!X24</f>
        <v>-18928.8644764862</v>
      </c>
      <c r="X26" s="14">
        <f>'b利润与利润分配表（损益和利润分配表）'!Y24</f>
        <v>-20077.4754275162</v>
      </c>
      <c r="Y26" s="14">
        <f>'b利润与利润分配表（损益和利润分配表）'!Z24</f>
        <v>-21037.6085154728</v>
      </c>
    </row>
    <row r="27" customHeight="1" spans="1:25">
      <c r="A27" s="42" t="s">
        <v>497</v>
      </c>
      <c r="B27" s="4"/>
      <c r="C27" s="26">
        <f t="shared" ref="C27:Y27" si="6">C21/C3</f>
        <v>5.26344957497054</v>
      </c>
      <c r="D27" s="26">
        <f t="shared" si="6"/>
        <v>7.50613828459823</v>
      </c>
      <c r="E27" s="26">
        <f t="shared" si="6"/>
        <v>7.18213536370843</v>
      </c>
      <c r="F27" s="26">
        <f t="shared" si="6"/>
        <v>9.13932633449589</v>
      </c>
      <c r="G27" s="26">
        <f t="shared" si="6"/>
        <v>12.0859154428793</v>
      </c>
      <c r="H27" s="26">
        <f t="shared" si="6"/>
        <v>17.5254074369262</v>
      </c>
      <c r="I27" s="26">
        <f t="shared" si="6"/>
        <v>-99.4149602496243</v>
      </c>
      <c r="J27" s="26">
        <f t="shared" si="6"/>
        <v>-15.3084761424471</v>
      </c>
      <c r="K27" s="26">
        <f t="shared" si="6"/>
        <v>-7.99052662844405</v>
      </c>
      <c r="L27" s="26">
        <f t="shared" si="6"/>
        <v>-5.39225064662556</v>
      </c>
      <c r="M27" s="26">
        <f t="shared" si="6"/>
        <v>-4.06108143788366</v>
      </c>
      <c r="N27" s="26">
        <f t="shared" si="6"/>
        <v>-3.25181039968352</v>
      </c>
      <c r="O27" s="26">
        <f t="shared" si="6"/>
        <v>-2.70780923816253</v>
      </c>
      <c r="P27" s="26">
        <f t="shared" si="6"/>
        <v>-2.31700837447479</v>
      </c>
      <c r="Q27" s="26">
        <f t="shared" si="6"/>
        <v>-2.02267431990993</v>
      </c>
      <c r="R27" s="26">
        <f t="shared" si="6"/>
        <v>-1.79300861237458</v>
      </c>
      <c r="S27" s="26">
        <f t="shared" si="6"/>
        <v>-1.60880498079888</v>
      </c>
      <c r="T27" s="26">
        <f t="shared" si="6"/>
        <v>-1.45777770420755</v>
      </c>
      <c r="U27" s="26">
        <f t="shared" si="6"/>
        <v>-1.3317021194708</v>
      </c>
      <c r="V27" s="26">
        <f t="shared" si="6"/>
        <v>-1.22486471896976</v>
      </c>
      <c r="W27" s="26">
        <f t="shared" si="6"/>
        <v>-0.933945901531874</v>
      </c>
      <c r="X27" s="26">
        <f t="shared" si="6"/>
        <v>-0.304575302650022</v>
      </c>
      <c r="Y27" s="26">
        <f t="shared" si="6"/>
        <v>-2.30377971003887e-5</v>
      </c>
    </row>
  </sheetData>
  <mergeCells count="2">
    <mergeCell ref="A1:H1"/>
    <mergeCell ref="A27:B27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FFC000"/>
  </sheetPr>
  <dimension ref="A1:G4"/>
  <sheetViews>
    <sheetView workbookViewId="0">
      <selection activeCell="E7" sqref="E7"/>
    </sheetView>
  </sheetViews>
  <sheetFormatPr defaultColWidth="14.7818181818182" defaultRowHeight="28.05" customHeight="1" outlineLevelRow="3" outlineLevelCol="6"/>
  <cols>
    <col min="1" max="1" width="20.2181818181818" style="1" customWidth="1"/>
    <col min="2" max="2" width="14.7818181818182" style="1" customWidth="1"/>
    <col min="3" max="3" width="17.7818181818182" style="1" customWidth="1"/>
    <col min="4" max="4" width="14.7818181818182" style="1" customWidth="1"/>
  </cols>
  <sheetData>
    <row r="1" customHeight="1" spans="1:7">
      <c r="A1" s="2" t="s">
        <v>498</v>
      </c>
      <c r="B1" s="3"/>
      <c r="C1" s="3"/>
      <c r="D1" s="3"/>
      <c r="E1" s="3"/>
      <c r="F1" s="3"/>
      <c r="G1" s="4"/>
    </row>
    <row r="2" customHeight="1" spans="1:7">
      <c r="A2" s="5" t="s">
        <v>499</v>
      </c>
      <c r="B2" s="5" t="s">
        <v>500</v>
      </c>
      <c r="C2" s="5" t="s">
        <v>140</v>
      </c>
      <c r="D2" s="5" t="s">
        <v>501</v>
      </c>
      <c r="E2" s="5" t="s">
        <v>102</v>
      </c>
      <c r="F2" s="5" t="s">
        <v>103</v>
      </c>
      <c r="G2" s="5" t="s">
        <v>95</v>
      </c>
    </row>
    <row r="3" customHeight="1" spans="1:7">
      <c r="A3" s="8" t="s">
        <v>502</v>
      </c>
      <c r="B3" s="9">
        <f>D.3建设投资分年计划表!D3</f>
        <v>1824</v>
      </c>
      <c r="C3" s="9">
        <f>D.3建设投资分年计划表!D13</f>
        <v>24</v>
      </c>
      <c r="D3" s="9">
        <f>D.3建设投资分年计划表!D19</f>
        <v>6</v>
      </c>
      <c r="E3" s="9">
        <f>D.2项目总投资使用计划与资金筹措表!C5</f>
        <v>516.501333333333</v>
      </c>
      <c r="F3" s="9">
        <f>D.2项目总投资使用计划与资金筹措表!C6</f>
        <v>51.5569655683145</v>
      </c>
      <c r="G3" s="9">
        <f>SUM(B3:F3)</f>
        <v>2422.05829890165</v>
      </c>
    </row>
    <row r="4" customHeight="1" spans="1:7">
      <c r="A4" s="8" t="s">
        <v>503</v>
      </c>
      <c r="B4" s="26">
        <f>B3/$G$3</f>
        <v>0.75307848734572</v>
      </c>
      <c r="C4" s="26">
        <f>C3/$G$3</f>
        <v>0.00990892746507526</v>
      </c>
      <c r="D4" s="26">
        <f>D3/$G$3</f>
        <v>0.00247723186626881</v>
      </c>
      <c r="E4" s="26">
        <f>E3/$G$3</f>
        <v>0.213248926983944</v>
      </c>
      <c r="F4" s="26">
        <f>F3/$G$3</f>
        <v>0.0212864263389921</v>
      </c>
      <c r="G4" s="26" t="s">
        <v>118</v>
      </c>
    </row>
  </sheetData>
  <mergeCells count="1">
    <mergeCell ref="A1:G1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rgb="FFFFC000"/>
  </sheetPr>
  <dimension ref="A1:G10"/>
  <sheetViews>
    <sheetView workbookViewId="0">
      <selection activeCell="G1" sqref="G1"/>
    </sheetView>
  </sheetViews>
  <sheetFormatPr defaultColWidth="14.7818181818182" defaultRowHeight="28.05" customHeight="1" outlineLevelCol="6"/>
  <cols>
    <col min="1" max="1" width="22" style="1" customWidth="1"/>
    <col min="2" max="2" width="15.6636363636364" style="1" customWidth="1"/>
  </cols>
  <sheetData>
    <row r="1" ht="18" customHeight="1" spans="1:7">
      <c r="A1" s="2" t="s">
        <v>504</v>
      </c>
      <c r="B1" s="3"/>
      <c r="C1" s="3"/>
      <c r="D1" s="3"/>
      <c r="E1" s="3"/>
      <c r="F1" s="4"/>
      <c r="G1" s="33" t="s">
        <v>505</v>
      </c>
    </row>
    <row r="2" ht="16.5" customHeight="1" spans="1:6">
      <c r="A2" s="5" t="s">
        <v>506</v>
      </c>
      <c r="B2" s="34">
        <v>2025</v>
      </c>
      <c r="C2" s="34">
        <v>2026</v>
      </c>
      <c r="D2" s="34">
        <v>2027</v>
      </c>
      <c r="E2" s="5" t="s">
        <v>95</v>
      </c>
      <c r="F2" s="5" t="s">
        <v>507</v>
      </c>
    </row>
    <row r="3" ht="16.5" customHeight="1" spans="1:6">
      <c r="A3" s="8" t="s">
        <v>508</v>
      </c>
      <c r="B3" s="35"/>
      <c r="C3" s="35"/>
      <c r="D3" s="35"/>
      <c r="E3" s="9">
        <f t="shared" ref="E3:E8" si="0">SUM(B3:D3)</f>
        <v>0</v>
      </c>
      <c r="F3" s="26" t="e">
        <f>E3/E9</f>
        <v>#DIV/0!</v>
      </c>
    </row>
    <row r="4" ht="16.5" customHeight="1" spans="1:6">
      <c r="A4" s="8" t="s">
        <v>509</v>
      </c>
      <c r="B4" s="14"/>
      <c r="C4" s="14"/>
      <c r="D4" s="14"/>
      <c r="E4" s="14">
        <f t="shared" si="0"/>
        <v>0</v>
      </c>
      <c r="F4" s="26" t="e">
        <f>E4/E9</f>
        <v>#DIV/0!</v>
      </c>
    </row>
    <row r="5" ht="39" customHeight="1" spans="1:6">
      <c r="A5" s="36" t="s">
        <v>510</v>
      </c>
      <c r="B5" s="35"/>
      <c r="C5" s="35"/>
      <c r="D5" s="35"/>
      <c r="E5" s="9">
        <f t="shared" si="0"/>
        <v>0</v>
      </c>
      <c r="F5" s="26" t="e">
        <f>E5/E9</f>
        <v>#DIV/0!</v>
      </c>
    </row>
    <row r="6" ht="39" customHeight="1" spans="1:6">
      <c r="A6" s="36" t="s">
        <v>511</v>
      </c>
      <c r="B6" s="9"/>
      <c r="C6" s="9"/>
      <c r="D6" s="9"/>
      <c r="E6" s="9">
        <f t="shared" si="0"/>
        <v>0</v>
      </c>
      <c r="F6" s="26" t="e">
        <f>E6/E9</f>
        <v>#DIV/0!</v>
      </c>
    </row>
    <row r="7" ht="16.5" customHeight="1" spans="1:6">
      <c r="A7" s="8" t="s">
        <v>512</v>
      </c>
      <c r="B7" s="35"/>
      <c r="C7" s="35"/>
      <c r="D7" s="35"/>
      <c r="E7" s="9">
        <f t="shared" si="0"/>
        <v>0</v>
      </c>
      <c r="F7" s="26" t="e">
        <f>E7/E9</f>
        <v>#DIV/0!</v>
      </c>
    </row>
    <row r="8" ht="16.5" customHeight="1" spans="1:6">
      <c r="A8" s="8" t="s">
        <v>513</v>
      </c>
      <c r="B8" s="35"/>
      <c r="C8" s="35"/>
      <c r="D8" s="35"/>
      <c r="E8" s="9">
        <f t="shared" si="0"/>
        <v>0</v>
      </c>
      <c r="F8" s="26" t="e">
        <f>E8/E9</f>
        <v>#DIV/0!</v>
      </c>
    </row>
    <row r="9" ht="16.5" customHeight="1" spans="1:6">
      <c r="A9" s="8" t="s">
        <v>95</v>
      </c>
      <c r="B9" s="9">
        <f>SUM(B3:B8)</f>
        <v>0</v>
      </c>
      <c r="C9" s="9">
        <f>SUM(C3:C8)</f>
        <v>0</v>
      </c>
      <c r="D9" s="9">
        <f>SUM(D3:D8)</f>
        <v>0</v>
      </c>
      <c r="E9" s="9">
        <f>SUM(E3:E8)</f>
        <v>0</v>
      </c>
      <c r="F9" s="8" t="s">
        <v>118</v>
      </c>
    </row>
    <row r="10" ht="16.5" customHeight="1" spans="1:6">
      <c r="A10" s="8" t="s">
        <v>514</v>
      </c>
      <c r="B10" s="26" t="e">
        <f>B9/E9</f>
        <v>#DIV/0!</v>
      </c>
      <c r="C10" s="26" t="e">
        <f>C9/E9</f>
        <v>#DIV/0!</v>
      </c>
      <c r="D10" s="26" t="e">
        <f>D9/E9</f>
        <v>#DIV/0!</v>
      </c>
      <c r="E10" s="8" t="s">
        <v>118</v>
      </c>
      <c r="F10" s="8" t="s">
        <v>118</v>
      </c>
    </row>
  </sheetData>
  <mergeCells count="1">
    <mergeCell ref="A1:F1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FFC000"/>
  </sheetPr>
  <dimension ref="A1:X6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A9" sqref="A9"/>
    </sheetView>
  </sheetViews>
  <sheetFormatPr defaultColWidth="15.7818181818182" defaultRowHeight="28.05" customHeight="1" outlineLevelRow="5"/>
  <cols>
    <col min="1" max="1" width="15.7818181818182" style="1" customWidth="1"/>
    <col min="2" max="2" width="6.44545454545455" style="1" customWidth="1"/>
    <col min="3" max="24" width="8.78181818181818" style="1" customWidth="1"/>
  </cols>
  <sheetData>
    <row r="1" customHeight="1" spans="1:7">
      <c r="A1" s="28" t="s">
        <v>515</v>
      </c>
      <c r="B1" s="29"/>
      <c r="C1" s="29"/>
      <c r="D1" s="29"/>
      <c r="E1" s="29"/>
      <c r="F1" s="29"/>
      <c r="G1" s="29"/>
    </row>
    <row r="2" customHeight="1" spans="1:7">
      <c r="A2" s="5" t="s">
        <v>516</v>
      </c>
      <c r="B2" s="30" t="s">
        <v>517</v>
      </c>
      <c r="C2" s="31"/>
      <c r="D2" s="31"/>
      <c r="E2" s="31"/>
      <c r="F2" s="31"/>
      <c r="G2" s="31"/>
    </row>
    <row r="3" customHeight="1" spans="1:24">
      <c r="A3" s="16"/>
      <c r="B3" s="32">
        <v>2025</v>
      </c>
      <c r="C3" s="32">
        <v>2026</v>
      </c>
      <c r="D3" s="32">
        <v>2027</v>
      </c>
      <c r="E3" s="32">
        <v>2028</v>
      </c>
      <c r="F3" s="32">
        <v>2029</v>
      </c>
      <c r="G3" s="32">
        <v>2030</v>
      </c>
      <c r="H3" s="32">
        <v>2031</v>
      </c>
      <c r="I3" s="32">
        <v>2032</v>
      </c>
      <c r="J3" s="32">
        <v>2033</v>
      </c>
      <c r="K3" s="32">
        <v>2034</v>
      </c>
      <c r="L3" s="32">
        <v>2035</v>
      </c>
      <c r="M3" s="32">
        <v>2036</v>
      </c>
      <c r="N3" s="32">
        <v>2037</v>
      </c>
      <c r="O3" s="32">
        <v>2038</v>
      </c>
      <c r="P3" s="32">
        <v>2039</v>
      </c>
      <c r="Q3" s="32">
        <v>2040</v>
      </c>
      <c r="R3" s="32">
        <v>2041</v>
      </c>
      <c r="S3" s="32">
        <v>2042</v>
      </c>
      <c r="T3" s="32">
        <v>2043</v>
      </c>
      <c r="U3" s="32">
        <v>2044</v>
      </c>
      <c r="V3" s="32">
        <v>2045</v>
      </c>
      <c r="W3" s="32">
        <v>2046</v>
      </c>
      <c r="X3" s="32">
        <v>2047</v>
      </c>
    </row>
    <row r="4" customHeight="1" spans="1:24">
      <c r="A4" s="8" t="s">
        <v>518</v>
      </c>
      <c r="B4" s="9">
        <f>(F项目收入!D12-F项目收入!D10)</f>
        <v>0</v>
      </c>
      <c r="C4" s="9">
        <f>(F项目收入!E12-F项目收入!E10)</f>
        <v>350</v>
      </c>
      <c r="D4" s="9">
        <f>(F项目收入!F12-F项目收入!F10)</f>
        <v>536.4</v>
      </c>
      <c r="E4" s="9">
        <f>(F项目收入!G12-F项目收入!G10)</f>
        <v>666.16</v>
      </c>
      <c r="F4" s="9">
        <f>F项目收入!H11-F项目收入!H10</f>
        <v>710.83236</v>
      </c>
      <c r="G4" s="9">
        <f>F项目收入!I11-F项目收入!I10</f>
        <v>719.7465072</v>
      </c>
      <c r="H4" s="9">
        <f>F项目收入!J11-F项目收入!J10</f>
        <v>0</v>
      </c>
      <c r="I4" s="9">
        <f>F项目收入!K11-F项目收入!K10</f>
        <v>0</v>
      </c>
      <c r="J4" s="9">
        <f>F项目收入!L11-F项目收入!L10</f>
        <v>0</v>
      </c>
      <c r="K4" s="9">
        <f>F项目收入!M11-F项目收入!M10</f>
        <v>0</v>
      </c>
      <c r="L4" s="9">
        <f>F项目收入!N11-F项目收入!N10</f>
        <v>0</v>
      </c>
      <c r="M4" s="9">
        <f>F项目收入!O11-F项目收入!O10</f>
        <v>0</v>
      </c>
      <c r="N4" s="9">
        <f>F项目收入!P11-F项目收入!P10</f>
        <v>0</v>
      </c>
      <c r="O4" s="9">
        <f>F项目收入!Q11-F项目收入!Q10</f>
        <v>0</v>
      </c>
      <c r="P4" s="9">
        <f>F项目收入!R11-F项目收入!R10</f>
        <v>0</v>
      </c>
      <c r="Q4" s="9">
        <f>F项目收入!S11-F项目收入!S10</f>
        <v>0</v>
      </c>
      <c r="R4" s="9">
        <f>F项目收入!T11-F项目收入!T10</f>
        <v>0</v>
      </c>
      <c r="S4" s="9">
        <f>F项目收入!U11-F项目收入!U10</f>
        <v>0</v>
      </c>
      <c r="T4" s="9">
        <f>F项目收入!V11-F项目收入!V10</f>
        <v>0</v>
      </c>
      <c r="U4" s="9">
        <f>F项目收入!W11-F项目收入!W10</f>
        <v>0</v>
      </c>
      <c r="V4" s="9">
        <f>F项目收入!X11-F项目收入!X10</f>
        <v>0</v>
      </c>
      <c r="W4" s="9">
        <f>F项目收入!Y11-F项目收入!Y10</f>
        <v>0</v>
      </c>
      <c r="X4" s="9">
        <f>F项目收入!Z11-F项目收入!Z10</f>
        <v>0</v>
      </c>
    </row>
    <row r="5" customHeight="1" spans="1:24">
      <c r="A5" s="8" t="s">
        <v>519</v>
      </c>
      <c r="B5" s="9">
        <f>(F项目收入!D10)</f>
        <v>0</v>
      </c>
      <c r="C5" s="9">
        <f>(F项目收入!E10)</f>
        <v>0</v>
      </c>
      <c r="D5" s="9">
        <f>(F项目收入!F10)</f>
        <v>0</v>
      </c>
      <c r="E5" s="9">
        <f>(F项目收入!G10)</f>
        <v>0</v>
      </c>
      <c r="F5" s="9">
        <f>F项目收入!H10</f>
        <v>0</v>
      </c>
      <c r="G5" s="9">
        <f>F项目收入!I10</f>
        <v>0</v>
      </c>
      <c r="H5" s="9">
        <f>F项目收入!J10</f>
        <v>0</v>
      </c>
      <c r="I5" s="9">
        <f>F项目收入!K10</f>
        <v>0</v>
      </c>
      <c r="J5" s="9">
        <f>F项目收入!L10</f>
        <v>0</v>
      </c>
      <c r="K5" s="9">
        <f>F项目收入!M10</f>
        <v>0</v>
      </c>
      <c r="L5" s="9">
        <f>F项目收入!N10</f>
        <v>0</v>
      </c>
      <c r="M5" s="9">
        <f>F项目收入!O10</f>
        <v>0</v>
      </c>
      <c r="N5" s="9">
        <f>F项目收入!P10</f>
        <v>0</v>
      </c>
      <c r="O5" s="9">
        <f>F项目收入!Q10</f>
        <v>0</v>
      </c>
      <c r="P5" s="9">
        <f>F项目收入!R10</f>
        <v>0</v>
      </c>
      <c r="Q5" s="9">
        <f>F项目收入!S10</f>
        <v>0</v>
      </c>
      <c r="R5" s="9">
        <f>F项目收入!T10</f>
        <v>0</v>
      </c>
      <c r="S5" s="9">
        <f>F项目收入!U10</f>
        <v>0</v>
      </c>
      <c r="T5" s="9">
        <f>F项目收入!V10</f>
        <v>0</v>
      </c>
      <c r="U5" s="9">
        <f>F项目收入!W10</f>
        <v>0</v>
      </c>
      <c r="V5" s="9">
        <f>F项目收入!X10</f>
        <v>0</v>
      </c>
      <c r="W5" s="9">
        <f>F项目收入!Y10</f>
        <v>0</v>
      </c>
      <c r="X5" s="9">
        <f>F项目收入!Z10</f>
        <v>0</v>
      </c>
    </row>
    <row r="6" customHeight="1" spans="1:24">
      <c r="A6" s="8" t="s">
        <v>95</v>
      </c>
      <c r="B6" s="9">
        <f t="shared" ref="B6:X6" si="0">SUM(B4:B5)</f>
        <v>0</v>
      </c>
      <c r="C6" s="9">
        <f t="shared" si="0"/>
        <v>350</v>
      </c>
      <c r="D6" s="9">
        <f t="shared" si="0"/>
        <v>536.4</v>
      </c>
      <c r="E6" s="9">
        <f t="shared" si="0"/>
        <v>666.16</v>
      </c>
      <c r="F6" s="9">
        <f t="shared" si="0"/>
        <v>710.83236</v>
      </c>
      <c r="G6" s="9">
        <f t="shared" si="0"/>
        <v>719.7465072</v>
      </c>
      <c r="H6" s="9">
        <f t="shared" si="0"/>
        <v>0</v>
      </c>
      <c r="I6" s="9">
        <f t="shared" si="0"/>
        <v>0</v>
      </c>
      <c r="J6" s="9">
        <f t="shared" si="0"/>
        <v>0</v>
      </c>
      <c r="K6" s="9">
        <f t="shared" si="0"/>
        <v>0</v>
      </c>
      <c r="L6" s="9">
        <f t="shared" si="0"/>
        <v>0</v>
      </c>
      <c r="M6" s="9">
        <f t="shared" si="0"/>
        <v>0</v>
      </c>
      <c r="N6" s="9">
        <f t="shared" si="0"/>
        <v>0</v>
      </c>
      <c r="O6" s="9">
        <f t="shared" si="0"/>
        <v>0</v>
      </c>
      <c r="P6" s="9">
        <f t="shared" si="0"/>
        <v>0</v>
      </c>
      <c r="Q6" s="9">
        <f t="shared" si="0"/>
        <v>0</v>
      </c>
      <c r="R6" s="9">
        <f t="shared" si="0"/>
        <v>0</v>
      </c>
      <c r="S6" s="9">
        <f t="shared" si="0"/>
        <v>0</v>
      </c>
      <c r="T6" s="9">
        <f t="shared" si="0"/>
        <v>0</v>
      </c>
      <c r="U6" s="9">
        <f t="shared" si="0"/>
        <v>0</v>
      </c>
      <c r="V6" s="9">
        <f t="shared" si="0"/>
        <v>0</v>
      </c>
      <c r="W6" s="9">
        <f t="shared" si="0"/>
        <v>0</v>
      </c>
      <c r="X6" s="9">
        <f t="shared" si="0"/>
        <v>0</v>
      </c>
    </row>
  </sheetData>
  <mergeCells count="1">
    <mergeCell ref="A2:A3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tabColor rgb="FFFFC000"/>
  </sheetPr>
  <dimension ref="A1:AF23"/>
  <sheetViews>
    <sheetView zoomScale="70" zoomScaleNormal="70" workbookViewId="0">
      <selection activeCell="A1" sqref="A1:AE1"/>
    </sheetView>
  </sheetViews>
  <sheetFormatPr defaultColWidth="13.7818181818182" defaultRowHeight="28.05" customHeight="1"/>
  <cols>
    <col min="1" max="1" width="13.6636363636364" style="1" customWidth="1"/>
    <col min="2" max="2" width="11.2181818181818" style="1" customWidth="1"/>
    <col min="3" max="3" width="44.2181818181818" style="17" customWidth="1"/>
    <col min="4" max="4" width="43.8909090909091" style="17" customWidth="1"/>
    <col min="5" max="16373" width="13.7818181818182" style="1" customWidth="1"/>
  </cols>
  <sheetData>
    <row r="1" customHeight="1" spans="1:32">
      <c r="A1" s="18" t="s">
        <v>520</v>
      </c>
      <c r="AF1" s="27" t="s">
        <v>521</v>
      </c>
    </row>
    <row r="2" customHeight="1" spans="1:31">
      <c r="A2" s="19" t="s">
        <v>195</v>
      </c>
      <c r="B2" s="19" t="s">
        <v>1</v>
      </c>
      <c r="C2" s="20" t="s">
        <v>99</v>
      </c>
      <c r="D2" s="20" t="s">
        <v>196</v>
      </c>
      <c r="E2" s="19" t="s">
        <v>197</v>
      </c>
      <c r="F2" s="20" t="s">
        <v>522</v>
      </c>
      <c r="G2" s="5" t="s">
        <v>251</v>
      </c>
      <c r="H2" s="21" t="s">
        <v>523</v>
      </c>
      <c r="I2" s="25" t="s">
        <v>524</v>
      </c>
      <c r="J2" s="21" t="s">
        <v>525</v>
      </c>
      <c r="K2" s="25" t="s">
        <v>526</v>
      </c>
      <c r="L2" s="21" t="s">
        <v>527</v>
      </c>
      <c r="M2" s="25" t="s">
        <v>528</v>
      </c>
      <c r="N2" s="21" t="s">
        <v>529</v>
      </c>
      <c r="O2" s="25" t="s">
        <v>530</v>
      </c>
      <c r="P2" s="21" t="s">
        <v>531</v>
      </c>
      <c r="Q2" s="25" t="s">
        <v>532</v>
      </c>
      <c r="R2" s="21" t="s">
        <v>533</v>
      </c>
      <c r="S2" s="25" t="s">
        <v>534</v>
      </c>
      <c r="T2" s="21" t="s">
        <v>535</v>
      </c>
      <c r="U2" s="25" t="s">
        <v>536</v>
      </c>
      <c r="V2" s="21" t="s">
        <v>537</v>
      </c>
      <c r="W2" s="25" t="s">
        <v>538</v>
      </c>
      <c r="X2" s="21" t="s">
        <v>539</v>
      </c>
      <c r="Y2" s="25" t="s">
        <v>540</v>
      </c>
      <c r="Z2" s="21" t="s">
        <v>541</v>
      </c>
      <c r="AA2" s="25" t="s">
        <v>542</v>
      </c>
      <c r="AB2" s="21" t="s">
        <v>543</v>
      </c>
      <c r="AC2" s="25" t="s">
        <v>544</v>
      </c>
      <c r="AD2" s="25" t="s">
        <v>545</v>
      </c>
      <c r="AE2" s="19" t="s">
        <v>95</v>
      </c>
    </row>
    <row r="3" customHeight="1" spans="1:31">
      <c r="A3" s="16"/>
      <c r="B3" s="16"/>
      <c r="C3" s="16"/>
      <c r="D3" s="16"/>
      <c r="E3" s="16"/>
      <c r="F3" s="16"/>
      <c r="G3" s="16"/>
      <c r="H3" s="22" t="s">
        <v>200</v>
      </c>
      <c r="I3" s="26">
        <f>E.1项目运营期费用!I3</f>
        <v>0.7</v>
      </c>
      <c r="J3" s="26">
        <f>E.1项目运营期费用!J3</f>
        <v>0.7</v>
      </c>
      <c r="K3" s="26">
        <f>E.1项目运营期费用!K3</f>
        <v>0.8</v>
      </c>
      <c r="L3" s="26">
        <f>E.1项目运营期费用!L3</f>
        <v>0.9</v>
      </c>
      <c r="M3" s="26">
        <f>E.1项目运营期费用!M3</f>
        <v>1</v>
      </c>
      <c r="N3" s="26" t="e">
        <f>E.1项目运营期费用!#REF!</f>
        <v>#REF!</v>
      </c>
      <c r="O3" s="26" t="e">
        <f>E.1项目运营期费用!#REF!</f>
        <v>#REF!</v>
      </c>
      <c r="P3" s="26" t="e">
        <f>E.1项目运营期费用!#REF!</f>
        <v>#REF!</v>
      </c>
      <c r="Q3" s="26" t="e">
        <f>E.1项目运营期费用!#REF!</f>
        <v>#REF!</v>
      </c>
      <c r="R3" s="26" t="e">
        <f>E.1项目运营期费用!#REF!</f>
        <v>#REF!</v>
      </c>
      <c r="S3" s="26" t="e">
        <f>E.1项目运营期费用!#REF!</f>
        <v>#REF!</v>
      </c>
      <c r="T3" s="26" t="e">
        <f>E.1项目运营期费用!#REF!</f>
        <v>#REF!</v>
      </c>
      <c r="U3" s="26" t="e">
        <f>E.1项目运营期费用!#REF!</f>
        <v>#REF!</v>
      </c>
      <c r="V3" s="26" t="e">
        <f>E.1项目运营期费用!#REF!</f>
        <v>#REF!</v>
      </c>
      <c r="W3" s="26" t="e">
        <f>E.1项目运营期费用!#REF!</f>
        <v>#REF!</v>
      </c>
      <c r="X3" s="26" t="e">
        <f>E.1项目运营期费用!#REF!</f>
        <v>#REF!</v>
      </c>
      <c r="Y3" s="26" t="e">
        <f>E.1项目运营期费用!#REF!</f>
        <v>#REF!</v>
      </c>
      <c r="Z3" s="26" t="e">
        <f>E.1项目运营期费用!#REF!</f>
        <v>#REF!</v>
      </c>
      <c r="AA3" s="26" t="e">
        <f>E.1项目运营期费用!#REF!</f>
        <v>#REF!</v>
      </c>
      <c r="AB3" s="26" t="e">
        <f>E.1项目运营期费用!#REF!</f>
        <v>#REF!</v>
      </c>
      <c r="AC3" s="26" t="e">
        <f>E.1项目运营期费用!#REF!</f>
        <v>#REF!</v>
      </c>
      <c r="AD3" s="26" t="e">
        <f>E.1项目运营期费用!#REF!</f>
        <v>#REF!</v>
      </c>
      <c r="AE3" s="8" t="s">
        <v>118</v>
      </c>
    </row>
    <row r="4" customHeight="1" spans="1:31">
      <c r="A4" s="11" t="str">
        <f>E.1项目运营期费用!A4</f>
        <v>场地维护成本</v>
      </c>
      <c r="B4" s="11">
        <f>E.1项目运营期费用!B4</f>
        <v>1</v>
      </c>
      <c r="C4" s="23" t="str">
        <f>E.1项目运营期费用!C4</f>
        <v>场地租金</v>
      </c>
      <c r="D4" s="23" t="str">
        <f>E.1项目运营期费用!D4</f>
        <v>按面积×租金单价</v>
      </c>
      <c r="E4" s="8">
        <f>E.1项目运营期费用!E4</f>
        <v>0</v>
      </c>
      <c r="F4" s="8">
        <f>E.1项目运营期费用!F4</f>
        <v>0</v>
      </c>
      <c r="G4" s="8">
        <f>E.1项目运营期费用!G4</f>
        <v>0</v>
      </c>
      <c r="H4" s="8">
        <f>E.1项目运营期费用!H4</f>
        <v>0</v>
      </c>
      <c r="I4" s="8">
        <f>E.1项目运营期费用!I4</f>
        <v>0</v>
      </c>
      <c r="J4" s="8">
        <f>E.1项目运营期费用!J4</f>
        <v>0</v>
      </c>
      <c r="K4" s="8">
        <f>E.1项目运营期费用!K4</f>
        <v>0</v>
      </c>
      <c r="L4" s="8">
        <f>E.1项目运营期费用!L4</f>
        <v>0</v>
      </c>
      <c r="M4" s="8">
        <f>E.1项目运营期费用!M4</f>
        <v>0</v>
      </c>
      <c r="N4" s="8" t="e">
        <f>E.1项目运营期费用!#REF!</f>
        <v>#REF!</v>
      </c>
      <c r="O4" s="8" t="e">
        <f>E.1项目运营期费用!#REF!</f>
        <v>#REF!</v>
      </c>
      <c r="P4" s="8" t="e">
        <f>E.1项目运营期费用!#REF!</f>
        <v>#REF!</v>
      </c>
      <c r="Q4" s="8" t="e">
        <f>E.1项目运营期费用!#REF!</f>
        <v>#REF!</v>
      </c>
      <c r="R4" s="8" t="e">
        <f>E.1项目运营期费用!#REF!</f>
        <v>#REF!</v>
      </c>
      <c r="S4" s="8" t="e">
        <f>E.1项目运营期费用!#REF!</f>
        <v>#REF!</v>
      </c>
      <c r="T4" s="8" t="e">
        <f>E.1项目运营期费用!#REF!</f>
        <v>#REF!</v>
      </c>
      <c r="U4" s="8" t="e">
        <f>E.1项目运营期费用!#REF!</f>
        <v>#REF!</v>
      </c>
      <c r="V4" s="8" t="e">
        <f>E.1项目运营期费用!#REF!</f>
        <v>#REF!</v>
      </c>
      <c r="W4" s="8" t="e">
        <f>E.1项目运营期费用!#REF!</f>
        <v>#REF!</v>
      </c>
      <c r="X4" s="8" t="e">
        <f>E.1项目运营期费用!#REF!</f>
        <v>#REF!</v>
      </c>
      <c r="Y4" s="8" t="e">
        <f>E.1项目运营期费用!#REF!</f>
        <v>#REF!</v>
      </c>
      <c r="Z4" s="8" t="e">
        <f>E.1项目运营期费用!#REF!</f>
        <v>#REF!</v>
      </c>
      <c r="AA4" s="8" t="e">
        <f>E.1项目运营期费用!#REF!</f>
        <v>#REF!</v>
      </c>
      <c r="AB4" s="8" t="e">
        <f>E.1项目运营期费用!#REF!</f>
        <v>#REF!</v>
      </c>
      <c r="AC4" s="8" t="e">
        <f>E.1项目运营期费用!#REF!</f>
        <v>#REF!</v>
      </c>
      <c r="AD4" s="8" t="e">
        <f>E.1项目运营期费用!#REF!</f>
        <v>#REF!</v>
      </c>
      <c r="AE4" s="8">
        <f>E.1项目运营期费用!N4</f>
        <v>0</v>
      </c>
    </row>
    <row r="5" customHeight="1" spans="1:31">
      <c r="A5" s="24"/>
      <c r="B5" s="11">
        <f>E.1项目运营期费用!B5</f>
        <v>2</v>
      </c>
      <c r="C5" s="23" t="str">
        <f>E.1项目运营期费用!C5</f>
        <v>场地日常维护（停机坪/起降场/交通枢纽/飞行营地/指挥中心等）</v>
      </c>
      <c r="D5" s="23" t="str">
        <f>E.1项目运营期费用!D5</f>
        <v>按面积 × 单位维护单价（元 / ㎡・年）</v>
      </c>
      <c r="E5" s="8">
        <f>E.1项目运营期费用!E5</f>
        <v>0</v>
      </c>
      <c r="F5" s="8">
        <f>E.1项目运营期费用!F5</f>
        <v>0</v>
      </c>
      <c r="G5" s="8">
        <f>E.1项目运营期费用!G5</f>
        <v>0</v>
      </c>
      <c r="H5" s="8">
        <f>E.1项目运营期费用!H5</f>
        <v>0</v>
      </c>
      <c r="I5" s="8">
        <f>E.1项目运营期费用!I5</f>
        <v>0</v>
      </c>
      <c r="J5" s="8">
        <f>E.1项目运营期费用!J5</f>
        <v>0</v>
      </c>
      <c r="K5" s="8">
        <f>E.1项目运营期费用!K5</f>
        <v>0</v>
      </c>
      <c r="L5" s="8">
        <f>E.1项目运营期费用!L5</f>
        <v>0</v>
      </c>
      <c r="M5" s="8">
        <f>E.1项目运营期费用!M5</f>
        <v>0</v>
      </c>
      <c r="N5" s="8" t="e">
        <f>E.1项目运营期费用!#REF!</f>
        <v>#REF!</v>
      </c>
      <c r="O5" s="8" t="e">
        <f>E.1项目运营期费用!#REF!</f>
        <v>#REF!</v>
      </c>
      <c r="P5" s="8" t="e">
        <f>E.1项目运营期费用!#REF!</f>
        <v>#REF!</v>
      </c>
      <c r="Q5" s="8" t="e">
        <f>E.1项目运营期费用!#REF!</f>
        <v>#REF!</v>
      </c>
      <c r="R5" s="8" t="e">
        <f>E.1项目运营期费用!#REF!</f>
        <v>#REF!</v>
      </c>
      <c r="S5" s="8" t="e">
        <f>E.1项目运营期费用!#REF!</f>
        <v>#REF!</v>
      </c>
      <c r="T5" s="8" t="e">
        <f>E.1项目运营期费用!#REF!</f>
        <v>#REF!</v>
      </c>
      <c r="U5" s="8" t="e">
        <f>E.1项目运营期费用!#REF!</f>
        <v>#REF!</v>
      </c>
      <c r="V5" s="8" t="e">
        <f>E.1项目运营期费用!#REF!</f>
        <v>#REF!</v>
      </c>
      <c r="W5" s="8" t="e">
        <f>E.1项目运营期费用!#REF!</f>
        <v>#REF!</v>
      </c>
      <c r="X5" s="8" t="e">
        <f>E.1项目运营期费用!#REF!</f>
        <v>#REF!</v>
      </c>
      <c r="Y5" s="8" t="e">
        <f>E.1项目运营期费用!#REF!</f>
        <v>#REF!</v>
      </c>
      <c r="Z5" s="8" t="e">
        <f>E.1项目运营期费用!#REF!</f>
        <v>#REF!</v>
      </c>
      <c r="AA5" s="8" t="e">
        <f>E.1项目运营期费用!#REF!</f>
        <v>#REF!</v>
      </c>
      <c r="AB5" s="8" t="e">
        <f>E.1项目运营期费用!#REF!</f>
        <v>#REF!</v>
      </c>
      <c r="AC5" s="8" t="e">
        <f>E.1项目运营期费用!#REF!</f>
        <v>#REF!</v>
      </c>
      <c r="AD5" s="8" t="e">
        <f>E.1项目运营期费用!#REF!</f>
        <v>#REF!</v>
      </c>
      <c r="AE5" s="8">
        <f>E.1项目运营期费用!N5</f>
        <v>0</v>
      </c>
    </row>
    <row r="6" customHeight="1" spans="1:31">
      <c r="A6" s="24"/>
      <c r="B6" s="11">
        <f>E.1项目运营期费用!B6</f>
        <v>3</v>
      </c>
      <c r="C6" s="23" t="str">
        <f>E.1项目运营期费用!C6</f>
        <v>消防设施年检</v>
      </c>
      <c r="D6" s="23" t="str">
        <f>E.1项目运营期费用!D6</f>
        <v>按设备数量 × 单台年检费（元 / 台・次）</v>
      </c>
      <c r="E6" s="8">
        <f>E.1项目运营期费用!E6</f>
        <v>0</v>
      </c>
      <c r="F6" s="8">
        <f>E.1项目运营期费用!F6</f>
        <v>0</v>
      </c>
      <c r="G6" s="8">
        <f>E.1项目运营期费用!G6</f>
        <v>0</v>
      </c>
      <c r="H6" s="8">
        <f>E.1项目运营期费用!H6</f>
        <v>0</v>
      </c>
      <c r="I6" s="8">
        <f>E.1项目运营期费用!I6</f>
        <v>0</v>
      </c>
      <c r="J6" s="8">
        <f>E.1项目运营期费用!J6</f>
        <v>0</v>
      </c>
      <c r="K6" s="8">
        <f>E.1项目运营期费用!K6</f>
        <v>0</v>
      </c>
      <c r="L6" s="8">
        <f>E.1项目运营期费用!L6</f>
        <v>0</v>
      </c>
      <c r="M6" s="8">
        <f>E.1项目运营期费用!M6</f>
        <v>0</v>
      </c>
      <c r="N6" s="8" t="e">
        <f>E.1项目运营期费用!#REF!</f>
        <v>#REF!</v>
      </c>
      <c r="O6" s="8" t="e">
        <f>E.1项目运营期费用!#REF!</f>
        <v>#REF!</v>
      </c>
      <c r="P6" s="8" t="e">
        <f>E.1项目运营期费用!#REF!</f>
        <v>#REF!</v>
      </c>
      <c r="Q6" s="8" t="e">
        <f>E.1项目运营期费用!#REF!</f>
        <v>#REF!</v>
      </c>
      <c r="R6" s="8" t="e">
        <f>E.1项目运营期费用!#REF!</f>
        <v>#REF!</v>
      </c>
      <c r="S6" s="8" t="e">
        <f>E.1项目运营期费用!#REF!</f>
        <v>#REF!</v>
      </c>
      <c r="T6" s="8" t="e">
        <f>E.1项目运营期费用!#REF!</f>
        <v>#REF!</v>
      </c>
      <c r="U6" s="8" t="e">
        <f>E.1项目运营期费用!#REF!</f>
        <v>#REF!</v>
      </c>
      <c r="V6" s="8" t="e">
        <f>E.1项目运营期费用!#REF!</f>
        <v>#REF!</v>
      </c>
      <c r="W6" s="8" t="e">
        <f>E.1项目运营期费用!#REF!</f>
        <v>#REF!</v>
      </c>
      <c r="X6" s="8" t="e">
        <f>E.1项目运营期费用!#REF!</f>
        <v>#REF!</v>
      </c>
      <c r="Y6" s="8" t="e">
        <f>E.1项目运营期费用!#REF!</f>
        <v>#REF!</v>
      </c>
      <c r="Z6" s="8" t="e">
        <f>E.1项目运营期费用!#REF!</f>
        <v>#REF!</v>
      </c>
      <c r="AA6" s="8" t="e">
        <f>E.1项目运营期费用!#REF!</f>
        <v>#REF!</v>
      </c>
      <c r="AB6" s="8" t="e">
        <f>E.1项目运营期费用!#REF!</f>
        <v>#REF!</v>
      </c>
      <c r="AC6" s="8" t="e">
        <f>E.1项目运营期费用!#REF!</f>
        <v>#REF!</v>
      </c>
      <c r="AD6" s="8" t="e">
        <f>E.1项目运营期费用!#REF!</f>
        <v>#REF!</v>
      </c>
      <c r="AE6" s="8">
        <f>E.1项目运营期费用!N6</f>
        <v>0</v>
      </c>
    </row>
    <row r="7" customHeight="1" spans="1:31">
      <c r="A7" s="16"/>
      <c r="B7" s="11">
        <f>E.1项目运营期费用!B7</f>
        <v>4</v>
      </c>
      <c r="C7" s="23" t="str">
        <f>E.1项目运营期费用!C7</f>
        <v>防鸟措施（驱鸟器维护）</v>
      </c>
      <c r="D7" s="23" t="str">
        <f>E.1项目运营期费用!D7</f>
        <v>按套数 × 年费（元 / 套・年）+ 耗材费（如驱鸟剂）</v>
      </c>
      <c r="E7" s="8">
        <f>E.1项目运营期费用!E7</f>
        <v>0</v>
      </c>
      <c r="F7" s="8">
        <f>E.1项目运营期费用!F7</f>
        <v>0</v>
      </c>
      <c r="G7" s="8">
        <f>E.1项目运营期费用!G7</f>
        <v>0</v>
      </c>
      <c r="H7" s="8">
        <f>E.1项目运营期费用!H7</f>
        <v>0</v>
      </c>
      <c r="I7" s="8">
        <f>E.1项目运营期费用!I7</f>
        <v>0</v>
      </c>
      <c r="J7" s="8">
        <f>E.1项目运营期费用!J7</f>
        <v>0</v>
      </c>
      <c r="K7" s="8">
        <f>E.1项目运营期费用!K7</f>
        <v>0</v>
      </c>
      <c r="L7" s="8">
        <f>E.1项目运营期费用!L7</f>
        <v>0</v>
      </c>
      <c r="M7" s="8">
        <f>E.1项目运营期费用!M7</f>
        <v>0</v>
      </c>
      <c r="N7" s="8" t="e">
        <f>E.1项目运营期费用!#REF!</f>
        <v>#REF!</v>
      </c>
      <c r="O7" s="8" t="e">
        <f>E.1项目运营期费用!#REF!</f>
        <v>#REF!</v>
      </c>
      <c r="P7" s="8" t="e">
        <f>E.1项目运营期费用!#REF!</f>
        <v>#REF!</v>
      </c>
      <c r="Q7" s="8" t="e">
        <f>E.1项目运营期费用!#REF!</f>
        <v>#REF!</v>
      </c>
      <c r="R7" s="8" t="e">
        <f>E.1项目运营期费用!#REF!</f>
        <v>#REF!</v>
      </c>
      <c r="S7" s="8" t="e">
        <f>E.1项目运营期费用!#REF!</f>
        <v>#REF!</v>
      </c>
      <c r="T7" s="8" t="e">
        <f>E.1项目运营期费用!#REF!</f>
        <v>#REF!</v>
      </c>
      <c r="U7" s="8" t="e">
        <f>E.1项目运营期费用!#REF!</f>
        <v>#REF!</v>
      </c>
      <c r="V7" s="8" t="e">
        <f>E.1项目运营期费用!#REF!</f>
        <v>#REF!</v>
      </c>
      <c r="W7" s="8" t="e">
        <f>E.1项目运营期费用!#REF!</f>
        <v>#REF!</v>
      </c>
      <c r="X7" s="8" t="e">
        <f>E.1项目运营期费用!#REF!</f>
        <v>#REF!</v>
      </c>
      <c r="Y7" s="8" t="e">
        <f>E.1项目运营期费用!#REF!</f>
        <v>#REF!</v>
      </c>
      <c r="Z7" s="8" t="e">
        <f>E.1项目运营期费用!#REF!</f>
        <v>#REF!</v>
      </c>
      <c r="AA7" s="8" t="e">
        <f>E.1项目运营期费用!#REF!</f>
        <v>#REF!</v>
      </c>
      <c r="AB7" s="8" t="e">
        <f>E.1项目运营期费用!#REF!</f>
        <v>#REF!</v>
      </c>
      <c r="AC7" s="8" t="e">
        <f>E.1项目运营期费用!#REF!</f>
        <v>#REF!</v>
      </c>
      <c r="AD7" s="8" t="e">
        <f>E.1项目运营期费用!#REF!</f>
        <v>#REF!</v>
      </c>
      <c r="AE7" s="8">
        <f>E.1项目运营期费用!N7</f>
        <v>0</v>
      </c>
    </row>
    <row r="8" customHeight="1" spans="1:31">
      <c r="A8" s="11" t="str">
        <f>E.1项目运营期费用!A8</f>
        <v>燃料动力费</v>
      </c>
      <c r="B8" s="11">
        <f>E.1项目运营期费用!B8</f>
        <v>5</v>
      </c>
      <c r="C8" s="23" t="str">
        <f>E.1项目运营期费用!C8</f>
        <v>飞行器能耗</v>
      </c>
      <c r="D8" s="23" t="str">
        <f>E.1项目运营期费用!D8</f>
        <v>按电耗或油耗计算</v>
      </c>
      <c r="E8" s="8">
        <f>E.1项目运营期费用!E8</f>
        <v>0</v>
      </c>
      <c r="F8" s="8">
        <f>E.1项目运营期费用!F8</f>
        <v>0</v>
      </c>
      <c r="G8" s="8">
        <f>E.1项目运营期费用!G8</f>
        <v>0</v>
      </c>
      <c r="H8" s="8">
        <f>E.1项目运营期费用!H8</f>
        <v>0</v>
      </c>
      <c r="I8" s="8">
        <f>E.1项目运营期费用!I8</f>
        <v>0</v>
      </c>
      <c r="J8" s="8">
        <f>E.1项目运营期费用!J8</f>
        <v>0</v>
      </c>
      <c r="K8" s="8">
        <f>E.1项目运营期费用!K8</f>
        <v>0</v>
      </c>
      <c r="L8" s="8">
        <f>E.1项目运营期费用!L8</f>
        <v>0</v>
      </c>
      <c r="M8" s="8">
        <f>E.1项目运营期费用!M8</f>
        <v>0</v>
      </c>
      <c r="N8" s="8" t="e">
        <f>E.1项目运营期费用!#REF!</f>
        <v>#REF!</v>
      </c>
      <c r="O8" s="8" t="e">
        <f>E.1项目运营期费用!#REF!</f>
        <v>#REF!</v>
      </c>
      <c r="P8" s="8" t="e">
        <f>E.1项目运营期费用!#REF!</f>
        <v>#REF!</v>
      </c>
      <c r="Q8" s="8" t="e">
        <f>E.1项目运营期费用!#REF!</f>
        <v>#REF!</v>
      </c>
      <c r="R8" s="8" t="e">
        <f>E.1项目运营期费用!#REF!</f>
        <v>#REF!</v>
      </c>
      <c r="S8" s="8" t="e">
        <f>E.1项目运营期费用!#REF!</f>
        <v>#REF!</v>
      </c>
      <c r="T8" s="8" t="e">
        <f>E.1项目运营期费用!#REF!</f>
        <v>#REF!</v>
      </c>
      <c r="U8" s="8" t="e">
        <f>E.1项目运营期费用!#REF!</f>
        <v>#REF!</v>
      </c>
      <c r="V8" s="8" t="e">
        <f>E.1项目运营期费用!#REF!</f>
        <v>#REF!</v>
      </c>
      <c r="W8" s="8" t="e">
        <f>E.1项目运营期费用!#REF!</f>
        <v>#REF!</v>
      </c>
      <c r="X8" s="8" t="e">
        <f>E.1项目运营期费用!#REF!</f>
        <v>#REF!</v>
      </c>
      <c r="Y8" s="8" t="e">
        <f>E.1项目运营期费用!#REF!</f>
        <v>#REF!</v>
      </c>
      <c r="Z8" s="8" t="e">
        <f>E.1项目运营期费用!#REF!</f>
        <v>#REF!</v>
      </c>
      <c r="AA8" s="8" t="e">
        <f>E.1项目运营期费用!#REF!</f>
        <v>#REF!</v>
      </c>
      <c r="AB8" s="8" t="e">
        <f>E.1项目运营期费用!#REF!</f>
        <v>#REF!</v>
      </c>
      <c r="AC8" s="8" t="e">
        <f>E.1项目运营期费用!#REF!</f>
        <v>#REF!</v>
      </c>
      <c r="AD8" s="8" t="e">
        <f>E.1项目运营期费用!#REF!</f>
        <v>#REF!</v>
      </c>
      <c r="AE8" s="8">
        <f>E.1项目运营期费用!N8</f>
        <v>0</v>
      </c>
    </row>
    <row r="9" customHeight="1" spans="1:31">
      <c r="A9" s="24"/>
      <c r="B9" s="11">
        <f>E.1项目运营期费用!B9</f>
        <v>6</v>
      </c>
      <c r="C9" s="23" t="str">
        <f>E.1项目运营期费用!C9</f>
        <v>核心设备电力能耗</v>
      </c>
      <c r="D9" s="23" t="str">
        <f>E.1项目运营期费用!D9</f>
        <v>按实际用电量 × 电价（元 / 千瓦 时）</v>
      </c>
      <c r="E9" s="8">
        <f>E.1项目运营期费用!E9</f>
        <v>0</v>
      </c>
      <c r="F9" s="8">
        <f>E.1项目运营期费用!F9</f>
        <v>0</v>
      </c>
      <c r="G9" s="8">
        <f>E.1项目运营期费用!G9</f>
        <v>0</v>
      </c>
      <c r="H9" s="8">
        <f>E.1项目运营期费用!H9</f>
        <v>0</v>
      </c>
      <c r="I9" s="8">
        <f>E.1项目运营期费用!I9</f>
        <v>0</v>
      </c>
      <c r="J9" s="8">
        <f>E.1项目运营期费用!J9</f>
        <v>0</v>
      </c>
      <c r="K9" s="8">
        <f>E.1项目运营期费用!K9</f>
        <v>0</v>
      </c>
      <c r="L9" s="8">
        <f>E.1项目运营期费用!L9</f>
        <v>0</v>
      </c>
      <c r="M9" s="8">
        <f>E.1项目运营期费用!M9</f>
        <v>0</v>
      </c>
      <c r="N9" s="8" t="e">
        <f>E.1项目运营期费用!#REF!</f>
        <v>#REF!</v>
      </c>
      <c r="O9" s="8" t="e">
        <f>E.1项目运营期费用!#REF!</f>
        <v>#REF!</v>
      </c>
      <c r="P9" s="8" t="e">
        <f>E.1项目运营期费用!#REF!</f>
        <v>#REF!</v>
      </c>
      <c r="Q9" s="8" t="e">
        <f>E.1项目运营期费用!#REF!</f>
        <v>#REF!</v>
      </c>
      <c r="R9" s="8" t="e">
        <f>E.1项目运营期费用!#REF!</f>
        <v>#REF!</v>
      </c>
      <c r="S9" s="8" t="e">
        <f>E.1项目运营期费用!#REF!</f>
        <v>#REF!</v>
      </c>
      <c r="T9" s="8" t="e">
        <f>E.1项目运营期费用!#REF!</f>
        <v>#REF!</v>
      </c>
      <c r="U9" s="8" t="e">
        <f>E.1项目运营期费用!#REF!</f>
        <v>#REF!</v>
      </c>
      <c r="V9" s="8" t="e">
        <f>E.1项目运营期费用!#REF!</f>
        <v>#REF!</v>
      </c>
      <c r="W9" s="8" t="e">
        <f>E.1项目运营期费用!#REF!</f>
        <v>#REF!</v>
      </c>
      <c r="X9" s="8" t="e">
        <f>E.1项目运营期费用!#REF!</f>
        <v>#REF!</v>
      </c>
      <c r="Y9" s="8" t="e">
        <f>E.1项目运营期费用!#REF!</f>
        <v>#REF!</v>
      </c>
      <c r="Z9" s="8" t="e">
        <f>E.1项目运营期费用!#REF!</f>
        <v>#REF!</v>
      </c>
      <c r="AA9" s="8" t="e">
        <f>E.1项目运营期费用!#REF!</f>
        <v>#REF!</v>
      </c>
      <c r="AB9" s="8" t="e">
        <f>E.1项目运营期费用!#REF!</f>
        <v>#REF!</v>
      </c>
      <c r="AC9" s="8" t="e">
        <f>E.1项目运营期费用!#REF!</f>
        <v>#REF!</v>
      </c>
      <c r="AD9" s="8" t="e">
        <f>E.1项目运营期费用!#REF!</f>
        <v>#REF!</v>
      </c>
      <c r="AE9" s="8">
        <f>E.1项目运营期费用!N9</f>
        <v>0</v>
      </c>
    </row>
    <row r="10" customHeight="1" spans="1:31">
      <c r="A10" s="16"/>
      <c r="B10" s="11">
        <f>E.1项目运营期费用!B10</f>
        <v>7</v>
      </c>
      <c r="C10" s="23" t="str">
        <f>E.1项目运营期费用!C10</f>
        <v>水电能耗</v>
      </c>
      <c r="D10" s="23" t="str">
        <f>E.1项目运营期费用!D10</f>
        <v>按面积估算</v>
      </c>
      <c r="E10" s="8">
        <f>E.1项目运营期费用!E10</f>
        <v>0</v>
      </c>
      <c r="F10" s="8">
        <f>E.1项目运营期费用!F10</f>
        <v>0</v>
      </c>
      <c r="G10" s="8">
        <f>E.1项目运营期费用!G10</f>
        <v>0</v>
      </c>
      <c r="H10" s="8">
        <f>E.1项目运营期费用!H10</f>
        <v>0</v>
      </c>
      <c r="I10" s="8">
        <f>E.1项目运营期费用!I10</f>
        <v>0</v>
      </c>
      <c r="J10" s="8">
        <f>E.1项目运营期费用!J10</f>
        <v>0</v>
      </c>
      <c r="K10" s="8">
        <f>E.1项目运营期费用!K10</f>
        <v>0</v>
      </c>
      <c r="L10" s="8">
        <f>E.1项目运营期费用!L10</f>
        <v>0</v>
      </c>
      <c r="M10" s="8">
        <f>E.1项目运营期费用!M10</f>
        <v>0</v>
      </c>
      <c r="N10" s="8" t="e">
        <f>E.1项目运营期费用!#REF!</f>
        <v>#REF!</v>
      </c>
      <c r="O10" s="8" t="e">
        <f>E.1项目运营期费用!#REF!</f>
        <v>#REF!</v>
      </c>
      <c r="P10" s="8" t="e">
        <f>E.1项目运营期费用!#REF!</f>
        <v>#REF!</v>
      </c>
      <c r="Q10" s="8" t="e">
        <f>E.1项目运营期费用!#REF!</f>
        <v>#REF!</v>
      </c>
      <c r="R10" s="8" t="e">
        <f>E.1项目运营期费用!#REF!</f>
        <v>#REF!</v>
      </c>
      <c r="S10" s="8" t="e">
        <f>E.1项目运营期费用!#REF!</f>
        <v>#REF!</v>
      </c>
      <c r="T10" s="8" t="e">
        <f>E.1项目运营期费用!#REF!</f>
        <v>#REF!</v>
      </c>
      <c r="U10" s="8" t="e">
        <f>E.1项目运营期费用!#REF!</f>
        <v>#REF!</v>
      </c>
      <c r="V10" s="8" t="e">
        <f>E.1项目运营期费用!#REF!</f>
        <v>#REF!</v>
      </c>
      <c r="W10" s="8" t="e">
        <f>E.1项目运营期费用!#REF!</f>
        <v>#REF!</v>
      </c>
      <c r="X10" s="8" t="e">
        <f>E.1项目运营期费用!#REF!</f>
        <v>#REF!</v>
      </c>
      <c r="Y10" s="8" t="e">
        <f>E.1项目运营期费用!#REF!</f>
        <v>#REF!</v>
      </c>
      <c r="Z10" s="8" t="e">
        <f>E.1项目运营期费用!#REF!</f>
        <v>#REF!</v>
      </c>
      <c r="AA10" s="8" t="e">
        <f>E.1项目运营期费用!#REF!</f>
        <v>#REF!</v>
      </c>
      <c r="AB10" s="8" t="e">
        <f>E.1项目运营期费用!#REF!</f>
        <v>#REF!</v>
      </c>
      <c r="AC10" s="8" t="e">
        <f>E.1项目运营期费用!#REF!</f>
        <v>#REF!</v>
      </c>
      <c r="AD10" s="8" t="e">
        <f>E.1项目运营期费用!#REF!</f>
        <v>#REF!</v>
      </c>
      <c r="AE10" s="8">
        <f>E.1项目运营期费用!N10</f>
        <v>0</v>
      </c>
    </row>
    <row r="11" customHeight="1" spans="1:31">
      <c r="A11" s="11" t="str">
        <f>E.1项目运营期费用!A11</f>
        <v>网络费</v>
      </c>
      <c r="B11" s="11">
        <f>E.1项目运营期费用!B11</f>
        <v>8</v>
      </c>
      <c r="C11" s="23" t="str">
        <f>E.1项目运营期费用!C11</f>
        <v>网络通信费用</v>
      </c>
      <c r="D11" s="23" t="str">
        <f>E.1项目运营期费用!D11</f>
        <v>按年计算租金</v>
      </c>
      <c r="E11" s="8">
        <f>E.1项目运营期费用!E11</f>
        <v>0</v>
      </c>
      <c r="F11" s="8">
        <f>E.1项目运营期费用!F11</f>
        <v>0</v>
      </c>
      <c r="G11" s="8">
        <f>E.1项目运营期费用!G11</f>
        <v>0</v>
      </c>
      <c r="H11" s="8">
        <f>E.1项目运营期费用!H11</f>
        <v>0</v>
      </c>
      <c r="I11" s="8">
        <f>E.1项目运营期费用!I11</f>
        <v>0</v>
      </c>
      <c r="J11" s="8">
        <f>E.1项目运营期费用!J11</f>
        <v>0</v>
      </c>
      <c r="K11" s="8">
        <f>E.1项目运营期费用!K11</f>
        <v>0</v>
      </c>
      <c r="L11" s="8">
        <f>E.1项目运营期费用!L11</f>
        <v>0</v>
      </c>
      <c r="M11" s="8">
        <f>E.1项目运营期费用!M11</f>
        <v>0</v>
      </c>
      <c r="N11" s="8" t="e">
        <f>E.1项目运营期费用!#REF!</f>
        <v>#REF!</v>
      </c>
      <c r="O11" s="8" t="e">
        <f>E.1项目运营期费用!#REF!</f>
        <v>#REF!</v>
      </c>
      <c r="P11" s="8" t="e">
        <f>E.1项目运营期费用!#REF!</f>
        <v>#REF!</v>
      </c>
      <c r="Q11" s="8" t="e">
        <f>E.1项目运营期费用!#REF!</f>
        <v>#REF!</v>
      </c>
      <c r="R11" s="8" t="e">
        <f>E.1项目运营期费用!#REF!</f>
        <v>#REF!</v>
      </c>
      <c r="S11" s="8" t="e">
        <f>E.1项目运营期费用!#REF!</f>
        <v>#REF!</v>
      </c>
      <c r="T11" s="8" t="e">
        <f>E.1项目运营期费用!#REF!</f>
        <v>#REF!</v>
      </c>
      <c r="U11" s="8" t="e">
        <f>E.1项目运营期费用!#REF!</f>
        <v>#REF!</v>
      </c>
      <c r="V11" s="8" t="e">
        <f>E.1项目运营期费用!#REF!</f>
        <v>#REF!</v>
      </c>
      <c r="W11" s="8" t="e">
        <f>E.1项目运营期费用!#REF!</f>
        <v>#REF!</v>
      </c>
      <c r="X11" s="8" t="e">
        <f>E.1项目运营期费用!#REF!</f>
        <v>#REF!</v>
      </c>
      <c r="Y11" s="8" t="e">
        <f>E.1项目运营期费用!#REF!</f>
        <v>#REF!</v>
      </c>
      <c r="Z11" s="8" t="e">
        <f>E.1项目运营期费用!#REF!</f>
        <v>#REF!</v>
      </c>
      <c r="AA11" s="8" t="e">
        <f>E.1项目运营期费用!#REF!</f>
        <v>#REF!</v>
      </c>
      <c r="AB11" s="8" t="e">
        <f>E.1项目运营期费用!#REF!</f>
        <v>#REF!</v>
      </c>
      <c r="AC11" s="8" t="e">
        <f>E.1项目运营期费用!#REF!</f>
        <v>#REF!</v>
      </c>
      <c r="AD11" s="8" t="e">
        <f>E.1项目运营期费用!#REF!</f>
        <v>#REF!</v>
      </c>
      <c r="AE11" s="8">
        <f>E.1项目运营期费用!N11</f>
        <v>0</v>
      </c>
    </row>
    <row r="12" customHeight="1" spans="1:31">
      <c r="A12" s="11" t="str">
        <f>E.1项目运营期费用!A12</f>
        <v>硬件维护成本</v>
      </c>
      <c r="B12" s="11">
        <f>E.1项目运营期费用!B12</f>
        <v>9</v>
      </c>
      <c r="C12" s="23" t="str">
        <f>E.1项目运营期费用!C12</f>
        <v>硬件设备维护</v>
      </c>
      <c r="D12" s="23" t="str">
        <f>E.1项目运营期费用!D12</f>
        <v>按照固定资产15%计算</v>
      </c>
      <c r="E12" s="8">
        <f>E.1项目运营期费用!E12</f>
        <v>0</v>
      </c>
      <c r="F12" s="8">
        <f>E.1项目运营期费用!F12</f>
        <v>0</v>
      </c>
      <c r="G12" s="8">
        <f>E.1项目运营期费用!G12</f>
        <v>0</v>
      </c>
      <c r="H12" s="8">
        <f>E.1项目运营期费用!H12</f>
        <v>0</v>
      </c>
      <c r="I12" s="8">
        <f>E.1项目运营期费用!I12</f>
        <v>0</v>
      </c>
      <c r="J12" s="8">
        <f>E.1项目运营期费用!J12</f>
        <v>0</v>
      </c>
      <c r="K12" s="8">
        <f>E.1项目运营期费用!K12</f>
        <v>0</v>
      </c>
      <c r="L12" s="8">
        <f>E.1项目运营期费用!L12</f>
        <v>0</v>
      </c>
      <c r="M12" s="8">
        <f>E.1项目运营期费用!M12</f>
        <v>0</v>
      </c>
      <c r="N12" s="8" t="e">
        <f>E.1项目运营期费用!#REF!</f>
        <v>#REF!</v>
      </c>
      <c r="O12" s="8" t="e">
        <f>E.1项目运营期费用!#REF!</f>
        <v>#REF!</v>
      </c>
      <c r="P12" s="8" t="e">
        <f>E.1项目运营期费用!#REF!</f>
        <v>#REF!</v>
      </c>
      <c r="Q12" s="8" t="e">
        <f>E.1项目运营期费用!#REF!</f>
        <v>#REF!</v>
      </c>
      <c r="R12" s="8" t="e">
        <f>E.1项目运营期费用!#REF!</f>
        <v>#REF!</v>
      </c>
      <c r="S12" s="8" t="e">
        <f>E.1项目运营期费用!#REF!</f>
        <v>#REF!</v>
      </c>
      <c r="T12" s="8" t="e">
        <f>E.1项目运营期费用!#REF!</f>
        <v>#REF!</v>
      </c>
      <c r="U12" s="8" t="e">
        <f>E.1项目运营期费用!#REF!</f>
        <v>#REF!</v>
      </c>
      <c r="V12" s="8" t="e">
        <f>E.1项目运营期费用!#REF!</f>
        <v>#REF!</v>
      </c>
      <c r="W12" s="8" t="e">
        <f>E.1项目运营期费用!#REF!</f>
        <v>#REF!</v>
      </c>
      <c r="X12" s="8" t="e">
        <f>E.1项目运营期费用!#REF!</f>
        <v>#REF!</v>
      </c>
      <c r="Y12" s="8" t="e">
        <f>E.1项目运营期费用!#REF!</f>
        <v>#REF!</v>
      </c>
      <c r="Z12" s="8" t="e">
        <f>E.1项目运营期费用!#REF!</f>
        <v>#REF!</v>
      </c>
      <c r="AA12" s="8" t="e">
        <f>E.1项目运营期费用!#REF!</f>
        <v>#REF!</v>
      </c>
      <c r="AB12" s="8" t="e">
        <f>E.1项目运营期费用!#REF!</f>
        <v>#REF!</v>
      </c>
      <c r="AC12" s="8" t="e">
        <f>E.1项目运营期费用!#REF!</f>
        <v>#REF!</v>
      </c>
      <c r="AD12" s="8" t="e">
        <f>E.1项目运营期费用!#REF!</f>
        <v>#REF!</v>
      </c>
      <c r="AE12" s="8">
        <f>E.1项目运营期费用!N12</f>
        <v>0</v>
      </c>
    </row>
    <row r="13" customHeight="1" spans="1:31">
      <c r="A13" s="16"/>
      <c r="B13" s="11">
        <f>E.1项目运营期费用!B13</f>
        <v>10</v>
      </c>
      <c r="C13" s="23" t="str">
        <f>E.1项目运营期费用!C13</f>
        <v>备品备件储备</v>
      </c>
      <c r="D13" s="23" t="str">
        <f>E.1项目运营期费用!D13</f>
        <v>按年度设备维护预算 × 储备比例 （10%-20%）</v>
      </c>
      <c r="E13" s="8">
        <f>E.1项目运营期费用!E13</f>
        <v>0</v>
      </c>
      <c r="F13" s="8">
        <f>E.1项目运营期费用!F13</f>
        <v>0</v>
      </c>
      <c r="G13" s="8">
        <f>E.1项目运营期费用!G13</f>
        <v>0</v>
      </c>
      <c r="H13" s="8">
        <f>E.1项目运营期费用!H13</f>
        <v>0</v>
      </c>
      <c r="I13" s="8">
        <f>E.1项目运营期费用!I13</f>
        <v>0</v>
      </c>
      <c r="J13" s="8">
        <f>E.1项目运营期费用!J13</f>
        <v>0</v>
      </c>
      <c r="K13" s="8">
        <f>E.1项目运营期费用!K13</f>
        <v>0</v>
      </c>
      <c r="L13" s="8">
        <f>E.1项目运营期费用!L13</f>
        <v>0</v>
      </c>
      <c r="M13" s="8">
        <f>E.1项目运营期费用!M13</f>
        <v>0</v>
      </c>
      <c r="N13" s="8" t="e">
        <f>E.1项目运营期费用!#REF!</f>
        <v>#REF!</v>
      </c>
      <c r="O13" s="8" t="e">
        <f>E.1项目运营期费用!#REF!</f>
        <v>#REF!</v>
      </c>
      <c r="P13" s="8" t="e">
        <f>E.1项目运营期费用!#REF!</f>
        <v>#REF!</v>
      </c>
      <c r="Q13" s="8" t="e">
        <f>E.1项目运营期费用!#REF!</f>
        <v>#REF!</v>
      </c>
      <c r="R13" s="8" t="e">
        <f>E.1项目运营期费用!#REF!</f>
        <v>#REF!</v>
      </c>
      <c r="S13" s="8" t="e">
        <f>E.1项目运营期费用!#REF!</f>
        <v>#REF!</v>
      </c>
      <c r="T13" s="8" t="e">
        <f>E.1项目运营期费用!#REF!</f>
        <v>#REF!</v>
      </c>
      <c r="U13" s="8" t="e">
        <f>E.1项目运营期费用!#REF!</f>
        <v>#REF!</v>
      </c>
      <c r="V13" s="8" t="e">
        <f>E.1项目运营期费用!#REF!</f>
        <v>#REF!</v>
      </c>
      <c r="W13" s="8" t="e">
        <f>E.1项目运营期费用!#REF!</f>
        <v>#REF!</v>
      </c>
      <c r="X13" s="8" t="e">
        <f>E.1项目运营期费用!#REF!</f>
        <v>#REF!</v>
      </c>
      <c r="Y13" s="8" t="e">
        <f>E.1项目运营期费用!#REF!</f>
        <v>#REF!</v>
      </c>
      <c r="Z13" s="8" t="e">
        <f>E.1项目运营期费用!#REF!</f>
        <v>#REF!</v>
      </c>
      <c r="AA13" s="8" t="e">
        <f>E.1项目运营期费用!#REF!</f>
        <v>#REF!</v>
      </c>
      <c r="AB13" s="8" t="e">
        <f>E.1项目运营期费用!#REF!</f>
        <v>#REF!</v>
      </c>
      <c r="AC13" s="8" t="e">
        <f>E.1项目运营期费用!#REF!</f>
        <v>#REF!</v>
      </c>
      <c r="AD13" s="8" t="e">
        <f>E.1项目运营期费用!#REF!</f>
        <v>#REF!</v>
      </c>
      <c r="AE13" s="8">
        <f>E.1项目运营期费用!N13</f>
        <v>0</v>
      </c>
    </row>
    <row r="14" customHeight="1" spans="1:31">
      <c r="A14" s="11" t="str">
        <f>E.1项目运营期费用!A14</f>
        <v>软件维护费</v>
      </c>
      <c r="B14" s="11">
        <f>E.1项目运营期费用!B14</f>
        <v>11</v>
      </c>
      <c r="C14" s="23" t="str">
        <f>E.1项目运营期费用!C14</f>
        <v>软件维护</v>
      </c>
      <c r="D14" s="23" t="str">
        <f>E.1项目运营期费用!D14</f>
        <v>按无形资产造价的20%计算</v>
      </c>
      <c r="E14" s="8">
        <f>E.1项目运营期费用!E14</f>
        <v>0</v>
      </c>
      <c r="F14" s="8">
        <f>E.1项目运营期费用!F14</f>
        <v>0</v>
      </c>
      <c r="G14" s="8">
        <f>E.1项目运营期费用!G14</f>
        <v>0</v>
      </c>
      <c r="H14" s="8">
        <f>E.1项目运营期费用!H14</f>
        <v>0</v>
      </c>
      <c r="I14" s="8">
        <f>E.1项目运营期费用!I14</f>
        <v>0</v>
      </c>
      <c r="J14" s="8">
        <f>E.1项目运营期费用!J14</f>
        <v>0</v>
      </c>
      <c r="K14" s="8">
        <f>E.1项目运营期费用!K14</f>
        <v>0</v>
      </c>
      <c r="L14" s="8">
        <f>E.1项目运营期费用!L14</f>
        <v>0</v>
      </c>
      <c r="M14" s="8">
        <f>E.1项目运营期费用!M14</f>
        <v>0</v>
      </c>
      <c r="N14" s="8" t="e">
        <f>E.1项目运营期费用!#REF!</f>
        <v>#REF!</v>
      </c>
      <c r="O14" s="8" t="e">
        <f>E.1项目运营期费用!#REF!</f>
        <v>#REF!</v>
      </c>
      <c r="P14" s="8" t="e">
        <f>E.1项目运营期费用!#REF!</f>
        <v>#REF!</v>
      </c>
      <c r="Q14" s="8" t="e">
        <f>E.1项目运营期费用!#REF!</f>
        <v>#REF!</v>
      </c>
      <c r="R14" s="8" t="e">
        <f>E.1项目运营期费用!#REF!</f>
        <v>#REF!</v>
      </c>
      <c r="S14" s="8" t="e">
        <f>E.1项目运营期费用!#REF!</f>
        <v>#REF!</v>
      </c>
      <c r="T14" s="8" t="e">
        <f>E.1项目运营期费用!#REF!</f>
        <v>#REF!</v>
      </c>
      <c r="U14" s="8" t="e">
        <f>E.1项目运营期费用!#REF!</f>
        <v>#REF!</v>
      </c>
      <c r="V14" s="8" t="e">
        <f>E.1项目运营期费用!#REF!</f>
        <v>#REF!</v>
      </c>
      <c r="W14" s="8" t="e">
        <f>E.1项目运营期费用!#REF!</f>
        <v>#REF!</v>
      </c>
      <c r="X14" s="8" t="e">
        <f>E.1项目运营期费用!#REF!</f>
        <v>#REF!</v>
      </c>
      <c r="Y14" s="8" t="e">
        <f>E.1项目运营期费用!#REF!</f>
        <v>#REF!</v>
      </c>
      <c r="Z14" s="8" t="e">
        <f>E.1项目运营期费用!#REF!</f>
        <v>#REF!</v>
      </c>
      <c r="AA14" s="8" t="e">
        <f>E.1项目运营期费用!#REF!</f>
        <v>#REF!</v>
      </c>
      <c r="AB14" s="8" t="e">
        <f>E.1项目运营期费用!#REF!</f>
        <v>#REF!</v>
      </c>
      <c r="AC14" s="8" t="e">
        <f>E.1项目运营期费用!#REF!</f>
        <v>#REF!</v>
      </c>
      <c r="AD14" s="8" t="e">
        <f>E.1项目运营期费用!#REF!</f>
        <v>#REF!</v>
      </c>
      <c r="AE14" s="8">
        <f>E.1项目运营期费用!N14</f>
        <v>0</v>
      </c>
    </row>
    <row r="15" customHeight="1" spans="1:31">
      <c r="A15" s="11" t="str">
        <f>E.1项目运营期费用!A15</f>
        <v>营销费用</v>
      </c>
      <c r="B15" s="11">
        <f>E.1项目运营期费用!B15</f>
        <v>12</v>
      </c>
      <c r="C15" s="23" t="str">
        <f>E.1项目运营期费用!C15</f>
        <v>营销及活动</v>
      </c>
      <c r="D15" s="23" t="str">
        <f>E.1项目运营期费用!D15</f>
        <v>按年平均营业收入的2%计算</v>
      </c>
      <c r="E15" s="8">
        <f>E.1项目运营期费用!E15</f>
        <v>0</v>
      </c>
      <c r="F15" s="8">
        <f>E.1项目运营期费用!F15</f>
        <v>0</v>
      </c>
      <c r="G15" s="8">
        <f>E.1项目运营期费用!G15</f>
        <v>0</v>
      </c>
      <c r="H15" s="8">
        <f>E.1项目运营期费用!H15</f>
        <v>0</v>
      </c>
      <c r="I15" s="8">
        <f>E.1项目运营期费用!I15</f>
        <v>0</v>
      </c>
      <c r="J15" s="8">
        <f>E.1项目运营期费用!J15</f>
        <v>0</v>
      </c>
      <c r="K15" s="8">
        <f>E.1项目运营期费用!K15</f>
        <v>0</v>
      </c>
      <c r="L15" s="8">
        <f>E.1项目运营期费用!L15</f>
        <v>0</v>
      </c>
      <c r="M15" s="8">
        <f>E.1项目运营期费用!M15</f>
        <v>0</v>
      </c>
      <c r="N15" s="8" t="e">
        <f>E.1项目运营期费用!#REF!</f>
        <v>#REF!</v>
      </c>
      <c r="O15" s="8" t="e">
        <f>E.1项目运营期费用!#REF!</f>
        <v>#REF!</v>
      </c>
      <c r="P15" s="8" t="e">
        <f>E.1项目运营期费用!#REF!</f>
        <v>#REF!</v>
      </c>
      <c r="Q15" s="8" t="e">
        <f>E.1项目运营期费用!#REF!</f>
        <v>#REF!</v>
      </c>
      <c r="R15" s="8" t="e">
        <f>E.1项目运营期费用!#REF!</f>
        <v>#REF!</v>
      </c>
      <c r="S15" s="8" t="e">
        <f>E.1项目运营期费用!#REF!</f>
        <v>#REF!</v>
      </c>
      <c r="T15" s="8" t="e">
        <f>E.1项目运营期费用!#REF!</f>
        <v>#REF!</v>
      </c>
      <c r="U15" s="8" t="e">
        <f>E.1项目运营期费用!#REF!</f>
        <v>#REF!</v>
      </c>
      <c r="V15" s="8" t="e">
        <f>E.1项目运营期费用!#REF!</f>
        <v>#REF!</v>
      </c>
      <c r="W15" s="8" t="e">
        <f>E.1项目运营期费用!#REF!</f>
        <v>#REF!</v>
      </c>
      <c r="X15" s="8" t="e">
        <f>E.1项目运营期费用!#REF!</f>
        <v>#REF!</v>
      </c>
      <c r="Y15" s="8" t="e">
        <f>E.1项目运营期费用!#REF!</f>
        <v>#REF!</v>
      </c>
      <c r="Z15" s="8" t="e">
        <f>E.1项目运营期费用!#REF!</f>
        <v>#REF!</v>
      </c>
      <c r="AA15" s="8" t="e">
        <f>E.1项目运营期费用!#REF!</f>
        <v>#REF!</v>
      </c>
      <c r="AB15" s="8" t="e">
        <f>E.1项目运营期费用!#REF!</f>
        <v>#REF!</v>
      </c>
      <c r="AC15" s="8" t="e">
        <f>E.1项目运营期费用!#REF!</f>
        <v>#REF!</v>
      </c>
      <c r="AD15" s="8" t="e">
        <f>E.1项目运营期费用!#REF!</f>
        <v>#REF!</v>
      </c>
      <c r="AE15" s="8">
        <f>E.1项目运营期费用!N15</f>
        <v>0</v>
      </c>
    </row>
    <row r="16" customHeight="1" spans="1:31">
      <c r="A16" s="11" t="str">
        <f>E.1项目运营期费用!A16</f>
        <v>工资及福利费</v>
      </c>
      <c r="B16" s="11">
        <f>E.1项目运营期费用!B16</f>
        <v>13</v>
      </c>
      <c r="C16" s="23" t="str">
        <f>E.1项目运营期费用!C16</f>
        <v>人员薪酬</v>
      </c>
      <c r="D16" s="23" t="str">
        <f>E.1项目运营期费用!D16</f>
        <v>按岗位月薪 ×12 + 福利（月薪 ×20%-30%）</v>
      </c>
      <c r="E16" s="8">
        <f>E.1项目运营期费用!E16</f>
        <v>0</v>
      </c>
      <c r="F16" s="8">
        <f>E.1项目运营期费用!F16</f>
        <v>0</v>
      </c>
      <c r="G16" s="8">
        <f>E.1项目运营期费用!G16</f>
        <v>0</v>
      </c>
      <c r="H16" s="8">
        <f>E.1项目运营期费用!H16</f>
        <v>0</v>
      </c>
      <c r="I16" s="8">
        <f>E.1项目运营期费用!I16</f>
        <v>0</v>
      </c>
      <c r="J16" s="8">
        <f>E.1项目运营期费用!J16</f>
        <v>0</v>
      </c>
      <c r="K16" s="8">
        <f>E.1项目运营期费用!K16</f>
        <v>0</v>
      </c>
      <c r="L16" s="8">
        <f>E.1项目运营期费用!L16</f>
        <v>0</v>
      </c>
      <c r="M16" s="8">
        <f>E.1项目运营期费用!M16</f>
        <v>0</v>
      </c>
      <c r="N16" s="8" t="e">
        <f>E.1项目运营期费用!#REF!</f>
        <v>#REF!</v>
      </c>
      <c r="O16" s="8" t="e">
        <f>E.1项目运营期费用!#REF!</f>
        <v>#REF!</v>
      </c>
      <c r="P16" s="8" t="e">
        <f>E.1项目运营期费用!#REF!</f>
        <v>#REF!</v>
      </c>
      <c r="Q16" s="8" t="e">
        <f>E.1项目运营期费用!#REF!</f>
        <v>#REF!</v>
      </c>
      <c r="R16" s="8" t="e">
        <f>E.1项目运营期费用!#REF!</f>
        <v>#REF!</v>
      </c>
      <c r="S16" s="8" t="e">
        <f>E.1项目运营期费用!#REF!</f>
        <v>#REF!</v>
      </c>
      <c r="T16" s="8" t="e">
        <f>E.1项目运营期费用!#REF!</f>
        <v>#REF!</v>
      </c>
      <c r="U16" s="8" t="e">
        <f>E.1项目运营期费用!#REF!</f>
        <v>#REF!</v>
      </c>
      <c r="V16" s="8" t="e">
        <f>E.1项目运营期费用!#REF!</f>
        <v>#REF!</v>
      </c>
      <c r="W16" s="8" t="e">
        <f>E.1项目运营期费用!#REF!</f>
        <v>#REF!</v>
      </c>
      <c r="X16" s="8" t="e">
        <f>E.1项目运营期费用!#REF!</f>
        <v>#REF!</v>
      </c>
      <c r="Y16" s="8" t="e">
        <f>E.1项目运营期费用!#REF!</f>
        <v>#REF!</v>
      </c>
      <c r="Z16" s="8" t="e">
        <f>E.1项目运营期费用!#REF!</f>
        <v>#REF!</v>
      </c>
      <c r="AA16" s="8" t="e">
        <f>E.1项目运营期费用!#REF!</f>
        <v>#REF!</v>
      </c>
      <c r="AB16" s="8" t="e">
        <f>E.1项目运营期费用!#REF!</f>
        <v>#REF!</v>
      </c>
      <c r="AC16" s="8" t="e">
        <f>E.1项目运营期费用!#REF!</f>
        <v>#REF!</v>
      </c>
      <c r="AD16" s="8" t="e">
        <f>E.1项目运营期费用!#REF!</f>
        <v>#REF!</v>
      </c>
      <c r="AE16" s="8">
        <f>E.1项目运营期费用!N16</f>
        <v>0</v>
      </c>
    </row>
    <row r="17" customHeight="1" spans="1:31">
      <c r="A17" s="24"/>
      <c r="B17" s="11">
        <f>E.1项目运营期费用!B17</f>
        <v>14</v>
      </c>
      <c r="C17" s="23" t="str">
        <f>E.1项目运营期费用!C17</f>
        <v>培训与资质认证</v>
      </c>
      <c r="D17" s="23" t="str">
        <f>E.1项目运营期费用!D17</f>
        <v>按人次 × 人均培训费（元 / 人 次）</v>
      </c>
      <c r="E17" s="8">
        <f>E.1项目运营期费用!E17</f>
        <v>0</v>
      </c>
      <c r="F17" s="8">
        <f>E.1项目运营期费用!F17</f>
        <v>0</v>
      </c>
      <c r="G17" s="8">
        <f>E.1项目运营期费用!G17</f>
        <v>0</v>
      </c>
      <c r="H17" s="8">
        <f>E.1项目运营期费用!H17</f>
        <v>0</v>
      </c>
      <c r="I17" s="8">
        <f>E.1项目运营期费用!I17</f>
        <v>0</v>
      </c>
      <c r="J17" s="8">
        <f>E.1项目运营期费用!J17</f>
        <v>0</v>
      </c>
      <c r="K17" s="8">
        <f>E.1项目运营期费用!K17</f>
        <v>0</v>
      </c>
      <c r="L17" s="8">
        <f>E.1项目运营期费用!L17</f>
        <v>0</v>
      </c>
      <c r="M17" s="8">
        <f>E.1项目运营期费用!M17</f>
        <v>0</v>
      </c>
      <c r="N17" s="8" t="e">
        <f>E.1项目运营期费用!#REF!</f>
        <v>#REF!</v>
      </c>
      <c r="O17" s="8" t="e">
        <f>E.1项目运营期费用!#REF!</f>
        <v>#REF!</v>
      </c>
      <c r="P17" s="8" t="e">
        <f>E.1项目运营期费用!#REF!</f>
        <v>#REF!</v>
      </c>
      <c r="Q17" s="8" t="e">
        <f>E.1项目运营期费用!#REF!</f>
        <v>#REF!</v>
      </c>
      <c r="R17" s="8" t="e">
        <f>E.1项目运营期费用!#REF!</f>
        <v>#REF!</v>
      </c>
      <c r="S17" s="8" t="e">
        <f>E.1项目运营期费用!#REF!</f>
        <v>#REF!</v>
      </c>
      <c r="T17" s="8" t="e">
        <f>E.1项目运营期费用!#REF!</f>
        <v>#REF!</v>
      </c>
      <c r="U17" s="8" t="e">
        <f>E.1项目运营期费用!#REF!</f>
        <v>#REF!</v>
      </c>
      <c r="V17" s="8" t="e">
        <f>E.1项目运营期费用!#REF!</f>
        <v>#REF!</v>
      </c>
      <c r="W17" s="8" t="e">
        <f>E.1项目运营期费用!#REF!</f>
        <v>#REF!</v>
      </c>
      <c r="X17" s="8" t="e">
        <f>E.1项目运营期费用!#REF!</f>
        <v>#REF!</v>
      </c>
      <c r="Y17" s="8" t="e">
        <f>E.1项目运营期费用!#REF!</f>
        <v>#REF!</v>
      </c>
      <c r="Z17" s="8" t="e">
        <f>E.1项目运营期费用!#REF!</f>
        <v>#REF!</v>
      </c>
      <c r="AA17" s="8" t="e">
        <f>E.1项目运营期费用!#REF!</f>
        <v>#REF!</v>
      </c>
      <c r="AB17" s="8" t="e">
        <f>E.1项目运营期费用!#REF!</f>
        <v>#REF!</v>
      </c>
      <c r="AC17" s="8" t="e">
        <f>E.1项目运营期费用!#REF!</f>
        <v>#REF!</v>
      </c>
      <c r="AD17" s="8" t="e">
        <f>E.1项目运营期费用!#REF!</f>
        <v>#REF!</v>
      </c>
      <c r="AE17" s="8">
        <f>E.1项目运营期费用!N17</f>
        <v>0</v>
      </c>
    </row>
    <row r="18" customHeight="1" spans="1:31">
      <c r="A18" s="16"/>
      <c r="B18" s="11">
        <f>E.1项目运营期费用!B18</f>
        <v>15</v>
      </c>
      <c r="C18" s="23" t="str">
        <f>E.1项目运营期费用!C18</f>
        <v>办公与行政支出</v>
      </c>
      <c r="D18" s="23" t="str">
        <f>E.1项目运营期费用!D18</f>
        <v>按人员数量 × 人均办公费（元 / 人・月）</v>
      </c>
      <c r="E18" s="8">
        <f>E.1项目运营期费用!E18</f>
        <v>0</v>
      </c>
      <c r="F18" s="8">
        <f>E.1项目运营期费用!F18</f>
        <v>0</v>
      </c>
      <c r="G18" s="8">
        <f>E.1项目运营期费用!G18</f>
        <v>0</v>
      </c>
      <c r="H18" s="8">
        <f>E.1项目运营期费用!H18</f>
        <v>0</v>
      </c>
      <c r="I18" s="8">
        <f>E.1项目运营期费用!I18</f>
        <v>0</v>
      </c>
      <c r="J18" s="8">
        <f>E.1项目运营期费用!J18</f>
        <v>0</v>
      </c>
      <c r="K18" s="8">
        <f>E.1项目运营期费用!K18</f>
        <v>0</v>
      </c>
      <c r="L18" s="8">
        <f>E.1项目运营期费用!L18</f>
        <v>0</v>
      </c>
      <c r="M18" s="8">
        <f>E.1项目运营期费用!M18</f>
        <v>0</v>
      </c>
      <c r="N18" s="8" t="e">
        <f>E.1项目运营期费用!#REF!</f>
        <v>#REF!</v>
      </c>
      <c r="O18" s="8" t="e">
        <f>E.1项目运营期费用!#REF!</f>
        <v>#REF!</v>
      </c>
      <c r="P18" s="8" t="e">
        <f>E.1项目运营期费用!#REF!</f>
        <v>#REF!</v>
      </c>
      <c r="Q18" s="8" t="e">
        <f>E.1项目运营期费用!#REF!</f>
        <v>#REF!</v>
      </c>
      <c r="R18" s="8" t="e">
        <f>E.1项目运营期费用!#REF!</f>
        <v>#REF!</v>
      </c>
      <c r="S18" s="8" t="e">
        <f>E.1项目运营期费用!#REF!</f>
        <v>#REF!</v>
      </c>
      <c r="T18" s="8" t="e">
        <f>E.1项目运营期费用!#REF!</f>
        <v>#REF!</v>
      </c>
      <c r="U18" s="8" t="e">
        <f>E.1项目运营期费用!#REF!</f>
        <v>#REF!</v>
      </c>
      <c r="V18" s="8" t="e">
        <f>E.1项目运营期费用!#REF!</f>
        <v>#REF!</v>
      </c>
      <c r="W18" s="8" t="e">
        <f>E.1项目运营期费用!#REF!</f>
        <v>#REF!</v>
      </c>
      <c r="X18" s="8" t="e">
        <f>E.1项目运营期费用!#REF!</f>
        <v>#REF!</v>
      </c>
      <c r="Y18" s="8" t="e">
        <f>E.1项目运营期费用!#REF!</f>
        <v>#REF!</v>
      </c>
      <c r="Z18" s="8" t="e">
        <f>E.1项目运营期费用!#REF!</f>
        <v>#REF!</v>
      </c>
      <c r="AA18" s="8" t="e">
        <f>E.1项目运营期费用!#REF!</f>
        <v>#REF!</v>
      </c>
      <c r="AB18" s="8" t="e">
        <f>E.1项目运营期费用!#REF!</f>
        <v>#REF!</v>
      </c>
      <c r="AC18" s="8" t="e">
        <f>E.1项目运营期费用!#REF!</f>
        <v>#REF!</v>
      </c>
      <c r="AD18" s="8" t="e">
        <f>E.1项目运营期费用!#REF!</f>
        <v>#REF!</v>
      </c>
      <c r="AE18" s="8">
        <f>E.1项目运营期费用!N18</f>
        <v>0</v>
      </c>
    </row>
    <row r="19" customHeight="1" spans="1:31">
      <c r="A19" s="11" t="str">
        <f>E.1项目运营期费用!A19</f>
        <v>合规性与安全成本</v>
      </c>
      <c r="B19" s="11">
        <f>E.1项目运营期费用!B19</f>
        <v>16</v>
      </c>
      <c r="C19" s="23" t="str">
        <f>E.1项目运营期费用!C19</f>
        <v>空域使用审批费</v>
      </c>
      <c r="D19" s="23" t="str">
        <f>E.1项目运营期费用!D19</f>
        <v>按空域面积 × 年费率（元 / 平方 公里・年）</v>
      </c>
      <c r="E19" s="8">
        <f>E.1项目运营期费用!E19</f>
        <v>0</v>
      </c>
      <c r="F19" s="8">
        <f>E.1项目运营期费用!F19</f>
        <v>0</v>
      </c>
      <c r="G19" s="8">
        <f>E.1项目运营期费用!G19</f>
        <v>0</v>
      </c>
      <c r="H19" s="8">
        <f>E.1项目运营期费用!H19</f>
        <v>0</v>
      </c>
      <c r="I19" s="8">
        <f>E.1项目运营期费用!I19</f>
        <v>0</v>
      </c>
      <c r="J19" s="8">
        <f>E.1项目运营期费用!J19</f>
        <v>0</v>
      </c>
      <c r="K19" s="8">
        <f>E.1项目运营期费用!K19</f>
        <v>0</v>
      </c>
      <c r="L19" s="8">
        <f>E.1项目运营期费用!L19</f>
        <v>0</v>
      </c>
      <c r="M19" s="8">
        <f>E.1项目运营期费用!M19</f>
        <v>0</v>
      </c>
      <c r="N19" s="8" t="e">
        <f>E.1项目运营期费用!#REF!</f>
        <v>#REF!</v>
      </c>
      <c r="O19" s="8" t="e">
        <f>E.1项目运营期费用!#REF!</f>
        <v>#REF!</v>
      </c>
      <c r="P19" s="8" t="e">
        <f>E.1项目运营期费用!#REF!</f>
        <v>#REF!</v>
      </c>
      <c r="Q19" s="8" t="e">
        <f>E.1项目运营期费用!#REF!</f>
        <v>#REF!</v>
      </c>
      <c r="R19" s="8" t="e">
        <f>E.1项目运营期费用!#REF!</f>
        <v>#REF!</v>
      </c>
      <c r="S19" s="8" t="e">
        <f>E.1项目运营期费用!#REF!</f>
        <v>#REF!</v>
      </c>
      <c r="T19" s="8" t="e">
        <f>E.1项目运营期费用!#REF!</f>
        <v>#REF!</v>
      </c>
      <c r="U19" s="8" t="e">
        <f>E.1项目运营期费用!#REF!</f>
        <v>#REF!</v>
      </c>
      <c r="V19" s="8" t="e">
        <f>E.1项目运营期费用!#REF!</f>
        <v>#REF!</v>
      </c>
      <c r="W19" s="8" t="e">
        <f>E.1项目运营期费用!#REF!</f>
        <v>#REF!</v>
      </c>
      <c r="X19" s="8" t="e">
        <f>E.1项目运营期费用!#REF!</f>
        <v>#REF!</v>
      </c>
      <c r="Y19" s="8" t="e">
        <f>E.1项目运营期费用!#REF!</f>
        <v>#REF!</v>
      </c>
      <c r="Z19" s="8" t="e">
        <f>E.1项目运营期费用!#REF!</f>
        <v>#REF!</v>
      </c>
      <c r="AA19" s="8" t="e">
        <f>E.1项目运营期费用!#REF!</f>
        <v>#REF!</v>
      </c>
      <c r="AB19" s="8" t="e">
        <f>E.1项目运营期费用!#REF!</f>
        <v>#REF!</v>
      </c>
      <c r="AC19" s="8" t="e">
        <f>E.1项目运营期费用!#REF!</f>
        <v>#REF!</v>
      </c>
      <c r="AD19" s="8" t="e">
        <f>E.1项目运营期费用!#REF!</f>
        <v>#REF!</v>
      </c>
      <c r="AE19" s="8">
        <f>E.1项目运营期费用!N19</f>
        <v>0</v>
      </c>
    </row>
    <row r="20" customHeight="1" spans="1:31">
      <c r="A20" s="24"/>
      <c r="B20" s="11">
        <f>E.1项目运营期费用!B20</f>
        <v>17</v>
      </c>
      <c r="C20" s="23" t="str">
        <f>E.1项目运营期费用!C20</f>
        <v>场地责任险</v>
      </c>
      <c r="D20" s="23" t="str">
        <f>E.1项目运营期费用!D20</f>
        <v>按保额 × 保险费率（年费率 0.1%-0.3%）</v>
      </c>
      <c r="E20" s="8">
        <f>E.1项目运营期费用!E20</f>
        <v>0</v>
      </c>
      <c r="F20" s="8">
        <f>E.1项目运营期费用!F20</f>
        <v>0</v>
      </c>
      <c r="G20" s="8">
        <f>E.1项目运营期费用!G20</f>
        <v>0</v>
      </c>
      <c r="H20" s="8">
        <f>E.1项目运营期费用!H20</f>
        <v>0</v>
      </c>
      <c r="I20" s="8">
        <f>E.1项目运营期费用!I20</f>
        <v>0</v>
      </c>
      <c r="J20" s="8">
        <f>E.1项目运营期费用!J20</f>
        <v>0</v>
      </c>
      <c r="K20" s="8">
        <f>E.1项目运营期费用!K20</f>
        <v>0</v>
      </c>
      <c r="L20" s="8">
        <f>E.1项目运营期费用!L20</f>
        <v>0</v>
      </c>
      <c r="M20" s="8">
        <f>E.1项目运营期费用!M20</f>
        <v>0</v>
      </c>
      <c r="N20" s="8" t="e">
        <f>E.1项目运营期费用!#REF!</f>
        <v>#REF!</v>
      </c>
      <c r="O20" s="8" t="e">
        <f>E.1项目运营期费用!#REF!</f>
        <v>#REF!</v>
      </c>
      <c r="P20" s="8" t="e">
        <f>E.1项目运营期费用!#REF!</f>
        <v>#REF!</v>
      </c>
      <c r="Q20" s="8" t="e">
        <f>E.1项目运营期费用!#REF!</f>
        <v>#REF!</v>
      </c>
      <c r="R20" s="8" t="e">
        <f>E.1项目运营期费用!#REF!</f>
        <v>#REF!</v>
      </c>
      <c r="S20" s="8" t="e">
        <f>E.1项目运营期费用!#REF!</f>
        <v>#REF!</v>
      </c>
      <c r="T20" s="8" t="e">
        <f>E.1项目运营期费用!#REF!</f>
        <v>#REF!</v>
      </c>
      <c r="U20" s="8" t="e">
        <f>E.1项目运营期费用!#REF!</f>
        <v>#REF!</v>
      </c>
      <c r="V20" s="8" t="e">
        <f>E.1项目运营期费用!#REF!</f>
        <v>#REF!</v>
      </c>
      <c r="W20" s="8" t="e">
        <f>E.1项目运营期费用!#REF!</f>
        <v>#REF!</v>
      </c>
      <c r="X20" s="8" t="e">
        <f>E.1项目运营期费用!#REF!</f>
        <v>#REF!</v>
      </c>
      <c r="Y20" s="8" t="e">
        <f>E.1项目运营期费用!#REF!</f>
        <v>#REF!</v>
      </c>
      <c r="Z20" s="8" t="e">
        <f>E.1项目运营期费用!#REF!</f>
        <v>#REF!</v>
      </c>
      <c r="AA20" s="8" t="e">
        <f>E.1项目运营期费用!#REF!</f>
        <v>#REF!</v>
      </c>
      <c r="AB20" s="8" t="e">
        <f>E.1项目运营期费用!#REF!</f>
        <v>#REF!</v>
      </c>
      <c r="AC20" s="8" t="e">
        <f>E.1项目运营期费用!#REF!</f>
        <v>#REF!</v>
      </c>
      <c r="AD20" s="8" t="e">
        <f>E.1项目运营期费用!#REF!</f>
        <v>#REF!</v>
      </c>
      <c r="AE20" s="8">
        <f>E.1项目运营期费用!N20</f>
        <v>0</v>
      </c>
    </row>
    <row r="21" customHeight="1" spans="1:31">
      <c r="A21" s="16"/>
      <c r="B21" s="11">
        <f>E.1项目运营期费用!B21</f>
        <v>18</v>
      </c>
      <c r="C21" s="23" t="str">
        <f>E.1项目运营期费用!C21</f>
        <v>安全演练与应急处置</v>
      </c>
      <c r="D21" s="23" t="str">
        <f>E.1项目运营期费用!D21</f>
        <v>按次数 × 单次演练成本（元 / 次）</v>
      </c>
      <c r="E21" s="8">
        <f>E.1项目运营期费用!E21</f>
        <v>0</v>
      </c>
      <c r="F21" s="8">
        <f>E.1项目运营期费用!F21</f>
        <v>0</v>
      </c>
      <c r="G21" s="8">
        <f>E.1项目运营期费用!G21</f>
        <v>0</v>
      </c>
      <c r="H21" s="8">
        <f>E.1项目运营期费用!H21</f>
        <v>0</v>
      </c>
      <c r="I21" s="8">
        <f>E.1项目运营期费用!I21</f>
        <v>0</v>
      </c>
      <c r="J21" s="8">
        <f>E.1项目运营期费用!J21</f>
        <v>0</v>
      </c>
      <c r="K21" s="8">
        <f>E.1项目运营期费用!K21</f>
        <v>0</v>
      </c>
      <c r="L21" s="8">
        <f>E.1项目运营期费用!L21</f>
        <v>0</v>
      </c>
      <c r="M21" s="8">
        <f>E.1项目运营期费用!M21</f>
        <v>0</v>
      </c>
      <c r="N21" s="8" t="e">
        <f>E.1项目运营期费用!#REF!</f>
        <v>#REF!</v>
      </c>
      <c r="O21" s="8" t="e">
        <f>E.1项目运营期费用!#REF!</f>
        <v>#REF!</v>
      </c>
      <c r="P21" s="8" t="e">
        <f>E.1项目运营期费用!#REF!</f>
        <v>#REF!</v>
      </c>
      <c r="Q21" s="8" t="e">
        <f>E.1项目运营期费用!#REF!</f>
        <v>#REF!</v>
      </c>
      <c r="R21" s="8" t="e">
        <f>E.1项目运营期费用!#REF!</f>
        <v>#REF!</v>
      </c>
      <c r="S21" s="8" t="e">
        <f>E.1项目运营期费用!#REF!</f>
        <v>#REF!</v>
      </c>
      <c r="T21" s="8" t="e">
        <f>E.1项目运营期费用!#REF!</f>
        <v>#REF!</v>
      </c>
      <c r="U21" s="8" t="e">
        <f>E.1项目运营期费用!#REF!</f>
        <v>#REF!</v>
      </c>
      <c r="V21" s="8" t="e">
        <f>E.1项目运营期费用!#REF!</f>
        <v>#REF!</v>
      </c>
      <c r="W21" s="8" t="e">
        <f>E.1项目运营期费用!#REF!</f>
        <v>#REF!</v>
      </c>
      <c r="X21" s="8" t="e">
        <f>E.1项目运营期费用!#REF!</f>
        <v>#REF!</v>
      </c>
      <c r="Y21" s="8" t="e">
        <f>E.1项目运营期费用!#REF!</f>
        <v>#REF!</v>
      </c>
      <c r="Z21" s="8" t="e">
        <f>E.1项目运营期费用!#REF!</f>
        <v>#REF!</v>
      </c>
      <c r="AA21" s="8" t="e">
        <f>E.1项目运营期费用!#REF!</f>
        <v>#REF!</v>
      </c>
      <c r="AB21" s="8" t="e">
        <f>E.1项目运营期费用!#REF!</f>
        <v>#REF!</v>
      </c>
      <c r="AC21" s="8" t="e">
        <f>E.1项目运营期费用!#REF!</f>
        <v>#REF!</v>
      </c>
      <c r="AD21" s="8" t="e">
        <f>E.1项目运营期费用!#REF!</f>
        <v>#REF!</v>
      </c>
      <c r="AE21" s="8">
        <f>E.1项目运营期费用!N21</f>
        <v>0</v>
      </c>
    </row>
    <row r="22" customHeight="1" spans="1:31">
      <c r="A22" s="11" t="str">
        <f>E.1项目运营期费用!A22</f>
        <v>其他费用</v>
      </c>
      <c r="B22" s="11">
        <f>E.1项目运营期费用!B22</f>
        <v>19</v>
      </c>
      <c r="C22" s="23" t="str">
        <f>E.1项目运营期费用!C22</f>
        <v>第三方安全评估</v>
      </c>
      <c r="D22" s="23" t="str">
        <f>E.1项目运营期费用!D22</f>
        <v>按项目投资额 × 评估费率 （0.1%-0.3%）</v>
      </c>
      <c r="E22" s="8">
        <f>E.1项目运营期费用!E22</f>
        <v>0</v>
      </c>
      <c r="F22" s="8">
        <f>E.1项目运营期费用!F22</f>
        <v>0</v>
      </c>
      <c r="G22" s="8">
        <f>E.1项目运营期费用!G22</f>
        <v>0</v>
      </c>
      <c r="H22" s="8">
        <f>E.1项目运营期费用!H22</f>
        <v>0</v>
      </c>
      <c r="I22" s="8">
        <f>E.1项目运营期费用!I22</f>
        <v>0</v>
      </c>
      <c r="J22" s="8">
        <f>E.1项目运营期费用!J22</f>
        <v>0</v>
      </c>
      <c r="K22" s="8">
        <f>E.1项目运营期费用!K22</f>
        <v>0</v>
      </c>
      <c r="L22" s="8">
        <f>E.1项目运营期费用!L22</f>
        <v>0</v>
      </c>
      <c r="M22" s="8">
        <f>E.1项目运营期费用!M22</f>
        <v>0</v>
      </c>
      <c r="N22" s="8" t="e">
        <f>E.1项目运营期费用!#REF!</f>
        <v>#REF!</v>
      </c>
      <c r="O22" s="8" t="e">
        <f>E.1项目运营期费用!#REF!</f>
        <v>#REF!</v>
      </c>
      <c r="P22" s="8" t="e">
        <f>E.1项目运营期费用!#REF!</f>
        <v>#REF!</v>
      </c>
      <c r="Q22" s="8" t="e">
        <f>E.1项目运营期费用!#REF!</f>
        <v>#REF!</v>
      </c>
      <c r="R22" s="8" t="e">
        <f>E.1项目运营期费用!#REF!</f>
        <v>#REF!</v>
      </c>
      <c r="S22" s="8" t="e">
        <f>E.1项目运营期费用!#REF!</f>
        <v>#REF!</v>
      </c>
      <c r="T22" s="8" t="e">
        <f>E.1项目运营期费用!#REF!</f>
        <v>#REF!</v>
      </c>
      <c r="U22" s="8" t="e">
        <f>E.1项目运营期费用!#REF!</f>
        <v>#REF!</v>
      </c>
      <c r="V22" s="8" t="e">
        <f>E.1项目运营期费用!#REF!</f>
        <v>#REF!</v>
      </c>
      <c r="W22" s="8" t="e">
        <f>E.1项目运营期费用!#REF!</f>
        <v>#REF!</v>
      </c>
      <c r="X22" s="8" t="e">
        <f>E.1项目运营期费用!#REF!</f>
        <v>#REF!</v>
      </c>
      <c r="Y22" s="8" t="e">
        <f>E.1项目运营期费用!#REF!</f>
        <v>#REF!</v>
      </c>
      <c r="Z22" s="8" t="e">
        <f>E.1项目运营期费用!#REF!</f>
        <v>#REF!</v>
      </c>
      <c r="AA22" s="8" t="e">
        <f>E.1项目运营期费用!#REF!</f>
        <v>#REF!</v>
      </c>
      <c r="AB22" s="8" t="e">
        <f>E.1项目运营期费用!#REF!</f>
        <v>#REF!</v>
      </c>
      <c r="AC22" s="8" t="e">
        <f>E.1项目运营期费用!#REF!</f>
        <v>#REF!</v>
      </c>
      <c r="AD22" s="8" t="e">
        <f>E.1项目运营期费用!#REF!</f>
        <v>#REF!</v>
      </c>
      <c r="AE22" s="8">
        <f>E.1项目运营期费用!N22</f>
        <v>0</v>
      </c>
    </row>
    <row r="23" customHeight="1" spans="1:31">
      <c r="A23" s="16"/>
      <c r="B23" s="11">
        <f>E.1项目运营期费用!B23</f>
        <v>20</v>
      </c>
      <c r="C23" s="23" t="str">
        <f>E.1项目运营期费用!C23</f>
        <v>不可预见支出</v>
      </c>
      <c r="D23" s="23" t="str">
        <f>E.1项目运营期费用!D23</f>
        <v>按年度总成本 × 计提比例 （5%-10%）</v>
      </c>
      <c r="E23" s="8">
        <f>E.1项目运营期费用!E23</f>
        <v>0</v>
      </c>
      <c r="F23" s="8">
        <f>E.1项目运营期费用!F23</f>
        <v>0</v>
      </c>
      <c r="G23" s="8">
        <f>E.1项目运营期费用!G23</f>
        <v>0</v>
      </c>
      <c r="H23" s="8">
        <f>E.1项目运营期费用!H23</f>
        <v>0</v>
      </c>
      <c r="I23" s="8">
        <f>E.1项目运营期费用!I23</f>
        <v>0</v>
      </c>
      <c r="J23" s="8">
        <f>E.1项目运营期费用!J23</f>
        <v>0</v>
      </c>
      <c r="K23" s="8">
        <f>E.1项目运营期费用!K23</f>
        <v>0</v>
      </c>
      <c r="L23" s="8">
        <f>E.1项目运营期费用!L23</f>
        <v>0</v>
      </c>
      <c r="M23" s="8">
        <f>E.1项目运营期费用!M23</f>
        <v>0</v>
      </c>
      <c r="N23" s="8" t="e">
        <f>E.1项目运营期费用!#REF!</f>
        <v>#REF!</v>
      </c>
      <c r="O23" s="8" t="e">
        <f>E.1项目运营期费用!#REF!</f>
        <v>#REF!</v>
      </c>
      <c r="P23" s="8" t="e">
        <f>E.1项目运营期费用!#REF!</f>
        <v>#REF!</v>
      </c>
      <c r="Q23" s="8" t="e">
        <f>E.1项目运营期费用!#REF!</f>
        <v>#REF!</v>
      </c>
      <c r="R23" s="8" t="e">
        <f>E.1项目运营期费用!#REF!</f>
        <v>#REF!</v>
      </c>
      <c r="S23" s="8" t="e">
        <f>E.1项目运营期费用!#REF!</f>
        <v>#REF!</v>
      </c>
      <c r="T23" s="8" t="e">
        <f>E.1项目运营期费用!#REF!</f>
        <v>#REF!</v>
      </c>
      <c r="U23" s="8" t="e">
        <f>E.1项目运营期费用!#REF!</f>
        <v>#REF!</v>
      </c>
      <c r="V23" s="8" t="e">
        <f>E.1项目运营期费用!#REF!</f>
        <v>#REF!</v>
      </c>
      <c r="W23" s="8" t="e">
        <f>E.1项目运营期费用!#REF!</f>
        <v>#REF!</v>
      </c>
      <c r="X23" s="8" t="e">
        <f>E.1项目运营期费用!#REF!</f>
        <v>#REF!</v>
      </c>
      <c r="Y23" s="8" t="e">
        <f>E.1项目运营期费用!#REF!</f>
        <v>#REF!</v>
      </c>
      <c r="Z23" s="8" t="e">
        <f>E.1项目运营期费用!#REF!</f>
        <v>#REF!</v>
      </c>
      <c r="AA23" s="8" t="e">
        <f>E.1项目运营期费用!#REF!</f>
        <v>#REF!</v>
      </c>
      <c r="AB23" s="8" t="e">
        <f>E.1项目运营期费用!#REF!</f>
        <v>#REF!</v>
      </c>
      <c r="AC23" s="8" t="e">
        <f>E.1项目运营期费用!#REF!</f>
        <v>#REF!</v>
      </c>
      <c r="AD23" s="8" t="e">
        <f>E.1项目运营期费用!#REF!</f>
        <v>#REF!</v>
      </c>
      <c r="AE23" s="8">
        <f>E.1项目运营期费用!N23</f>
        <v>0</v>
      </c>
    </row>
  </sheetData>
  <mergeCells count="14">
    <mergeCell ref="A1:AE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tabColor rgb="FFFFC000"/>
  </sheetPr>
  <dimension ref="A1:X6"/>
  <sheetViews>
    <sheetView workbookViewId="0">
      <selection activeCell="J7" sqref="J7"/>
    </sheetView>
  </sheetViews>
  <sheetFormatPr defaultColWidth="14.7818181818182" defaultRowHeight="28.05" customHeight="1" outlineLevelRow="5"/>
  <cols>
    <col min="1" max="1" width="14.7818181818182" style="1" customWidth="1"/>
    <col min="2" max="2" width="6.44545454545455" style="1" customWidth="1"/>
    <col min="3" max="4" width="8.66363636363636" style="1" customWidth="1"/>
    <col min="5" max="12" width="9.55454545454545" style="1" customWidth="1"/>
    <col min="13" max="24" width="8.66363636363636" style="1" customWidth="1"/>
    <col min="25" max="25" width="14.7818181818182" style="1" customWidth="1"/>
  </cols>
  <sheetData>
    <row r="1" customHeight="1" spans="1:24">
      <c r="A1" s="15" t="s">
        <v>546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customHeight="1" spans="1:24">
      <c r="A2" s="5" t="s">
        <v>547</v>
      </c>
      <c r="B2" s="5" t="s">
        <v>517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4"/>
    </row>
    <row r="3" customHeight="1" spans="1:24">
      <c r="A3" s="16"/>
      <c r="B3" s="11">
        <v>2025</v>
      </c>
      <c r="C3" s="11">
        <v>2026</v>
      </c>
      <c r="D3" s="11">
        <v>2027</v>
      </c>
      <c r="E3" s="11">
        <v>2028</v>
      </c>
      <c r="F3" s="11">
        <v>2029</v>
      </c>
      <c r="G3" s="11">
        <v>2030</v>
      </c>
      <c r="H3" s="11">
        <v>2031</v>
      </c>
      <c r="I3" s="11">
        <v>2032</v>
      </c>
      <c r="J3" s="11">
        <v>2033</v>
      </c>
      <c r="K3" s="11">
        <v>2034</v>
      </c>
      <c r="L3" s="11">
        <v>2035</v>
      </c>
      <c r="M3" s="11">
        <v>2036</v>
      </c>
      <c r="N3" s="11">
        <v>2037</v>
      </c>
      <c r="O3" s="11">
        <v>2038</v>
      </c>
      <c r="P3" s="11">
        <v>2039</v>
      </c>
      <c r="Q3" s="11">
        <v>2040</v>
      </c>
      <c r="R3" s="11">
        <v>2041</v>
      </c>
      <c r="S3" s="11">
        <v>2042</v>
      </c>
      <c r="T3" s="11">
        <v>2043</v>
      </c>
      <c r="U3" s="11">
        <v>2044</v>
      </c>
      <c r="V3" s="11">
        <v>2045</v>
      </c>
      <c r="W3" s="11">
        <v>2046</v>
      </c>
      <c r="X3" s="11">
        <v>2047</v>
      </c>
    </row>
    <row r="4" customHeight="1" spans="1:24">
      <c r="A4" s="8" t="s">
        <v>548</v>
      </c>
      <c r="B4" s="14">
        <f>Ⅲ项目分年度收入合计表!B6</f>
        <v>0</v>
      </c>
      <c r="C4" s="14">
        <f>Ⅲ项目分年度收入合计表!C6</f>
        <v>350</v>
      </c>
      <c r="D4" s="14">
        <f>Ⅲ项目分年度收入合计表!D6</f>
        <v>536.4</v>
      </c>
      <c r="E4" s="14">
        <f>Ⅲ项目分年度收入合计表!E6</f>
        <v>666.16</v>
      </c>
      <c r="F4" s="14">
        <f>Ⅲ项目分年度收入合计表!F6</f>
        <v>710.83236</v>
      </c>
      <c r="G4" s="14">
        <f>Ⅲ项目分年度收入合计表!G6</f>
        <v>719.7465072</v>
      </c>
      <c r="H4" s="14">
        <f>Ⅲ项目分年度收入合计表!H6</f>
        <v>0</v>
      </c>
      <c r="I4" s="14">
        <f>Ⅲ项目分年度收入合计表!I6</f>
        <v>0</v>
      </c>
      <c r="J4" s="14">
        <f>Ⅲ项目分年度收入合计表!J6</f>
        <v>0</v>
      </c>
      <c r="K4" s="14">
        <f>Ⅲ项目分年度收入合计表!K6</f>
        <v>0</v>
      </c>
      <c r="L4" s="14">
        <f>Ⅲ项目分年度收入合计表!L6</f>
        <v>0</v>
      </c>
      <c r="M4" s="14">
        <f>Ⅲ项目分年度收入合计表!M6</f>
        <v>0</v>
      </c>
      <c r="N4" s="14">
        <f>Ⅲ项目分年度收入合计表!N6</f>
        <v>0</v>
      </c>
      <c r="O4" s="14">
        <f>Ⅲ项目分年度收入合计表!O6</f>
        <v>0</v>
      </c>
      <c r="P4" s="14">
        <f>Ⅲ项目分年度收入合计表!P6</f>
        <v>0</v>
      </c>
      <c r="Q4" s="14">
        <f>Ⅲ项目分年度收入合计表!Q6</f>
        <v>0</v>
      </c>
      <c r="R4" s="14">
        <f>Ⅲ项目分年度收入合计表!R6</f>
        <v>0</v>
      </c>
      <c r="S4" s="14">
        <f>Ⅲ项目分年度收入合计表!S6</f>
        <v>0</v>
      </c>
      <c r="T4" s="14">
        <f>Ⅲ项目分年度收入合计表!T6</f>
        <v>0</v>
      </c>
      <c r="U4" s="14">
        <f>Ⅲ项目分年度收入合计表!U6</f>
        <v>0</v>
      </c>
      <c r="V4" s="14">
        <f>Ⅲ项目分年度收入合计表!V6</f>
        <v>0</v>
      </c>
      <c r="W4" s="14">
        <f>Ⅲ项目分年度收入合计表!W6</f>
        <v>0</v>
      </c>
      <c r="X4" s="14">
        <f>Ⅲ项目分年度收入合计表!X6</f>
        <v>0</v>
      </c>
    </row>
    <row r="5" customHeight="1" spans="1:24">
      <c r="A5" s="8" t="s">
        <v>549</v>
      </c>
      <c r="B5" s="14">
        <f>E总成本费用估算表!C15</f>
        <v>0</v>
      </c>
      <c r="C5" s="14">
        <f>E总成本费用估算表!D15</f>
        <v>13.2336220026845</v>
      </c>
      <c r="D5" s="14">
        <f>E总成本费用估算表!E15</f>
        <v>553.064612531741</v>
      </c>
      <c r="E5" s="14">
        <f>E总成本费用估算表!F15</f>
        <v>1266.46574224975</v>
      </c>
      <c r="F5" s="14">
        <f>E总成本费用估算表!G15</f>
        <v>1276.24236399206</v>
      </c>
      <c r="G5" s="14">
        <f>E总成本费用估算表!H15</f>
        <v>1286.1656350605</v>
      </c>
      <c r="H5" s="14" t="e">
        <f>E总成本费用估算表!#REF!</f>
        <v>#REF!</v>
      </c>
      <c r="I5" s="14" t="e">
        <f>E总成本费用估算表!#REF!</f>
        <v>#REF!</v>
      </c>
      <c r="J5" s="14" t="e">
        <f>E总成本费用估算表!#REF!</f>
        <v>#REF!</v>
      </c>
      <c r="K5" s="14" t="e">
        <f>E总成本费用估算表!#REF!</f>
        <v>#REF!</v>
      </c>
      <c r="L5" s="14" t="e">
        <f>E总成本费用估算表!#REF!</f>
        <v>#REF!</v>
      </c>
      <c r="M5" s="14" t="e">
        <f>E总成本费用估算表!#REF!</f>
        <v>#REF!</v>
      </c>
      <c r="N5" s="14" t="e">
        <f>E总成本费用估算表!#REF!</f>
        <v>#REF!</v>
      </c>
      <c r="O5" s="14" t="e">
        <f>E总成本费用估算表!#REF!</f>
        <v>#REF!</v>
      </c>
      <c r="P5" s="14" t="e">
        <f>E总成本费用估算表!#REF!</f>
        <v>#REF!</v>
      </c>
      <c r="Q5" s="14" t="e">
        <f>E总成本费用估算表!#REF!</f>
        <v>#REF!</v>
      </c>
      <c r="R5" s="14" t="e">
        <f>E总成本费用估算表!#REF!</f>
        <v>#REF!</v>
      </c>
      <c r="S5" s="14" t="e">
        <f>E总成本费用估算表!#REF!</f>
        <v>#REF!</v>
      </c>
      <c r="T5" s="14" t="e">
        <f>E总成本费用估算表!#REF!</f>
        <v>#REF!</v>
      </c>
      <c r="U5" s="14" t="e">
        <f>E总成本费用估算表!#REF!</f>
        <v>#REF!</v>
      </c>
      <c r="V5" s="14" t="e">
        <f>E总成本费用估算表!#REF!</f>
        <v>#REF!</v>
      </c>
      <c r="W5" s="14" t="e">
        <f>E总成本费用估算表!#REF!</f>
        <v>#REF!</v>
      </c>
      <c r="X5" s="14" t="e">
        <f>E总成本费用估算表!#REF!</f>
        <v>#REF!</v>
      </c>
    </row>
    <row r="6" customHeight="1" spans="1:24">
      <c r="A6" s="8" t="s">
        <v>550</v>
      </c>
      <c r="B6" s="14">
        <f t="shared" ref="B6:X6" si="0">B4-B5</f>
        <v>0</v>
      </c>
      <c r="C6" s="14">
        <f t="shared" si="0"/>
        <v>336.766377997316</v>
      </c>
      <c r="D6" s="14">
        <f t="shared" si="0"/>
        <v>-16.6646125317404</v>
      </c>
      <c r="E6" s="14">
        <f t="shared" si="0"/>
        <v>-600.305742249749</v>
      </c>
      <c r="F6" s="14">
        <f t="shared" si="0"/>
        <v>-565.410003992056</v>
      </c>
      <c r="G6" s="14">
        <f t="shared" si="0"/>
        <v>-566.419127860498</v>
      </c>
      <c r="H6" s="14" t="e">
        <f t="shared" si="0"/>
        <v>#REF!</v>
      </c>
      <c r="I6" s="14" t="e">
        <f t="shared" si="0"/>
        <v>#REF!</v>
      </c>
      <c r="J6" s="14" t="e">
        <f t="shared" si="0"/>
        <v>#REF!</v>
      </c>
      <c r="K6" s="14" t="e">
        <f t="shared" si="0"/>
        <v>#REF!</v>
      </c>
      <c r="L6" s="14" t="e">
        <f t="shared" si="0"/>
        <v>#REF!</v>
      </c>
      <c r="M6" s="14" t="e">
        <f t="shared" si="0"/>
        <v>#REF!</v>
      </c>
      <c r="N6" s="14" t="e">
        <f t="shared" si="0"/>
        <v>#REF!</v>
      </c>
      <c r="O6" s="14" t="e">
        <f t="shared" si="0"/>
        <v>#REF!</v>
      </c>
      <c r="P6" s="14" t="e">
        <f t="shared" si="0"/>
        <v>#REF!</v>
      </c>
      <c r="Q6" s="14" t="e">
        <f t="shared" si="0"/>
        <v>#REF!</v>
      </c>
      <c r="R6" s="14" t="e">
        <f t="shared" si="0"/>
        <v>#REF!</v>
      </c>
      <c r="S6" s="14" t="e">
        <f t="shared" si="0"/>
        <v>#REF!</v>
      </c>
      <c r="T6" s="14" t="e">
        <f t="shared" si="0"/>
        <v>#REF!</v>
      </c>
      <c r="U6" s="14" t="e">
        <f t="shared" si="0"/>
        <v>#REF!</v>
      </c>
      <c r="V6" s="14" t="e">
        <f t="shared" si="0"/>
        <v>#REF!</v>
      </c>
      <c r="W6" s="14" t="e">
        <f t="shared" si="0"/>
        <v>#REF!</v>
      </c>
      <c r="X6" s="14" t="e">
        <f t="shared" si="0"/>
        <v>#REF!</v>
      </c>
    </row>
  </sheetData>
  <mergeCells count="3">
    <mergeCell ref="A1:X1"/>
    <mergeCell ref="B2:X2"/>
    <mergeCell ref="A2:A3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tabColor rgb="FFFFC000"/>
  </sheetPr>
  <dimension ref="A1:X8"/>
  <sheetViews>
    <sheetView tabSelected="1" zoomScale="70" zoomScaleNormal="70" workbookViewId="0">
      <selection activeCell="T10" sqref="T10"/>
    </sheetView>
  </sheetViews>
  <sheetFormatPr defaultColWidth="14.7818181818182" defaultRowHeight="28.95" customHeight="1" outlineLevelRow="7"/>
  <cols>
    <col min="2" max="2" width="9.89090909090909" style="1" customWidth="1"/>
    <col min="3" max="22" width="11.2181818181818" style="1" customWidth="1"/>
    <col min="23" max="23" width="12.2181818181818" style="1" customWidth="1"/>
    <col min="24" max="24" width="11.2181818181818" style="1" customWidth="1"/>
  </cols>
  <sheetData>
    <row r="1" customHeight="1" spans="1:7">
      <c r="A1" s="10" t="s">
        <v>551</v>
      </c>
      <c r="B1" s="10"/>
      <c r="C1" s="10"/>
      <c r="D1" s="10"/>
      <c r="E1" s="10"/>
      <c r="F1" s="10"/>
      <c r="G1" s="10"/>
    </row>
    <row r="2" customHeight="1" spans="1:24">
      <c r="A2" s="5" t="s">
        <v>552</v>
      </c>
      <c r="B2" s="11">
        <v>2025</v>
      </c>
      <c r="C2" s="11">
        <v>2026</v>
      </c>
      <c r="D2" s="11">
        <v>2027</v>
      </c>
      <c r="E2" s="11">
        <v>2028</v>
      </c>
      <c r="F2" s="11">
        <v>2029</v>
      </c>
      <c r="G2" s="11">
        <v>2030</v>
      </c>
      <c r="H2" s="11">
        <v>2031</v>
      </c>
      <c r="I2" s="11">
        <v>2032</v>
      </c>
      <c r="J2" s="11">
        <v>2033</v>
      </c>
      <c r="K2" s="11">
        <v>2034</v>
      </c>
      <c r="L2" s="11">
        <v>2035</v>
      </c>
      <c r="M2" s="11">
        <v>2036</v>
      </c>
      <c r="N2" s="11">
        <v>2037</v>
      </c>
      <c r="O2" s="11">
        <v>2038</v>
      </c>
      <c r="P2" s="11">
        <v>2039</v>
      </c>
      <c r="Q2" s="11">
        <v>2040</v>
      </c>
      <c r="R2" s="11">
        <v>2041</v>
      </c>
      <c r="S2" s="11">
        <v>2042</v>
      </c>
      <c r="T2" s="11">
        <v>2043</v>
      </c>
      <c r="U2" s="11">
        <v>2044</v>
      </c>
      <c r="V2" s="11">
        <v>2045</v>
      </c>
      <c r="W2" s="11">
        <v>2046</v>
      </c>
      <c r="X2" s="11">
        <v>2047</v>
      </c>
    </row>
    <row r="3" customHeight="1" spans="1:24">
      <c r="A3" s="5" t="s">
        <v>553</v>
      </c>
      <c r="B3" s="12">
        <f>(c借款还本付息计划表!E31-c借款还本付息计划表!D31)</f>
        <v>2000</v>
      </c>
      <c r="C3" s="12">
        <f>(c借款还本付息计划表!F31-c借款还本付息计划表!E31)</f>
        <v>10000</v>
      </c>
      <c r="D3" s="12">
        <f>(c借款还本付息计划表!G31-c借款还本付息计划表!F31)</f>
        <v>10000</v>
      </c>
      <c r="E3" s="12">
        <f>(c借款还本付息计划表!H31-c借款还本付息计划表!G31)</f>
        <v>0</v>
      </c>
      <c r="F3" s="12">
        <f>c借款还本付息计划表!I31-c借款还本付息计划表!H31</f>
        <v>0</v>
      </c>
      <c r="G3" s="12">
        <f>c借款还本付息计划表!J31-c借款还本付息计划表!I31</f>
        <v>0</v>
      </c>
      <c r="H3" s="12">
        <f>c借款还本付息计划表!K31-c借款还本付息计划表!J31</f>
        <v>0</v>
      </c>
      <c r="I3" s="12">
        <f>c借款还本付息计划表!L31-c借款还本付息计划表!K31</f>
        <v>0</v>
      </c>
      <c r="J3" s="12">
        <f>c借款还本付息计划表!M31-c借款还本付息计划表!L31</f>
        <v>0</v>
      </c>
      <c r="K3" s="12">
        <f>c借款还本付息计划表!N31-c借款还本付息计划表!M31</f>
        <v>0</v>
      </c>
      <c r="L3" s="12">
        <f>c借款还本付息计划表!O31-c借款还本付息计划表!N31</f>
        <v>0</v>
      </c>
      <c r="M3" s="12">
        <f>c借款还本付息计划表!P31-c借款还本付息计划表!O31</f>
        <v>0</v>
      </c>
      <c r="N3" s="12">
        <f>c借款还本付息计划表!Q31-c借款还本付息计划表!P31</f>
        <v>0</v>
      </c>
      <c r="O3" s="12">
        <f>c借款还本付息计划表!R31-c借款还本付息计划表!Q31</f>
        <v>0</v>
      </c>
      <c r="P3" s="12">
        <f>c借款还本付息计划表!S31-c借款还本付息计划表!R31</f>
        <v>0</v>
      </c>
      <c r="Q3" s="12">
        <f>c借款还本付息计划表!T31-c借款还本付息计划表!S31</f>
        <v>0</v>
      </c>
      <c r="R3" s="12">
        <f>c借款还本付息计划表!U31-c借款还本付息计划表!T31</f>
        <v>0</v>
      </c>
      <c r="S3" s="12">
        <f>c借款还本付息计划表!V31-c借款还本付息计划表!U31</f>
        <v>0</v>
      </c>
      <c r="T3" s="12">
        <f>c借款还本付息计划表!W31-c借款还本付息计划表!V31</f>
        <v>0</v>
      </c>
      <c r="U3" s="12">
        <f>c借款还本付息计划表!X31-c借款还本付息计划表!W31</f>
        <v>0</v>
      </c>
      <c r="V3" s="12">
        <f>c借款还本付息计划表!Y31-c借款还本付息计划表!X31</f>
        <v>-2000</v>
      </c>
      <c r="W3" s="12">
        <f>c借款还本付息计划表!Z31-c借款还本付息计划表!Y31</f>
        <v>-10000</v>
      </c>
      <c r="X3" s="12">
        <f>c借款还本付息计划表!Z35</f>
        <v>0</v>
      </c>
    </row>
    <row r="4" customHeight="1" spans="1:24">
      <c r="A4" s="5" t="s">
        <v>554</v>
      </c>
      <c r="B4" s="12">
        <f>(c借款还本付息计划表!D33)</f>
        <v>0</v>
      </c>
      <c r="C4" s="12">
        <f>(c借款还本付息计划表!E33)</f>
        <v>0</v>
      </c>
      <c r="D4" s="12">
        <f>(c借款还本付息计划表!F33)</f>
        <v>0</v>
      </c>
      <c r="E4" s="12">
        <f>(c借款还本付息计划表!G33)</f>
        <v>0</v>
      </c>
      <c r="F4" s="12">
        <f>c借款还本付息计划表!H33</f>
        <v>0</v>
      </c>
      <c r="G4" s="12">
        <f>c借款还本付息计划表!I33</f>
        <v>0</v>
      </c>
      <c r="H4" s="12">
        <f>c借款还本付息计划表!J33</f>
        <v>0</v>
      </c>
      <c r="I4" s="12">
        <f>c借款还本付息计划表!K33</f>
        <v>0</v>
      </c>
      <c r="J4" s="12">
        <f>c借款还本付息计划表!L33</f>
        <v>0</v>
      </c>
      <c r="K4" s="12">
        <f>c借款还本付息计划表!M33</f>
        <v>0</v>
      </c>
      <c r="L4" s="12">
        <f>c借款还本付息计划表!N33</f>
        <v>0</v>
      </c>
      <c r="M4" s="12">
        <f>c借款还本付息计划表!O33</f>
        <v>0</v>
      </c>
      <c r="N4" s="12">
        <f>c借款还本付息计划表!P33</f>
        <v>0</v>
      </c>
      <c r="O4" s="12">
        <f>c借款还本付息计划表!Q33</f>
        <v>0</v>
      </c>
      <c r="P4" s="12">
        <f>c借款还本付息计划表!R33</f>
        <v>0</v>
      </c>
      <c r="Q4" s="12">
        <f>c借款还本付息计划表!S33</f>
        <v>0</v>
      </c>
      <c r="R4" s="12">
        <f>c借款还本付息计划表!T33</f>
        <v>0</v>
      </c>
      <c r="S4" s="12">
        <f>c借款还本付息计划表!U33</f>
        <v>0</v>
      </c>
      <c r="T4" s="12">
        <f>c借款还本付息计划表!V33</f>
        <v>0</v>
      </c>
      <c r="U4" s="12">
        <f>c借款还本付息计划表!W33</f>
        <v>0</v>
      </c>
      <c r="V4" s="12">
        <f>c借款还本付息计划表!X33</f>
        <v>2000</v>
      </c>
      <c r="W4" s="12">
        <f>c借款还本付息计划表!Y33</f>
        <v>10000</v>
      </c>
      <c r="X4" s="12">
        <f>c借款还本付息计划表!Z33</f>
        <v>10000</v>
      </c>
    </row>
    <row r="5" customHeight="1" spans="1:24">
      <c r="A5" s="5" t="s">
        <v>555</v>
      </c>
      <c r="B5" s="12">
        <f>(c借款还本付息计划表!D35)</f>
        <v>2000</v>
      </c>
      <c r="C5" s="12">
        <f>(c借款还本付息计划表!E35)</f>
        <v>12000</v>
      </c>
      <c r="D5" s="12">
        <f>(c借款还本付息计划表!F35)</f>
        <v>22000</v>
      </c>
      <c r="E5" s="12">
        <f>(c借款还本付息计划表!G35)</f>
        <v>22000</v>
      </c>
      <c r="F5" s="12">
        <f>c借款还本付息计划表!H35</f>
        <v>22000</v>
      </c>
      <c r="G5" s="12">
        <f>c借款还本付息计划表!I35</f>
        <v>22000</v>
      </c>
      <c r="H5" s="12">
        <f>c借款还本付息计划表!J35</f>
        <v>22000</v>
      </c>
      <c r="I5" s="12">
        <f>c借款还本付息计划表!K35</f>
        <v>22000</v>
      </c>
      <c r="J5" s="12">
        <f>c借款还本付息计划表!L35</f>
        <v>22000</v>
      </c>
      <c r="K5" s="12">
        <f>c借款还本付息计划表!M35</f>
        <v>22000</v>
      </c>
      <c r="L5" s="12">
        <f>c借款还本付息计划表!N35</f>
        <v>22000</v>
      </c>
      <c r="M5" s="12">
        <f>c借款还本付息计划表!O35</f>
        <v>22000</v>
      </c>
      <c r="N5" s="12">
        <f>c借款还本付息计划表!P35</f>
        <v>22000</v>
      </c>
      <c r="O5" s="12">
        <f>c借款还本付息计划表!Q35</f>
        <v>22000</v>
      </c>
      <c r="P5" s="12">
        <f>c借款还本付息计划表!R35</f>
        <v>22000</v>
      </c>
      <c r="Q5" s="12">
        <f>c借款还本付息计划表!S35</f>
        <v>22000</v>
      </c>
      <c r="R5" s="12">
        <f>c借款还本付息计划表!T35</f>
        <v>22000</v>
      </c>
      <c r="S5" s="12">
        <f>c借款还本付息计划表!U35</f>
        <v>22000</v>
      </c>
      <c r="T5" s="12">
        <f>c借款还本付息计划表!V35</f>
        <v>22000</v>
      </c>
      <c r="U5" s="12">
        <f>c借款还本付息计划表!W35</f>
        <v>22000</v>
      </c>
      <c r="V5" s="12">
        <f>c借款还本付息计划表!X35</f>
        <v>20000</v>
      </c>
      <c r="W5" s="12">
        <f>c借款还本付息计划表!Y35</f>
        <v>10000</v>
      </c>
      <c r="X5" s="12">
        <f>c借款还本付息计划表!Z35</f>
        <v>0</v>
      </c>
    </row>
    <row r="6" customHeight="1" spans="1:24">
      <c r="A6" s="5" t="s">
        <v>556</v>
      </c>
      <c r="B6" s="13">
        <v>0.0212</v>
      </c>
      <c r="C6" s="13">
        <v>0.0212</v>
      </c>
      <c r="D6" s="13">
        <v>0.0212</v>
      </c>
      <c r="E6" s="13">
        <v>0.0212</v>
      </c>
      <c r="F6" s="13">
        <v>0.0212</v>
      </c>
      <c r="G6" s="13">
        <v>0.0212</v>
      </c>
      <c r="H6" s="13">
        <v>0.0212</v>
      </c>
      <c r="I6" s="13">
        <v>0.0212</v>
      </c>
      <c r="J6" s="13">
        <v>0.0212</v>
      </c>
      <c r="K6" s="13">
        <v>0.0212</v>
      </c>
      <c r="L6" s="13">
        <v>0.0212</v>
      </c>
      <c r="M6" s="13">
        <v>0.0212</v>
      </c>
      <c r="N6" s="13">
        <v>0.0212</v>
      </c>
      <c r="O6" s="13">
        <v>0.0212</v>
      </c>
      <c r="P6" s="13">
        <v>0.0212</v>
      </c>
      <c r="Q6" s="13">
        <v>0.0212</v>
      </c>
      <c r="R6" s="13">
        <v>0.0212</v>
      </c>
      <c r="S6" s="13">
        <v>0.0212</v>
      </c>
      <c r="T6" s="13">
        <v>0.0212</v>
      </c>
      <c r="U6" s="13">
        <v>0.0212</v>
      </c>
      <c r="V6" s="13">
        <v>0.0212</v>
      </c>
      <c r="W6" s="13">
        <v>0.0212</v>
      </c>
      <c r="X6" s="13">
        <v>0.0212</v>
      </c>
    </row>
    <row r="7" customHeight="1" spans="1:24">
      <c r="A7" s="5" t="s">
        <v>432</v>
      </c>
      <c r="B7" s="12">
        <f>(c借款还本付息计划表!D34)</f>
        <v>0</v>
      </c>
      <c r="C7" s="12">
        <f>(c借款还本付息计划表!E34)</f>
        <v>46.64</v>
      </c>
      <c r="D7" s="12">
        <f>(c借款还本付息计划表!F34)</f>
        <v>279.84</v>
      </c>
      <c r="E7" s="12">
        <f>(c借款还本付息计划表!G34)</f>
        <v>513.04</v>
      </c>
      <c r="F7" s="12">
        <f>c借款还本付息计划表!H34</f>
        <v>513.04</v>
      </c>
      <c r="G7" s="12">
        <f>c借款还本付息计划表!I34</f>
        <v>513.04</v>
      </c>
      <c r="H7" s="12">
        <f>c借款还本付息计划表!J34</f>
        <v>513.04</v>
      </c>
      <c r="I7" s="12">
        <f>c借款还本付息计划表!K34</f>
        <v>513.04</v>
      </c>
      <c r="J7" s="12">
        <f>c借款还本付息计划表!L34</f>
        <v>513.04</v>
      </c>
      <c r="K7" s="12">
        <f>c借款还本付息计划表!M34</f>
        <v>513.04</v>
      </c>
      <c r="L7" s="12">
        <f>c借款还本付息计划表!N34</f>
        <v>513.04</v>
      </c>
      <c r="M7" s="12">
        <f>c借款还本付息计划表!O34</f>
        <v>513.04</v>
      </c>
      <c r="N7" s="12">
        <f>c借款还本付息计划表!P34</f>
        <v>513.04</v>
      </c>
      <c r="O7" s="12">
        <f>c借款还本付息计划表!Q34</f>
        <v>513.04</v>
      </c>
      <c r="P7" s="12">
        <f>c借款还本付息计划表!R34</f>
        <v>513.04</v>
      </c>
      <c r="Q7" s="12">
        <f>c借款还本付息计划表!S34</f>
        <v>513.04</v>
      </c>
      <c r="R7" s="12">
        <f>c借款还本付息计划表!T34</f>
        <v>513.04</v>
      </c>
      <c r="S7" s="12">
        <f>c借款还本付息计划表!U34</f>
        <v>513.04</v>
      </c>
      <c r="T7" s="12">
        <f>c借款还本付息计划表!V34</f>
        <v>513.04</v>
      </c>
      <c r="U7" s="12">
        <f>c借款还本付息计划表!W34</f>
        <v>513.04</v>
      </c>
      <c r="V7" s="12">
        <f>c借款还本付息计划表!X34</f>
        <v>513.04</v>
      </c>
      <c r="W7" s="12">
        <f>c借款还本付息计划表!Y34</f>
        <v>466.4</v>
      </c>
      <c r="X7" s="12">
        <f>c借款还本付息计划表!Z34</f>
        <v>233.2</v>
      </c>
    </row>
    <row r="8" customHeight="1" spans="1:24">
      <c r="A8" s="5" t="s">
        <v>557</v>
      </c>
      <c r="B8" s="14">
        <f t="shared" ref="B8:X8" si="0">B7+B4</f>
        <v>0</v>
      </c>
      <c r="C8" s="14">
        <f t="shared" si="0"/>
        <v>46.64</v>
      </c>
      <c r="D8" s="14">
        <f t="shared" si="0"/>
        <v>279.84</v>
      </c>
      <c r="E8" s="14">
        <f t="shared" si="0"/>
        <v>513.04</v>
      </c>
      <c r="F8" s="14">
        <f t="shared" si="0"/>
        <v>513.04</v>
      </c>
      <c r="G8" s="14">
        <f t="shared" si="0"/>
        <v>513.04</v>
      </c>
      <c r="H8" s="14">
        <f t="shared" si="0"/>
        <v>513.04</v>
      </c>
      <c r="I8" s="14">
        <f t="shared" si="0"/>
        <v>513.04</v>
      </c>
      <c r="J8" s="14">
        <f t="shared" si="0"/>
        <v>513.04</v>
      </c>
      <c r="K8" s="14">
        <f t="shared" si="0"/>
        <v>513.04</v>
      </c>
      <c r="L8" s="14">
        <f t="shared" si="0"/>
        <v>513.04</v>
      </c>
      <c r="M8" s="14">
        <f t="shared" si="0"/>
        <v>513.04</v>
      </c>
      <c r="N8" s="14">
        <f t="shared" si="0"/>
        <v>513.04</v>
      </c>
      <c r="O8" s="14">
        <f t="shared" si="0"/>
        <v>513.04</v>
      </c>
      <c r="P8" s="14">
        <f t="shared" si="0"/>
        <v>513.04</v>
      </c>
      <c r="Q8" s="14">
        <f t="shared" si="0"/>
        <v>513.04</v>
      </c>
      <c r="R8" s="14">
        <f t="shared" si="0"/>
        <v>513.04</v>
      </c>
      <c r="S8" s="14">
        <f t="shared" si="0"/>
        <v>513.04</v>
      </c>
      <c r="T8" s="14">
        <f t="shared" si="0"/>
        <v>513.04</v>
      </c>
      <c r="U8" s="14">
        <f t="shared" si="0"/>
        <v>513.04</v>
      </c>
      <c r="V8" s="14">
        <f t="shared" si="0"/>
        <v>2513.04</v>
      </c>
      <c r="W8" s="14">
        <f t="shared" si="0"/>
        <v>10466.4</v>
      </c>
      <c r="X8" s="14">
        <f t="shared" si="0"/>
        <v>10233.2</v>
      </c>
    </row>
  </sheetData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tabColor rgb="FFFFC000"/>
  </sheetPr>
  <dimension ref="A3"/>
  <sheetViews>
    <sheetView workbookViewId="0">
      <selection activeCell="I12" sqref="I12"/>
    </sheetView>
  </sheetViews>
  <sheetFormatPr defaultColWidth="15.7818181818182" defaultRowHeight="28.05" customHeight="1" outlineLevelRow="2"/>
  <sheetData>
    <row r="3" ht="40.95" customHeight="1"/>
  </sheetData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tabColor rgb="FFFFC000"/>
  </sheetPr>
  <dimension ref="A1:H8"/>
  <sheetViews>
    <sheetView zoomScale="85" zoomScaleNormal="85" workbookViewId="0">
      <selection activeCell="G13" sqref="G13"/>
    </sheetView>
  </sheetViews>
  <sheetFormatPr defaultColWidth="15.7818181818182" defaultRowHeight="28.05" customHeight="1" outlineLevelRow="7" outlineLevelCol="7"/>
  <cols>
    <col min="1" max="1" width="29.6636363636364" style="1" customWidth="1"/>
    <col min="2" max="2" width="12.6636363636364" style="1" customWidth="1"/>
    <col min="3" max="3" width="15.7818181818182" style="1" customWidth="1"/>
  </cols>
  <sheetData>
    <row r="1" customHeight="1" spans="1:8">
      <c r="A1" s="2" t="s">
        <v>558</v>
      </c>
      <c r="B1" s="3"/>
      <c r="C1" s="3"/>
      <c r="D1" s="3"/>
      <c r="E1" s="3"/>
      <c r="F1" s="3"/>
      <c r="G1" s="3"/>
      <c r="H1" s="4"/>
    </row>
    <row r="2" customHeight="1" spans="1:8">
      <c r="A2" s="5" t="s">
        <v>559</v>
      </c>
      <c r="B2" s="6">
        <v>-0.15</v>
      </c>
      <c r="C2" s="6">
        <v>-0.1</v>
      </c>
      <c r="D2" s="6">
        <v>-0.05</v>
      </c>
      <c r="E2" s="6">
        <v>0</v>
      </c>
      <c r="F2" s="6">
        <v>0.05</v>
      </c>
      <c r="G2" s="6">
        <v>0.1</v>
      </c>
      <c r="H2" s="6">
        <v>0.15</v>
      </c>
    </row>
    <row r="3" customHeight="1" spans="1:8">
      <c r="A3" s="7" t="s">
        <v>560</v>
      </c>
      <c r="B3" s="3"/>
      <c r="C3" s="3"/>
      <c r="D3" s="3"/>
      <c r="E3" s="3"/>
      <c r="F3" s="3"/>
      <c r="G3" s="3"/>
      <c r="H3" s="4"/>
    </row>
    <row r="4" customHeight="1" spans="1:8">
      <c r="A4" s="8" t="s">
        <v>561</v>
      </c>
      <c r="B4" s="9">
        <v>0.328270086880195</v>
      </c>
      <c r="C4" s="9">
        <v>0.35143708171177</v>
      </c>
      <c r="D4" s="9">
        <v>0.374604076543344</v>
      </c>
      <c r="E4" s="9">
        <v>0.39251201351728</v>
      </c>
      <c r="F4" s="9">
        <v>0.410131392539012</v>
      </c>
      <c r="G4" s="9">
        <v>0.427750771560744</v>
      </c>
      <c r="H4" s="9">
        <v>0.445370150582477</v>
      </c>
    </row>
    <row r="5" customHeight="1" spans="1:8">
      <c r="A5" s="7" t="s">
        <v>562</v>
      </c>
      <c r="B5" s="3"/>
      <c r="C5" s="3"/>
      <c r="D5" s="3"/>
      <c r="E5" s="3"/>
      <c r="F5" s="3"/>
      <c r="G5" s="3"/>
      <c r="H5" s="4"/>
    </row>
    <row r="6" customHeight="1" spans="1:8">
      <c r="A6" s="8" t="s">
        <v>561</v>
      </c>
      <c r="B6" s="9">
        <v>0.401902408775822</v>
      </c>
      <c r="C6" s="9">
        <v>0.398772277022975</v>
      </c>
      <c r="D6" s="9">
        <v>0.395642145270128</v>
      </c>
      <c r="E6" s="9">
        <v>0.39251201351728</v>
      </c>
      <c r="F6" s="9">
        <v>0.389381881764433</v>
      </c>
      <c r="G6" s="9">
        <v>0.386251750011585</v>
      </c>
      <c r="H6" s="9">
        <v>0.383121618258737</v>
      </c>
    </row>
    <row r="7" customHeight="1" spans="1:8">
      <c r="A7" s="7" t="s">
        <v>563</v>
      </c>
      <c r="B7" s="3"/>
      <c r="C7" s="3"/>
      <c r="D7" s="3"/>
      <c r="E7" s="3"/>
      <c r="F7" s="3"/>
      <c r="G7" s="3"/>
      <c r="H7" s="4"/>
    </row>
    <row r="8" customHeight="1" spans="1:8">
      <c r="A8" s="8" t="s">
        <v>561</v>
      </c>
      <c r="B8" s="9">
        <v>0.396937320239012</v>
      </c>
      <c r="C8" s="9">
        <v>0.395416948502922</v>
      </c>
      <c r="D8" s="9">
        <v>0.393942530403566</v>
      </c>
      <c r="E8" s="9">
        <v>0.39251201351728</v>
      </c>
      <c r="F8" s="9">
        <v>0.391123465850465</v>
      </c>
      <c r="G8" s="9">
        <v>0.38767520935214</v>
      </c>
      <c r="H8" s="9">
        <v>0.382843094697516</v>
      </c>
    </row>
  </sheetData>
  <mergeCells count="4">
    <mergeCell ref="A1:H1"/>
    <mergeCell ref="A3:H3"/>
    <mergeCell ref="A5:H5"/>
    <mergeCell ref="A7:H7"/>
  </mergeCell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name="Button 3" r:id="rId3">
              <controlPr print="0" defaultSize="0">
                <anchor moveWithCells="1" sizeWithCells="1">
                  <from>
                    <xdr:col>7</xdr:col>
                    <xdr:colOff>88900</xdr:colOff>
                    <xdr:row>10</xdr:row>
                    <xdr:rowOff>63500</xdr:rowOff>
                  </from>
                  <to>
                    <xdr:col>7</xdr:col>
                    <xdr:colOff>965200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name="Button 4" r:id="rId4">
              <controlPr print="0" defaultSize="0">
                <anchor moveWithCells="1" sizeWithCells="1">
                  <from>
                    <xdr:col>6</xdr:col>
                    <xdr:colOff>114300</xdr:colOff>
                    <xdr:row>10</xdr:row>
                    <xdr:rowOff>63500</xdr:rowOff>
                  </from>
                  <to>
                    <xdr:col>6</xdr:col>
                    <xdr:colOff>965200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A财务假设</vt:lpstr>
      <vt:lpstr>B项目信息</vt:lpstr>
      <vt:lpstr>C.1项目融资信息</vt:lpstr>
      <vt:lpstr>C.2项目每年借款信息</vt:lpstr>
      <vt:lpstr>D.1建设投资</vt:lpstr>
      <vt:lpstr>D.2项目总投资使用计划与资金筹措表</vt:lpstr>
      <vt:lpstr>D.3建设投资分年计划表</vt:lpstr>
      <vt:lpstr>D.4流动资金估算表</vt:lpstr>
      <vt:lpstr>E总成本费用估算表</vt:lpstr>
      <vt:lpstr>E.1项目运营期费用</vt:lpstr>
      <vt:lpstr>E.1.1项目运营期费用(不含税）</vt:lpstr>
      <vt:lpstr>E.2固定资产折旧费估算表</vt:lpstr>
      <vt:lpstr>E.3无形资产和其他资产摊销费估算表</vt:lpstr>
      <vt:lpstr>E.4建设投资税后金额表</vt:lpstr>
      <vt:lpstr>F项目收入</vt:lpstr>
      <vt:lpstr>F.1项目单项收入信息</vt:lpstr>
      <vt:lpstr>G.税金及附加测算表</vt:lpstr>
      <vt:lpstr>G.1进项增值税率-建设投资</vt:lpstr>
      <vt:lpstr>G.2进项增值税率-运营成本</vt:lpstr>
      <vt:lpstr>G.3销项增值税率</vt:lpstr>
      <vt:lpstr>a.1财务现金流量表</vt:lpstr>
      <vt:lpstr>a.2项目资本金现金流量表</vt:lpstr>
      <vt:lpstr>b利润与利润分配表（损益和利润分配表）</vt:lpstr>
      <vt:lpstr>c借款还本付息计划表</vt:lpstr>
      <vt:lpstr>d财务计划现金流量表</vt:lpstr>
      <vt:lpstr>e资产负债表</vt:lpstr>
      <vt:lpstr>Ⅰ项目投资估算构成表</vt:lpstr>
      <vt:lpstr>Ⅱ项目分年度资金筹措计划表</vt:lpstr>
      <vt:lpstr>Ⅲ项目分年度收入合计表</vt:lpstr>
      <vt:lpstr>Ⅳ项目分年度成本明细表</vt:lpstr>
      <vt:lpstr>Ⅴ项目分年度收益表</vt:lpstr>
      <vt:lpstr>Ⅵ专项债券应付本息情况表</vt:lpstr>
      <vt:lpstr>Ⅶ专项债券资金收益与融资平衡情况表</vt:lpstr>
      <vt:lpstr>VIII债券资金覆盖率压力测试表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周亮;谢玉君</dc:creator>
  <cp:lastModifiedBy>lenovo</cp:lastModifiedBy>
  <dcterms:created xsi:type="dcterms:W3CDTF">2025-07-25T07:38:00Z</dcterms:created>
  <cp:lastPrinted>2025-08-29T06:30:00Z</cp:lastPrinted>
  <dcterms:modified xsi:type="dcterms:W3CDTF">2025-09-16T09:33:41Z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A62F43F1CE584E62A57D9F3657D9ED21_13</vt:lpwstr>
  </property>
  <property fmtid="{D5CDD505-2E9C-101B-9397-08002B2CF9AE}" pid="3" name="KSOProductBuildVer">
    <vt:lpwstr>2052-12.8.2.18205</vt:lpwstr>
  </property>
</Properties>
</file>