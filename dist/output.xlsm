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1.xml" ContentType="application/vnd.openxmlformats-officedocument.spreadsheetml.comments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18350" windowHeight="8200" tabRatio="826" firstSheet="0" activeTab="0" autoFilterDateGrouping="1"/>
  </bookViews>
  <sheets>
    <sheet name="A财务假设" sheetId="1" state="visible" r:id="rId1"/>
    <sheet name="B项目信息" sheetId="2" state="visible" r:id="rId2"/>
    <sheet name="C.1项目融资信息" sheetId="3" state="visible" r:id="rId3"/>
    <sheet name="C.2项目每年借款信息" sheetId="4" state="visible" r:id="rId4"/>
    <sheet name="D.1建设投资" sheetId="5" state="visible" r:id="rId5"/>
    <sheet name="D.2项目总投资使用计划与资金筹措表" sheetId="6" state="visible" r:id="rId6"/>
    <sheet name="D.3建设投资分年计划表" sheetId="7" state="visible" r:id="rId7"/>
    <sheet name="D.4流动资金估算表" sheetId="8" state="visible" r:id="rId8"/>
    <sheet name="E总成本费用估算表" sheetId="9" state="visible" r:id="rId9"/>
    <sheet name="E.1项目运营期费用" sheetId="10" state="visible" r:id="rId10"/>
    <sheet name="E.1.1项目运营期费用(不含税）" sheetId="11" state="visible" r:id="rId11"/>
    <sheet name="E.2固定资产折旧费估算表" sheetId="12" state="visible" r:id="rId12"/>
    <sheet name="E.3无形资产和其他资产摊销费估算表" sheetId="13" state="visible" r:id="rId13"/>
    <sheet name="E.4建设投资税后金额表" sheetId="14" state="visible" r:id="rId14"/>
    <sheet name="F项目收入" sheetId="15" state="visible" r:id="rId15"/>
    <sheet name="F.1项目单项收入信息" sheetId="16" state="visible" r:id="rId16"/>
    <sheet name="G.税金及附加测算表" sheetId="17" state="visible" r:id="rId17"/>
    <sheet name="G.1进项增值税率-建设投资" sheetId="18" state="visible" r:id="rId18"/>
    <sheet name="G.2进项增值税率-运营成本" sheetId="19" state="visible" r:id="rId19"/>
    <sheet name="G.3销项增值税率" sheetId="20" state="visible" r:id="rId20"/>
    <sheet name="a.1财务现金流量表" sheetId="21" state="visible" r:id="rId21"/>
    <sheet name="a.2项目资本金现金流量表" sheetId="22" state="visible" r:id="rId22"/>
    <sheet name="b利润与利润分配表（损益和利润分配表）" sheetId="23" state="visible" r:id="rId23"/>
    <sheet name="c借款还本付息计划表" sheetId="24" state="visible" r:id="rId24"/>
    <sheet name="d财务计划现金流量表" sheetId="25" state="visible" r:id="rId25"/>
    <sheet name="e资产负债表" sheetId="26" state="visible" r:id="rId26"/>
    <sheet name="Ⅰ项目投资估算构成表" sheetId="27" state="visible" r:id="rId27"/>
    <sheet name="Ⅱ项目分年度资金筹措计划表" sheetId="28" state="visible" r:id="rId28"/>
    <sheet name="Ⅲ项目分年度收入合计表" sheetId="29" state="visible" r:id="rId29"/>
    <sheet name="Ⅳ项目分年度成本明细表" sheetId="30" state="visible" r:id="rId30"/>
    <sheet name="Ⅴ项目分年度收益表" sheetId="31" state="visible" r:id="rId31"/>
    <sheet name="Ⅵ专项债券应付本息情况表" sheetId="32" state="visible" r:id="rId32"/>
    <sheet name="Ⅶ专项债券资金收益与融资平衡情况表" sheetId="33" state="hidden" r:id="rId33"/>
    <sheet name="VIII债券资金覆盖率压力测试表" sheetId="34" state="visible" r:id="rId34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0_);[Red]\(0.00\)"/>
    <numFmt numFmtId="165" formatCode="0.00_ "/>
    <numFmt numFmtId="166" formatCode="0.0000_ "/>
    <numFmt numFmtId="167" formatCode="&quot;￥&quot;#,##0.00;[Red]&quot;￥&quot;\-#,##0.00"/>
    <numFmt numFmtId="168" formatCode="0.0000%"/>
    <numFmt numFmtId="169" formatCode="0.000%"/>
  </numFmts>
  <fonts count="44">
    <font>
      <name val="宋体"/>
      <charset val="134"/>
      <color theme="1"/>
      <sz val="11"/>
      <scheme val="minor"/>
    </font>
    <font>
      <name val="微软雅黑"/>
      <charset val="134"/>
      <b val="1"/>
      <color theme="0"/>
      <sz val="13"/>
    </font>
    <font>
      <name val="微软雅黑"/>
      <charset val="134"/>
      <b val="1"/>
      <color theme="1"/>
      <sz val="11"/>
    </font>
    <font>
      <name val="微软雅黑"/>
      <charset val="134"/>
      <color theme="1"/>
      <sz val="11"/>
    </font>
    <font>
      <name val="微软雅黑"/>
      <charset val="134"/>
      <color rgb="FFFF0000"/>
      <sz val="11"/>
    </font>
    <font>
      <name val="微软雅黑"/>
      <charset val="134"/>
      <b val="1"/>
      <color rgb="FFFF0000"/>
      <sz val="11"/>
    </font>
    <font>
      <name val="宋体"/>
      <charset val="134"/>
      <b val="1"/>
      <color rgb="FF0070C0"/>
      <sz val="11"/>
      <scheme val="minor"/>
    </font>
    <font>
      <name val="微软雅黑"/>
      <charset val="134"/>
      <b val="1"/>
      <color theme="0"/>
      <sz val="14"/>
    </font>
    <font>
      <name val="微软雅黑"/>
      <charset val="134"/>
      <b val="1"/>
      <color theme="0"/>
      <sz val="11"/>
    </font>
    <font>
      <name val="微软雅黑"/>
      <charset val="134"/>
      <b val="1"/>
      <color rgb="FF0070C0"/>
      <sz val="11"/>
    </font>
    <font>
      <name val="微软雅黑"/>
      <charset val="134"/>
      <sz val="11"/>
    </font>
    <font>
      <name val="微软雅黑"/>
      <charset val="134"/>
      <b val="1"/>
      <color theme="0"/>
      <sz val="16"/>
    </font>
    <font>
      <name val="微软雅黑"/>
      <charset val="134"/>
      <color rgb="FFFF0000"/>
      <sz val="10"/>
    </font>
    <font>
      <name val="微软雅黑"/>
      <charset val="134"/>
      <b val="1"/>
      <color theme="1"/>
      <sz val="14"/>
    </font>
    <font>
      <name val="宋体"/>
      <charset val="134"/>
      <b val="1"/>
      <color theme="1"/>
      <sz val="11"/>
      <scheme val="minor"/>
    </font>
    <font>
      <name val="微软雅黑"/>
      <charset val="134"/>
      <color theme="1"/>
      <sz val="10"/>
    </font>
    <font>
      <name val="微软雅黑"/>
      <charset val="134"/>
      <b val="1"/>
      <color theme="1"/>
      <sz val="12"/>
    </font>
    <font>
      <name val="宋体"/>
      <charset val="0"/>
      <color rgb="FF0000FF"/>
      <sz val="11"/>
      <u val="single"/>
      <scheme val="minor"/>
    </font>
    <font>
      <name val="宋体"/>
      <charset val="0"/>
      <color rgb="FF800080"/>
      <sz val="11"/>
      <u val="single"/>
      <scheme val="minor"/>
    </font>
    <font>
      <name val="宋体"/>
      <charset val="0"/>
      <color rgb="FFFF0000"/>
      <sz val="11"/>
      <scheme val="minor"/>
    </font>
    <font>
      <name val="宋体"/>
      <charset val="134"/>
      <b val="1"/>
      <color theme="3"/>
      <sz val="18"/>
      <scheme val="minor"/>
    </font>
    <font>
      <name val="宋体"/>
      <charset val="0"/>
      <i val="1"/>
      <color rgb="FF7F7F7F"/>
      <sz val="11"/>
      <scheme val="minor"/>
    </font>
    <font>
      <name val="宋体"/>
      <charset val="134"/>
      <b val="1"/>
      <color theme="3"/>
      <sz val="15"/>
      <scheme val="minor"/>
    </font>
    <font>
      <name val="宋体"/>
      <charset val="134"/>
      <b val="1"/>
      <color theme="3"/>
      <sz val="13"/>
      <scheme val="minor"/>
    </font>
    <font>
      <name val="宋体"/>
      <charset val="134"/>
      <b val="1"/>
      <color theme="3"/>
      <sz val="11"/>
      <scheme val="minor"/>
    </font>
    <font>
      <name val="宋体"/>
      <charset val="0"/>
      <color rgb="FF3F3F76"/>
      <sz val="11"/>
      <scheme val="minor"/>
    </font>
    <font>
      <name val="宋体"/>
      <charset val="0"/>
      <b val="1"/>
      <color rgb="FF3F3F3F"/>
      <sz val="11"/>
      <scheme val="minor"/>
    </font>
    <font>
      <name val="宋体"/>
      <charset val="0"/>
      <b val="1"/>
      <color rgb="FFFA7D00"/>
      <sz val="11"/>
      <scheme val="minor"/>
    </font>
    <font>
      <name val="宋体"/>
      <charset val="0"/>
      <b val="1"/>
      <color rgb="FFFFFFFF"/>
      <sz val="11"/>
      <scheme val="minor"/>
    </font>
    <font>
      <name val="宋体"/>
      <charset val="0"/>
      <color rgb="FFFA7D00"/>
      <sz val="11"/>
      <scheme val="minor"/>
    </font>
    <font>
      <name val="宋体"/>
      <charset val="0"/>
      <b val="1"/>
      <color theme="1"/>
      <sz val="11"/>
      <scheme val="minor"/>
    </font>
    <font>
      <name val="宋体"/>
      <charset val="0"/>
      <color rgb="FF006100"/>
      <sz val="11"/>
      <scheme val="minor"/>
    </font>
    <font>
      <name val="宋体"/>
      <charset val="0"/>
      <color rgb="FF9C0006"/>
      <sz val="11"/>
      <scheme val="minor"/>
    </font>
    <font>
      <name val="宋体"/>
      <charset val="0"/>
      <color rgb="FF9C6500"/>
      <sz val="11"/>
      <scheme val="minor"/>
    </font>
    <font>
      <name val="宋体"/>
      <charset val="0"/>
      <color theme="0"/>
      <sz val="11"/>
      <scheme val="minor"/>
    </font>
    <font>
      <name val="宋体"/>
      <charset val="0"/>
      <color theme="1"/>
      <sz val="11"/>
      <scheme val="minor"/>
    </font>
    <font>
      <name val="宋体"/>
      <charset val="134"/>
      <b val="1"/>
      <sz val="9"/>
    </font>
    <font>
      <name val="宋体"/>
      <charset val="134"/>
      <sz val="9"/>
    </font>
    <font>
      <name val="微软雅黑"/>
      <color rgb="FFFF0000"/>
      <sz val="11"/>
    </font>
    <font>
      <name val="微软雅黑"/>
      <b val="1"/>
      <color rgb="FFFF0000"/>
      <sz val="11"/>
    </font>
    <font>
      <name val="微软雅黑"/>
      <sz val="11"/>
    </font>
    <font>
      <name val="宋体"/>
      <color theme="1"/>
      <sz val="11"/>
    </font>
    <font>
      <name val="微软雅黑"/>
      <color theme="1"/>
      <sz val="11"/>
    </font>
    <font>
      <name val="微软雅黑"/>
      <b val="1"/>
      <color rgb="00FF0000"/>
      <sz val="11"/>
    </font>
  </fonts>
  <fills count="40">
    <fill>
      <patternFill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00ADC6E6"/>
        <bgColor rgb="00ADC6E6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 style="thin">
        <color auto="1"/>
      </left>
      <right style="thin">
        <color auto="1"/>
      </right>
      <top/>
      <bottom style="thin">
        <color auto="1"/>
      </bottom>
    </border>
    <border>
      <left/>
      <right/>
      <top/>
      <bottom/>
    </border>
    <border>
      <left style="thin"/>
      <right style="thin"/>
      <top style="thin"/>
      <bottom style="thin"/>
    </border>
    <border>
      <left/>
      <right/>
      <top style="thin"/>
      <bottom/>
      <diagonal/>
    </border>
    <border>
      <left/>
      <right style="thin"/>
      <top style="thin"/>
      <bottom/>
      <diagonal/>
    </border>
    <border>
      <left/>
      <right/>
      <top style="thin"/>
      <bottom style="thin"/>
      <diagonal/>
    </border>
    <border>
      <left/>
      <right style="thin"/>
      <top style="thin"/>
      <bottom style="thin"/>
      <diagonal/>
    </border>
    <border>
      <left style="thin"/>
      <right/>
      <top/>
      <bottom/>
      <diagonal/>
    </border>
    <border>
      <left style="thin"/>
      <right style="thin"/>
      <top/>
      <bottom/>
      <diagonal/>
    </border>
    <border>
      <left style="thin"/>
      <right style="thin"/>
      <top/>
      <bottom style="thin"/>
      <diagonal/>
    </border>
  </borders>
  <cellStyleXfs count="49">
    <xf numFmtId="0" fontId="0" fillId="0" borderId="0" applyAlignment="1">
      <alignment vertical="center"/>
    </xf>
    <xf numFmtId="43" fontId="0" fillId="0" borderId="0" applyAlignment="1">
      <alignment vertical="center"/>
    </xf>
    <xf numFmtId="44" fontId="0" fillId="0" borderId="0" applyAlignment="1">
      <alignment vertical="center"/>
    </xf>
    <xf numFmtId="9" fontId="0" fillId="0" borderId="0" applyAlignment="1">
      <alignment vertical="center"/>
    </xf>
    <xf numFmtId="41" fontId="0" fillId="0" borderId="0" applyAlignment="1">
      <alignment vertical="center"/>
    </xf>
    <xf numFmtId="42" fontId="0" fillId="0" borderId="0" applyAlignment="1">
      <alignment vertical="center"/>
    </xf>
    <xf numFmtId="0" fontId="17" fillId="0" borderId="0" applyAlignment="1">
      <alignment vertical="center"/>
    </xf>
    <xf numFmtId="0" fontId="18" fillId="0" borderId="0" applyAlignment="1">
      <alignment vertical="center"/>
    </xf>
    <xf numFmtId="0" fontId="0" fillId="9" borderId="13" applyAlignment="1">
      <alignment vertical="center"/>
    </xf>
    <xf numFmtId="0" fontId="19" fillId="0" borderId="0" applyAlignment="1">
      <alignment vertical="center"/>
    </xf>
    <xf numFmtId="0" fontId="20" fillId="0" borderId="0" applyAlignment="1">
      <alignment vertical="center"/>
    </xf>
    <xf numFmtId="0" fontId="21" fillId="0" borderId="0" applyAlignment="1">
      <alignment vertical="center"/>
    </xf>
    <xf numFmtId="0" fontId="22" fillId="0" borderId="14" applyAlignment="1">
      <alignment vertical="center"/>
    </xf>
    <xf numFmtId="0" fontId="23" fillId="0" borderId="14" applyAlignment="1">
      <alignment vertical="center"/>
    </xf>
    <xf numFmtId="0" fontId="24" fillId="0" borderId="15" applyAlignment="1">
      <alignment vertical="center"/>
    </xf>
    <xf numFmtId="0" fontId="24" fillId="0" borderId="0" applyAlignment="1">
      <alignment vertical="center"/>
    </xf>
    <xf numFmtId="0" fontId="25" fillId="10" borderId="16" applyAlignment="1">
      <alignment vertical="center"/>
    </xf>
    <xf numFmtId="0" fontId="26" fillId="11" borderId="17" applyAlignment="1">
      <alignment vertical="center"/>
    </xf>
    <xf numFmtId="0" fontId="27" fillId="11" borderId="16" applyAlignment="1">
      <alignment vertical="center"/>
    </xf>
    <xf numFmtId="0" fontId="28" fillId="12" borderId="18" applyAlignment="1">
      <alignment vertical="center"/>
    </xf>
    <xf numFmtId="0" fontId="29" fillId="0" borderId="19" applyAlignment="1">
      <alignment vertical="center"/>
    </xf>
    <xf numFmtId="0" fontId="30" fillId="0" borderId="20" applyAlignment="1">
      <alignment vertical="center"/>
    </xf>
    <xf numFmtId="0" fontId="31" fillId="13" borderId="0" applyAlignment="1">
      <alignment vertical="center"/>
    </xf>
    <xf numFmtId="0" fontId="32" fillId="14" borderId="0" applyAlignment="1">
      <alignment vertical="center"/>
    </xf>
    <xf numFmtId="0" fontId="33" fillId="15" borderId="0" applyAlignment="1">
      <alignment vertical="center"/>
    </xf>
    <xf numFmtId="0" fontId="34" fillId="16" borderId="0" applyAlignment="1">
      <alignment vertical="center"/>
    </xf>
    <xf numFmtId="0" fontId="35" fillId="17" borderId="0" applyAlignment="1">
      <alignment vertical="center"/>
    </xf>
    <xf numFmtId="0" fontId="35" fillId="3" borderId="0" applyAlignment="1">
      <alignment vertical="center"/>
    </xf>
    <xf numFmtId="0" fontId="34" fillId="18" borderId="0" applyAlignment="1">
      <alignment vertical="center"/>
    </xf>
    <xf numFmtId="0" fontId="34" fillId="19" borderId="0" applyAlignment="1">
      <alignment vertical="center"/>
    </xf>
    <xf numFmtId="0" fontId="35" fillId="20" borderId="0" applyAlignment="1">
      <alignment vertical="center"/>
    </xf>
    <xf numFmtId="0" fontId="35" fillId="21" borderId="0" applyAlignment="1">
      <alignment vertical="center"/>
    </xf>
    <xf numFmtId="0" fontId="34" fillId="22" borderId="0" applyAlignment="1">
      <alignment vertical="center"/>
    </xf>
    <xf numFmtId="0" fontId="34" fillId="23" borderId="0" applyAlignment="1">
      <alignment vertical="center"/>
    </xf>
    <xf numFmtId="0" fontId="35" fillId="24" borderId="0" applyAlignment="1">
      <alignment vertical="center"/>
    </xf>
    <xf numFmtId="0" fontId="35" fillId="25" borderId="0" applyAlignment="1">
      <alignment vertical="center"/>
    </xf>
    <xf numFmtId="0" fontId="34" fillId="26" borderId="0" applyAlignment="1">
      <alignment vertical="center"/>
    </xf>
    <xf numFmtId="0" fontId="34" fillId="27" borderId="0" applyAlignment="1">
      <alignment vertical="center"/>
    </xf>
    <xf numFmtId="0" fontId="35" fillId="28" borderId="0" applyAlignment="1">
      <alignment vertical="center"/>
    </xf>
    <xf numFmtId="0" fontId="35" fillId="29" borderId="0" applyAlignment="1">
      <alignment vertical="center"/>
    </xf>
    <xf numFmtId="0" fontId="34" fillId="30" borderId="0" applyAlignment="1">
      <alignment vertical="center"/>
    </xf>
    <xf numFmtId="0" fontId="34" fillId="31" borderId="0" applyAlignment="1">
      <alignment vertical="center"/>
    </xf>
    <xf numFmtId="0" fontId="35" fillId="32" borderId="0" applyAlignment="1">
      <alignment vertical="center"/>
    </xf>
    <xf numFmtId="0" fontId="35" fillId="33" borderId="0" applyAlignment="1">
      <alignment vertical="center"/>
    </xf>
    <xf numFmtId="0" fontId="34" fillId="34" borderId="0" applyAlignment="1">
      <alignment vertical="center"/>
    </xf>
    <xf numFmtId="0" fontId="34" fillId="35" borderId="0" applyAlignment="1">
      <alignment vertical="center"/>
    </xf>
    <xf numFmtId="0" fontId="35" fillId="36" borderId="0" applyAlignment="1">
      <alignment vertical="center"/>
    </xf>
    <xf numFmtId="0" fontId="35" fillId="37" borderId="0" applyAlignment="1">
      <alignment vertical="center"/>
    </xf>
    <xf numFmtId="0" fontId="34" fillId="38" borderId="0" applyAlignment="1">
      <alignment vertical="center"/>
    </xf>
  </cellStyleXfs>
  <cellXfs count="222">
    <xf numFmtId="0" fontId="0" fillId="0" borderId="0" applyAlignment="1" pivotButton="0" quotePrefix="0" xfId="0">
      <alignment vertical="center"/>
    </xf>
    <xf numFmtId="0" fontId="1" fillId="2" borderId="1" applyAlignment="1" pivotButton="0" quotePrefix="0" xfId="0">
      <alignment horizontal="center" vertical="center"/>
    </xf>
    <xf numFmtId="0" fontId="2" fillId="3" borderId="1" applyAlignment="1" pivotButton="0" quotePrefix="0" xfId="0">
      <alignment horizontal="center" vertical="center"/>
    </xf>
    <xf numFmtId="9" fontId="2" fillId="3" borderId="1" applyAlignment="1" pivotButton="0" quotePrefix="0" xfId="0">
      <alignment horizontal="center" vertical="center"/>
    </xf>
    <xf numFmtId="0" fontId="2" fillId="4" borderId="2" applyAlignment="1" pivotButton="0" quotePrefix="0" xfId="0">
      <alignment horizontal="center" vertical="center"/>
    </xf>
    <xf numFmtId="0" fontId="2" fillId="4" borderId="3" applyAlignment="1" pivotButton="0" quotePrefix="0" xfId="0">
      <alignment horizontal="center" vertical="center"/>
    </xf>
    <xf numFmtId="0" fontId="2" fillId="4" borderId="4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164" fontId="3" fillId="0" borderId="1" applyAlignment="1" pivotButton="0" quotePrefix="0" xfId="0">
      <alignment horizontal="center" vertical="center"/>
    </xf>
    <xf numFmtId="0" fontId="1" fillId="2" borderId="5" applyAlignment="1" pivotButton="0" quotePrefix="0" xfId="0">
      <alignment vertical="center" wrapText="1"/>
    </xf>
    <xf numFmtId="0" fontId="4" fillId="0" borderId="1" applyAlignment="1" pivotButton="0" quotePrefix="0" xfId="0">
      <alignment horizontal="center" vertical="center"/>
    </xf>
    <xf numFmtId="165" fontId="3" fillId="5" borderId="1" applyAlignment="1" pivotButton="0" quotePrefix="0" xfId="0">
      <alignment horizontal="center" vertical="center"/>
    </xf>
    <xf numFmtId="10" fontId="4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0" fontId="1" fillId="2" borderId="2" applyAlignment="1" pivotButton="0" quotePrefix="0" xfId="0">
      <alignment horizontal="center" vertical="center"/>
    </xf>
    <xf numFmtId="0" fontId="1" fillId="2" borderId="3" applyAlignment="1" pivotButton="0" quotePrefix="0" xfId="0">
      <alignment horizontal="center" vertical="center"/>
    </xf>
    <xf numFmtId="0" fontId="2" fillId="3" borderId="6" applyAlignment="1" pivotButton="0" quotePrefix="0" xfId="0">
      <alignment horizontal="center" vertical="center"/>
    </xf>
    <xf numFmtId="0" fontId="2" fillId="3" borderId="7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 wrapText="1"/>
    </xf>
    <xf numFmtId="0" fontId="1" fillId="2" borderId="0" applyAlignment="1" pivotButton="0" quotePrefix="0" xfId="0">
      <alignment horizontal="center" vertical="center"/>
    </xf>
    <xf numFmtId="0" fontId="2" fillId="3" borderId="8" applyAlignment="1" pivotButton="0" quotePrefix="0" xfId="0">
      <alignment horizontal="center" vertical="center"/>
    </xf>
    <xf numFmtId="0" fontId="2" fillId="3" borderId="8" applyAlignment="1" pivotButton="0" quotePrefix="0" xfId="0">
      <alignment horizontal="center" vertical="center" wrapText="1"/>
    </xf>
    <xf numFmtId="0" fontId="5" fillId="3" borderId="9" applyAlignment="1" pivotButton="0" quotePrefix="0" xfId="0">
      <alignment horizontal="center" vertical="center"/>
    </xf>
    <xf numFmtId="0" fontId="2" fillId="3" borderId="7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 vertical="center"/>
    </xf>
    <xf numFmtId="0" fontId="4" fillId="0" borderId="1" applyAlignment="1" pivotButton="0" quotePrefix="0" xfId="0">
      <alignment horizontal="center" vertical="center" wrapText="1"/>
    </xf>
    <xf numFmtId="0" fontId="5" fillId="3" borderId="7" applyAlignment="1" pivotButton="0" quotePrefix="0" xfId="0">
      <alignment horizontal="center" vertical="center"/>
    </xf>
    <xf numFmtId="10" fontId="3" fillId="0" borderId="1" applyAlignment="1" pivotButton="0" quotePrefix="0" xfId="0">
      <alignment horizontal="center" vertical="center"/>
    </xf>
    <xf numFmtId="0" fontId="6" fillId="0" borderId="0" applyAlignment="1" pivotButton="0" quotePrefix="0" xfId="0">
      <alignment vertical="center"/>
    </xf>
    <xf numFmtId="0" fontId="1" fillId="2" borderId="2" applyAlignment="1" pivotButton="0" quotePrefix="0" xfId="0">
      <alignment vertical="center"/>
    </xf>
    <xf numFmtId="0" fontId="1" fillId="2" borderId="3" applyAlignment="1" pivotButton="0" quotePrefix="0" xfId="0">
      <alignment vertical="center"/>
    </xf>
    <xf numFmtId="0" fontId="2" fillId="3" borderId="2" applyAlignment="1" pivotButton="0" quotePrefix="0" xfId="0">
      <alignment vertical="center"/>
    </xf>
    <xf numFmtId="0" fontId="2" fillId="3" borderId="3" applyAlignment="1" pivotButton="0" quotePrefix="0" xfId="0">
      <alignment vertical="center"/>
    </xf>
    <xf numFmtId="0" fontId="5" fillId="0" borderId="1" applyAlignment="1" pivotButton="0" quotePrefix="0" xfId="0">
      <alignment horizontal="center" vertical="center"/>
    </xf>
    <xf numFmtId="0" fontId="1" fillId="2" borderId="4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5" fillId="3" borderId="1" applyAlignment="1" pivotButton="0" quotePrefix="0" xfId="0">
      <alignment horizontal="center" vertical="center"/>
    </xf>
    <xf numFmtId="164" fontId="4" fillId="0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0" fillId="6" borderId="0" applyAlignment="1" pivotButton="0" quotePrefix="0" xfId="0">
      <alignment vertical="center"/>
    </xf>
    <xf numFmtId="0" fontId="7" fillId="7" borderId="1" applyAlignment="1" pivotButton="0" quotePrefix="0" xfId="0">
      <alignment horizontal="center" vertical="center"/>
    </xf>
    <xf numFmtId="165" fontId="4" fillId="0" borderId="1" applyAlignment="1" pivotButton="0" quotePrefix="0" xfId="0">
      <alignment horizontal="center" vertical="center"/>
    </xf>
    <xf numFmtId="165" fontId="4" fillId="5" borderId="1" applyAlignment="1" pivotButton="0" quotePrefix="0" xfId="0">
      <alignment horizontal="center" vertical="center"/>
    </xf>
    <xf numFmtId="0" fontId="3" fillId="6" borderId="1" applyAlignment="1" pivotButton="0" quotePrefix="0" xfId="0">
      <alignment horizontal="center" vertical="center"/>
    </xf>
    <xf numFmtId="0" fontId="3" fillId="8" borderId="1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7" fillId="7" borderId="0" applyAlignment="1" pivotButton="0" quotePrefix="0" xfId="0">
      <alignment horizontal="center" vertical="center"/>
    </xf>
    <xf numFmtId="0" fontId="8" fillId="7" borderId="0" applyAlignment="1" pivotButton="0" quotePrefix="0" xfId="0">
      <alignment horizontal="center" vertical="center"/>
    </xf>
    <xf numFmtId="166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vertical="center"/>
    </xf>
    <xf numFmtId="166" fontId="3" fillId="5" borderId="1" applyAlignment="1" pivotButton="0" quotePrefix="0" xfId="0">
      <alignment horizontal="center" vertical="center"/>
    </xf>
    <xf numFmtId="0" fontId="3" fillId="0" borderId="0" applyAlignment="1" pivotButton="0" quotePrefix="0" xfId="0">
      <alignment vertical="center"/>
    </xf>
    <xf numFmtId="0" fontId="9" fillId="0" borderId="0" applyAlignment="1" pivotButton="0" quotePrefix="0" xfId="0">
      <alignment vertical="center"/>
    </xf>
    <xf numFmtId="0" fontId="3" fillId="0" borderId="0" applyAlignment="1" pivotButton="0" quotePrefix="0" xfId="0">
      <alignment horizontal="center" vertical="center"/>
    </xf>
    <xf numFmtId="165" fontId="3" fillId="6" borderId="1" applyAlignment="1" pivotButton="0" quotePrefix="0" xfId="0">
      <alignment horizontal="center" vertical="center"/>
    </xf>
    <xf numFmtId="0" fontId="3" fillId="4" borderId="1" applyAlignment="1" pivotButton="0" quotePrefix="0" xfId="0">
      <alignment horizontal="center" vertical="center"/>
    </xf>
    <xf numFmtId="165" fontId="10" fillId="6" borderId="1" applyAlignment="1" pivotButton="0" quotePrefix="0" xfId="0">
      <alignment horizontal="center" vertical="center"/>
    </xf>
    <xf numFmtId="164" fontId="3" fillId="5" borderId="1" applyAlignment="1" pivotButton="0" quotePrefix="0" xfId="0">
      <alignment vertical="center"/>
    </xf>
    <xf numFmtId="0" fontId="11" fillId="2" borderId="10" applyAlignment="1" pivotButton="0" quotePrefix="0" xfId="0">
      <alignment horizontal="center" vertical="center"/>
    </xf>
    <xf numFmtId="0" fontId="11" fillId="2" borderId="5" applyAlignment="1" pivotButton="0" quotePrefix="0" xfId="0">
      <alignment horizontal="center" vertical="center"/>
    </xf>
    <xf numFmtId="9" fontId="3" fillId="5" borderId="1" applyAlignment="1" pivotButton="0" quotePrefix="0" xfId="0">
      <alignment vertical="center"/>
    </xf>
    <xf numFmtId="0" fontId="5" fillId="3" borderId="2" applyAlignment="1" pivotButton="0" quotePrefix="0" xfId="0">
      <alignment horizontal="center" vertical="center"/>
    </xf>
    <xf numFmtId="0" fontId="11" fillId="7" borderId="1" applyAlignment="1" pivotButton="0" quotePrefix="0" xfId="0">
      <alignment horizontal="center" vertical="center"/>
    </xf>
    <xf numFmtId="0" fontId="3" fillId="8" borderId="1" applyAlignment="1" pivotButton="0" quotePrefix="0" xfId="0">
      <alignment horizontal="center" vertical="center" wrapText="1"/>
    </xf>
    <xf numFmtId="0" fontId="3" fillId="0" borderId="1" applyAlignment="1" pivotButton="0" quotePrefix="0" xfId="0">
      <alignment vertical="center"/>
    </xf>
    <xf numFmtId="167" fontId="3" fillId="5" borderId="1" applyAlignment="1" pivotButton="0" quotePrefix="0" xfId="0">
      <alignment vertical="center"/>
    </xf>
    <xf numFmtId="0" fontId="3" fillId="5" borderId="1" applyAlignment="1" pivotButton="0" quotePrefix="0" xfId="0">
      <alignment horizontal="center" vertical="center"/>
    </xf>
    <xf numFmtId="0" fontId="3" fillId="6" borderId="2" applyAlignment="1" pivotButton="0" quotePrefix="0" xfId="0">
      <alignment horizontal="center" vertical="center" wrapText="1"/>
    </xf>
    <xf numFmtId="0" fontId="3" fillId="6" borderId="3" applyAlignment="1" pivotButton="0" quotePrefix="0" xfId="0">
      <alignment horizontal="center" vertical="center" wrapText="1"/>
    </xf>
    <xf numFmtId="0" fontId="3" fillId="0" borderId="2" applyAlignment="1" pivotButton="0" quotePrefix="0" xfId="0">
      <alignment horizontal="center" vertical="center" wrapText="1"/>
    </xf>
    <xf numFmtId="0" fontId="3" fillId="0" borderId="3" applyAlignment="1" pivotButton="0" quotePrefix="0" xfId="0">
      <alignment horizontal="center" vertical="center" wrapText="1"/>
    </xf>
    <xf numFmtId="0" fontId="7" fillId="7" borderId="1" applyAlignment="1" pivotButton="0" quotePrefix="0" xfId="0">
      <alignment horizontal="center" vertical="center" wrapText="1"/>
    </xf>
    <xf numFmtId="9" fontId="4" fillId="0" borderId="1" applyAlignment="1" pivotButton="0" quotePrefix="0" xfId="0">
      <alignment horizontal="center" vertical="center"/>
    </xf>
    <xf numFmtId="0" fontId="7" fillId="7" borderId="2" applyAlignment="1" pivotButton="0" quotePrefix="0" xfId="0">
      <alignment horizontal="center" vertical="center" wrapText="1"/>
    </xf>
    <xf numFmtId="0" fontId="7" fillId="7" borderId="3" applyAlignment="1" pivotButton="0" quotePrefix="0" xfId="0">
      <alignment horizontal="center" vertical="center" wrapText="1"/>
    </xf>
    <xf numFmtId="0" fontId="7" fillId="7" borderId="4" applyAlignment="1" pivotButton="0" quotePrefix="0" xfId="0">
      <alignment horizontal="center" vertical="center" wrapText="1"/>
    </xf>
    <xf numFmtId="0" fontId="4" fillId="0" borderId="0" applyAlignment="1" pivotButton="0" quotePrefix="0" xfId="0">
      <alignment horizontal="center" vertical="center"/>
    </xf>
    <xf numFmtId="0" fontId="7" fillId="7" borderId="2" applyAlignment="1" pivotButton="0" quotePrefix="0" xfId="0">
      <alignment horizontal="center" vertical="center"/>
    </xf>
    <xf numFmtId="0" fontId="7" fillId="7" borderId="3" applyAlignment="1" pivotButton="0" quotePrefix="0" xfId="0">
      <alignment horizontal="center" vertical="center"/>
    </xf>
    <xf numFmtId="0" fontId="7" fillId="7" borderId="4" applyAlignment="1" pivotButton="0" quotePrefix="0" xfId="0">
      <alignment horizontal="center" vertical="center"/>
    </xf>
    <xf numFmtId="0" fontId="9" fillId="0" borderId="0" applyAlignment="1" pivotButton="0" quotePrefix="0" xfId="0">
      <alignment horizontal="left" vertical="center"/>
    </xf>
    <xf numFmtId="0" fontId="3" fillId="0" borderId="1" applyAlignment="1" pivotButton="0" quotePrefix="0" xfId="0">
      <alignment horizontal="left" vertical="center" wrapText="1"/>
    </xf>
    <xf numFmtId="165" fontId="3" fillId="0" borderId="1" applyAlignment="1" pivotButton="0" quotePrefix="0" xfId="0">
      <alignment horizontal="center" vertical="center" wrapText="1"/>
    </xf>
    <xf numFmtId="2" fontId="3" fillId="5" borderId="1" applyAlignment="1" pivotButton="0" quotePrefix="0" xfId="0">
      <alignment horizontal="center" vertical="center"/>
    </xf>
    <xf numFmtId="0" fontId="12" fillId="0" borderId="1" applyAlignment="1" pivotButton="0" quotePrefix="0" xfId="0">
      <alignment horizontal="center" vertical="center"/>
    </xf>
    <xf numFmtId="165" fontId="4" fillId="0" borderId="1" applyAlignment="1" pivotButton="0" quotePrefix="0" xfId="0">
      <alignment horizontal="center" vertical="center" wrapText="1"/>
    </xf>
    <xf numFmtId="165" fontId="4" fillId="0" borderId="1" applyAlignment="1" pivotButton="0" quotePrefix="0" xfId="0">
      <alignment horizontal="center" vertical="center" wrapText="1"/>
    </xf>
    <xf numFmtId="0" fontId="12" fillId="0" borderId="1" applyAlignment="1" pivotButton="0" quotePrefix="0" xfId="0">
      <alignment horizontal="center" vertical="center" wrapText="1"/>
    </xf>
    <xf numFmtId="165" fontId="3" fillId="0" borderId="1" applyAlignment="1" pivotButton="0" quotePrefix="0" xfId="0">
      <alignment horizontal="center" vertical="center"/>
    </xf>
    <xf numFmtId="165" fontId="4" fillId="0" borderId="1" applyAlignment="1" pivotButton="0" quotePrefix="0" xfId="0">
      <alignment horizontal="center" vertical="center"/>
    </xf>
    <xf numFmtId="0" fontId="4" fillId="0" borderId="6" applyAlignment="1" pivotButton="0" quotePrefix="0" xfId="0">
      <alignment horizontal="center" vertical="center"/>
    </xf>
    <xf numFmtId="0" fontId="4" fillId="6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4" fillId="0" borderId="7" applyAlignment="1" pivotButton="0" quotePrefix="0" xfId="0">
      <alignment horizontal="center" vertical="center"/>
    </xf>
    <xf numFmtId="0" fontId="10" fillId="6" borderId="1" applyAlignment="1" pivotButton="0" quotePrefix="0" xfId="0">
      <alignment horizontal="center" vertical="center" wrapText="1"/>
    </xf>
    <xf numFmtId="10" fontId="4" fillId="6" borderId="1" applyAlignment="1" pivotButton="0" quotePrefix="0" xfId="0">
      <alignment horizontal="center" vertical="center"/>
    </xf>
    <xf numFmtId="164" fontId="10" fillId="6" borderId="1" applyAlignment="1" pivotButton="0" quotePrefix="0" xfId="0">
      <alignment horizontal="center" vertical="center" wrapText="1"/>
    </xf>
    <xf numFmtId="0" fontId="4" fillId="0" borderId="2" applyAlignment="1" pivotButton="0" quotePrefix="0" xfId="0">
      <alignment horizontal="center" vertical="center"/>
    </xf>
    <xf numFmtId="0" fontId="3" fillId="6" borderId="2" applyAlignment="1" pivotButton="0" quotePrefix="0" xfId="0">
      <alignment vertical="center"/>
    </xf>
    <xf numFmtId="0" fontId="3" fillId="6" borderId="4" applyAlignment="1" pivotButton="0" quotePrefix="0" xfId="0">
      <alignment vertical="center"/>
    </xf>
    <xf numFmtId="0" fontId="3" fillId="0" borderId="2" applyAlignment="1" pivotButton="0" quotePrefix="0" xfId="0">
      <alignment vertical="center"/>
    </xf>
    <xf numFmtId="0" fontId="3" fillId="0" borderId="4" applyAlignment="1" pivotButton="0" quotePrefix="0" xfId="0">
      <alignment vertical="center"/>
    </xf>
    <xf numFmtId="0" fontId="7" fillId="7" borderId="11" applyAlignment="1" pivotButton="0" quotePrefix="0" xfId="0">
      <alignment horizontal="center" vertical="center"/>
    </xf>
    <xf numFmtId="0" fontId="13" fillId="7" borderId="0" applyAlignment="1" pivotButton="0" quotePrefix="0" xfId="0">
      <alignment horizontal="center" vertical="center"/>
    </xf>
    <xf numFmtId="0" fontId="5" fillId="3" borderId="7" applyAlignment="1" pivotButton="0" quotePrefix="0" xfId="0">
      <alignment horizontal="center" vertical="center" wrapText="1"/>
    </xf>
    <xf numFmtId="165" fontId="3" fillId="4" borderId="1" applyAlignment="1" pivotButton="0" quotePrefix="0" xfId="0">
      <alignment horizontal="center" vertical="center"/>
    </xf>
    <xf numFmtId="164" fontId="3" fillId="4" borderId="1" applyAlignment="1" pivotButton="0" quotePrefix="0" xfId="0">
      <alignment horizontal="center" vertical="center"/>
    </xf>
    <xf numFmtId="9" fontId="3" fillId="0" borderId="1" applyAlignment="1" pivotButton="0" quotePrefix="0" xfId="0">
      <alignment horizontal="center" vertical="center"/>
    </xf>
    <xf numFmtId="165" fontId="3" fillId="0" borderId="0" applyAlignment="1" pivotButton="0" quotePrefix="0" xfId="0">
      <alignment horizontal="center" vertical="center"/>
    </xf>
    <xf numFmtId="0" fontId="11" fillId="7" borderId="11" applyAlignment="1" pivotButton="0" quotePrefix="0" xfId="0">
      <alignment horizontal="center" vertical="center"/>
    </xf>
    <xf numFmtId="0" fontId="11" fillId="7" borderId="0" applyAlignment="1" pivotButton="0" quotePrefix="0" xfId="0">
      <alignment horizontal="center" vertical="center"/>
    </xf>
    <xf numFmtId="0" fontId="2" fillId="3" borderId="2" applyAlignment="1" pivotButton="0" quotePrefix="0" xfId="0">
      <alignment horizontal="center" vertical="center"/>
    </xf>
    <xf numFmtId="165" fontId="2" fillId="3" borderId="3" applyAlignment="1" pivotButton="0" quotePrefix="0" xfId="0">
      <alignment horizontal="center" vertical="center"/>
    </xf>
    <xf numFmtId="0" fontId="3" fillId="6" borderId="1" applyAlignment="1" pivotButton="0" quotePrefix="0" xfId="0">
      <alignment horizontal="center" vertical="center" wrapText="1"/>
    </xf>
    <xf numFmtId="0" fontId="3" fillId="0" borderId="1" applyAlignment="1" pivotButton="0" quotePrefix="0" xfId="0">
      <alignment horizontal="left" vertical="center"/>
    </xf>
    <xf numFmtId="164" fontId="3" fillId="0" borderId="1" applyAlignment="1" pivotButton="0" quotePrefix="0" xfId="0">
      <alignment horizontal="center" vertical="center" wrapText="1"/>
    </xf>
    <xf numFmtId="10" fontId="3" fillId="6" borderId="1" applyAlignment="1" pivotButton="0" quotePrefix="0" xfId="0">
      <alignment horizontal="center" vertical="center"/>
    </xf>
    <xf numFmtId="165" fontId="4" fillId="5" borderId="1" applyAlignment="1" pivotButton="0" quotePrefix="0" xfId="0">
      <alignment horizontal="center" vertical="center" wrapText="1"/>
    </xf>
    <xf numFmtId="10" fontId="4" fillId="5" borderId="1" applyAlignment="1" pivotButton="0" quotePrefix="0" xfId="0">
      <alignment horizontal="center" vertical="center"/>
    </xf>
    <xf numFmtId="10" fontId="10" fillId="6" borderId="1" applyAlignment="1" pivotButton="0" quotePrefix="0" xfId="0">
      <alignment horizontal="center" vertical="center"/>
    </xf>
    <xf numFmtId="0" fontId="10" fillId="6" borderId="1" applyAlignment="1" pivotButton="0" quotePrefix="0" xfId="0">
      <alignment horizontal="center" vertical="center"/>
    </xf>
    <xf numFmtId="165" fontId="3" fillId="5" borderId="1" applyAlignment="1" pivotButton="0" quotePrefix="0" xfId="0">
      <alignment horizontal="center" vertical="center" wrapText="1"/>
    </xf>
    <xf numFmtId="10" fontId="10" fillId="0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3" fillId="3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/>
    </xf>
    <xf numFmtId="0" fontId="3" fillId="3" borderId="3" applyAlignment="1" pivotButton="0" quotePrefix="0" xfId="0">
      <alignment horizontal="center" vertical="center"/>
    </xf>
    <xf numFmtId="164" fontId="4" fillId="5" borderId="1" applyAlignment="1" pivotButton="0" quotePrefix="0" xfId="0">
      <alignment horizontal="center" vertical="center" wrapText="1"/>
    </xf>
    <xf numFmtId="10" fontId="4" fillId="5" borderId="1" applyAlignment="1" pivotButton="0" quotePrefix="0" xfId="0">
      <alignment horizontal="center" vertical="center" wrapText="1"/>
    </xf>
    <xf numFmtId="164" fontId="4" fillId="0" borderId="1" applyAlignment="1" pivotButton="0" quotePrefix="0" xfId="0">
      <alignment horizontal="center" vertical="center" wrapText="1"/>
    </xf>
    <xf numFmtId="10" fontId="4" fillId="0" borderId="1" applyAlignment="1" pivotButton="0" quotePrefix="0" xfId="0">
      <alignment horizontal="center" vertical="center" wrapText="1"/>
    </xf>
    <xf numFmtId="164" fontId="3" fillId="5" borderId="1" applyAlignment="1" pivotButton="0" quotePrefix="0" xfId="0">
      <alignment horizontal="center" vertical="center" wrapText="1"/>
    </xf>
    <xf numFmtId="164" fontId="3" fillId="5" borderId="1" applyAlignment="1" pivotButton="0" quotePrefix="0" xfId="0">
      <alignment horizontal="center" vertical="center"/>
    </xf>
    <xf numFmtId="164" fontId="10" fillId="0" borderId="1" applyAlignment="1" pivotButton="0" quotePrefix="0" xfId="0">
      <alignment horizontal="center" vertical="center" wrapText="1"/>
    </xf>
    <xf numFmtId="164" fontId="1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11" fillId="7" borderId="10" applyAlignment="1" pivotButton="0" quotePrefix="0" xfId="0">
      <alignment horizontal="center" vertical="center"/>
    </xf>
    <xf numFmtId="0" fontId="11" fillId="7" borderId="5" applyAlignment="1" pivotButton="0" quotePrefix="0" xfId="0">
      <alignment horizontal="center" vertical="center"/>
    </xf>
    <xf numFmtId="0" fontId="3" fillId="0" borderId="6" applyAlignment="1" pivotButton="0" quotePrefix="0" xfId="0">
      <alignment horizontal="center" vertical="center"/>
    </xf>
    <xf numFmtId="0" fontId="3" fillId="4" borderId="1" applyAlignment="1" pivotButton="0" quotePrefix="0" xfId="0">
      <alignment horizontal="center" vertical="center" wrapText="1"/>
    </xf>
    <xf numFmtId="10" fontId="3" fillId="4" borderId="1" applyAlignment="1" pivotButton="0" quotePrefix="0" xfId="0">
      <alignment horizontal="center" vertical="center"/>
    </xf>
    <xf numFmtId="0" fontId="11" fillId="7" borderId="2" applyAlignment="1" pivotButton="0" quotePrefix="0" xfId="0">
      <alignment horizontal="center" vertical="center"/>
    </xf>
    <xf numFmtId="0" fontId="11" fillId="7" borderId="3" applyAlignment="1" pivotButton="0" quotePrefix="0" xfId="0">
      <alignment horizontal="center" vertical="center"/>
    </xf>
    <xf numFmtId="0" fontId="11" fillId="7" borderId="4" applyAlignment="1" pivotButton="0" quotePrefix="0" xfId="0">
      <alignment horizontal="center" vertical="center"/>
    </xf>
    <xf numFmtId="49" fontId="3" fillId="0" borderId="1" applyAlignment="1" pivotButton="0" quotePrefix="0" xfId="0">
      <alignment horizontal="center" vertical="center"/>
    </xf>
    <xf numFmtId="165" fontId="10" fillId="0" borderId="1" applyAlignment="1" pivotButton="0" quotePrefix="0" xfId="0">
      <alignment horizontal="center" vertical="center"/>
    </xf>
    <xf numFmtId="165" fontId="10" fillId="4" borderId="1" applyAlignment="1" pivotButton="0" quotePrefix="0" xfId="0">
      <alignment horizontal="center" vertical="center"/>
    </xf>
    <xf numFmtId="0" fontId="3" fillId="0" borderId="2" applyAlignment="1" pivotButton="0" quotePrefix="0" xfId="0">
      <alignment horizontal="center" vertical="center"/>
    </xf>
    <xf numFmtId="0" fontId="3" fillId="0" borderId="3" applyAlignment="1" pivotButton="0" quotePrefix="0" xfId="0">
      <alignment horizontal="center" vertical="center"/>
    </xf>
    <xf numFmtId="0" fontId="3" fillId="0" borderId="4" applyAlignment="1" pivotButton="0" quotePrefix="0" xfId="0">
      <alignment horizontal="center" vertical="center"/>
    </xf>
    <xf numFmtId="0" fontId="14" fillId="0" borderId="0" applyAlignment="1" pivotButton="0" quotePrefix="0" xfId="0">
      <alignment vertical="center"/>
    </xf>
    <xf numFmtId="0" fontId="15" fillId="0" borderId="1" applyAlignment="1" pivotButton="0" quotePrefix="0" xfId="0">
      <alignment horizontal="center" vertical="center"/>
    </xf>
    <xf numFmtId="164" fontId="15" fillId="0" borderId="1" applyAlignment="1" pivotButton="0" quotePrefix="0" xfId="0">
      <alignment horizontal="center" vertical="center"/>
    </xf>
    <xf numFmtId="0" fontId="2" fillId="3" borderId="1" applyAlignment="1" pivotButton="0" quotePrefix="0" xfId="0">
      <alignment horizontal="center" vertical="center" wrapText="1"/>
    </xf>
    <xf numFmtId="57" fontId="4" fillId="0" borderId="1" applyAlignment="1" pivotButton="0" quotePrefix="0" xfId="0">
      <alignment horizontal="center" vertical="center"/>
    </xf>
    <xf numFmtId="0" fontId="16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11" fillId="7" borderId="12" applyAlignment="1" pivotButton="0" quotePrefix="0" xfId="0">
      <alignment horizontal="center" vertical="center"/>
    </xf>
    <xf numFmtId="0" fontId="16" fillId="3" borderId="7" applyAlignment="1" pivotButton="0" quotePrefix="0" xfId="0">
      <alignment horizontal="center" vertical="center"/>
    </xf>
    <xf numFmtId="0" fontId="3" fillId="0" borderId="7" applyAlignment="1" pivotButton="0" quotePrefix="0" xfId="0">
      <alignment horizontal="center" vertical="center"/>
    </xf>
    <xf numFmtId="168" fontId="4" fillId="0" borderId="1" applyAlignment="1" pivotButton="0" quotePrefix="0" xfId="0">
      <alignment horizontal="center" vertical="center"/>
    </xf>
    <xf numFmtId="169" fontId="4" fillId="0" borderId="1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12" pivotButton="0" quotePrefix="0" xfId="0"/>
    <xf numFmtId="0" fontId="0" fillId="0" borderId="7" pivotButton="0" quotePrefix="0" xfId="0"/>
    <xf numFmtId="168" fontId="4" fillId="0" borderId="1" applyAlignment="1" pivotButton="0" quotePrefix="0" xfId="0">
      <alignment horizontal="center" vertical="center"/>
    </xf>
    <xf numFmtId="169" fontId="4" fillId="0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165" fontId="4" fillId="0" borderId="1" applyAlignment="1" pivotButton="0" quotePrefix="0" xfId="0">
      <alignment horizontal="center" vertical="center"/>
    </xf>
    <xf numFmtId="165" fontId="10" fillId="6" borderId="1" applyAlignment="1" pivotButton="0" quotePrefix="0" xfId="0">
      <alignment horizontal="center" vertical="center"/>
    </xf>
    <xf numFmtId="165" fontId="3" fillId="5" borderId="1" applyAlignment="1" pivotButton="0" quotePrefix="0" xfId="0">
      <alignment horizontal="center" vertical="center"/>
    </xf>
    <xf numFmtId="164" fontId="15" fillId="0" borderId="1" applyAlignment="1" pivotButton="0" quotePrefix="0" xfId="0">
      <alignment horizontal="center" vertical="center"/>
    </xf>
    <xf numFmtId="165" fontId="10" fillId="0" borderId="1" applyAlignment="1" pivotButton="0" quotePrefix="0" xfId="0">
      <alignment horizontal="center" vertical="center"/>
    </xf>
    <xf numFmtId="165" fontId="10" fillId="4" borderId="1" applyAlignment="1" pivotButton="0" quotePrefix="0" xfId="0">
      <alignment horizontal="center" vertical="center"/>
    </xf>
    <xf numFmtId="0" fontId="0" fillId="0" borderId="5" pivotButton="0" quotePrefix="0" xfId="0"/>
    <xf numFmtId="165" fontId="3" fillId="4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3" fillId="6" borderId="1" applyAlignment="1" pivotButton="0" quotePrefix="0" xfId="0">
      <alignment horizontal="center" vertical="center"/>
    </xf>
    <xf numFmtId="164" fontId="3" fillId="0" borderId="1" applyAlignment="1" pivotButton="0" quotePrefix="0" xfId="0">
      <alignment horizontal="center" vertical="center"/>
    </xf>
    <xf numFmtId="165" fontId="4" fillId="5" borderId="1" applyAlignment="1" pivotButton="0" quotePrefix="0" xfId="0">
      <alignment horizontal="center" vertical="center"/>
    </xf>
    <xf numFmtId="164" fontId="10" fillId="0" borderId="1" applyAlignment="1" pivotButton="0" quotePrefix="0" xfId="0">
      <alignment horizontal="center" vertical="center"/>
    </xf>
    <xf numFmtId="164" fontId="10" fillId="6" borderId="1" applyAlignment="1" pivotButton="0" quotePrefix="0" xfId="0">
      <alignment horizontal="center" vertical="center" wrapText="1"/>
    </xf>
    <xf numFmtId="164" fontId="10" fillId="0" borderId="1" applyAlignment="1" pivotButton="0" quotePrefix="0" xfId="0">
      <alignment horizontal="center" vertical="center" wrapText="1"/>
    </xf>
    <xf numFmtId="0" fontId="0" fillId="0" borderId="8" pivotButton="0" quotePrefix="0" xfId="0"/>
    <xf numFmtId="164" fontId="3" fillId="0" borderId="1" applyAlignment="1" pivotButton="0" quotePrefix="0" xfId="0">
      <alignment horizontal="center" vertical="center" wrapText="1"/>
    </xf>
    <xf numFmtId="164" fontId="4" fillId="5" borderId="1" applyAlignment="1" pivotButton="0" quotePrefix="0" xfId="0">
      <alignment horizontal="center" vertical="center" wrapText="1"/>
    </xf>
    <xf numFmtId="164" fontId="4" fillId="0" borderId="1" applyAlignment="1" pivotButton="0" quotePrefix="0" xfId="0">
      <alignment horizontal="center" vertical="center" wrapText="1"/>
    </xf>
    <xf numFmtId="165" fontId="3" fillId="0" borderId="1" applyAlignment="1" pivotButton="0" quotePrefix="0" xfId="0">
      <alignment horizontal="center" vertical="center" wrapText="1"/>
    </xf>
    <xf numFmtId="164" fontId="3" fillId="5" borderId="1" applyAlignment="1" pivotButton="0" quotePrefix="0" xfId="0">
      <alignment horizontal="center" vertical="center" wrapText="1"/>
    </xf>
    <xf numFmtId="164" fontId="3" fillId="5" borderId="1" applyAlignment="1" pivotButton="0" quotePrefix="0" xfId="0">
      <alignment horizontal="center" vertical="center"/>
    </xf>
    <xf numFmtId="165" fontId="3" fillId="0" borderId="0" applyAlignment="1" pivotButton="0" quotePrefix="0" xfId="0">
      <alignment horizontal="center" vertical="center"/>
    </xf>
    <xf numFmtId="165" fontId="4" fillId="5" borderId="1" applyAlignment="1" pivotButton="0" quotePrefix="0" xfId="0">
      <alignment horizontal="center" vertical="center" wrapText="1"/>
    </xf>
    <xf numFmtId="165" fontId="3" fillId="5" borderId="1" applyAlignment="1" pivotButton="0" quotePrefix="0" xfId="0">
      <alignment horizontal="center" vertical="center" wrapText="1"/>
    </xf>
    <xf numFmtId="165" fontId="4" fillId="0" borderId="1" applyAlignment="1" pivotButton="0" quotePrefix="0" xfId="0">
      <alignment horizontal="center" vertical="center" wrapText="1"/>
    </xf>
    <xf numFmtId="164" fontId="3" fillId="4" borderId="1" applyAlignment="1" pivotButton="0" quotePrefix="0" xfId="0">
      <alignment horizontal="center" vertical="center"/>
    </xf>
    <xf numFmtId="164" fontId="4" fillId="0" borderId="1" applyAlignment="1" pivotButton="0" quotePrefix="0" xfId="0">
      <alignment horizontal="center" vertical="center"/>
    </xf>
    <xf numFmtId="167" fontId="3" fillId="5" borderId="1" applyAlignment="1" pivotButton="0" quotePrefix="0" xfId="0">
      <alignment vertical="center"/>
    </xf>
    <xf numFmtId="164" fontId="3" fillId="5" borderId="1" applyAlignment="1" pivotButton="0" quotePrefix="0" xfId="0">
      <alignment vertical="center"/>
    </xf>
    <xf numFmtId="166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vertical="center"/>
    </xf>
    <xf numFmtId="166" fontId="3" fillId="5" borderId="1" applyAlignment="1" pivotButton="0" quotePrefix="0" xfId="0">
      <alignment horizontal="center" vertical="center"/>
    </xf>
    <xf numFmtId="0" fontId="2" fillId="4" borderId="1" applyAlignment="1" pivotButton="0" quotePrefix="0" xfId="0">
      <alignment horizontal="center" vertical="center"/>
    </xf>
    <xf numFmtId="0" fontId="38" fillId="0" borderId="23" applyAlignment="1" pivotButton="0" quotePrefix="0" xfId="0">
      <alignment horizontal="center" vertical="center" wrapText="1"/>
    </xf>
    <xf numFmtId="0" fontId="39" fillId="3" borderId="24" applyAlignment="1" pivotButton="0" quotePrefix="0" xfId="0">
      <alignment horizontal="center" vertical="center"/>
    </xf>
    <xf numFmtId="10" fontId="38" fillId="0" borderId="23" applyAlignment="1" pivotButton="0" quotePrefix="0" xfId="0">
      <alignment horizontal="center" vertical="center"/>
    </xf>
    <xf numFmtId="164" fontId="40" fillId="6" borderId="23" applyAlignment="1" pivotButton="0" quotePrefix="0" xfId="0">
      <alignment horizontal="center" vertical="center" wrapText="1"/>
    </xf>
    <xf numFmtId="0" fontId="41" fillId="0" borderId="25" pivotButton="0" quotePrefix="0" xfId="0"/>
    <xf numFmtId="10" fontId="42" fillId="0" borderId="23" applyAlignment="1" pivotButton="0" quotePrefix="0" xfId="0">
      <alignment horizontal="center" vertical="center"/>
    </xf>
    <xf numFmtId="165" fontId="42" fillId="5" borderId="23" applyAlignment="1" pivotButton="0" quotePrefix="0" xfId="0">
      <alignment horizontal="center" vertical="center"/>
    </xf>
    <xf numFmtId="0" fontId="39" fillId="3" borderId="23" applyAlignment="1" pivotButton="0" quotePrefix="0" xfId="0">
      <alignment horizontal="center" vertical="center"/>
    </xf>
    <xf numFmtId="164" fontId="3" fillId="5" borderId="26" applyAlignment="1" pivotButton="0" quotePrefix="0" xfId="0">
      <alignment horizontal="center" vertical="center"/>
    </xf>
    <xf numFmtId="0" fontId="0" fillId="0" borderId="26" applyAlignment="1" pivotButton="0" quotePrefix="0" xfId="0">
      <alignment horizontal="center" vertical="center"/>
    </xf>
    <xf numFmtId="0" fontId="0" fillId="0" borderId="29" pivotButton="0" quotePrefix="0" xfId="0"/>
    <xf numFmtId="0" fontId="0" fillId="0" borderId="30" pivotButton="0" quotePrefix="0" xfId="0"/>
    <xf numFmtId="9" fontId="3" fillId="5" borderId="26" applyAlignment="1" pivotButton="0" quotePrefix="0" xfId="0">
      <alignment horizontal="center" vertical="center"/>
    </xf>
    <xf numFmtId="167" fontId="3" fillId="5" borderId="26" applyAlignment="1" pivotButton="0" quotePrefix="0" xfId="0">
      <alignment horizontal="center" vertical="center"/>
    </xf>
    <xf numFmtId="0" fontId="39" fillId="0" borderId="23" applyAlignment="1" pivotButton="0" quotePrefix="0" xfId="0">
      <alignment horizontal="center" vertical="center"/>
    </xf>
    <xf numFmtId="0" fontId="38" fillId="0" borderId="23" applyAlignment="1" pivotButton="0" quotePrefix="0" xfId="0">
      <alignment horizontal="center" vertical="center"/>
    </xf>
    <xf numFmtId="0" fontId="43" fillId="39" borderId="26" applyAlignment="1" pivotButton="0" quotePrefix="0" xfId="0">
      <alignment horizontal="center" vertical="center"/>
    </xf>
    <xf numFmtId="0" fontId="40" fillId="0" borderId="26" applyAlignment="1" pivotButton="0" quotePrefix="0" xfId="0">
      <alignment horizontal="center" vertical="center"/>
    </xf>
    <xf numFmtId="0" fontId="0" fillId="0" borderId="33" pivotButton="0" quotePrefix="0" xfId="0"/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worksheet" Target="/xl/worksheets/sheet24.xml" Id="rId24" /><Relationship Type="http://schemas.openxmlformats.org/officeDocument/2006/relationships/worksheet" Target="/xl/worksheets/sheet25.xml" Id="rId25" /><Relationship Type="http://schemas.openxmlformats.org/officeDocument/2006/relationships/worksheet" Target="/xl/worksheets/sheet26.xml" Id="rId26" /><Relationship Type="http://schemas.openxmlformats.org/officeDocument/2006/relationships/worksheet" Target="/xl/worksheets/sheet27.xml" Id="rId27" /><Relationship Type="http://schemas.openxmlformats.org/officeDocument/2006/relationships/worksheet" Target="/xl/worksheets/sheet28.xml" Id="rId28" /><Relationship Type="http://schemas.openxmlformats.org/officeDocument/2006/relationships/worksheet" Target="/xl/worksheets/sheet29.xml" Id="rId29" /><Relationship Type="http://schemas.openxmlformats.org/officeDocument/2006/relationships/worksheet" Target="/xl/worksheets/sheet30.xml" Id="rId30" /><Relationship Type="http://schemas.openxmlformats.org/officeDocument/2006/relationships/worksheet" Target="/xl/worksheets/sheet31.xml" Id="rId31" /><Relationship Type="http://schemas.openxmlformats.org/officeDocument/2006/relationships/worksheet" Target="/xl/worksheets/sheet32.xml" Id="rId32" /><Relationship Type="http://schemas.openxmlformats.org/officeDocument/2006/relationships/worksheet" Target="/xl/worksheets/sheet33.xml" Id="rId33" /><Relationship Type="http://schemas.openxmlformats.org/officeDocument/2006/relationships/worksheet" Target="/xl/worksheets/sheet34.xml" Id="rId34" /><Relationship Type="http://schemas.openxmlformats.org/officeDocument/2006/relationships/styles" Target="styles.xml" Id="rId35" /><Relationship Type="http://schemas.openxmlformats.org/officeDocument/2006/relationships/theme" Target="theme/theme1.xml" Id="rId36" /><Relationship Type="http://schemas.microsoft.com/office/2006/relationships/vbaProject" Target="vbaProject.bin" Id="rId37" /></Relationships>
</file>

<file path=xl/comments/comment1.xml><?xml version="1.0" encoding="utf-8"?>
<comments xmlns="http://schemas.openxmlformats.org/spreadsheetml/2006/main">
  <authors>
    <author>周亮</author>
  </authors>
  <commentList>
    <comment ref="D10" authorId="0" shapeId="0">
      <text>
        <t>周亮:
建设期利息不能用专项债
优先将2.2债务资金用于2.2.1建设投资
纯专项债项目，2.2.2建设期利息均为0，建设期利息要用资本金支付，即2.1.2
建设投资不够的部分，再使用资本金，即2.1.1
纯专项债项目，专项债资金不能用于流动资金，故2.2.3为0</t>
      </text>
    </comment>
  </commentList>
</comment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2.vml" Id="anysvml" /></Relationships>
</file>

<file path=xl/worksheets/_rels/sheet34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 fitToPage="1"/>
  </sheetPr>
  <dimension ref="A1:D21"/>
  <sheetViews>
    <sheetView tabSelected="1" zoomScale="65" zoomScaleNormal="65" workbookViewId="0">
      <selection activeCell="F9" sqref="F9"/>
    </sheetView>
  </sheetViews>
  <sheetFormatPr baseColWidth="8" defaultColWidth="8.890909090909091" defaultRowHeight="30" customHeight="1"/>
  <cols>
    <col width="30.3363636363636" customWidth="1" style="162" min="2" max="2"/>
    <col width="70.6636363636364" customWidth="1" style="162" min="3" max="3"/>
    <col width="12.7818181818182" customWidth="1" style="162" min="4" max="4"/>
    <col width="29.2181818181818" customWidth="1" style="162" min="9" max="9"/>
  </cols>
  <sheetData>
    <row r="1" customFormat="1" s="51">
      <c r="A1" s="157" t="inlineStr">
        <is>
          <t>A财务假设</t>
        </is>
      </c>
      <c r="D1" s="163" t="n"/>
    </row>
    <row r="2" customFormat="1" s="51">
      <c r="A2" s="158" t="inlineStr">
        <is>
          <t>序号</t>
        </is>
      </c>
      <c r="B2" s="158" t="inlineStr">
        <is>
          <t>名称</t>
        </is>
      </c>
      <c r="C2" s="158" t="inlineStr">
        <is>
          <t>解释</t>
        </is>
      </c>
      <c r="D2" s="158" t="inlineStr">
        <is>
          <t>参考值</t>
        </is>
      </c>
    </row>
    <row r="3" customFormat="1" s="51">
      <c r="A3" s="7" t="n">
        <v>1</v>
      </c>
      <c r="B3" s="7" t="inlineStr">
        <is>
          <t>项目投资财务基准收益率(税前)</t>
        </is>
      </c>
      <c r="C3" s="7" t="inlineStr">
        <is>
          <t>国家发改委《建设项目财务基准收益率取值表》</t>
        </is>
      </c>
      <c r="D3" s="72" t="n">
        <v>0.05</v>
      </c>
    </row>
    <row r="4" customFormat="1" s="51">
      <c r="A4" s="7" t="n">
        <v>2</v>
      </c>
      <c r="B4" s="7" t="inlineStr">
        <is>
          <t>项目投资财务基准收益率(税后)</t>
        </is>
      </c>
      <c r="C4" s="7" t="inlineStr">
        <is>
          <t>国家发改委《建设项目财务基准收益率取值表》</t>
        </is>
      </c>
      <c r="D4" s="72" t="n">
        <v>0.03</v>
      </c>
    </row>
    <row r="5" ht="78" customFormat="1" customHeight="1" s="51">
      <c r="A5" s="7" t="n">
        <v>3</v>
      </c>
      <c r="B5" s="7" t="inlineStr">
        <is>
          <t>项目资本金财务基准收益率</t>
        </is>
      </c>
      <c r="C5" s="81" t="inlineStr">
        <is>
          <t>项目资本金财务基准收益率应体现项目发起人（代表项目所有权益投资者）
对投资获利的最低期望值（也称最低可接受收益率）。当项目资本金财务
内部收益率大于或等于该最低可接受收益率时，说明在该融资方案下，项目
资本金获利水平超过或达到了要求，该融资方案是可以接受的。</t>
        </is>
      </c>
      <c r="D5" s="72" t="n">
        <v>0.08</v>
      </c>
    </row>
    <row r="6" ht="55.05" customFormat="1" customHeight="1" s="51">
      <c r="A6" s="7" t="n">
        <v>4</v>
      </c>
      <c r="B6" s="7" t="inlineStr">
        <is>
          <t>城市维护建设税税率</t>
        </is>
      </c>
      <c r="C6" s="92" t="inlineStr">
        <is>
          <t>市区：7%；县城、镇：5%；
不在市区、县城或者镇：1% ；
缴纳基数为：增值税税额+营业税税额+消费税税额</t>
        </is>
      </c>
      <c r="D6" s="72" t="n">
        <v>0.07000000000000001</v>
      </c>
    </row>
    <row r="7" customFormat="1" s="51">
      <c r="A7" s="7" t="n">
        <v>5</v>
      </c>
      <c r="B7" s="7" t="inlineStr">
        <is>
          <t>教育费附加费率</t>
        </is>
      </c>
      <c r="C7" s="7" t="inlineStr">
        <is>
          <t>缴纳基数为：增值税税额+营业税税额+消费税税额</t>
        </is>
      </c>
      <c r="D7" s="72" t="n">
        <v>0.03</v>
      </c>
    </row>
    <row r="8" customFormat="1" s="51">
      <c r="A8" s="7" t="n">
        <v>6</v>
      </c>
      <c r="B8" s="7" t="inlineStr">
        <is>
          <t>地方教育费附加费率</t>
        </is>
      </c>
      <c r="C8" s="7" t="inlineStr">
        <is>
          <t>缴纳基数为：增值税税额+营业税税额+消费税税额</t>
        </is>
      </c>
      <c r="D8" s="72" t="n">
        <v>0.02</v>
      </c>
    </row>
    <row r="9" customFormat="1" s="51">
      <c r="A9" s="7" t="n">
        <v>7</v>
      </c>
      <c r="B9" s="7" t="inlineStr">
        <is>
          <t>企业所得税率</t>
        </is>
      </c>
      <c r="C9" s="7" t="inlineStr">
        <is>
          <t>是针对企业应纳税所得额征收的税种</t>
        </is>
      </c>
      <c r="D9" s="72" t="n">
        <v>0.25</v>
      </c>
    </row>
    <row r="10" customFormat="1" s="51">
      <c r="A10" s="7" t="n">
        <v>8</v>
      </c>
      <c r="B10" s="7" t="inlineStr">
        <is>
          <t>法定盈余公积提取比例</t>
        </is>
      </c>
      <c r="C10" s="7" t="inlineStr">
        <is>
          <t>企业应按照一定的比例从税后利润中提取盈余公积</t>
        </is>
      </c>
      <c r="D10" s="72" t="n">
        <v>0.1</v>
      </c>
    </row>
    <row r="11" customFormat="1" s="51">
      <c r="A11" s="7" t="n">
        <v>9</v>
      </c>
      <c r="B11" s="7" t="inlineStr">
        <is>
          <t>任意盈余公积提取比例</t>
        </is>
      </c>
      <c r="C11" s="7" t="inlineStr">
        <is>
          <t>提取比例由企业自主决定，没有固定标</t>
        </is>
      </c>
      <c r="D11" s="72" t="n">
        <v>0.05</v>
      </c>
    </row>
    <row r="12" customFormat="1" s="51">
      <c r="A12" s="7" t="n">
        <v>10</v>
      </c>
      <c r="B12" s="7" t="inlineStr">
        <is>
          <t>残值率</t>
        </is>
      </c>
      <c r="C12" s="7" t="inlineStr">
        <is>
          <t>资产在预计使用寿命结束时的剩余价值占其原始成本的百分比</t>
        </is>
      </c>
      <c r="D12" s="72" t="n">
        <v>0.05</v>
      </c>
    </row>
    <row r="13" customFormat="1" s="51">
      <c r="A13" s="7" t="n">
        <v>11</v>
      </c>
      <c r="B13" s="7" t="inlineStr">
        <is>
          <t>资本金用于流动资金比例</t>
        </is>
      </c>
      <c r="C13" s="7" t="inlineStr">
        <is>
          <t>不低于30%，但专项债资金不能用于流动资金，故设为 100%</t>
        </is>
      </c>
      <c r="D13" s="72" t="n">
        <v>1</v>
      </c>
    </row>
    <row r="14" ht="61.95" customHeight="1" s="162">
      <c r="A14" s="7" t="n">
        <v>12</v>
      </c>
      <c r="B14" s="7" t="inlineStr">
        <is>
          <t>折现率</t>
        </is>
      </c>
      <c r="C14" s="81" t="inlineStr">
        <is>
          <t>投资者要求的最低收益率，可参考基准收益率，是由国家或行业主管部门制
定的，针对特定行业的标准折现率（如《建设项目经济评价方法与参数》中
规定的行业基准值）</t>
        </is>
      </c>
      <c r="D14" s="72" t="n">
        <v>0.03</v>
      </c>
    </row>
    <row r="15" ht="34.95" customHeight="1" s="162">
      <c r="A15" s="7" t="n">
        <v>13</v>
      </c>
      <c r="B15" s="7" t="inlineStr">
        <is>
          <t>债券发行手续费率</t>
        </is>
      </c>
      <c r="C15" s="92" t="inlineStr">
        <is>
          <t xml:space="preserve"> 3年期及以下债券发行手续费为发行额的0.04%</t>
        </is>
      </c>
      <c r="D15" s="12" t="n">
        <v>0.0004</v>
      </c>
    </row>
    <row r="16" ht="33" customHeight="1" s="162">
      <c r="A16" s="164" t="n"/>
      <c r="B16" s="164" t="n"/>
      <c r="C16" s="92" t="inlineStr">
        <is>
          <t>5年期及以上债券发行手续费为发行额的0.08%</t>
        </is>
      </c>
      <c r="D16" s="12" t="n">
        <v>0.0008</v>
      </c>
    </row>
    <row r="17" s="162">
      <c r="A17" s="7" t="n">
        <v>14</v>
      </c>
      <c r="B17" s="7" t="inlineStr">
        <is>
          <t>债券发行登记服务费率</t>
        </is>
      </c>
      <c r="C17" s="7" t="inlineStr">
        <is>
          <t>债券发行登记服务费为发行额的0.0064%</t>
        </is>
      </c>
      <c r="D17" s="165" t="n">
        <v>6.4e-05</v>
      </c>
    </row>
    <row r="18" s="162">
      <c r="A18" s="7" t="n">
        <v>15</v>
      </c>
      <c r="B18" s="7" t="inlineStr">
        <is>
          <t>债券还本付息兑付手续费率</t>
        </is>
      </c>
      <c r="C18" s="7" t="inlineStr">
        <is>
          <t>金额为本息和的0.005%</t>
        </is>
      </c>
      <c r="D18" s="166" t="n">
        <v>5e-05</v>
      </c>
    </row>
    <row r="19" s="162">
      <c r="A19" s="7" t="n">
        <v>16</v>
      </c>
      <c r="B19" s="7" t="inlineStr">
        <is>
          <t>成本浮动系数</t>
        </is>
      </c>
      <c r="C19" s="7" t="inlineStr">
        <is>
          <t>用于压力测试表中对应的系数填写</t>
        </is>
      </c>
      <c r="D19" s="12" t="n">
        <v>0</v>
      </c>
    </row>
    <row r="20" s="162">
      <c r="A20" s="7" t="n">
        <v>17</v>
      </c>
      <c r="B20" s="7" t="inlineStr">
        <is>
          <t>收入浮动系数</t>
        </is>
      </c>
      <c r="C20" s="7" t="inlineStr">
        <is>
          <t>用于压力测试表中对应的系数填写</t>
        </is>
      </c>
      <c r="D20" s="12" t="n">
        <v>0</v>
      </c>
    </row>
    <row r="21" s="162">
      <c r="A21" s="7" t="n">
        <v>18</v>
      </c>
      <c r="B21" s="7" t="inlineStr">
        <is>
          <t>贷款利率浮动系数</t>
        </is>
      </c>
      <c r="C21" s="7" t="inlineStr">
        <is>
          <t>用于压力测试表中对应的系数填写</t>
        </is>
      </c>
      <c r="D21" s="12" t="n">
        <v>0</v>
      </c>
    </row>
  </sheetData>
  <mergeCells count="3">
    <mergeCell ref="A15:A16"/>
    <mergeCell ref="A1:D1"/>
    <mergeCell ref="B15:B16"/>
  </mergeCells>
  <pageMargins left="0.75" right="0.75" top="1" bottom="1" header="0.5" footer="0.5"/>
  <pageSetup orientation="portrait" paperSize="9" scale="44" fitToHeight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tabColor rgb="FFFFFF00"/>
    <outlinePr summaryBelow="1" summaryRight="1"/>
    <pageSetUpPr/>
  </sheetPr>
  <dimension ref="A1:E20"/>
  <sheetViews>
    <sheetView zoomScale="70" zoomScaleNormal="70" workbookViewId="0">
      <selection activeCell="D6" sqref="D6"/>
    </sheetView>
  </sheetViews>
  <sheetFormatPr baseColWidth="8" defaultColWidth="8.890909090909091" defaultRowHeight="28.05" customHeight="1"/>
  <cols>
    <col width="22.6636363636364" customWidth="1" style="162" min="2" max="2"/>
    <col width="58.4454545454545" customWidth="1" style="162" min="3" max="3"/>
    <col width="17.1090909090909" customWidth="1" style="162" min="4" max="4"/>
    <col width="29.8909090909091" customWidth="1" style="162" min="5" max="5"/>
  </cols>
  <sheetData>
    <row r="1" s="162">
      <c r="A1" s="62" t="inlineStr">
        <is>
          <t>B项目信息</t>
        </is>
      </c>
      <c r="B1" s="167" t="n"/>
      <c r="C1" s="167" t="n"/>
      <c r="D1" s="168" t="n"/>
    </row>
    <row r="2" s="162">
      <c r="A2" s="155" t="inlineStr">
        <is>
          <t>序号</t>
        </is>
      </c>
      <c r="B2" s="155" t="inlineStr">
        <is>
          <t>名称</t>
        </is>
      </c>
      <c r="C2" s="155" t="inlineStr">
        <is>
          <t>解释</t>
        </is>
      </c>
      <c r="D2" s="155" t="inlineStr">
        <is>
          <t>值</t>
        </is>
      </c>
    </row>
    <row r="3" s="162">
      <c r="A3" s="156" t="n">
        <v>1</v>
      </c>
      <c r="B3" s="156" t="inlineStr">
        <is>
          <t>建设分期一</t>
        </is>
      </c>
      <c r="C3" s="55" t="n"/>
      <c r="D3" s="55" t="n"/>
    </row>
    <row r="4" s="162">
      <c r="A4" s="7" t="n">
        <v>1.1</v>
      </c>
      <c r="B4" s="7" t="inlineStr">
        <is>
          <t>建设开始年月</t>
        </is>
      </c>
      <c r="C4" s="154" t="inlineStr">
        <is>
          <t>本期建设开始时间</t>
        </is>
      </c>
      <c r="D4" s="154" t="n">
        <v>45901</v>
      </c>
    </row>
    <row r="5" s="162">
      <c r="A5" s="7" t="n">
        <v>1.2</v>
      </c>
      <c r="B5" s="7" t="inlineStr">
        <is>
          <t>建设完成年月</t>
        </is>
      </c>
      <c r="C5" s="154" t="inlineStr">
        <is>
          <t>本期建设完成时间</t>
        </is>
      </c>
      <c r="D5" s="154" t="n">
        <v>46022</v>
      </c>
    </row>
    <row r="6" s="162">
      <c r="A6" s="7" t="n">
        <v>1.3</v>
      </c>
      <c r="B6" s="7" t="inlineStr">
        <is>
          <t>建设期（月）</t>
        </is>
      </c>
      <c r="C6" s="43" t="inlineStr">
        <is>
          <t>建设完成年月-建设开始年月</t>
        </is>
      </c>
      <c r="D6" s="91" t="n">
        <v>4</v>
      </c>
    </row>
    <row r="7" s="162">
      <c r="A7" s="7" t="n">
        <v>1.4</v>
      </c>
      <c r="B7" s="7" t="inlineStr">
        <is>
          <t>运营开始年月</t>
        </is>
      </c>
      <c r="C7" s="7" t="inlineStr">
        <is>
          <t>开始有运营收入的时间，可以在建设期间</t>
        </is>
      </c>
      <c r="D7" s="154">
        <f>D5+31</f>
        <v/>
      </c>
    </row>
    <row r="8" s="162">
      <c r="A8" s="7" t="n">
        <v>1.5</v>
      </c>
      <c r="B8" s="7" t="inlineStr">
        <is>
          <t>运营期（年）</t>
        </is>
      </c>
      <c r="C8" s="7" t="inlineStr">
        <is>
          <t>按照债务周期为截止时间，折旧年限等同于运营期</t>
        </is>
      </c>
      <c r="D8" s="10" t="n">
        <v>22</v>
      </c>
      <c r="E8" s="35" t="inlineStr">
        <is>
          <t>总借款年限-运营开始年限+1</t>
        </is>
      </c>
    </row>
    <row r="9" s="162">
      <c r="A9" s="156" t="n">
        <v>2</v>
      </c>
      <c r="B9" s="156" t="inlineStr">
        <is>
          <t>建设分期二</t>
        </is>
      </c>
      <c r="C9" s="55" t="n"/>
      <c r="D9" s="156" t="n"/>
    </row>
    <row r="10" s="162">
      <c r="A10" s="7" t="n">
        <v>2.1</v>
      </c>
      <c r="B10" s="7" t="inlineStr">
        <is>
          <t>建设开始年月</t>
        </is>
      </c>
      <c r="C10" s="154" t="inlineStr">
        <is>
          <t>本期建设开始时间</t>
        </is>
      </c>
      <c r="D10" s="154" t="n">
        <v>46023</v>
      </c>
    </row>
    <row r="11" s="162">
      <c r="A11" s="7" t="n">
        <v>2.2</v>
      </c>
      <c r="B11" s="7" t="inlineStr">
        <is>
          <t>建设完成年月</t>
        </is>
      </c>
      <c r="C11" s="154" t="inlineStr">
        <is>
          <t>本期建设完成时间</t>
        </is>
      </c>
      <c r="D11" s="154" t="n">
        <v>46387</v>
      </c>
    </row>
    <row r="12" s="162">
      <c r="A12" s="7" t="n">
        <v>2.3</v>
      </c>
      <c r="B12" s="7" t="inlineStr">
        <is>
          <t>建设期（月）</t>
        </is>
      </c>
      <c r="C12" s="43" t="inlineStr">
        <is>
          <t>建设完成年月-建设开始年月</t>
        </is>
      </c>
      <c r="D12" s="91" t="n">
        <v>12</v>
      </c>
    </row>
    <row r="13" s="162">
      <c r="A13" s="7" t="n">
        <v>2.4</v>
      </c>
      <c r="B13" s="7" t="inlineStr">
        <is>
          <t>运营开始年月</t>
        </is>
      </c>
      <c r="C13" s="7" t="inlineStr">
        <is>
          <t>开始有运营收入的时间，可以在建设期间</t>
        </is>
      </c>
      <c r="D13" s="154">
        <f>D11+31</f>
        <v/>
      </c>
    </row>
    <row r="14" s="162">
      <c r="A14" s="7" t="n">
        <v>2.5</v>
      </c>
      <c r="B14" s="7" t="inlineStr">
        <is>
          <t>运营期（年）</t>
        </is>
      </c>
      <c r="C14" s="7" t="inlineStr">
        <is>
          <t>按照债务周期为截止时间，折旧年限等同于运营期</t>
        </is>
      </c>
      <c r="D14" s="10" t="n">
        <v>21</v>
      </c>
      <c r="E14" s="35" t="inlineStr">
        <is>
          <t>总借款年限-运营开始年限+1</t>
        </is>
      </c>
    </row>
    <row r="15" s="162">
      <c r="A15" s="156" t="n">
        <v>3</v>
      </c>
      <c r="B15" s="156" t="inlineStr">
        <is>
          <t>建设分期三</t>
        </is>
      </c>
      <c r="C15" s="55" t="n"/>
      <c r="D15" s="156" t="n"/>
    </row>
    <row r="16" s="162">
      <c r="A16" s="7" t="n">
        <v>3.1</v>
      </c>
      <c r="B16" s="7" t="inlineStr">
        <is>
          <t>建设开始年月</t>
        </is>
      </c>
      <c r="C16" s="154" t="inlineStr">
        <is>
          <t>本期建设开始时间</t>
        </is>
      </c>
      <c r="D16" s="154" t="n">
        <v>46388</v>
      </c>
    </row>
    <row r="17" s="162">
      <c r="A17" s="7" t="n">
        <v>3.2</v>
      </c>
      <c r="B17" s="7" t="inlineStr">
        <is>
          <t>建设完成年月</t>
        </is>
      </c>
      <c r="C17" s="154" t="inlineStr">
        <is>
          <t>本期建设完成时间</t>
        </is>
      </c>
      <c r="D17" s="154" t="n">
        <v>46752</v>
      </c>
    </row>
    <row r="18" s="162">
      <c r="A18" s="7" t="n">
        <v>3.3</v>
      </c>
      <c r="B18" s="7" t="inlineStr">
        <is>
          <t>建设期（月）</t>
        </is>
      </c>
      <c r="C18" s="43" t="inlineStr">
        <is>
          <t>建设完成年月-建设开始年月</t>
        </is>
      </c>
      <c r="D18" s="91" t="n">
        <v>12</v>
      </c>
    </row>
    <row r="19" s="162">
      <c r="A19" s="7" t="n">
        <v>3.4</v>
      </c>
      <c r="B19" s="7" t="inlineStr">
        <is>
          <t>运营开始年月</t>
        </is>
      </c>
      <c r="C19" s="7" t="inlineStr">
        <is>
          <t>开始有运营收入的时间，可以在建设期间</t>
        </is>
      </c>
      <c r="D19" s="154">
        <f>D17+31</f>
        <v/>
      </c>
    </row>
    <row r="20" s="162">
      <c r="A20" s="7" t="n">
        <v>3.5</v>
      </c>
      <c r="B20" s="7" t="inlineStr">
        <is>
          <t>运营期（年）</t>
        </is>
      </c>
      <c r="C20" s="7" t="inlineStr">
        <is>
          <t>按照债务周期为截止时间，折旧年限等同于运营期</t>
        </is>
      </c>
      <c r="D20" s="10" t="n">
        <v>20</v>
      </c>
      <c r="E20" s="35" t="inlineStr">
        <is>
          <t>总借款年限-运营开始年限+1</t>
        </is>
      </c>
    </row>
  </sheetData>
  <mergeCells count="1">
    <mergeCell ref="A1:D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tabColor rgb="FFFFFF00"/>
    <outlinePr summaryBelow="1" summaryRight="1"/>
    <pageSetUpPr/>
  </sheetPr>
  <dimension ref="A1:N6"/>
  <sheetViews>
    <sheetView zoomScale="80" zoomScaleNormal="80" workbookViewId="0">
      <selection activeCell="B8" sqref="B8"/>
    </sheetView>
  </sheetViews>
  <sheetFormatPr baseColWidth="8" defaultColWidth="8.890909090909091" defaultRowHeight="28.05" customHeight="1" outlineLevelRow="5"/>
  <cols>
    <col width="7.78181818181818" customWidth="1" style="162" min="1" max="1"/>
    <col width="9.554545454545449" customWidth="1" style="162" min="2" max="2"/>
    <col width="16.5545454545455" customWidth="1" style="162" min="3" max="3"/>
    <col width="15.6636363636364" customWidth="1" style="162" min="4" max="4"/>
    <col width="11.3363636363636" customWidth="1" style="162" min="5" max="5"/>
    <col width="12.7818181818182" customWidth="1" style="162" min="6" max="6"/>
    <col width="21.7818181818182" customWidth="1" style="162" min="7" max="7"/>
    <col width="21.8909090909091" customWidth="1" style="162" min="8" max="8"/>
    <col width="28.6636363636364" customWidth="1" style="162" min="9" max="9"/>
    <col hidden="1" width="13.7818181818182" customWidth="1" style="162" min="10" max="10"/>
    <col width="34.8909090909091" customWidth="1" style="162" min="11" max="11"/>
    <col width="23.2181818181818" customWidth="1" style="162" min="12" max="12"/>
    <col width="26" customWidth="1" style="162" min="13" max="13"/>
    <col width="18.8909090909091" customWidth="1" style="162" min="15" max="15"/>
  </cols>
  <sheetData>
    <row r="1" customFormat="1" s="53">
      <c r="A1" s="62" t="inlineStr">
        <is>
          <t>C.1项目融资信息</t>
        </is>
      </c>
      <c r="B1" s="167" t="n"/>
      <c r="C1" s="167" t="n"/>
      <c r="D1" s="167" t="n"/>
      <c r="E1" s="167" t="n"/>
      <c r="F1" s="167" t="n"/>
      <c r="G1" s="167" t="n"/>
      <c r="H1" s="167" t="n"/>
      <c r="I1" s="167" t="n"/>
      <c r="J1" s="167" t="n"/>
      <c r="K1" s="167" t="n"/>
      <c r="L1" s="167" t="n"/>
      <c r="M1" s="168" t="n"/>
    </row>
    <row r="2" ht="40.05" customFormat="1" customHeight="1" s="53">
      <c r="A2" s="2" t="inlineStr">
        <is>
          <t>序号</t>
        </is>
      </c>
      <c r="B2" s="2" t="inlineStr">
        <is>
          <t>借款名称</t>
        </is>
      </c>
      <c r="C2" s="2" t="inlineStr">
        <is>
          <t>借款类别</t>
        </is>
      </c>
      <c r="D2" s="153" t="inlineStr">
        <is>
          <t>借款金额
（万元）</t>
        </is>
      </c>
      <c r="E2" s="2" t="inlineStr">
        <is>
          <t>开始时间</t>
        </is>
      </c>
      <c r="F2" s="2" t="inlineStr">
        <is>
          <t>结束时间</t>
        </is>
      </c>
      <c r="G2" s="2" t="inlineStr">
        <is>
          <t>借款周期（年）</t>
        </is>
      </c>
      <c r="H2" s="2" t="inlineStr">
        <is>
          <t>借款利率</t>
        </is>
      </c>
      <c r="I2" s="2" t="inlineStr">
        <is>
          <t>还款方式</t>
        </is>
      </c>
      <c r="J2" s="2" t="inlineStr">
        <is>
          <t>首年计息月份</t>
        </is>
      </c>
      <c r="K2" s="2" t="inlineStr">
        <is>
          <t>债券发行费（万元）</t>
        </is>
      </c>
      <c r="L2" s="153" t="inlineStr">
        <is>
          <t>债券发行登记服务费
（万元）</t>
        </is>
      </c>
      <c r="M2" s="153" t="inlineStr">
        <is>
          <t>债券还本付息兑付手续费
（万元）</t>
        </is>
      </c>
    </row>
    <row r="3" ht="82.5" customFormat="1" customHeight="1" s="53">
      <c r="A3" s="55" t="n"/>
      <c r="B3" s="55" t="n"/>
      <c r="C3" s="139" t="inlineStr">
        <is>
          <t>地方政府专项债
/市场化融资</t>
        </is>
      </c>
      <c r="D3" s="55" t="n"/>
      <c r="E3" s="55" t="n"/>
      <c r="F3" s="55" t="n"/>
      <c r="G3" s="139" t="inlineStr">
        <is>
          <t>1,2,3,5,7,10,15,20,30
根据实际需要选择</t>
        </is>
      </c>
      <c r="H3" s="139" t="inlineStr">
        <is>
          <t>专项债按发行前5个
工作日国债均价利率，
选择性上浮10%</t>
        </is>
      </c>
      <c r="I3" s="139" t="inlineStr">
        <is>
          <t>允许地方结合实际情况，采取
到期还本（10年期以下按年付息，10年期以上按半年付息）、提前还本、分年还本等不同还本方式</t>
        </is>
      </c>
      <c r="J3" s="55" t="n"/>
      <c r="K3" s="139" t="inlineStr">
        <is>
          <t>3年期及以下债券发行手续费
为发行额的0.04%，5年期及以
上债券发行手续费为发行额的0.08%</t>
        </is>
      </c>
      <c r="L3" s="139" t="inlineStr">
        <is>
          <t>发行额的0.0064%</t>
        </is>
      </c>
      <c r="M3" s="139" t="inlineStr">
        <is>
          <t>在每年还本付息时支付，
金额为本息和的0.005%</t>
        </is>
      </c>
    </row>
    <row r="4" customFormat="1" s="53">
      <c r="A4" s="7" t="n">
        <v>1</v>
      </c>
      <c r="B4" s="10" t="inlineStr">
        <is>
          <t>借款1</t>
        </is>
      </c>
      <c r="C4" s="10" t="inlineStr">
        <is>
          <t>地方政府专项债</t>
        </is>
      </c>
      <c r="D4" s="169" t="n">
        <v>2000</v>
      </c>
      <c r="E4" s="154" t="n">
        <v>45901</v>
      </c>
      <c r="F4" s="154">
        <f>DATE(YEAR(E4)+G4,MONTH(E4),DAY(E4))</f>
        <v/>
      </c>
      <c r="G4" s="10" t="n">
        <v>20</v>
      </c>
      <c r="H4" s="12">
        <f>2.12%*(1+A财务假设!$D$21)</f>
        <v/>
      </c>
      <c r="I4" s="91" t="inlineStr">
        <is>
          <t>到期一次性还清</t>
        </is>
      </c>
      <c r="J4" s="154">
        <f>IF(G4&lt;10,DATE(YEAR(E4)+1,MONTH(E4),DAY(E4)),DATE(YEAR(E4),MONTH(E4)+6,DAY(E4)))</f>
        <v/>
      </c>
      <c r="K4" s="170">
        <f>IF(G4&gt;4,D4*A财务假设!$D$16,D4*A财务假设!$D$15)</f>
        <v/>
      </c>
      <c r="L4" s="43">
        <f>D4*A财务假设!$D$17</f>
        <v/>
      </c>
      <c r="M4" s="171">
        <f>('c借款还本付息计划表'!C9)</f>
        <v/>
      </c>
      <c r="N4" s="80" t="inlineStr">
        <is>
          <t>对应好c</t>
        </is>
      </c>
    </row>
    <row r="5" customFormat="1" s="53">
      <c r="A5" s="7" t="n">
        <v>2</v>
      </c>
      <c r="B5" s="10" t="inlineStr">
        <is>
          <t>借款2</t>
        </is>
      </c>
      <c r="C5" s="10" t="inlineStr">
        <is>
          <t>地方政府专项债</t>
        </is>
      </c>
      <c r="D5" s="169" t="n">
        <v>10000</v>
      </c>
      <c r="E5" s="154" t="n">
        <v>46266</v>
      </c>
      <c r="F5" s="154">
        <f>DATE(YEAR(E5)+G5,MONTH(E5),DAY(E5))</f>
        <v/>
      </c>
      <c r="G5" s="10" t="n">
        <v>20</v>
      </c>
      <c r="H5" s="12">
        <f>2.12%*(1+A财务假设!$D$21)</f>
        <v/>
      </c>
      <c r="I5" s="91" t="inlineStr">
        <is>
          <t>到期一次性还清</t>
        </is>
      </c>
      <c r="J5" s="154">
        <f>IF(G5&lt;10,DATE(YEAR(E5)+1,MONTH(E5),DAY(E5)),DATE(YEAR(E5),MONTH(E5)+6,DAY(E5)))</f>
        <v/>
      </c>
      <c r="K5" s="170">
        <f>IF(G5&gt;4,D5*A财务假设!$D$16,D5*A财务假设!$D$15)</f>
        <v/>
      </c>
      <c r="L5" s="43">
        <f>D5*A财务假设!$D$17</f>
        <v/>
      </c>
      <c r="M5" s="171">
        <f>('c借款还本付息计划表'!C18)</f>
        <v/>
      </c>
      <c r="N5" s="80" t="inlineStr">
        <is>
          <t>对应好c</t>
        </is>
      </c>
    </row>
    <row r="6" customFormat="1" s="53">
      <c r="A6" s="7" t="n">
        <v>3</v>
      </c>
      <c r="B6" s="10" t="inlineStr">
        <is>
          <t>借款3</t>
        </is>
      </c>
      <c r="C6" s="10" t="inlineStr">
        <is>
          <t>地方政府专项债</t>
        </is>
      </c>
      <c r="D6" s="169" t="n">
        <v>10000</v>
      </c>
      <c r="E6" s="154" t="n">
        <v>46631</v>
      </c>
      <c r="F6" s="154">
        <f>DATE(YEAR(E6)+G6,MONTH(E6),DAY(E6))</f>
        <v/>
      </c>
      <c r="G6" s="10" t="n">
        <v>20</v>
      </c>
      <c r="H6" s="12">
        <f>2.12%*(1+A财务假设!$D$21)</f>
        <v/>
      </c>
      <c r="I6" s="91" t="inlineStr">
        <is>
          <t>到期一次性还清</t>
        </is>
      </c>
      <c r="J6" s="154">
        <f>IF(G6&lt;10,DATE(YEAR(E6)+1,MONTH(E6),DAY(E6)),DATE(YEAR(E6),MONTH(E6)+6,DAY(E6)))</f>
        <v/>
      </c>
      <c r="K6" s="170">
        <f>IF(G6&gt;4,D6*A财务假设!$D$16,D6*A财务假设!$D$15)</f>
        <v/>
      </c>
      <c r="L6" s="43">
        <f>D6*A财务假设!$D$17</f>
        <v/>
      </c>
      <c r="M6" s="171">
        <f>('c借款还本付息计划表'!C27)</f>
        <v/>
      </c>
      <c r="N6" s="80" t="inlineStr">
        <is>
          <t>对应好c</t>
        </is>
      </c>
    </row>
  </sheetData>
  <mergeCells count="1">
    <mergeCell ref="A1:M1"/>
  </mergeCells>
  <dataValidations count="1">
    <dataValidation sqref="I4:I6" showDropDown="0" showInputMessage="1" showErrorMessage="1" allowBlank="1" type="list">
      <formula1>"贷款期内本期等额本金还款,贷款期内本期等额本息还款,后五年每年还本20%,后十年每年还本10%,后二十年每年还本5%,到期一次性还清,自定义还款"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A1:E6"/>
  <sheetViews>
    <sheetView workbookViewId="0">
      <selection activeCell="I6" sqref="I6"/>
    </sheetView>
  </sheetViews>
  <sheetFormatPr baseColWidth="8" defaultColWidth="15.3363636363636" defaultRowHeight="28.05" customHeight="1" outlineLevelRow="5"/>
  <sheetData>
    <row r="1" s="162">
      <c r="A1" s="40" t="inlineStr">
        <is>
          <t>C.2项目每年借款信息（万元）</t>
        </is>
      </c>
      <c r="B1" s="167" t="n"/>
      <c r="C1" s="167" t="n"/>
      <c r="D1" s="167" t="n"/>
      <c r="E1" s="168" t="n"/>
    </row>
    <row r="2" customFormat="1" s="150">
      <c r="A2" s="2" t="inlineStr">
        <is>
          <t>序号</t>
        </is>
      </c>
      <c r="B2" s="2" t="inlineStr">
        <is>
          <t>计算期年序</t>
        </is>
      </c>
      <c r="C2" s="36" t="n">
        <v>2025</v>
      </c>
      <c r="D2" s="36" t="n">
        <v>2026</v>
      </c>
      <c r="E2" s="36" t="n">
        <v>2027</v>
      </c>
    </row>
    <row r="3" s="162">
      <c r="A3" s="7" t="n">
        <v>1</v>
      </c>
      <c r="B3" s="10" t="inlineStr">
        <is>
          <t>借款1</t>
        </is>
      </c>
      <c r="C3" s="169">
        <f>C.1项目融资信息!D4</f>
        <v/>
      </c>
      <c r="D3" s="169" t="n"/>
      <c r="E3" s="169" t="n"/>
    </row>
    <row r="4" s="162">
      <c r="A4" s="7" t="n">
        <v>2</v>
      </c>
      <c r="B4" s="10" t="inlineStr">
        <is>
          <t>借款2</t>
        </is>
      </c>
      <c r="C4" s="169" t="n"/>
      <c r="D4" s="169">
        <f>C.1项目融资信息!D5</f>
        <v/>
      </c>
      <c r="E4" s="169" t="n"/>
    </row>
    <row r="5" s="162">
      <c r="A5" s="7" t="n">
        <v>2</v>
      </c>
      <c r="B5" s="10" t="inlineStr">
        <is>
          <t>借款3</t>
        </is>
      </c>
      <c r="C5" s="169" t="n"/>
      <c r="D5" s="169" t="n"/>
      <c r="E5" s="169" t="n">
        <v>10000</v>
      </c>
    </row>
    <row r="6" s="162">
      <c r="A6" s="151" t="n">
        <v>4</v>
      </c>
      <c r="B6" s="151" t="inlineStr">
        <is>
          <t>合计</t>
        </is>
      </c>
      <c r="C6" s="172">
        <f>SUM(C3:C5)</f>
        <v/>
      </c>
      <c r="D6" s="172">
        <f>SUM(D3:D5)</f>
        <v/>
      </c>
      <c r="E6" s="172">
        <f>SUM(E3:E5)</f>
        <v/>
      </c>
    </row>
  </sheetData>
  <mergeCells count="1">
    <mergeCell ref="A1:E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5">
    <tabColor rgb="FF0070C0"/>
    <outlinePr summaryBelow="1" summaryRight="1"/>
    <pageSetUpPr/>
  </sheetPr>
  <dimension ref="A1:E21"/>
  <sheetViews>
    <sheetView zoomScale="85" zoomScaleNormal="85" workbookViewId="0">
      <selection activeCell="F8" sqref="F8"/>
    </sheetView>
  </sheetViews>
  <sheetFormatPr baseColWidth="8" defaultColWidth="8.890909090909091" defaultRowHeight="28.05" customHeight="1"/>
  <cols>
    <col width="20.6636363636364" customWidth="1" style="162" min="2" max="2"/>
    <col width="55.6636363636364" customWidth="1" style="162" min="3" max="3"/>
    <col width="18.8909090909091" customWidth="1" style="162" min="4" max="4"/>
    <col width="10.4454545454545" customWidth="1" style="162" min="7" max="7"/>
  </cols>
  <sheetData>
    <row r="1" customFormat="1" s="51">
      <c r="A1" s="62" t="inlineStr">
        <is>
          <t>D.1建设投资（万元）</t>
        </is>
      </c>
      <c r="B1" s="167" t="n"/>
      <c r="C1" s="167" t="n"/>
      <c r="D1" s="168" t="n"/>
      <c r="E1" s="80" t="inlineStr">
        <is>
          <t>（此表不需要填写，复制D.3的前4列，如果D.3有修改，此表也要同步复制）</t>
        </is>
      </c>
    </row>
    <row r="2" customFormat="1" s="51">
      <c r="A2" s="2">
        <f>D.3建设投资分年计划表!A2</f>
        <v/>
      </c>
      <c r="B2" s="2">
        <f>D.3建设投资分年计划表!B2</f>
        <v/>
      </c>
      <c r="C2" s="2">
        <f>D.3建设投资分年计划表!C2</f>
        <v/>
      </c>
      <c r="D2" s="2">
        <f>D.3建设投资分年计划表!D2</f>
        <v/>
      </c>
    </row>
    <row r="3" customFormat="1" s="51">
      <c r="A3" s="7">
        <f>D.3建设投资分年计划表!A3</f>
        <v/>
      </c>
      <c r="B3" s="7">
        <f>D.3建设投资分年计划表!B3</f>
        <v/>
      </c>
      <c r="C3" s="144">
        <f>IF(D.3建设投资分年计划表!C3=0,"",D.3建设投资分年计划表!C3)</f>
        <v/>
      </c>
      <c r="D3" s="173">
        <f>D.3建设投资分年计划表!D3</f>
        <v/>
      </c>
    </row>
    <row r="4" customFormat="1" s="51">
      <c r="A4" s="55">
        <f>D.3建设投资分年计划表!A4</f>
        <v/>
      </c>
      <c r="B4" s="55">
        <f>D.3建设投资分年计划表!B4</f>
        <v/>
      </c>
      <c r="C4" s="55">
        <f>IF(D.3建设投资分年计划表!C4=0,"",D.3建设投资分年计划表!C4)</f>
        <v/>
      </c>
      <c r="D4" s="174">
        <f>D.3建设投资分年计划表!D4</f>
        <v/>
      </c>
    </row>
    <row r="5" ht="87" customFormat="1" customHeight="1" s="51">
      <c r="A5" s="7">
        <f>D.3建设投资分年计划表!A5</f>
        <v/>
      </c>
      <c r="B5" s="10">
        <f>D.3建设投资分年计划表!B5</f>
        <v/>
      </c>
      <c r="C5" s="81">
        <f>IF(D.3建设投资分年计划表!C5=0,"",D.3建设投资分年计划表!C5)</f>
        <v/>
      </c>
      <c r="D5" s="169">
        <f>D.3建设投资分年计划表!D5</f>
        <v/>
      </c>
    </row>
    <row r="6" customFormat="1" s="51">
      <c r="A6" s="7">
        <f>D.3建设投资分年计划表!A6</f>
        <v/>
      </c>
      <c r="B6" s="10">
        <f>D.3建设投资分年计划表!B6</f>
        <v/>
      </c>
      <c r="C6" s="7">
        <f>IF(D.3建设投资分年计划表!C6=0,"",D.3建设投资分年计划表!C6)</f>
        <v/>
      </c>
      <c r="D6" s="169">
        <f>D.3建设投资分年计划表!D6</f>
        <v/>
      </c>
    </row>
    <row r="7" ht="46.95" customFormat="1" customHeight="1" s="51">
      <c r="A7" s="7">
        <f>D.3建设投资分年计划表!A7</f>
        <v/>
      </c>
      <c r="B7" s="10">
        <f>D.3建设投资分年计划表!B7</f>
        <v/>
      </c>
      <c r="C7" s="81">
        <f>IF(D.3建设投资分年计划表!C7=0,"",D.3建设投资分年计划表!C7)</f>
        <v/>
      </c>
      <c r="D7" s="169">
        <f>D.3建设投资分年计划表!D7</f>
        <v/>
      </c>
    </row>
    <row r="8" customFormat="1" s="51">
      <c r="A8" s="55">
        <f>D.3建设投资分年计划表!A8</f>
        <v/>
      </c>
      <c r="B8" s="55">
        <f>D.3建设投资分年计划表!B8</f>
        <v/>
      </c>
      <c r="C8" s="55">
        <f>IF(D.3建设投资分年计划表!C8=0,"",D.3建设投资分年计划表!C8)</f>
        <v/>
      </c>
      <c r="D8" s="174">
        <f>D.3建设投资分年计划表!D8</f>
        <v/>
      </c>
    </row>
    <row r="9" ht="52.05" customFormat="1" customHeight="1" s="51">
      <c r="A9" s="7">
        <f>D.3建设投资分年计划表!A9</f>
        <v/>
      </c>
      <c r="B9" s="10">
        <f>D.3建设投资分年计划表!B9</f>
        <v/>
      </c>
      <c r="C9" s="81">
        <f>IF(D.3建设投资分年计划表!C9=0,"",D.3建设投资分年计划表!C9)</f>
        <v/>
      </c>
      <c r="D9" s="169">
        <f>D.3建设投资分年计划表!D9</f>
        <v/>
      </c>
    </row>
    <row r="10" customFormat="1" s="51">
      <c r="A10" s="7">
        <f>D.3建设投资分年计划表!A10</f>
        <v/>
      </c>
      <c r="B10" s="10">
        <f>D.3建设投资分年计划表!B10</f>
        <v/>
      </c>
      <c r="C10" s="7">
        <f>IF(D.3建设投资分年计划表!C10=0,"",D.3建设投资分年计划表!C10)</f>
        <v/>
      </c>
      <c r="D10" s="169">
        <f>D.3建设投资分年计划表!D10</f>
        <v/>
      </c>
    </row>
    <row r="11" customFormat="1" s="51">
      <c r="A11" s="7">
        <f>D.3建设投资分年计划表!A11</f>
        <v/>
      </c>
      <c r="B11" s="10">
        <f>D.3建设投资分年计划表!B11</f>
        <v/>
      </c>
      <c r="C11" s="7">
        <f>IF(D.3建设投资分年计划表!C11=0,"",D.3建设投资分年计划表!C11)</f>
        <v/>
      </c>
      <c r="D11" s="169">
        <f>D.3建设投资分年计划表!D11</f>
        <v/>
      </c>
    </row>
    <row r="12" customFormat="1" s="51">
      <c r="A12" s="7">
        <f>D.3建设投资分年计划表!A12</f>
        <v/>
      </c>
      <c r="B12" s="10">
        <f>D.3建设投资分年计划表!B12</f>
        <v/>
      </c>
      <c r="C12" s="7">
        <f>IF(D.3建设投资分年计划表!C12=0,"",D.3建设投资分年计划表!C12)</f>
        <v/>
      </c>
      <c r="D12" s="169">
        <f>D.3建设投资分年计划表!D12</f>
        <v/>
      </c>
    </row>
    <row r="13" customFormat="1" s="51">
      <c r="A13" s="55">
        <f>D.3建设投资分年计划表!A13</f>
        <v/>
      </c>
      <c r="B13" s="55">
        <f>D.3建设投资分年计划表!B13</f>
        <v/>
      </c>
      <c r="C13" s="55">
        <f>IF(D.3建设投资分年计划表!C13=0,"",D.3建设投资分年计划表!C13)</f>
        <v/>
      </c>
      <c r="D13" s="174">
        <f>D.3建设投资分年计划表!D13</f>
        <v/>
      </c>
    </row>
    <row r="14" customFormat="1" s="51">
      <c r="A14" s="7">
        <f>D.3建设投资分年计划表!A14</f>
        <v/>
      </c>
      <c r="B14" s="10">
        <f>D.3建设投资分年计划表!B14</f>
        <v/>
      </c>
      <c r="C14" s="7">
        <f>IF(D.3建设投资分年计划表!C14=0,"",D.3建设投资分年计划表!C14)</f>
        <v/>
      </c>
      <c r="D14" s="169">
        <f>D.3建设投资分年计划表!D14</f>
        <v/>
      </c>
    </row>
    <row r="15" customFormat="1" s="51">
      <c r="A15" s="7">
        <f>D.3建设投资分年计划表!A15</f>
        <v/>
      </c>
      <c r="B15" s="10">
        <f>D.3建设投资分年计划表!B15</f>
        <v/>
      </c>
      <c r="C15" s="7">
        <f>IF(D.3建设投资分年计划表!C15=0,"",D.3建设投资分年计划表!C15)</f>
        <v/>
      </c>
      <c r="D15" s="169">
        <f>D.3建设投资分年计划表!D15</f>
        <v/>
      </c>
    </row>
    <row r="16" customFormat="1" s="51">
      <c r="A16" s="7">
        <f>D.3建设投资分年计划表!A16</f>
        <v/>
      </c>
      <c r="B16" s="10">
        <f>D.3建设投资分年计划表!B16</f>
        <v/>
      </c>
      <c r="C16" s="7">
        <f>IF(D.3建设投资分年计划表!C16=0,"",D.3建设投资分年计划表!C16)</f>
        <v/>
      </c>
      <c r="D16" s="169">
        <f>D.3建设投资分年计划表!D16</f>
        <v/>
      </c>
    </row>
    <row r="17" customFormat="1" s="51">
      <c r="A17" s="7">
        <f>D.3建设投资分年计划表!A17</f>
        <v/>
      </c>
      <c r="B17" s="10">
        <f>D.3建设投资分年计划表!B17</f>
        <v/>
      </c>
      <c r="C17" s="7">
        <f>IF(D.3建设投资分年计划表!C17=0,"",D.3建设投资分年计划表!C17)</f>
        <v/>
      </c>
      <c r="D17" s="169">
        <f>D.3建设投资分年计划表!D17</f>
        <v/>
      </c>
    </row>
    <row r="18" customFormat="1" s="51">
      <c r="A18" s="7">
        <f>D.3建设投资分年计划表!A18</f>
        <v/>
      </c>
      <c r="B18" s="10">
        <f>D.3建设投资分年计划表!B18</f>
        <v/>
      </c>
      <c r="C18" s="7">
        <f>IF(D.3建设投资分年计划表!C18=0,"",D.3建设投资分年计划表!C18)</f>
        <v/>
      </c>
      <c r="D18" s="169">
        <f>D.3建设投资分年计划表!D18</f>
        <v/>
      </c>
    </row>
    <row r="19" customFormat="1" s="51">
      <c r="A19" s="55">
        <f>D.3建设投资分年计划表!A19</f>
        <v/>
      </c>
      <c r="B19" s="55">
        <f>D.3建设投资分年计划表!B19</f>
        <v/>
      </c>
      <c r="C19" s="55">
        <f>IF(D.3建设投资分年计划表!C19=0,"",D.3建设投资分年计划表!C19)</f>
        <v/>
      </c>
      <c r="D19" s="174">
        <f>D.3建设投资分年计划表!D19</f>
        <v/>
      </c>
    </row>
    <row r="20" customFormat="1" s="51">
      <c r="A20" s="7">
        <f>D.3建设投资分年计划表!A20</f>
        <v/>
      </c>
      <c r="B20" s="7">
        <f>D.3建设投资分年计划表!B20</f>
        <v/>
      </c>
      <c r="C20" s="7">
        <f>IF(D.3建设投资分年计划表!C20=0,"",D.3建设投资分年计划表!C20)</f>
        <v/>
      </c>
      <c r="D20" s="173">
        <f>D.3建设投资分年计划表!D20</f>
        <v/>
      </c>
    </row>
    <row r="21" customFormat="1" s="51">
      <c r="A21" s="7">
        <f>D.3建设投资分年计划表!B21</f>
        <v/>
      </c>
      <c r="B21" s="167" t="n"/>
      <c r="C21" s="168" t="n"/>
      <c r="D21" s="173">
        <f>D.3建设投资分年计划表!D21</f>
        <v/>
      </c>
    </row>
  </sheetData>
  <mergeCells count="2">
    <mergeCell ref="A1:D1"/>
    <mergeCell ref="A21:C2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6">
    <tabColor rgb="FFFFFF00"/>
    <outlinePr summaryBelow="1" summaryRight="1"/>
    <pageSetUpPr/>
  </sheetPr>
  <dimension ref="A1:Z21"/>
  <sheetViews>
    <sheetView zoomScale="70" zoomScaleNormal="70" workbookViewId="0">
      <pane xSplit="3" ySplit="2" topLeftCell="D3" activePane="bottomRight" state="frozen"/>
      <selection activeCell="A1" sqref="A1"/>
      <selection pane="topRight" activeCell="A1" sqref="A1"/>
      <selection pane="bottomLeft" activeCell="A1" sqref="A1"/>
      <selection pane="bottomRight" activeCell="G2" sqref="G2"/>
    </sheetView>
  </sheetViews>
  <sheetFormatPr baseColWidth="8" defaultColWidth="16" defaultRowHeight="28.05" customHeight="1"/>
  <cols>
    <col width="21.4454545454545" customWidth="1" style="162" min="2" max="2"/>
  </cols>
  <sheetData>
    <row r="1" customFormat="1" s="53">
      <c r="A1" s="136" t="inlineStr">
        <is>
          <t>D.2项目总投资使用计划与资金筹措表（万元）</t>
        </is>
      </c>
      <c r="B1" s="175" t="n"/>
      <c r="C1" s="175" t="n"/>
      <c r="D1" s="175" t="n"/>
      <c r="E1" s="175" t="n"/>
      <c r="F1" s="175" t="n"/>
      <c r="G1" s="175" t="n"/>
      <c r="H1" s="175" t="n"/>
      <c r="I1" s="175" t="n"/>
      <c r="J1" s="45" t="n"/>
      <c r="K1" s="45" t="n"/>
    </row>
    <row r="2" customFormat="1" s="53">
      <c r="A2" s="2" t="inlineStr">
        <is>
          <t>序号</t>
        </is>
      </c>
      <c r="B2" s="2" t="inlineStr">
        <is>
          <t>科目</t>
        </is>
      </c>
      <c r="C2" s="2" t="inlineStr">
        <is>
          <t>合计</t>
        </is>
      </c>
      <c r="D2" s="36" t="n">
        <v>2025</v>
      </c>
      <c r="E2" s="36" t="n">
        <v>2026</v>
      </c>
      <c r="F2" s="36" t="n">
        <v>2027</v>
      </c>
      <c r="G2" s="36" t="n">
        <v>2028</v>
      </c>
      <c r="H2" s="36" t="n">
        <v>2029</v>
      </c>
      <c r="I2" s="36" t="n">
        <v>2030</v>
      </c>
      <c r="J2" s="210" t="n">
        <v>2031</v>
      </c>
      <c r="K2" s="210" t="n">
        <v>2032</v>
      </c>
      <c r="L2" s="210" t="n">
        <v>2033</v>
      </c>
      <c r="M2" s="210" t="n">
        <v>2034</v>
      </c>
      <c r="N2" s="210" t="n">
        <v>2035</v>
      </c>
      <c r="O2" s="210" t="n">
        <v>2036</v>
      </c>
      <c r="P2" s="210" t="n">
        <v>2037</v>
      </c>
      <c r="Q2" s="210" t="n">
        <v>2038</v>
      </c>
      <c r="R2" s="210" t="n">
        <v>2039</v>
      </c>
      <c r="S2" s="210" t="n">
        <v>2040</v>
      </c>
      <c r="T2" s="210" t="n">
        <v>2041</v>
      </c>
      <c r="U2" s="210" t="n">
        <v>2042</v>
      </c>
      <c r="V2" s="210" t="n">
        <v>2043</v>
      </c>
      <c r="W2" s="210" t="n">
        <v>2044</v>
      </c>
      <c r="X2" s="210" t="n">
        <v>2045</v>
      </c>
      <c r="Y2" s="210" t="n">
        <v>2046</v>
      </c>
      <c r="Z2" s="210" t="n">
        <v>2047</v>
      </c>
    </row>
    <row r="3" customFormat="1" s="53">
      <c r="A3" s="55" t="n">
        <v>1</v>
      </c>
      <c r="B3" s="55" t="inlineStr">
        <is>
          <t>总投资</t>
        </is>
      </c>
      <c r="C3" s="176">
        <f>(SUM(D3:Z3))</f>
        <v/>
      </c>
      <c r="D3" s="176">
        <f>SUM(D4:D6)</f>
        <v/>
      </c>
      <c r="E3" s="176">
        <f>SUM(E4:E6)</f>
        <v/>
      </c>
      <c r="F3" s="176">
        <f>SUM(F4:F6)</f>
        <v/>
      </c>
      <c r="G3" s="176">
        <f>SUM(G4:G6)</f>
        <v/>
      </c>
      <c r="H3" s="176">
        <f>SUM(H4:H6)</f>
        <v/>
      </c>
      <c r="I3" s="176">
        <f>SUM(I4:I6)</f>
        <v/>
      </c>
      <c r="J3" s="176">
        <f>SUM(J4:J6)</f>
        <v/>
      </c>
      <c r="K3" s="176">
        <f>SUM(K4:K6)</f>
        <v/>
      </c>
      <c r="L3" s="176">
        <f>SUM(L4:L6)</f>
        <v/>
      </c>
      <c r="M3" s="176">
        <f>SUM(M4:M6)</f>
        <v/>
      </c>
      <c r="N3" s="176">
        <f>SUM(N4:N6)</f>
        <v/>
      </c>
      <c r="O3" s="176">
        <f>SUM(O4:O6)</f>
        <v/>
      </c>
      <c r="P3" s="176">
        <f>SUM(P4:P6)</f>
        <v/>
      </c>
      <c r="Q3" s="176">
        <f>SUM(Q4:Q6)</f>
        <v/>
      </c>
      <c r="R3" s="176">
        <f>SUM(R4:R6)</f>
        <v/>
      </c>
      <c r="S3" s="176">
        <f>SUM(S4:S6)</f>
        <v/>
      </c>
      <c r="T3" s="176">
        <f>SUM(T4:T6)</f>
        <v/>
      </c>
      <c r="U3" s="176">
        <f>SUM(U4:U6)</f>
        <v/>
      </c>
      <c r="V3" s="176">
        <f>SUM(V4:V6)</f>
        <v/>
      </c>
      <c r="W3" s="176">
        <f>SUM(W4:W6)</f>
        <v/>
      </c>
      <c r="X3" s="176">
        <f>SUM(X4:X6)</f>
        <v/>
      </c>
      <c r="Y3" s="176">
        <f>SUM(Y4:Y6)</f>
        <v/>
      </c>
      <c r="Z3" s="176">
        <f>SUM(Z4:Z6)</f>
        <v/>
      </c>
    </row>
    <row r="4" customFormat="1" s="53">
      <c r="A4" s="7" t="n">
        <v>1.1</v>
      </c>
      <c r="B4" s="7" t="inlineStr">
        <is>
          <t>建设投资</t>
        </is>
      </c>
      <c r="C4" s="176">
        <f>(SUM(D4:Z4))</f>
        <v/>
      </c>
      <c r="D4" s="177">
        <f>('D.3建设投资分年计划表'!E21)</f>
        <v/>
      </c>
      <c r="E4" s="177">
        <f>('D.3建设投资分年计划表'!F21)</f>
        <v/>
      </c>
      <c r="F4" s="177">
        <f>('D.3建设投资分年计划表'!G21)</f>
        <v/>
      </c>
      <c r="G4" s="177">
        <f>('D.3建设投资分年计划表'!H21)</f>
        <v/>
      </c>
      <c r="H4" s="177">
        <f>('D.3建设投资分年计划表'!I21)</f>
        <v/>
      </c>
      <c r="I4" s="177">
        <f>('D.3建设投资分年计划表'!J21)</f>
        <v/>
      </c>
      <c r="J4" s="177">
        <f>('D.3建设投资分年计划表'!K21)</f>
        <v/>
      </c>
      <c r="K4" s="177">
        <f>('D.3建设投资分年计划表'!L21)</f>
        <v/>
      </c>
      <c r="L4" s="177">
        <f>('D.3建设投资分年计划表'!M21)</f>
        <v/>
      </c>
      <c r="M4" s="177">
        <f>('D.3建设投资分年计划表'!N21)</f>
        <v/>
      </c>
      <c r="N4" s="177">
        <f>('D.3建设投资分年计划表'!O21)</f>
        <v/>
      </c>
      <c r="O4" s="177">
        <f>('D.3建设投资分年计划表'!P21)</f>
        <v/>
      </c>
      <c r="P4" s="177">
        <f>('D.3建设投资分年计划表'!Q21)</f>
        <v/>
      </c>
      <c r="Q4" s="177">
        <f>('D.3建设投资分年计划表'!R21)</f>
        <v/>
      </c>
      <c r="R4" s="177">
        <f>('D.3建设投资分年计划表'!S21)</f>
        <v/>
      </c>
      <c r="S4" s="177">
        <f>('D.3建设投资分年计划表'!T21)</f>
        <v/>
      </c>
      <c r="T4" s="177">
        <f>('D.3建设投资分年计划表'!U21)</f>
        <v/>
      </c>
      <c r="U4" s="177">
        <f>('D.3建设投资分年计划表'!V21)</f>
        <v/>
      </c>
      <c r="V4" s="177">
        <f>('D.3建设投资分年计划表'!W21)</f>
        <v/>
      </c>
      <c r="W4" s="177">
        <f>('D.3建设投资分年计划表'!X21)</f>
        <v/>
      </c>
      <c r="X4" s="177">
        <f>('D.3建设投资分年计划表'!Y21)</f>
        <v/>
      </c>
      <c r="Y4" s="177">
        <f>('D.3建设投资分年计划表'!Z21)</f>
        <v/>
      </c>
      <c r="Z4" s="177">
        <f>('D.3建设投资分年计划表'!AA21)</f>
        <v/>
      </c>
    </row>
    <row r="5" customFormat="1" s="53">
      <c r="A5" s="7" t="n">
        <v>1.2</v>
      </c>
      <c r="B5" s="7" t="inlineStr">
        <is>
          <t>建设期利息</t>
        </is>
      </c>
      <c r="C5" s="176">
        <f>(SUM(D5:Z5))</f>
        <v/>
      </c>
      <c r="D5" s="171">
        <f>('c借款还本付息计划表'!D38+'c借款还本付息计划表'!D37)</f>
        <v/>
      </c>
      <c r="E5" s="171">
        <f>('c借款还本付息计划表'!E38+'c借款还本付息计划表'!E37)</f>
        <v/>
      </c>
      <c r="F5" s="171">
        <f>('c借款还本付息计划表'!F38+'c借款还本付息计划表'!F37)</f>
        <v/>
      </c>
      <c r="G5" s="171" t="n"/>
      <c r="H5" s="171" t="n"/>
      <c r="I5" s="171" t="n"/>
      <c r="J5" s="171" t="n"/>
      <c r="K5" s="171" t="n"/>
      <c r="L5" s="171" t="n"/>
      <c r="M5" s="171" t="n"/>
      <c r="N5" s="171" t="n"/>
      <c r="O5" s="171" t="n"/>
      <c r="P5" s="171" t="n"/>
      <c r="Q5" s="171" t="n"/>
      <c r="R5" s="171" t="n"/>
      <c r="S5" s="171" t="n"/>
      <c r="T5" s="171" t="n"/>
      <c r="U5" s="171" t="n"/>
      <c r="V5" s="171" t="n"/>
      <c r="W5" s="171" t="n"/>
      <c r="X5" s="171" t="n"/>
      <c r="Y5" s="171" t="n"/>
      <c r="Z5" s="171" t="n"/>
    </row>
    <row r="6" customFormat="1" s="53">
      <c r="A6" s="7" t="n">
        <v>1.3</v>
      </c>
      <c r="B6" s="7" t="inlineStr">
        <is>
          <t>流动资金</t>
        </is>
      </c>
      <c r="C6" s="176">
        <f>(SUM(D6:Z6))</f>
        <v/>
      </c>
      <c r="D6" s="177">
        <f>D.4流动资金估算表!E14</f>
        <v/>
      </c>
      <c r="E6" s="177">
        <f>D.4流动资金估算表!F14</f>
        <v/>
      </c>
      <c r="F6" s="177">
        <f>D.4流动资金估算表!G14</f>
        <v/>
      </c>
      <c r="G6" s="177">
        <f>D.4流动资金估算表!H14</f>
        <v/>
      </c>
      <c r="H6" s="177">
        <f>D.4流动资金估算表!I14</f>
        <v/>
      </c>
      <c r="I6" s="177">
        <f>D.4流动资金估算表!J14</f>
        <v/>
      </c>
      <c r="J6" s="177">
        <f>'D.4流动资金估算表'!K14</f>
        <v/>
      </c>
      <c r="K6" s="177">
        <f>'D.4流动资金估算表'!L14</f>
        <v/>
      </c>
      <c r="L6" s="177">
        <f>'D.4流动资金估算表'!M14</f>
        <v/>
      </c>
      <c r="M6" s="177">
        <f>'D.4流动资金估算表'!N14</f>
        <v/>
      </c>
      <c r="N6" s="177">
        <f>'D.4流动资金估算表'!O14</f>
        <v/>
      </c>
      <c r="O6" s="177">
        <f>'D.4流动资金估算表'!P14</f>
        <v/>
      </c>
      <c r="P6" s="177">
        <f>'D.4流动资金估算表'!Q14</f>
        <v/>
      </c>
      <c r="Q6" s="177">
        <f>'D.4流动资金估算表'!R14</f>
        <v/>
      </c>
      <c r="R6" s="177">
        <f>'D.4流动资金估算表'!S14</f>
        <v/>
      </c>
      <c r="S6" s="177">
        <f>'D.4流动资金估算表'!T14</f>
        <v/>
      </c>
      <c r="T6" s="177">
        <f>'D.4流动资金估算表'!U14</f>
        <v/>
      </c>
      <c r="U6" s="177">
        <f>'D.4流动资金估算表'!V14</f>
        <v/>
      </c>
      <c r="V6" s="177">
        <f>'D.4流动资金估算表'!W14</f>
        <v/>
      </c>
      <c r="W6" s="177">
        <f>'D.4流动资金估算表'!X14</f>
        <v/>
      </c>
      <c r="X6" s="177">
        <f>'D.4流动资金估算表'!Y14</f>
        <v/>
      </c>
      <c r="Y6" s="177">
        <f>'D.4流动资金估算表'!Z14</f>
        <v/>
      </c>
      <c r="Z6" s="177">
        <f>'D.4流动资金估算表'!AA14</f>
        <v/>
      </c>
    </row>
    <row r="7" customFormat="1" s="53">
      <c r="A7" s="55" t="n">
        <v>2</v>
      </c>
      <c r="B7" s="55" t="inlineStr">
        <is>
          <t>资金筹措</t>
        </is>
      </c>
      <c r="C7" s="176">
        <f>(SUM(D7:Z7))</f>
        <v/>
      </c>
      <c r="D7" s="176">
        <f>D8+D12+D16</f>
        <v/>
      </c>
      <c r="E7" s="176">
        <f>E8+E12+E16</f>
        <v/>
      </c>
      <c r="F7" s="176">
        <f>F8+F12+F16</f>
        <v/>
      </c>
      <c r="G7" s="176">
        <f>G8+G12+G16</f>
        <v/>
      </c>
      <c r="H7" s="176">
        <f>H8+H12+H16</f>
        <v/>
      </c>
      <c r="I7" s="176">
        <f>I8+I12+I16</f>
        <v/>
      </c>
      <c r="J7" s="176">
        <f>J8+J12+J16</f>
        <v/>
      </c>
      <c r="K7" s="176">
        <f>K8+K12+K16</f>
        <v/>
      </c>
      <c r="L7" s="176">
        <f>L8+L12+L16</f>
        <v/>
      </c>
      <c r="M7" s="176">
        <f>M8+M12+M16</f>
        <v/>
      </c>
      <c r="N7" s="176">
        <f>N8+N12+N16</f>
        <v/>
      </c>
      <c r="O7" s="176">
        <f>O8+O12+O16</f>
        <v/>
      </c>
      <c r="P7" s="176">
        <f>P8+P12+P16</f>
        <v/>
      </c>
      <c r="Q7" s="176">
        <f>Q8+Q12+Q16</f>
        <v/>
      </c>
      <c r="R7" s="176">
        <f>R8+R12+R16</f>
        <v/>
      </c>
      <c r="S7" s="176">
        <f>S8+S12+S16</f>
        <v/>
      </c>
      <c r="T7" s="176">
        <f>T8+T12+T16</f>
        <v/>
      </c>
      <c r="U7" s="176">
        <f>U8+U12+U16</f>
        <v/>
      </c>
      <c r="V7" s="176">
        <f>V8+V12+V16</f>
        <v/>
      </c>
      <c r="W7" s="176">
        <f>W8+W12+W16</f>
        <v/>
      </c>
      <c r="X7" s="176">
        <f>X8+X12+X16</f>
        <v/>
      </c>
      <c r="Y7" s="176">
        <f>Y8+Y12+Y16</f>
        <v/>
      </c>
      <c r="Z7" s="176">
        <f>Z8+Z12+Z16</f>
        <v/>
      </c>
    </row>
    <row r="8" customFormat="1" s="53">
      <c r="A8" s="7" t="n">
        <v>2.1</v>
      </c>
      <c r="B8" s="7" t="inlineStr">
        <is>
          <t>项目资本金</t>
        </is>
      </c>
      <c r="C8" s="176">
        <f>(SUM(D8:Z8))</f>
        <v/>
      </c>
      <c r="D8" s="177">
        <f>SUM(D9:D11)</f>
        <v/>
      </c>
      <c r="E8" s="177">
        <f>SUM(E9:E11)</f>
        <v/>
      </c>
      <c r="F8" s="177">
        <f>SUM(F9:F11)</f>
        <v/>
      </c>
      <c r="G8" s="177">
        <f>SUM(G9:G11)</f>
        <v/>
      </c>
      <c r="H8" s="177">
        <f>SUM(H9:H11)</f>
        <v/>
      </c>
      <c r="I8" s="177">
        <f>SUM(I9:I11)</f>
        <v/>
      </c>
      <c r="J8" s="177">
        <f>SUM(J9:J11)</f>
        <v/>
      </c>
      <c r="K8" s="177">
        <f>SUM(K9:K11)</f>
        <v/>
      </c>
      <c r="L8" s="177">
        <f>SUM(L9:L11)</f>
        <v/>
      </c>
      <c r="M8" s="177">
        <f>SUM(M9:M11)</f>
        <v/>
      </c>
      <c r="N8" s="177">
        <f>SUM(N9:N11)</f>
        <v/>
      </c>
      <c r="O8" s="177">
        <f>SUM(O9:O11)</f>
        <v/>
      </c>
      <c r="P8" s="177">
        <f>SUM(P9:P11)</f>
        <v/>
      </c>
      <c r="Q8" s="177">
        <f>SUM(Q9:Q11)</f>
        <v/>
      </c>
      <c r="R8" s="177">
        <f>SUM(R9:R11)</f>
        <v/>
      </c>
      <c r="S8" s="177">
        <f>SUM(S9:S11)</f>
        <v/>
      </c>
      <c r="T8" s="177">
        <f>SUM(T9:T11)</f>
        <v/>
      </c>
      <c r="U8" s="177">
        <f>SUM(U9:U11)</f>
        <v/>
      </c>
      <c r="V8" s="177">
        <f>SUM(V9:V11)</f>
        <v/>
      </c>
      <c r="W8" s="177">
        <f>SUM(W9:W11)</f>
        <v/>
      </c>
      <c r="X8" s="177">
        <f>SUM(X9:X11)</f>
        <v/>
      </c>
      <c r="Y8" s="177">
        <f>SUM(Y9:Y11)</f>
        <v/>
      </c>
      <c r="Z8" s="177">
        <f>SUM(Z9:Z11)</f>
        <v/>
      </c>
    </row>
    <row r="9" customFormat="1" s="53">
      <c r="A9" s="7" t="inlineStr">
        <is>
          <t>2.1.1</t>
        </is>
      </c>
      <c r="B9" s="7" t="inlineStr">
        <is>
          <t>用于建设投资</t>
        </is>
      </c>
      <c r="C9" s="176">
        <f>(SUM(D9:Z9))</f>
        <v/>
      </c>
      <c r="D9" s="178">
        <f>D4-D13</f>
        <v/>
      </c>
      <c r="E9" s="178">
        <f>E4-E13</f>
        <v/>
      </c>
      <c r="F9" s="178">
        <f>F4-F13</f>
        <v/>
      </c>
      <c r="G9" s="178">
        <f>G4-G13</f>
        <v/>
      </c>
      <c r="H9" s="178">
        <f>H4-H13</f>
        <v/>
      </c>
      <c r="I9" s="178">
        <f>I4-I13</f>
        <v/>
      </c>
      <c r="J9" s="178">
        <f>J4-J13</f>
        <v/>
      </c>
      <c r="K9" s="178">
        <f>K4-K13</f>
        <v/>
      </c>
      <c r="L9" s="178">
        <f>L4-L13</f>
        <v/>
      </c>
      <c r="M9" s="178">
        <f>M4-M13</f>
        <v/>
      </c>
      <c r="N9" s="178">
        <f>N4-N13</f>
        <v/>
      </c>
      <c r="O9" s="178">
        <f>O4-O13</f>
        <v/>
      </c>
      <c r="P9" s="178">
        <f>P4-P13</f>
        <v/>
      </c>
      <c r="Q9" s="178">
        <f>Q4-Q13</f>
        <v/>
      </c>
      <c r="R9" s="178">
        <f>R4-R13</f>
        <v/>
      </c>
      <c r="S9" s="178">
        <f>S4-S13</f>
        <v/>
      </c>
      <c r="T9" s="178">
        <f>T4-T13</f>
        <v/>
      </c>
      <c r="U9" s="178">
        <f>U4-U13</f>
        <v/>
      </c>
      <c r="V9" s="178">
        <f>V4-V13</f>
        <v/>
      </c>
      <c r="W9" s="178">
        <f>W4-W13</f>
        <v/>
      </c>
      <c r="X9" s="178">
        <f>X4-X13</f>
        <v/>
      </c>
      <c r="Y9" s="178">
        <f>Y4-Y13</f>
        <v/>
      </c>
      <c r="Z9" s="178">
        <f>Z4-Z13</f>
        <v/>
      </c>
    </row>
    <row r="10" customFormat="1" s="53">
      <c r="A10" s="7" t="inlineStr">
        <is>
          <t>2.1.2</t>
        </is>
      </c>
      <c r="B10" s="7" t="inlineStr">
        <is>
          <t>用于建设期利息</t>
        </is>
      </c>
      <c r="C10" s="176">
        <f>(SUM(D10:Z10))</f>
        <v/>
      </c>
      <c r="D10" s="169">
        <f>D5</f>
        <v/>
      </c>
      <c r="E10" s="169">
        <f>E5</f>
        <v/>
      </c>
      <c r="F10" s="169">
        <f>F5</f>
        <v/>
      </c>
      <c r="G10" s="169">
        <f>G5</f>
        <v/>
      </c>
      <c r="H10" s="169">
        <f>H5</f>
        <v/>
      </c>
      <c r="I10" s="169">
        <f>I5</f>
        <v/>
      </c>
      <c r="J10" s="169">
        <f>J5</f>
        <v/>
      </c>
      <c r="K10" s="169">
        <f>K5</f>
        <v/>
      </c>
      <c r="L10" s="169">
        <f>L5</f>
        <v/>
      </c>
      <c r="M10" s="169">
        <f>M5</f>
        <v/>
      </c>
      <c r="N10" s="169">
        <f>N5</f>
        <v/>
      </c>
      <c r="O10" s="169">
        <f>O5</f>
        <v/>
      </c>
      <c r="P10" s="169">
        <f>P5</f>
        <v/>
      </c>
      <c r="Q10" s="169">
        <f>Q5</f>
        <v/>
      </c>
      <c r="R10" s="169">
        <f>R5</f>
        <v/>
      </c>
      <c r="S10" s="169">
        <f>S5</f>
        <v/>
      </c>
      <c r="T10" s="169">
        <f>T5</f>
        <v/>
      </c>
      <c r="U10" s="169">
        <f>U5</f>
        <v/>
      </c>
      <c r="V10" s="169">
        <f>V5</f>
        <v/>
      </c>
      <c r="W10" s="169">
        <f>W5</f>
        <v/>
      </c>
      <c r="X10" s="169">
        <f>X5</f>
        <v/>
      </c>
      <c r="Y10" s="169">
        <f>Y5</f>
        <v/>
      </c>
      <c r="Z10" s="169">
        <f>Z5</f>
        <v/>
      </c>
    </row>
    <row r="11" customFormat="1" s="53">
      <c r="A11" s="7" t="inlineStr">
        <is>
          <t>2.1.3</t>
        </is>
      </c>
      <c r="B11" s="7" t="inlineStr">
        <is>
          <t>用于流动资金</t>
        </is>
      </c>
      <c r="C11" s="176">
        <f>(SUM(D11:Z11))</f>
        <v/>
      </c>
      <c r="D11" s="169">
        <f>D6*A财务假设!$D$13</f>
        <v/>
      </c>
      <c r="E11" s="169">
        <f>E6*A财务假设!$D$13</f>
        <v/>
      </c>
      <c r="F11" s="169">
        <f>F6*A财务假设!$D$13</f>
        <v/>
      </c>
      <c r="G11" s="169">
        <f>G6*A财务假设!$D$13</f>
        <v/>
      </c>
      <c r="H11" s="169">
        <f>H6*A财务假设!$D$13</f>
        <v/>
      </c>
      <c r="I11" s="169">
        <f>I6*A财务假设!$D$13</f>
        <v/>
      </c>
      <c r="J11" s="169">
        <f>J6*'A财务假设'!$D$13</f>
        <v/>
      </c>
      <c r="K11" s="169">
        <f>K6*'A财务假设'!$D$13</f>
        <v/>
      </c>
      <c r="L11" s="169">
        <f>L6*'A财务假设'!$D$13</f>
        <v/>
      </c>
      <c r="M11" s="169">
        <f>M6*'A财务假设'!$D$13</f>
        <v/>
      </c>
      <c r="N11" s="169">
        <f>N6*'A财务假设'!$D$13</f>
        <v/>
      </c>
      <c r="O11" s="169">
        <f>O6*'A财务假设'!$D$13</f>
        <v/>
      </c>
      <c r="P11" s="169">
        <f>P6*'A财务假设'!$D$13</f>
        <v/>
      </c>
      <c r="Q11" s="169">
        <f>Q6*'A财务假设'!$D$13</f>
        <v/>
      </c>
      <c r="R11" s="169">
        <f>R6*'A财务假设'!$D$13</f>
        <v/>
      </c>
      <c r="S11" s="169">
        <f>S6*'A财务假设'!$D$13</f>
        <v/>
      </c>
      <c r="T11" s="169">
        <f>T6*'A财务假设'!$D$13</f>
        <v/>
      </c>
      <c r="U11" s="169">
        <f>U6*'A财务假设'!$D$13</f>
        <v/>
      </c>
      <c r="V11" s="169">
        <f>V6*'A财务假设'!$D$13</f>
        <v/>
      </c>
      <c r="W11" s="169">
        <f>W6*'A财务假设'!$D$13</f>
        <v/>
      </c>
      <c r="X11" s="169">
        <f>X6*'A财务假设'!$D$13</f>
        <v/>
      </c>
      <c r="Y11" s="169">
        <f>Y6*'A财务假设'!$D$13</f>
        <v/>
      </c>
      <c r="Z11" s="169">
        <f>Z6*'A财务假设'!$D$13</f>
        <v/>
      </c>
    </row>
    <row r="12" customFormat="1" s="53">
      <c r="A12" s="7" t="n">
        <v>2.2</v>
      </c>
      <c r="B12" s="7" t="inlineStr">
        <is>
          <t>债务资金</t>
        </is>
      </c>
      <c r="C12" s="176">
        <f>(SUM(D12:Z12))</f>
        <v/>
      </c>
      <c r="D12" s="177">
        <f>('C.2项目每年借款信息'!C6)</f>
        <v/>
      </c>
      <c r="E12" s="177">
        <f>('C.2项目每年借款信息'!D6)</f>
        <v/>
      </c>
      <c r="F12" s="177">
        <f>('C.2项目每年借款信息'!E6)</f>
        <v/>
      </c>
      <c r="G12" s="177">
        <f>('C.2项目每年借款信息'!F6)</f>
        <v/>
      </c>
      <c r="H12" s="177">
        <f>('C.2项目每年借款信息'!G6)</f>
        <v/>
      </c>
      <c r="I12" s="177">
        <f>('C.2项目每年借款信息'!H6)</f>
        <v/>
      </c>
      <c r="J12" s="177">
        <f>('C.2项目每年借款信息'!I6)</f>
        <v/>
      </c>
      <c r="K12" s="177">
        <f>('C.2项目每年借款信息'!J6)</f>
        <v/>
      </c>
      <c r="L12" s="177">
        <f>('C.2项目每年借款信息'!K6)</f>
        <v/>
      </c>
      <c r="M12" s="177">
        <f>('C.2项目每年借款信息'!L6)</f>
        <v/>
      </c>
      <c r="N12" s="177">
        <f>('C.2项目每年借款信息'!M6)</f>
        <v/>
      </c>
      <c r="O12" s="177">
        <f>('C.2项目每年借款信息'!N6)</f>
        <v/>
      </c>
      <c r="P12" s="177">
        <f>('C.2项目每年借款信息'!O6)</f>
        <v/>
      </c>
      <c r="Q12" s="177">
        <f>('C.2项目每年借款信息'!P6)</f>
        <v/>
      </c>
      <c r="R12" s="177">
        <f>('C.2项目每年借款信息'!Q6)</f>
        <v/>
      </c>
      <c r="S12" s="177">
        <f>('C.2项目每年借款信息'!R6)</f>
        <v/>
      </c>
      <c r="T12" s="177">
        <f>('C.2项目每年借款信息'!S6)</f>
        <v/>
      </c>
      <c r="U12" s="177">
        <f>('C.2项目每年借款信息'!T6)</f>
        <v/>
      </c>
      <c r="V12" s="177">
        <f>('C.2项目每年借款信息'!U6)</f>
        <v/>
      </c>
      <c r="W12" s="177">
        <f>('C.2项目每年借款信息'!V6)</f>
        <v/>
      </c>
      <c r="X12" s="177">
        <f>('C.2项目每年借款信息'!W6)</f>
        <v/>
      </c>
      <c r="Y12" s="177">
        <f>('C.2项目每年借款信息'!X6)</f>
        <v/>
      </c>
      <c r="Z12" s="177">
        <f>('C.2项目每年借款信息'!Y6)</f>
        <v/>
      </c>
    </row>
    <row r="13" customFormat="1" s="53">
      <c r="A13" s="7" t="inlineStr">
        <is>
          <t>2.2.1</t>
        </is>
      </c>
      <c r="B13" s="7" t="inlineStr">
        <is>
          <t>用于建设投资</t>
        </is>
      </c>
      <c r="C13" s="176">
        <f>(SUM(D13:Z13))</f>
        <v/>
      </c>
      <c r="D13" s="178">
        <f>D12-D14-D15-D16</f>
        <v/>
      </c>
      <c r="E13" s="178">
        <f>E12-E14-E15-E16</f>
        <v/>
      </c>
      <c r="F13" s="178">
        <f>F12-F14-F15-F16</f>
        <v/>
      </c>
      <c r="G13" s="178">
        <f>G12-G14-G15-G16</f>
        <v/>
      </c>
      <c r="H13" s="178">
        <f>H12-H14-H15-H16</f>
        <v/>
      </c>
      <c r="I13" s="178">
        <f>I12-I14-I15-I16</f>
        <v/>
      </c>
      <c r="J13" s="178">
        <f>J12-J14-J15-J16</f>
        <v/>
      </c>
      <c r="K13" s="178">
        <f>K12-K14-K15-K16</f>
        <v/>
      </c>
      <c r="L13" s="178">
        <f>L12-L14-L15-L16</f>
        <v/>
      </c>
      <c r="M13" s="178">
        <f>M12-M14-M15-M16</f>
        <v/>
      </c>
      <c r="N13" s="178">
        <f>N12-N14-N15-N16</f>
        <v/>
      </c>
      <c r="O13" s="178">
        <f>O12-O14-O15-O16</f>
        <v/>
      </c>
      <c r="P13" s="178">
        <f>P12-P14-P15-P16</f>
        <v/>
      </c>
      <c r="Q13" s="178">
        <f>Q12-Q14-Q15-Q16</f>
        <v/>
      </c>
      <c r="R13" s="178">
        <f>R12-R14-R15-R16</f>
        <v/>
      </c>
      <c r="S13" s="178">
        <f>S12-S14-S15-S16</f>
        <v/>
      </c>
      <c r="T13" s="178">
        <f>T12-T14-T15-T16</f>
        <v/>
      </c>
      <c r="U13" s="178">
        <f>U12-U14-U15-U16</f>
        <v/>
      </c>
      <c r="V13" s="178">
        <f>V12-V14-V15-V16</f>
        <v/>
      </c>
      <c r="W13" s="178">
        <f>W12-W14-W15-W16</f>
        <v/>
      </c>
      <c r="X13" s="178">
        <f>X12-X14-X15-X16</f>
        <v/>
      </c>
      <c r="Y13" s="178">
        <f>Y12-Y14-Y15-Y16</f>
        <v/>
      </c>
      <c r="Z13" s="178">
        <f>Z12-Z14-Z15-Z16</f>
        <v/>
      </c>
    </row>
    <row r="14" customFormat="1" s="53">
      <c r="A14" s="7" t="inlineStr">
        <is>
          <t>2.2.2</t>
        </is>
      </c>
      <c r="B14" s="7" t="inlineStr">
        <is>
          <t>用于建设期利息</t>
        </is>
      </c>
      <c r="C14" s="176">
        <f>(SUM(D14:Z14))</f>
        <v/>
      </c>
      <c r="D14" s="169" t="n">
        <v>0</v>
      </c>
      <c r="E14" s="169" t="n">
        <v>0</v>
      </c>
      <c r="F14" s="169" t="n">
        <v>0</v>
      </c>
      <c r="G14" s="169" t="n">
        <v>0</v>
      </c>
      <c r="H14" s="169" t="n">
        <v>0</v>
      </c>
      <c r="I14" s="169" t="n">
        <v>0</v>
      </c>
      <c r="J14" s="169" t="n">
        <v>0</v>
      </c>
      <c r="K14" s="169" t="n">
        <v>0</v>
      </c>
      <c r="L14" s="169" t="n">
        <v>0</v>
      </c>
      <c r="M14" s="169" t="n">
        <v>0</v>
      </c>
      <c r="N14" s="169" t="n">
        <v>0</v>
      </c>
      <c r="O14" s="169" t="n">
        <v>0</v>
      </c>
      <c r="P14" s="169" t="n">
        <v>0</v>
      </c>
      <c r="Q14" s="169" t="n">
        <v>0</v>
      </c>
      <c r="R14" s="169" t="n">
        <v>0</v>
      </c>
      <c r="S14" s="169" t="n">
        <v>0</v>
      </c>
      <c r="T14" s="169" t="n">
        <v>0</v>
      </c>
      <c r="U14" s="169" t="n">
        <v>0</v>
      </c>
      <c r="V14" s="169" t="n">
        <v>0</v>
      </c>
      <c r="W14" s="169" t="n">
        <v>0</v>
      </c>
      <c r="X14" s="169" t="n">
        <v>0</v>
      </c>
      <c r="Y14" s="169" t="n">
        <v>0</v>
      </c>
      <c r="Z14" s="169" t="n">
        <v>0</v>
      </c>
    </row>
    <row r="15" customFormat="1" s="53">
      <c r="A15" s="7" t="inlineStr">
        <is>
          <t>2.2.3</t>
        </is>
      </c>
      <c r="B15" s="7" t="inlineStr">
        <is>
          <t>用于流动资金</t>
        </is>
      </c>
      <c r="C15" s="176">
        <f>(SUM(D15:Z15))</f>
        <v/>
      </c>
      <c r="D15" s="169">
        <f>D6-D11</f>
        <v/>
      </c>
      <c r="E15" s="169">
        <f>E6-E11</f>
        <v/>
      </c>
      <c r="F15" s="169">
        <f>F6-F11</f>
        <v/>
      </c>
      <c r="G15" s="169">
        <f>G6-G11</f>
        <v/>
      </c>
      <c r="H15" s="169">
        <f>H6-H11</f>
        <v/>
      </c>
      <c r="I15" s="169">
        <f>I6-I11</f>
        <v/>
      </c>
      <c r="J15" s="169">
        <f>J6-J11</f>
        <v/>
      </c>
      <c r="K15" s="169">
        <f>K6-K11</f>
        <v/>
      </c>
      <c r="L15" s="169">
        <f>L6-L11</f>
        <v/>
      </c>
      <c r="M15" s="169">
        <f>M6-M11</f>
        <v/>
      </c>
      <c r="N15" s="169">
        <f>N6-N11</f>
        <v/>
      </c>
      <c r="O15" s="169">
        <f>O6-O11</f>
        <v/>
      </c>
      <c r="P15" s="169">
        <f>P6-P11</f>
        <v/>
      </c>
      <c r="Q15" s="169">
        <f>Q6-Q11</f>
        <v/>
      </c>
      <c r="R15" s="169">
        <f>R6-R11</f>
        <v/>
      </c>
      <c r="S15" s="169">
        <f>S6-S11</f>
        <v/>
      </c>
      <c r="T15" s="169">
        <f>T6-T11</f>
        <v/>
      </c>
      <c r="U15" s="169">
        <f>U6-U11</f>
        <v/>
      </c>
      <c r="V15" s="169">
        <f>V6-V11</f>
        <v/>
      </c>
      <c r="W15" s="169">
        <f>W6-W11</f>
        <v/>
      </c>
      <c r="X15" s="169">
        <f>X6-X11</f>
        <v/>
      </c>
      <c r="Y15" s="169">
        <f>Y6-Y11</f>
        <v/>
      </c>
      <c r="Z15" s="169">
        <f>Z6-Z11</f>
        <v/>
      </c>
    </row>
    <row r="16" customFormat="1" s="53">
      <c r="A16" s="7" t="n">
        <v>2.3</v>
      </c>
      <c r="B16" s="7" t="inlineStr">
        <is>
          <t>其他资金</t>
        </is>
      </c>
      <c r="C16" s="176">
        <f>(SUM(D16:Z16))</f>
        <v/>
      </c>
      <c r="D16" s="169" t="n">
        <v>0</v>
      </c>
      <c r="E16" s="169" t="n">
        <v>0</v>
      </c>
      <c r="F16" s="169" t="n">
        <v>0</v>
      </c>
      <c r="G16" s="169" t="n">
        <v>0</v>
      </c>
      <c r="H16" s="169" t="n">
        <v>0</v>
      </c>
      <c r="I16" s="169" t="n">
        <v>0</v>
      </c>
      <c r="J16" s="169" t="n">
        <v>0</v>
      </c>
      <c r="K16" s="169" t="n">
        <v>0</v>
      </c>
      <c r="L16" s="169" t="n">
        <v>0</v>
      </c>
      <c r="M16" s="169" t="n">
        <v>0</v>
      </c>
      <c r="N16" s="169" t="n">
        <v>0</v>
      </c>
      <c r="O16" s="169" t="n">
        <v>0</v>
      </c>
      <c r="P16" s="169" t="n">
        <v>0</v>
      </c>
      <c r="Q16" s="169" t="n">
        <v>0</v>
      </c>
      <c r="R16" s="169" t="n">
        <v>0</v>
      </c>
      <c r="S16" s="169" t="n">
        <v>0</v>
      </c>
      <c r="T16" s="169" t="n">
        <v>0</v>
      </c>
      <c r="U16" s="169" t="n">
        <v>0</v>
      </c>
      <c r="V16" s="169" t="n">
        <v>0</v>
      </c>
      <c r="W16" s="169" t="n">
        <v>0</v>
      </c>
      <c r="X16" s="169" t="n">
        <v>0</v>
      </c>
      <c r="Y16" s="169" t="n">
        <v>0</v>
      </c>
      <c r="Z16" s="169" t="n">
        <v>0</v>
      </c>
    </row>
    <row r="17" customFormat="1" s="53">
      <c r="A17" s="55" t="n">
        <v>3</v>
      </c>
      <c r="B17" s="55" t="inlineStr">
        <is>
          <t>资本金基数总投资</t>
        </is>
      </c>
      <c r="C17" s="176">
        <f>SUM(C18:C20)</f>
        <v/>
      </c>
      <c r="D17" s="176" t="inlineStr">
        <is>
          <t>/</t>
        </is>
      </c>
      <c r="E17" s="176" t="inlineStr">
        <is>
          <t>/</t>
        </is>
      </c>
      <c r="F17" s="176" t="inlineStr">
        <is>
          <t>/</t>
        </is>
      </c>
      <c r="G17" s="176" t="inlineStr">
        <is>
          <t>/</t>
        </is>
      </c>
      <c r="H17" s="176" t="inlineStr">
        <is>
          <t>/</t>
        </is>
      </c>
      <c r="I17" s="176" t="inlineStr">
        <is>
          <t>/</t>
        </is>
      </c>
      <c r="J17" s="176" t="inlineStr">
        <is>
          <t>/</t>
        </is>
      </c>
      <c r="K17" s="176" t="inlineStr">
        <is>
          <t>/</t>
        </is>
      </c>
      <c r="L17" s="176" t="inlineStr">
        <is>
          <t>/</t>
        </is>
      </c>
      <c r="M17" s="176" t="inlineStr">
        <is>
          <t>/</t>
        </is>
      </c>
      <c r="N17" s="176" t="inlineStr">
        <is>
          <t>/</t>
        </is>
      </c>
      <c r="O17" s="176" t="inlineStr">
        <is>
          <t>/</t>
        </is>
      </c>
      <c r="P17" s="176" t="inlineStr">
        <is>
          <t>/</t>
        </is>
      </c>
      <c r="Q17" s="176" t="inlineStr">
        <is>
          <t>/</t>
        </is>
      </c>
      <c r="R17" s="176" t="inlineStr">
        <is>
          <t>/</t>
        </is>
      </c>
      <c r="S17" s="176" t="inlineStr">
        <is>
          <t>/</t>
        </is>
      </c>
      <c r="T17" s="176" t="inlineStr">
        <is>
          <t>/</t>
        </is>
      </c>
      <c r="U17" s="176" t="inlineStr">
        <is>
          <t>/</t>
        </is>
      </c>
      <c r="V17" s="176" t="inlineStr">
        <is>
          <t>/</t>
        </is>
      </c>
      <c r="W17" s="176" t="inlineStr">
        <is>
          <t>/</t>
        </is>
      </c>
      <c r="X17" s="176" t="inlineStr">
        <is>
          <t>/</t>
        </is>
      </c>
      <c r="Y17" s="176" t="inlineStr">
        <is>
          <t>/</t>
        </is>
      </c>
      <c r="Z17" s="176" t="inlineStr">
        <is>
          <t>/</t>
        </is>
      </c>
    </row>
    <row r="18" customFormat="1" s="53">
      <c r="A18" s="7" t="n">
        <v>3.1</v>
      </c>
      <c r="B18" s="7" t="inlineStr">
        <is>
          <t>建设投资</t>
        </is>
      </c>
      <c r="C18" s="177">
        <f>C9</f>
        <v/>
      </c>
      <c r="D18" s="177" t="inlineStr">
        <is>
          <t>/</t>
        </is>
      </c>
      <c r="E18" s="177" t="inlineStr">
        <is>
          <t>/</t>
        </is>
      </c>
      <c r="F18" s="177" t="inlineStr">
        <is>
          <t>/</t>
        </is>
      </c>
      <c r="G18" s="177" t="inlineStr">
        <is>
          <t>/</t>
        </is>
      </c>
      <c r="H18" s="177" t="inlineStr">
        <is>
          <t>/</t>
        </is>
      </c>
      <c r="I18" s="177" t="inlineStr">
        <is>
          <t>/</t>
        </is>
      </c>
      <c r="J18" s="177" t="inlineStr">
        <is>
          <t>/</t>
        </is>
      </c>
      <c r="K18" s="177" t="inlineStr">
        <is>
          <t>/</t>
        </is>
      </c>
      <c r="L18" s="177" t="inlineStr">
        <is>
          <t>/</t>
        </is>
      </c>
      <c r="M18" s="177" t="inlineStr">
        <is>
          <t>/</t>
        </is>
      </c>
      <c r="N18" s="177" t="inlineStr">
        <is>
          <t>/</t>
        </is>
      </c>
      <c r="O18" s="177" t="inlineStr">
        <is>
          <t>/</t>
        </is>
      </c>
      <c r="P18" s="177" t="inlineStr">
        <is>
          <t>/</t>
        </is>
      </c>
      <c r="Q18" s="177" t="inlineStr">
        <is>
          <t>/</t>
        </is>
      </c>
      <c r="R18" s="177" t="inlineStr">
        <is>
          <t>/</t>
        </is>
      </c>
      <c r="S18" s="177" t="inlineStr">
        <is>
          <t>/</t>
        </is>
      </c>
      <c r="T18" s="177" t="inlineStr">
        <is>
          <t>/</t>
        </is>
      </c>
      <c r="U18" s="177" t="inlineStr">
        <is>
          <t>/</t>
        </is>
      </c>
      <c r="V18" s="177" t="inlineStr">
        <is>
          <t>/</t>
        </is>
      </c>
      <c r="W18" s="177" t="inlineStr">
        <is>
          <t>/</t>
        </is>
      </c>
      <c r="X18" s="177" t="inlineStr">
        <is>
          <t>/</t>
        </is>
      </c>
      <c r="Y18" s="177" t="inlineStr">
        <is>
          <t>/</t>
        </is>
      </c>
      <c r="Z18" s="177" t="inlineStr">
        <is>
          <t>/</t>
        </is>
      </c>
    </row>
    <row r="19" customFormat="1" s="53">
      <c r="A19" s="7" t="n">
        <v>3.2</v>
      </c>
      <c r="B19" s="7" t="inlineStr">
        <is>
          <t>建设期利息</t>
        </is>
      </c>
      <c r="C19" s="177">
        <f>C10</f>
        <v/>
      </c>
      <c r="D19" s="177" t="inlineStr">
        <is>
          <t>/</t>
        </is>
      </c>
      <c r="E19" s="177" t="inlineStr">
        <is>
          <t>/</t>
        </is>
      </c>
      <c r="F19" s="177" t="inlineStr">
        <is>
          <t>/</t>
        </is>
      </c>
      <c r="G19" s="177" t="inlineStr">
        <is>
          <t>/</t>
        </is>
      </c>
      <c r="H19" s="177" t="inlineStr">
        <is>
          <t>/</t>
        </is>
      </c>
      <c r="I19" s="177" t="inlineStr">
        <is>
          <t>/</t>
        </is>
      </c>
      <c r="J19" s="177" t="inlineStr">
        <is>
          <t>/</t>
        </is>
      </c>
      <c r="K19" s="177" t="inlineStr">
        <is>
          <t>/</t>
        </is>
      </c>
      <c r="L19" s="177" t="inlineStr">
        <is>
          <t>/</t>
        </is>
      </c>
      <c r="M19" s="177" t="inlineStr">
        <is>
          <t>/</t>
        </is>
      </c>
      <c r="N19" s="177" t="inlineStr">
        <is>
          <t>/</t>
        </is>
      </c>
      <c r="O19" s="177" t="inlineStr">
        <is>
          <t>/</t>
        </is>
      </c>
      <c r="P19" s="177" t="inlineStr">
        <is>
          <t>/</t>
        </is>
      </c>
      <c r="Q19" s="177" t="inlineStr">
        <is>
          <t>/</t>
        </is>
      </c>
      <c r="R19" s="177" t="inlineStr">
        <is>
          <t>/</t>
        </is>
      </c>
      <c r="S19" s="177" t="inlineStr">
        <is>
          <t>/</t>
        </is>
      </c>
      <c r="T19" s="177" t="inlineStr">
        <is>
          <t>/</t>
        </is>
      </c>
      <c r="U19" s="177" t="inlineStr">
        <is>
          <t>/</t>
        </is>
      </c>
      <c r="V19" s="177" t="inlineStr">
        <is>
          <t>/</t>
        </is>
      </c>
      <c r="W19" s="177" t="inlineStr">
        <is>
          <t>/</t>
        </is>
      </c>
      <c r="X19" s="177" t="inlineStr">
        <is>
          <t>/</t>
        </is>
      </c>
      <c r="Y19" s="177" t="inlineStr">
        <is>
          <t>/</t>
        </is>
      </c>
      <c r="Z19" s="177" t="inlineStr">
        <is>
          <t>/</t>
        </is>
      </c>
    </row>
    <row r="20" customFormat="1" s="53">
      <c r="A20" s="7" t="n">
        <v>3.3</v>
      </c>
      <c r="B20" s="7" t="inlineStr">
        <is>
          <t>铺底流动资金</t>
        </is>
      </c>
      <c r="C20" s="177">
        <f>C11</f>
        <v/>
      </c>
      <c r="D20" s="177" t="inlineStr">
        <is>
          <t>/</t>
        </is>
      </c>
      <c r="E20" s="177" t="inlineStr">
        <is>
          <t>/</t>
        </is>
      </c>
      <c r="F20" s="177" t="inlineStr">
        <is>
          <t>/</t>
        </is>
      </c>
      <c r="G20" s="177" t="inlineStr">
        <is>
          <t>/</t>
        </is>
      </c>
      <c r="H20" s="177" t="inlineStr">
        <is>
          <t>/</t>
        </is>
      </c>
      <c r="I20" s="177" t="inlineStr">
        <is>
          <t>/</t>
        </is>
      </c>
      <c r="J20" s="177" t="inlineStr">
        <is>
          <t>/</t>
        </is>
      </c>
      <c r="K20" s="177" t="inlineStr">
        <is>
          <t>/</t>
        </is>
      </c>
      <c r="L20" s="177" t="inlineStr">
        <is>
          <t>/</t>
        </is>
      </c>
      <c r="M20" s="177" t="inlineStr">
        <is>
          <t>/</t>
        </is>
      </c>
      <c r="N20" s="177" t="inlineStr">
        <is>
          <t>/</t>
        </is>
      </c>
      <c r="O20" s="177" t="inlineStr">
        <is>
          <t>/</t>
        </is>
      </c>
      <c r="P20" s="177" t="inlineStr">
        <is>
          <t>/</t>
        </is>
      </c>
      <c r="Q20" s="177" t="inlineStr">
        <is>
          <t>/</t>
        </is>
      </c>
      <c r="R20" s="177" t="inlineStr">
        <is>
          <t>/</t>
        </is>
      </c>
      <c r="S20" s="177" t="inlineStr">
        <is>
          <t>/</t>
        </is>
      </c>
      <c r="T20" s="177" t="inlineStr">
        <is>
          <t>/</t>
        </is>
      </c>
      <c r="U20" s="177" t="inlineStr">
        <is>
          <t>/</t>
        </is>
      </c>
      <c r="V20" s="177" t="inlineStr">
        <is>
          <t>/</t>
        </is>
      </c>
      <c r="W20" s="177" t="inlineStr">
        <is>
          <t>/</t>
        </is>
      </c>
      <c r="X20" s="177" t="inlineStr">
        <is>
          <t>/</t>
        </is>
      </c>
      <c r="Y20" s="177" t="inlineStr">
        <is>
          <t>/</t>
        </is>
      </c>
      <c r="Z20" s="177" t="inlineStr">
        <is>
          <t>/</t>
        </is>
      </c>
    </row>
    <row r="21" ht="33" customFormat="1" customHeight="1" s="53">
      <c r="A21" s="55" t="n">
        <v>4</v>
      </c>
      <c r="B21" s="139" t="inlineStr">
        <is>
          <t>资本金比例
（不能少于20%）</t>
        </is>
      </c>
      <c r="C21" s="140">
        <f>C17/C3</f>
        <v/>
      </c>
      <c r="D21" s="140" t="inlineStr">
        <is>
          <t>/</t>
        </is>
      </c>
      <c r="E21" s="140" t="inlineStr">
        <is>
          <t>/</t>
        </is>
      </c>
      <c r="F21" s="140" t="inlineStr">
        <is>
          <t>/</t>
        </is>
      </c>
      <c r="G21" s="140" t="inlineStr">
        <is>
          <t>/</t>
        </is>
      </c>
      <c r="H21" s="140" t="inlineStr">
        <is>
          <t>/</t>
        </is>
      </c>
      <c r="I21" s="140" t="inlineStr">
        <is>
          <t>/</t>
        </is>
      </c>
      <c r="J21" s="140" t="inlineStr">
        <is>
          <t>/</t>
        </is>
      </c>
      <c r="K21" s="140" t="inlineStr">
        <is>
          <t>/</t>
        </is>
      </c>
      <c r="L21" s="140" t="inlineStr">
        <is>
          <t>/</t>
        </is>
      </c>
      <c r="M21" s="140" t="inlineStr">
        <is>
          <t>/</t>
        </is>
      </c>
      <c r="N21" s="140" t="inlineStr">
        <is>
          <t>/</t>
        </is>
      </c>
      <c r="O21" s="140" t="inlineStr">
        <is>
          <t>/</t>
        </is>
      </c>
      <c r="P21" s="140" t="inlineStr">
        <is>
          <t>/</t>
        </is>
      </c>
      <c r="Q21" s="140" t="inlineStr">
        <is>
          <t>/</t>
        </is>
      </c>
      <c r="R21" s="140" t="inlineStr">
        <is>
          <t>/</t>
        </is>
      </c>
      <c r="S21" s="140" t="inlineStr">
        <is>
          <t>/</t>
        </is>
      </c>
      <c r="T21" s="140" t="inlineStr">
        <is>
          <t>/</t>
        </is>
      </c>
      <c r="U21" s="140" t="inlineStr">
        <is>
          <t>/</t>
        </is>
      </c>
      <c r="V21" s="140" t="inlineStr">
        <is>
          <t>/</t>
        </is>
      </c>
      <c r="W21" s="140" t="inlineStr">
        <is>
          <t>/</t>
        </is>
      </c>
      <c r="X21" s="140" t="inlineStr">
        <is>
          <t>/</t>
        </is>
      </c>
      <c r="Y21" s="140" t="inlineStr">
        <is>
          <t>/</t>
        </is>
      </c>
      <c r="Z21" s="140" t="inlineStr">
        <is>
          <t>/</t>
        </is>
      </c>
    </row>
    <row r="22" customFormat="1" s="135"/>
  </sheetData>
  <mergeCells count="1">
    <mergeCell ref="A1:I1"/>
  </mergeCells>
  <pageMargins left="0.75" right="0.75" top="1" bottom="1" header="0.5" footer="0.5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7">
    <tabColor rgb="FFFFFF00"/>
    <outlinePr summaryBelow="1" summaryRight="1"/>
    <pageSetUpPr/>
  </sheetPr>
  <dimension ref="A1:H21"/>
  <sheetViews>
    <sheetView topLeftCell="C1" zoomScale="85" zoomScaleNormal="85" workbookViewId="0">
      <selection activeCell="D20" sqref="D20"/>
    </sheetView>
  </sheetViews>
  <sheetFormatPr baseColWidth="8" defaultColWidth="33.6636363636364" defaultRowHeight="14"/>
  <cols>
    <col width="6" customWidth="1" style="162" min="1" max="1"/>
    <col width="19.3363636363636" customWidth="1" style="162" min="2" max="2"/>
    <col width="56.8909090909091" customWidth="1" style="162" min="3" max="3"/>
    <col width="14.5545454545455" customWidth="1" style="162" min="4" max="4"/>
    <col width="26.3363636363636" customWidth="1" style="162" min="5" max="5"/>
    <col width="27" customWidth="1" style="162" min="6" max="6"/>
    <col width="26" customWidth="1" style="162" min="7" max="7"/>
  </cols>
  <sheetData>
    <row r="1" ht="22.5" customFormat="1" customHeight="1" s="53">
      <c r="A1" s="62" t="inlineStr">
        <is>
          <t>D.3建设投资分年计划表（万元）</t>
        </is>
      </c>
      <c r="B1" s="167" t="n"/>
      <c r="C1" s="167" t="n"/>
      <c r="D1" s="167" t="n"/>
      <c r="E1" s="167" t="n"/>
      <c r="F1" s="167" t="n"/>
      <c r="G1" s="168" t="n"/>
      <c r="H1" s="45" t="n"/>
    </row>
    <row r="2" ht="16.5" customFormat="1" customHeight="1" s="53">
      <c r="A2" s="2" t="inlineStr">
        <is>
          <t>序号</t>
        </is>
      </c>
      <c r="B2" s="2" t="inlineStr">
        <is>
          <t>分项费用</t>
        </is>
      </c>
      <c r="C2" s="2" t="inlineStr">
        <is>
          <t>说明</t>
        </is>
      </c>
      <c r="D2" s="2" t="inlineStr">
        <is>
          <t>金额</t>
        </is>
      </c>
      <c r="E2" s="36" t="n">
        <v>2025</v>
      </c>
      <c r="F2" s="36" t="n">
        <v>2026</v>
      </c>
      <c r="G2" s="36" t="n">
        <v>2027</v>
      </c>
      <c r="H2" s="45" t="n"/>
    </row>
    <row r="3" ht="16.5" customFormat="1" customHeight="1" s="53">
      <c r="A3" s="7" t="inlineStr">
        <is>
          <t>一</t>
        </is>
      </c>
      <c r="B3" s="7" t="inlineStr">
        <is>
          <t>工程建设费用</t>
        </is>
      </c>
      <c r="C3" s="7" t="n"/>
      <c r="D3" s="177">
        <f>SUM(D4+D8)</f>
        <v/>
      </c>
      <c r="E3" s="177">
        <f>E4+E8</f>
        <v/>
      </c>
      <c r="F3" s="177">
        <f>F4+F8</f>
        <v/>
      </c>
      <c r="G3" s="177">
        <f>G4+G8</f>
        <v/>
      </c>
      <c r="H3" s="45" t="n"/>
    </row>
    <row r="4" ht="16.5" customFormat="1" customHeight="1" s="53">
      <c r="A4" s="55" t="n">
        <v>1</v>
      </c>
      <c r="B4" s="55" t="inlineStr">
        <is>
          <t>工程类费用</t>
        </is>
      </c>
      <c r="C4" s="55" t="n"/>
      <c r="D4" s="176">
        <f>SUM(D5:D7)</f>
        <v/>
      </c>
      <c r="E4" s="176">
        <f>E5+E6+E7</f>
        <v/>
      </c>
      <c r="F4" s="176">
        <f>F5+F6+F7</f>
        <v/>
      </c>
      <c r="G4" s="176">
        <f>G5+G6+G7</f>
        <v/>
      </c>
      <c r="H4" s="45" t="n"/>
    </row>
    <row r="5" ht="66" customFormat="1" customHeight="1" s="53">
      <c r="A5" s="7" t="n">
        <v>1.1</v>
      </c>
      <c r="B5" s="10" t="inlineStr">
        <is>
          <t>建筑工程费</t>
        </is>
      </c>
      <c r="C5" s="81" t="inlineStr">
        <is>
          <t>建筑工程费分为直接费和间接费。其中，直接费是指直接与工程物料、施工人工、机器设备等有关的费用，例如建筑材料、人工工资、机械设备租赁费等。间接费则是指与工程间接有关的费用，包括施工单位管理费、安全费、教育培训费等。</t>
        </is>
      </c>
      <c r="D5" s="177">
        <f>SUM(E5:G5)</f>
        <v/>
      </c>
      <c r="E5" s="169" t="n">
        <v>100</v>
      </c>
      <c r="F5" s="169" t="n">
        <v>200</v>
      </c>
      <c r="G5" s="169" t="n">
        <v>300</v>
      </c>
      <c r="H5" s="45" t="n"/>
    </row>
    <row r="6" ht="16.5" customFormat="1" customHeight="1" s="53">
      <c r="A6" s="7" t="n">
        <v>1.2</v>
      </c>
      <c r="B6" s="10" t="inlineStr">
        <is>
          <t>设备购置费</t>
        </is>
      </c>
      <c r="C6" s="7" t="n"/>
      <c r="D6" s="177">
        <f>SUM(E6:G6)</f>
        <v/>
      </c>
      <c r="E6" s="169" t="n">
        <v>100</v>
      </c>
      <c r="F6" s="169" t="n">
        <v>200</v>
      </c>
      <c r="G6" s="169" t="n">
        <v>300</v>
      </c>
      <c r="H6" s="45" t="n"/>
    </row>
    <row r="7" ht="33" customFormat="1" customHeight="1" s="53">
      <c r="A7" s="7" t="n">
        <v>1.3</v>
      </c>
      <c r="B7" s="10" t="inlineStr">
        <is>
          <t>安装工程费</t>
        </is>
      </c>
      <c r="C7" s="81" t="inlineStr">
        <is>
          <t>指的是建筑工程中的管线安装、设备安装（如空调、电线、水管等），以及室内装修、园林绿化等方面的费用。</t>
        </is>
      </c>
      <c r="D7" s="177">
        <f>SUM(E7:G7)</f>
        <v/>
      </c>
      <c r="E7" s="169" t="n">
        <v>100</v>
      </c>
      <c r="F7" s="169" t="n">
        <v>200</v>
      </c>
      <c r="G7" s="169" t="n">
        <v>300</v>
      </c>
      <c r="H7" s="45" t="n"/>
    </row>
    <row r="8" ht="16.5" customFormat="1" customHeight="1" s="53">
      <c r="A8" s="55" t="n">
        <v>2</v>
      </c>
      <c r="B8" s="55" t="inlineStr">
        <is>
          <t>信息化建设费用</t>
        </is>
      </c>
      <c r="C8" s="55" t="n"/>
      <c r="D8" s="176">
        <f>SUM(D9:D12)</f>
        <v/>
      </c>
      <c r="E8" s="176">
        <f>SUM(E9:E12)</f>
        <v/>
      </c>
      <c r="F8" s="176">
        <f>SUM(F9:F12)</f>
        <v/>
      </c>
      <c r="G8" s="176">
        <f>SUM(G9:G12)</f>
        <v/>
      </c>
      <c r="H8" s="45" t="n"/>
    </row>
    <row r="9" ht="16.5" customFormat="1" customHeight="1" s="53">
      <c r="A9" s="7" t="n">
        <v>2.1</v>
      </c>
      <c r="B9" s="10" t="inlineStr">
        <is>
          <t>硬件类</t>
        </is>
      </c>
      <c r="C9" s="7" t="inlineStr">
        <is>
          <t>包括服务器、存储、网络等设备</t>
        </is>
      </c>
      <c r="D9" s="177">
        <f>SUM(E9:G9)</f>
        <v/>
      </c>
      <c r="E9" s="169" t="n">
        <v>2</v>
      </c>
      <c r="F9" s="169" t="n">
        <v>2</v>
      </c>
      <c r="G9" s="169" t="n">
        <v>2</v>
      </c>
      <c r="H9" s="45" t="n"/>
    </row>
    <row r="10" ht="16.5" customFormat="1" customHeight="1" s="53">
      <c r="A10" s="7" t="n">
        <v>2.2</v>
      </c>
      <c r="B10" s="10" t="inlineStr">
        <is>
          <t>软件类</t>
        </is>
      </c>
      <c r="C10" s="7" t="n"/>
      <c r="D10" s="177">
        <f>SUM(E10:G10)</f>
        <v/>
      </c>
      <c r="E10" s="169" t="n">
        <v>2</v>
      </c>
      <c r="F10" s="169" t="n">
        <v>2</v>
      </c>
      <c r="G10" s="169" t="n">
        <v>2</v>
      </c>
      <c r="H10" s="45" t="n"/>
    </row>
    <row r="11" ht="16.5" customFormat="1" customHeight="1" s="53">
      <c r="A11" s="7" t="n">
        <v>2.3</v>
      </c>
      <c r="B11" s="10" t="inlineStr">
        <is>
          <t>安全类</t>
        </is>
      </c>
      <c r="C11" s="7" t="n"/>
      <c r="D11" s="177">
        <f>SUM(E11:G11)</f>
        <v/>
      </c>
      <c r="E11" s="169" t="n">
        <v>2</v>
      </c>
      <c r="F11" s="169" t="n">
        <v>2</v>
      </c>
      <c r="G11" s="169" t="n">
        <v>2</v>
      </c>
      <c r="H11" s="45" t="n"/>
    </row>
    <row r="12" ht="16.5" customFormat="1" customHeight="1" s="53">
      <c r="A12" s="7" t="n">
        <v>2.4</v>
      </c>
      <c r="B12" s="10" t="inlineStr">
        <is>
          <t>数据类</t>
        </is>
      </c>
      <c r="C12" s="7" t="n"/>
      <c r="D12" s="177">
        <f>SUM(E12:G12)</f>
        <v/>
      </c>
      <c r="E12" s="169" t="n">
        <v>2</v>
      </c>
      <c r="F12" s="169" t="n">
        <v>2</v>
      </c>
      <c r="G12" s="169" t="n">
        <v>2</v>
      </c>
      <c r="H12" s="45" t="n"/>
    </row>
    <row r="13" ht="16.5" customFormat="1" customHeight="1" s="53">
      <c r="A13" s="55" t="inlineStr">
        <is>
          <t>二</t>
        </is>
      </c>
      <c r="B13" s="55" t="inlineStr">
        <is>
          <t>工程建设其他费用</t>
        </is>
      </c>
      <c r="C13" s="55" t="n"/>
      <c r="D13" s="55">
        <f>SUM(D14:D18)</f>
        <v/>
      </c>
      <c r="E13" s="55">
        <f>SUM(E14:E18)</f>
        <v/>
      </c>
      <c r="F13" s="55">
        <f>SUM(F14:F18)</f>
        <v/>
      </c>
      <c r="G13" s="55">
        <f>SUM(G14:G18)</f>
        <v/>
      </c>
      <c r="H13" s="45" t="n"/>
    </row>
    <row r="14" ht="16.5" customFormat="1" customHeight="1" s="53">
      <c r="A14" s="7" t="n">
        <v>1</v>
      </c>
      <c r="B14" s="10" t="inlineStr">
        <is>
          <t>建设单位管理费</t>
        </is>
      </c>
      <c r="C14" s="7" t="n"/>
      <c r="D14" s="177">
        <f>SUM(E14:G14)</f>
        <v/>
      </c>
      <c r="E14" s="169" t="n">
        <v>2</v>
      </c>
      <c r="F14" s="169" t="n">
        <v>2</v>
      </c>
      <c r="G14" s="169" t="n">
        <v>2</v>
      </c>
      <c r="H14" s="45" t="n"/>
    </row>
    <row r="15" ht="16.5" customFormat="1" customHeight="1" s="53">
      <c r="A15" s="7" t="n">
        <v>2</v>
      </c>
      <c r="B15" s="10" t="inlineStr">
        <is>
          <t>前期咨询费</t>
        </is>
      </c>
      <c r="C15" s="7" t="n"/>
      <c r="D15" s="177">
        <f>SUM(E15:G15)</f>
        <v/>
      </c>
      <c r="E15" s="169" t="n">
        <v>2</v>
      </c>
      <c r="F15" s="169" t="n">
        <v>2</v>
      </c>
      <c r="G15" s="169" t="n">
        <v>2</v>
      </c>
      <c r="H15" s="45" t="n"/>
    </row>
    <row r="16" ht="16.5" customFormat="1" customHeight="1" s="53">
      <c r="A16" s="7" t="n">
        <v>3</v>
      </c>
      <c r="B16" s="10" t="inlineStr">
        <is>
          <t>工程设计费</t>
        </is>
      </c>
      <c r="C16" s="7" t="n"/>
      <c r="D16" s="177">
        <f>SUM(E16:G16)</f>
        <v/>
      </c>
      <c r="E16" s="169" t="n">
        <v>2</v>
      </c>
      <c r="F16" s="169" t="n">
        <v>2</v>
      </c>
      <c r="G16" s="169" t="n">
        <v>2</v>
      </c>
      <c r="H16" s="45" t="n"/>
    </row>
    <row r="17" ht="16.5" customFormat="1" customHeight="1" s="53">
      <c r="A17" s="7" t="n">
        <v>4</v>
      </c>
      <c r="B17" s="10" t="inlineStr">
        <is>
          <t>工程监理费</t>
        </is>
      </c>
      <c r="C17" s="7" t="n"/>
      <c r="D17" s="177">
        <f>SUM(E17:G17)</f>
        <v/>
      </c>
      <c r="E17" s="169" t="n">
        <v>2</v>
      </c>
      <c r="F17" s="169" t="n">
        <v>2</v>
      </c>
      <c r="G17" s="169" t="n">
        <v>2</v>
      </c>
      <c r="H17" s="45" t="n"/>
    </row>
    <row r="18" ht="16.5" customFormat="1" customHeight="1" s="53">
      <c r="A18" s="7" t="n">
        <v>5</v>
      </c>
      <c r="B18" s="10" t="inlineStr">
        <is>
          <t>......</t>
        </is>
      </c>
      <c r="C18" s="7" t="n"/>
      <c r="D18" s="177">
        <f>SUM(E18:G18)</f>
        <v/>
      </c>
      <c r="E18" s="169" t="n">
        <v>0</v>
      </c>
      <c r="F18" s="169" t="n">
        <v>0</v>
      </c>
      <c r="G18" s="169" t="n">
        <v>0</v>
      </c>
      <c r="H18" s="45" t="n"/>
    </row>
    <row r="19" ht="16.5" customFormat="1" customHeight="1" s="53">
      <c r="A19" s="55" t="inlineStr">
        <is>
          <t>三</t>
        </is>
      </c>
      <c r="B19" s="55" t="inlineStr">
        <is>
          <t>预备费</t>
        </is>
      </c>
      <c r="C19" s="55" t="n"/>
      <c r="D19" s="176">
        <f>D20</f>
        <v/>
      </c>
      <c r="E19" s="176">
        <f>E20</f>
        <v/>
      </c>
      <c r="F19" s="176">
        <f>F20</f>
        <v/>
      </c>
      <c r="G19" s="176">
        <f>G20</f>
        <v/>
      </c>
      <c r="H19" s="45" t="n"/>
    </row>
    <row r="20" ht="16.5" customFormat="1" customHeight="1" s="53">
      <c r="A20" s="7" t="n">
        <v>1</v>
      </c>
      <c r="B20" s="138" t="inlineStr">
        <is>
          <t>基本预备费</t>
        </is>
      </c>
      <c r="C20" s="138" t="n"/>
      <c r="D20" s="177">
        <f>SUM(E20:G20)</f>
        <v/>
      </c>
      <c r="E20" s="169" t="n">
        <v>2</v>
      </c>
      <c r="F20" s="169" t="n">
        <v>2</v>
      </c>
      <c r="G20" s="169" t="n">
        <v>2</v>
      </c>
      <c r="H20" s="45" t="n"/>
    </row>
    <row r="21" ht="16.5" customFormat="1" customHeight="1" s="53">
      <c r="A21" s="7" t="n"/>
      <c r="B21" s="7" t="inlineStr">
        <is>
          <t>总计</t>
        </is>
      </c>
      <c r="C21" s="168" t="n"/>
      <c r="D21" s="177">
        <f>SUM(E21:G21)</f>
        <v/>
      </c>
      <c r="E21" s="177">
        <f>E3+E13+E19</f>
        <v/>
      </c>
      <c r="F21" s="177">
        <f>F3+F13+F19</f>
        <v/>
      </c>
      <c r="G21" s="177">
        <f>G3+G13+G19</f>
        <v/>
      </c>
      <c r="H21" s="45" t="n"/>
    </row>
  </sheetData>
  <mergeCells count="2">
    <mergeCell ref="B21:C21"/>
    <mergeCell ref="A1:G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8">
    <tabColor rgb="FFFFFF00"/>
    <outlinePr summaryBelow="1" summaryRight="1"/>
    <pageSetUpPr/>
  </sheetPr>
  <dimension ref="A1:AA15"/>
  <sheetViews>
    <sheetView zoomScale="85" zoomScaleNormal="85" workbookViewId="0">
      <pane xSplit="4" ySplit="2" topLeftCell="E3" activePane="bottomRight" state="frozen"/>
      <selection activeCell="A1" sqref="A1"/>
      <selection pane="topRight" activeCell="A1" sqref="A1"/>
      <selection pane="bottomLeft" activeCell="A1" sqref="A1"/>
      <selection pane="bottomRight" activeCell="K9" sqref="K9"/>
    </sheetView>
  </sheetViews>
  <sheetFormatPr baseColWidth="8" defaultColWidth="8.890909090909091" defaultRowHeight="28.05" customHeight="1"/>
  <cols>
    <col width="6.66363636363636" customWidth="1" style="162" min="1" max="1"/>
    <col width="21.5545454545455" customWidth="1" style="162" min="2" max="2"/>
    <col width="18.6636363636364" customWidth="1" style="162" min="3" max="3"/>
    <col width="10.1090909090909" customWidth="1" style="162" min="4" max="4"/>
    <col width="6.89090909090909" customWidth="1" style="162" min="5" max="6"/>
    <col width="8" customWidth="1" style="162" min="7" max="10"/>
    <col width="85.3363636363636" customWidth="1" style="162" min="11" max="11"/>
    <col width="80.4454545454546" customWidth="1" style="162" min="15" max="15"/>
  </cols>
  <sheetData>
    <row r="1" customFormat="1" s="53">
      <c r="A1" s="136" t="inlineStr">
        <is>
          <t>D.4流动资金估算表（万元）</t>
        </is>
      </c>
      <c r="B1" s="175" t="n"/>
      <c r="C1" s="175" t="n"/>
      <c r="D1" s="175" t="n"/>
      <c r="E1" s="175" t="n"/>
      <c r="F1" s="175" t="n"/>
      <c r="G1" s="175" t="n"/>
      <c r="H1" s="175" t="n"/>
      <c r="I1" s="175" t="n"/>
      <c r="J1" s="175" t="n"/>
      <c r="K1" s="45" t="n"/>
    </row>
    <row r="2" ht="33" customFormat="1" customHeight="1" s="53">
      <c r="A2" s="2" t="inlineStr">
        <is>
          <t>序号</t>
        </is>
      </c>
      <c r="B2" s="2" t="inlineStr">
        <is>
          <t>项目</t>
        </is>
      </c>
      <c r="C2" s="2" t="inlineStr">
        <is>
          <t>最低周转天数(天)</t>
        </is>
      </c>
      <c r="D2" s="2" t="inlineStr">
        <is>
          <t>周转次数</t>
        </is>
      </c>
      <c r="E2" s="36" t="n">
        <v>2025</v>
      </c>
      <c r="F2" s="36" t="n">
        <v>2026</v>
      </c>
      <c r="G2" s="36" t="n">
        <v>2027</v>
      </c>
      <c r="H2" s="36" t="n">
        <v>2028</v>
      </c>
      <c r="I2" s="36" t="n">
        <v>2029</v>
      </c>
      <c r="J2" s="36" t="n">
        <v>2030</v>
      </c>
      <c r="K2" s="210" t="n">
        <v>2031</v>
      </c>
      <c r="L2" s="210" t="n">
        <v>2032</v>
      </c>
      <c r="M2" s="210" t="n">
        <v>2033</v>
      </c>
      <c r="N2" s="210" t="n">
        <v>2034</v>
      </c>
      <c r="O2" s="210" t="n">
        <v>2035</v>
      </c>
      <c r="P2" s="210" t="n">
        <v>2036</v>
      </c>
      <c r="Q2" s="210" t="n">
        <v>2037</v>
      </c>
      <c r="R2" s="210" t="n">
        <v>2038</v>
      </c>
      <c r="S2" s="210" t="n">
        <v>2039</v>
      </c>
      <c r="T2" s="210" t="n">
        <v>2040</v>
      </c>
      <c r="U2" s="210" t="n">
        <v>2041</v>
      </c>
      <c r="V2" s="210" t="n">
        <v>2042</v>
      </c>
      <c r="W2" s="210" t="n">
        <v>2043</v>
      </c>
      <c r="X2" s="210" t="n">
        <v>2044</v>
      </c>
      <c r="Y2" s="210" t="n">
        <v>2045</v>
      </c>
      <c r="Z2" s="210" t="n">
        <v>2046</v>
      </c>
      <c r="AA2" s="210" t="n">
        <v>2047</v>
      </c>
    </row>
    <row r="3" customFormat="1" s="53">
      <c r="A3" s="7" t="n">
        <v>1</v>
      </c>
      <c r="B3" s="7" t="inlineStr">
        <is>
          <t>流动资产</t>
        </is>
      </c>
      <c r="C3" s="10" t="n">
        <v>2</v>
      </c>
      <c r="D3" s="7">
        <f>360/C3</f>
        <v/>
      </c>
      <c r="E3" s="123" t="n"/>
      <c r="F3" s="177">
        <f>F4+F5+F10</f>
        <v/>
      </c>
      <c r="G3" s="177">
        <f>G4+G5+G10</f>
        <v/>
      </c>
      <c r="H3" s="177">
        <f>H4+H5+H10</f>
        <v/>
      </c>
      <c r="I3" s="177">
        <f>I4+I5+I10</f>
        <v/>
      </c>
      <c r="J3" s="177">
        <f>J4+J5+J10</f>
        <v/>
      </c>
      <c r="K3" s="177">
        <f>K4+K5+K10</f>
        <v/>
      </c>
      <c r="L3" s="177">
        <f>L4+L5+L10</f>
        <v/>
      </c>
      <c r="M3" s="177">
        <f>M4+M5+M10</f>
        <v/>
      </c>
      <c r="N3" s="177">
        <f>N4+N5+N10</f>
        <v/>
      </c>
      <c r="O3" s="177">
        <f>O4+O5+O10</f>
        <v/>
      </c>
      <c r="P3" s="177">
        <f>P4+P5+P10</f>
        <v/>
      </c>
      <c r="Q3" s="177">
        <f>Q4+Q5+Q10</f>
        <v/>
      </c>
      <c r="R3" s="177">
        <f>R4+R5+R10</f>
        <v/>
      </c>
      <c r="S3" s="177">
        <f>S4+S5+S10</f>
        <v/>
      </c>
      <c r="T3" s="177">
        <f>T4+T5+T10</f>
        <v/>
      </c>
      <c r="U3" s="177">
        <f>U4+U5+U10</f>
        <v/>
      </c>
      <c r="V3" s="177">
        <f>V4+V5+V10</f>
        <v/>
      </c>
      <c r="W3" s="177">
        <f>W4+W5+W10</f>
        <v/>
      </c>
      <c r="X3" s="177">
        <f>X4+X5+X10</f>
        <v/>
      </c>
      <c r="Y3" s="177">
        <f>Y4+Y5+Y10</f>
        <v/>
      </c>
      <c r="Z3" s="177">
        <f>Z4+Z5+Z10</f>
        <v/>
      </c>
      <c r="AA3" s="177">
        <f>AA4+AA5+AA10</f>
        <v/>
      </c>
    </row>
    <row r="4" customFormat="1" s="53">
      <c r="A4" s="7" t="n">
        <v>1.1</v>
      </c>
      <c r="B4" s="7" t="inlineStr">
        <is>
          <t>应收账款</t>
        </is>
      </c>
      <c r="C4" s="10" t="n">
        <v>1</v>
      </c>
      <c r="D4" s="7">
        <f>360/C4</f>
        <v/>
      </c>
      <c r="E4" s="123">
        <f>('F项目收入'!D11/$D$4)</f>
        <v/>
      </c>
      <c r="F4" s="177">
        <f>('F项目收入'!E11/$D$4)</f>
        <v/>
      </c>
      <c r="G4" s="177">
        <f>('F项目收入'!F11/$D$4)</f>
        <v/>
      </c>
      <c r="H4" s="177">
        <f>('F项目收入'!G11/$D$4)</f>
        <v/>
      </c>
      <c r="I4" s="177">
        <f>('F项目收入'!H11/$D$4)</f>
        <v/>
      </c>
      <c r="J4" s="177">
        <f>F项目收入!I11/$D$4</f>
        <v/>
      </c>
      <c r="K4" s="177">
        <f>'F项目收入'!J11/$D$4</f>
        <v/>
      </c>
      <c r="L4" s="177">
        <f>'F项目收入'!K11/$D$4</f>
        <v/>
      </c>
      <c r="M4" s="177">
        <f>'F项目收入'!L11/$D$4</f>
        <v/>
      </c>
      <c r="N4" s="177">
        <f>'F项目收入'!M11/$D$4</f>
        <v/>
      </c>
      <c r="O4" s="177">
        <f>'F项目收入'!N11/$D$4</f>
        <v/>
      </c>
      <c r="P4" s="177">
        <f>'F项目收入'!O11/$D$4</f>
        <v/>
      </c>
      <c r="Q4" s="177">
        <f>'F项目收入'!P11/$D$4</f>
        <v/>
      </c>
      <c r="R4" s="177">
        <f>'F项目收入'!Q11/$D$4</f>
        <v/>
      </c>
      <c r="S4" s="177">
        <f>'F项目收入'!R11/$D$4</f>
        <v/>
      </c>
      <c r="T4" s="177">
        <f>'F项目收入'!S11/$D$4</f>
        <v/>
      </c>
      <c r="U4" s="177">
        <f>'F项目收入'!T11/$D$4</f>
        <v/>
      </c>
      <c r="V4" s="177">
        <f>'F项目收入'!U11/$D$4</f>
        <v/>
      </c>
      <c r="W4" s="177">
        <f>'F项目收入'!V11/$D$4</f>
        <v/>
      </c>
      <c r="X4" s="177">
        <f>'F项目收入'!W11/$D$4</f>
        <v/>
      </c>
      <c r="Y4" s="177">
        <f>'F项目收入'!X11/$D$4</f>
        <v/>
      </c>
      <c r="Z4" s="177">
        <f>'F项目收入'!Y11/$D$4</f>
        <v/>
      </c>
      <c r="AA4" s="177">
        <f>'F项目收入'!Z11/$D$4</f>
        <v/>
      </c>
    </row>
    <row r="5" customFormat="1" s="53">
      <c r="A5" s="7" t="n">
        <v>1.2</v>
      </c>
      <c r="B5" s="7" t="inlineStr">
        <is>
          <t>存货</t>
        </is>
      </c>
      <c r="C5" s="10" t="n">
        <v>3</v>
      </c>
      <c r="D5" s="7">
        <f>360/C5</f>
        <v/>
      </c>
      <c r="E5" s="123" t="n"/>
      <c r="F5" s="177">
        <f>SUM(F6:F9)</f>
        <v/>
      </c>
      <c r="G5" s="177">
        <f>SUM(G6:G9)</f>
        <v/>
      </c>
      <c r="H5" s="177">
        <f>SUM(H6:H9)</f>
        <v/>
      </c>
      <c r="I5" s="177">
        <f>SUM(I6:I9)</f>
        <v/>
      </c>
      <c r="J5" s="177">
        <f>SUM(J6:J9)</f>
        <v/>
      </c>
      <c r="K5" s="177">
        <f>SUM(K6:K9)</f>
        <v/>
      </c>
      <c r="L5" s="177">
        <f>SUM(L6:L9)</f>
        <v/>
      </c>
      <c r="M5" s="177">
        <f>SUM(M6:M9)</f>
        <v/>
      </c>
      <c r="N5" s="177">
        <f>SUM(N6:N9)</f>
        <v/>
      </c>
      <c r="O5" s="177">
        <f>SUM(O6:O9)</f>
        <v/>
      </c>
      <c r="P5" s="177">
        <f>SUM(P6:P9)</f>
        <v/>
      </c>
      <c r="Q5" s="177">
        <f>SUM(Q6:Q9)</f>
        <v/>
      </c>
      <c r="R5" s="177">
        <f>SUM(R6:R9)</f>
        <v/>
      </c>
      <c r="S5" s="177">
        <f>SUM(S6:S9)</f>
        <v/>
      </c>
      <c r="T5" s="177">
        <f>SUM(T6:T9)</f>
        <v/>
      </c>
      <c r="U5" s="177">
        <f>SUM(U6:U9)</f>
        <v/>
      </c>
      <c r="V5" s="177">
        <f>SUM(V6:V9)</f>
        <v/>
      </c>
      <c r="W5" s="177">
        <f>SUM(W6:W9)</f>
        <v/>
      </c>
      <c r="X5" s="177">
        <f>SUM(X6:X9)</f>
        <v/>
      </c>
      <c r="Y5" s="177">
        <f>SUM(Y6:Y9)</f>
        <v/>
      </c>
      <c r="Z5" s="177">
        <f>SUM(Z6:Z9)</f>
        <v/>
      </c>
      <c r="AA5" s="177">
        <f>SUM(AA6:AA9)</f>
        <v/>
      </c>
    </row>
    <row r="6" customFormat="1" s="53">
      <c r="A6" s="7" t="inlineStr">
        <is>
          <t>1.2.1</t>
        </is>
      </c>
      <c r="B6" s="7" t="inlineStr">
        <is>
          <t>原材料</t>
        </is>
      </c>
      <c r="C6" s="10" t="n">
        <v>30</v>
      </c>
      <c r="D6" s="7">
        <f>360/C6</f>
        <v/>
      </c>
      <c r="E6" s="123" t="n"/>
      <c r="F6" s="177">
        <f>E总成本费用估算表!D3/$D$6</f>
        <v/>
      </c>
      <c r="G6" s="177">
        <f>E总成本费用估算表!E3/$D$6</f>
        <v/>
      </c>
      <c r="H6" s="177">
        <f>E总成本费用估算表!F3/$D$6</f>
        <v/>
      </c>
      <c r="I6" s="177">
        <f>E总成本费用估算表!G3/$D$6</f>
        <v/>
      </c>
      <c r="J6" s="177">
        <f>E总成本费用估算表!H3/$D$6</f>
        <v/>
      </c>
      <c r="K6" s="177">
        <f>'E总成本费用估算表'!I3/$D$6</f>
        <v/>
      </c>
      <c r="L6" s="177">
        <f>'E总成本费用估算表'!J3/$D$6</f>
        <v/>
      </c>
      <c r="M6" s="177">
        <f>'E总成本费用估算表'!K3/$D$6</f>
        <v/>
      </c>
      <c r="N6" s="177">
        <f>'E总成本费用估算表'!L3/$D$6</f>
        <v/>
      </c>
      <c r="O6" s="177">
        <f>'E总成本费用估算表'!M3/$D$6</f>
        <v/>
      </c>
      <c r="P6" s="177">
        <f>'E总成本费用估算表'!N3/$D$6</f>
        <v/>
      </c>
      <c r="Q6" s="177">
        <f>'E总成本费用估算表'!O3/$D$6</f>
        <v/>
      </c>
      <c r="R6" s="177">
        <f>'E总成本费用估算表'!P3/$D$6</f>
        <v/>
      </c>
      <c r="S6" s="177">
        <f>'E总成本费用估算表'!Q3/$D$6</f>
        <v/>
      </c>
      <c r="T6" s="177">
        <f>'E总成本费用估算表'!R3/$D$6</f>
        <v/>
      </c>
      <c r="U6" s="177">
        <f>'E总成本费用估算表'!S3/$D$6</f>
        <v/>
      </c>
      <c r="V6" s="177">
        <f>'E总成本费用估算表'!T3/$D$6</f>
        <v/>
      </c>
      <c r="W6" s="177">
        <f>'E总成本费用估算表'!U3/$D$6</f>
        <v/>
      </c>
      <c r="X6" s="177">
        <f>'E总成本费用估算表'!V3/$D$6</f>
        <v/>
      </c>
      <c r="Y6" s="177">
        <f>'E总成本费用估算表'!W3/$D$6</f>
        <v/>
      </c>
      <c r="Z6" s="177">
        <f>'E总成本费用估算表'!X3/$D$6</f>
        <v/>
      </c>
      <c r="AA6" s="177">
        <f>'E总成本费用估算表'!Y3/$D$6</f>
        <v/>
      </c>
    </row>
    <row r="7" customFormat="1" s="53">
      <c r="A7" s="7" t="inlineStr">
        <is>
          <t>1.2.2</t>
        </is>
      </c>
      <c r="B7" s="7" t="inlineStr">
        <is>
          <t>燃料动力</t>
        </is>
      </c>
      <c r="C7" s="10" t="n">
        <v>15</v>
      </c>
      <c r="D7" s="7">
        <f>360/C7</f>
        <v/>
      </c>
      <c r="E7" s="123" t="n"/>
      <c r="F7" s="177">
        <f>E总成本费用估算表!D4/$D$7</f>
        <v/>
      </c>
      <c r="G7" s="177">
        <f>E总成本费用估算表!E4/$D$7</f>
        <v/>
      </c>
      <c r="H7" s="177">
        <f>E总成本费用估算表!F4/$D$7</f>
        <v/>
      </c>
      <c r="I7" s="177">
        <f>E总成本费用估算表!G4/$D$7</f>
        <v/>
      </c>
      <c r="J7" s="177">
        <f>E总成本费用估算表!H4/$D$7</f>
        <v/>
      </c>
      <c r="K7" s="177">
        <f>'E总成本费用估算表'!I4/$D$7</f>
        <v/>
      </c>
      <c r="L7" s="177">
        <f>'E总成本费用估算表'!J4/$D$7</f>
        <v/>
      </c>
      <c r="M7" s="177">
        <f>'E总成本费用估算表'!K4/$D$7</f>
        <v/>
      </c>
      <c r="N7" s="177">
        <f>'E总成本费用估算表'!L4/$D$7</f>
        <v/>
      </c>
      <c r="O7" s="177">
        <f>'E总成本费用估算表'!M4/$D$7</f>
        <v/>
      </c>
      <c r="P7" s="177">
        <f>'E总成本费用估算表'!N4/$D$7</f>
        <v/>
      </c>
      <c r="Q7" s="177">
        <f>'E总成本费用估算表'!O4/$D$7</f>
        <v/>
      </c>
      <c r="R7" s="177">
        <f>'E总成本费用估算表'!P4/$D$7</f>
        <v/>
      </c>
      <c r="S7" s="177">
        <f>'E总成本费用估算表'!Q4/$D$7</f>
        <v/>
      </c>
      <c r="T7" s="177">
        <f>'E总成本费用估算表'!R4/$D$7</f>
        <v/>
      </c>
      <c r="U7" s="177">
        <f>'E总成本费用估算表'!S4/$D$7</f>
        <v/>
      </c>
      <c r="V7" s="177">
        <f>'E总成本费用估算表'!T4/$D$7</f>
        <v/>
      </c>
      <c r="W7" s="177">
        <f>'E总成本费用估算表'!U4/$D$7</f>
        <v/>
      </c>
      <c r="X7" s="177">
        <f>'E总成本费用估算表'!V4/$D$7</f>
        <v/>
      </c>
      <c r="Y7" s="177">
        <f>'E总成本费用估算表'!W4/$D$7</f>
        <v/>
      </c>
      <c r="Z7" s="177">
        <f>'E总成本费用估算表'!X4/$D$7</f>
        <v/>
      </c>
      <c r="AA7" s="177">
        <f>'E总成本费用估算表'!Y4/$D$7</f>
        <v/>
      </c>
    </row>
    <row r="8" customFormat="1" s="53">
      <c r="A8" s="7" t="inlineStr">
        <is>
          <t>1.2.3</t>
        </is>
      </c>
      <c r="B8" s="7" t="inlineStr">
        <is>
          <t>在产品</t>
        </is>
      </c>
      <c r="C8" s="10" t="n">
        <v>3</v>
      </c>
      <c r="D8" s="7">
        <f>360/C8</f>
        <v/>
      </c>
      <c r="E8" s="123" t="n"/>
      <c r="F8" s="169" t="n">
        <v>0</v>
      </c>
      <c r="G8" s="169" t="n">
        <v>0</v>
      </c>
      <c r="H8" s="169" t="n">
        <v>0</v>
      </c>
      <c r="I8" s="169" t="n">
        <v>0</v>
      </c>
      <c r="J8" s="169" t="n">
        <v>0</v>
      </c>
      <c r="K8" s="169" t="n">
        <v>0</v>
      </c>
      <c r="L8" s="169" t="n">
        <v>0</v>
      </c>
      <c r="M8" s="169" t="n">
        <v>0</v>
      </c>
      <c r="N8" s="169" t="n">
        <v>0</v>
      </c>
      <c r="O8" s="169" t="n">
        <v>0</v>
      </c>
      <c r="P8" s="169" t="n">
        <v>0</v>
      </c>
      <c r="Q8" s="169" t="n">
        <v>0</v>
      </c>
      <c r="R8" s="169" t="n">
        <v>0</v>
      </c>
      <c r="S8" s="169" t="n">
        <v>0</v>
      </c>
      <c r="T8" s="169" t="n">
        <v>0</v>
      </c>
      <c r="U8" s="169" t="n">
        <v>0</v>
      </c>
      <c r="V8" s="169" t="n">
        <v>0</v>
      </c>
      <c r="W8" s="169" t="n">
        <v>0</v>
      </c>
      <c r="X8" s="169" t="n">
        <v>0</v>
      </c>
      <c r="Y8" s="169" t="n">
        <v>0</v>
      </c>
      <c r="Z8" s="169" t="n">
        <v>0</v>
      </c>
      <c r="AA8" s="169" t="n">
        <v>0</v>
      </c>
    </row>
    <row r="9" customFormat="1" s="53">
      <c r="A9" s="7" t="inlineStr">
        <is>
          <t>1.2.4</t>
        </is>
      </c>
      <c r="B9" s="7" t="inlineStr">
        <is>
          <t>产成品</t>
        </is>
      </c>
      <c r="C9" s="10" t="n">
        <v>15</v>
      </c>
      <c r="D9" s="7">
        <f>360/C9</f>
        <v/>
      </c>
      <c r="E9" s="123" t="n"/>
      <c r="F9" s="177">
        <f>(E总成本费用估算表!D11-E总成本费用估算表!D10)/$D$9</f>
        <v/>
      </c>
      <c r="G9" s="177">
        <f>(E总成本费用估算表!E11-E总成本费用估算表!E10)/$D$9</f>
        <v/>
      </c>
      <c r="H9" s="177">
        <f>(E总成本费用估算表!F11-E总成本费用估算表!F10)/$D$9</f>
        <v/>
      </c>
      <c r="I9" s="177">
        <f>(E总成本费用估算表!G11-E总成本费用估算表!G10)/$D$9</f>
        <v/>
      </c>
      <c r="J9" s="177">
        <f>(E总成本费用估算表!H11-E总成本费用估算表!H10)/$D$9</f>
        <v/>
      </c>
      <c r="K9" s="177">
        <f>('E总成本费用估算表'!I11-'E总成本费用估算表'!I10)/$D$9</f>
        <v/>
      </c>
      <c r="L9" s="177">
        <f>('E总成本费用估算表'!J11-'E总成本费用估算表'!J10)/$D$9</f>
        <v/>
      </c>
      <c r="M9" s="177">
        <f>('E总成本费用估算表'!K11-'E总成本费用估算表'!K10)/$D$9</f>
        <v/>
      </c>
      <c r="N9" s="177">
        <f>('E总成本费用估算表'!L11-'E总成本费用估算表'!L10)/$D$9</f>
        <v/>
      </c>
      <c r="O9" s="177">
        <f>('E总成本费用估算表'!M11-'E总成本费用估算表'!M10)/$D$9</f>
        <v/>
      </c>
      <c r="P9" s="177">
        <f>('E总成本费用估算表'!N11-'E总成本费用估算表'!N10)/$D$9</f>
        <v/>
      </c>
      <c r="Q9" s="177">
        <f>('E总成本费用估算表'!O11-'E总成本费用估算表'!O10)/$D$9</f>
        <v/>
      </c>
      <c r="R9" s="177">
        <f>('E总成本费用估算表'!P11-'E总成本费用估算表'!P10)/$D$9</f>
        <v/>
      </c>
      <c r="S9" s="177">
        <f>('E总成本费用估算表'!Q11-'E总成本费用估算表'!Q10)/$D$9</f>
        <v/>
      </c>
      <c r="T9" s="177">
        <f>('E总成本费用估算表'!R11-'E总成本费用估算表'!R10)/$D$9</f>
        <v/>
      </c>
      <c r="U9" s="177">
        <f>('E总成本费用估算表'!S11-'E总成本费用估算表'!S10)/$D$9</f>
        <v/>
      </c>
      <c r="V9" s="177">
        <f>('E总成本费用估算表'!T11-'E总成本费用估算表'!T10)/$D$9</f>
        <v/>
      </c>
      <c r="W9" s="177">
        <f>('E总成本费用估算表'!U11-'E总成本费用估算表'!U10)/$D$9</f>
        <v/>
      </c>
      <c r="X9" s="177">
        <f>('E总成本费用估算表'!V11-'E总成本费用估算表'!V10)/$D$9</f>
        <v/>
      </c>
      <c r="Y9" s="177">
        <f>('E总成本费用估算表'!W11-'E总成本费用估算表'!W10)/$D$9</f>
        <v/>
      </c>
      <c r="Z9" s="177">
        <f>('E总成本费用估算表'!X11-'E总成本费用估算表'!X10)/$D$9</f>
        <v/>
      </c>
      <c r="AA9" s="177">
        <f>('E总成本费用估算表'!Y11-'E总成本费用估算表'!Y10)/$D$9</f>
        <v/>
      </c>
    </row>
    <row r="10" customFormat="1" s="53">
      <c r="A10" s="7" t="n">
        <v>1.3</v>
      </c>
      <c r="B10" s="7" t="inlineStr">
        <is>
          <t>现金</t>
        </is>
      </c>
      <c r="C10" s="10" t="n">
        <v>15</v>
      </c>
      <c r="D10" s="7">
        <f>360/C10</f>
        <v/>
      </c>
      <c r="E10" s="123" t="n"/>
      <c r="F10" s="177">
        <f>(E总成本费用估算表!D5+E总成本费用估算表!D7)/$D$10</f>
        <v/>
      </c>
      <c r="G10" s="177">
        <f>(E总成本费用估算表!E5+E总成本费用估算表!E7)/$D$10</f>
        <v/>
      </c>
      <c r="H10" s="177">
        <f>(E总成本费用估算表!F5+E总成本费用估算表!F7)/$D$10</f>
        <v/>
      </c>
      <c r="I10" s="177">
        <f>(E总成本费用估算表!G5+E总成本费用估算表!G7)/$D$10</f>
        <v/>
      </c>
      <c r="J10" s="177">
        <f>(E总成本费用估算表!H5+E总成本费用估算表!H7)/$D$10</f>
        <v/>
      </c>
      <c r="K10" s="177">
        <f>('E总成本费用估算表'!I5+'E总成本费用估算表'!I7)/$D$10</f>
        <v/>
      </c>
      <c r="L10" s="177">
        <f>('E总成本费用估算表'!J5+'E总成本费用估算表'!J7)/$D$10</f>
        <v/>
      </c>
      <c r="M10" s="177">
        <f>('E总成本费用估算表'!K5+'E总成本费用估算表'!K7)/$D$10</f>
        <v/>
      </c>
      <c r="N10" s="177">
        <f>('E总成本费用估算表'!L5+'E总成本费用估算表'!L7)/$D$10</f>
        <v/>
      </c>
      <c r="O10" s="177">
        <f>('E总成本费用估算表'!M5+'E总成本费用估算表'!M7)/$D$10</f>
        <v/>
      </c>
      <c r="P10" s="177">
        <f>('E总成本费用估算表'!N5+'E总成本费用估算表'!N7)/$D$10</f>
        <v/>
      </c>
      <c r="Q10" s="177">
        <f>('E总成本费用估算表'!O5+'E总成本费用估算表'!O7)/$D$10</f>
        <v/>
      </c>
      <c r="R10" s="177">
        <f>('E总成本费用估算表'!P5+'E总成本费用估算表'!P7)/$D$10</f>
        <v/>
      </c>
      <c r="S10" s="177">
        <f>('E总成本费用估算表'!Q5+'E总成本费用估算表'!Q7)/$D$10</f>
        <v/>
      </c>
      <c r="T10" s="177">
        <f>('E总成本费用估算表'!R5+'E总成本费用估算表'!R7)/$D$10</f>
        <v/>
      </c>
      <c r="U10" s="177">
        <f>('E总成本费用估算表'!S5+'E总成本费用估算表'!S7)/$D$10</f>
        <v/>
      </c>
      <c r="V10" s="177">
        <f>('E总成本费用估算表'!T5+'E总成本费用估算表'!T7)/$D$10</f>
        <v/>
      </c>
      <c r="W10" s="177">
        <f>('E总成本费用估算表'!U5+'E总成本费用估算表'!U7)/$D$10</f>
        <v/>
      </c>
      <c r="X10" s="177">
        <f>('E总成本费用估算表'!V5+'E总成本费用估算表'!V7)/$D$10</f>
        <v/>
      </c>
      <c r="Y10" s="177">
        <f>('E总成本费用估算表'!W5+'E总成本费用估算表'!W7)/$D$10</f>
        <v/>
      </c>
      <c r="Z10" s="177">
        <f>('E总成本费用估算表'!X5+'E总成本费用估算表'!X7)/$D$10</f>
        <v/>
      </c>
      <c r="AA10" s="177">
        <f>('E总成本费用估算表'!Y5+'E总成本费用估算表'!Y7)/$D$10</f>
        <v/>
      </c>
    </row>
    <row r="11" customFormat="1" s="53">
      <c r="A11" s="7" t="n">
        <v>2</v>
      </c>
      <c r="B11" s="7" t="inlineStr">
        <is>
          <t>流动负债</t>
        </is>
      </c>
      <c r="C11" s="10" t="n">
        <v>3</v>
      </c>
      <c r="D11" s="7">
        <f>360/C11</f>
        <v/>
      </c>
      <c r="E11" s="123" t="n"/>
      <c r="F11" s="177">
        <f>F12</f>
        <v/>
      </c>
      <c r="G11" s="177">
        <f>G12</f>
        <v/>
      </c>
      <c r="H11" s="177">
        <f>H12</f>
        <v/>
      </c>
      <c r="I11" s="177">
        <f>I12</f>
        <v/>
      </c>
      <c r="J11" s="177">
        <f>J12</f>
        <v/>
      </c>
      <c r="K11" s="177">
        <f>K12</f>
        <v/>
      </c>
      <c r="L11" s="177">
        <f>L12</f>
        <v/>
      </c>
      <c r="M11" s="177">
        <f>M12</f>
        <v/>
      </c>
      <c r="N11" s="177">
        <f>N12</f>
        <v/>
      </c>
      <c r="O11" s="177">
        <f>O12</f>
        <v/>
      </c>
      <c r="P11" s="177">
        <f>P12</f>
        <v/>
      </c>
      <c r="Q11" s="177">
        <f>Q12</f>
        <v/>
      </c>
      <c r="R11" s="177">
        <f>R12</f>
        <v/>
      </c>
      <c r="S11" s="177">
        <f>S12</f>
        <v/>
      </c>
      <c r="T11" s="177">
        <f>T12</f>
        <v/>
      </c>
      <c r="U11" s="177">
        <f>U12</f>
        <v/>
      </c>
      <c r="V11" s="177">
        <f>V12</f>
        <v/>
      </c>
      <c r="W11" s="177">
        <f>W12</f>
        <v/>
      </c>
      <c r="X11" s="177">
        <f>X12</f>
        <v/>
      </c>
      <c r="Y11" s="177">
        <f>Y12</f>
        <v/>
      </c>
      <c r="Z11" s="177">
        <f>Z12</f>
        <v/>
      </c>
      <c r="AA11" s="177">
        <f>AA12</f>
        <v/>
      </c>
    </row>
    <row r="12" customFormat="1" s="53">
      <c r="A12" s="7" t="n">
        <v>2.1</v>
      </c>
      <c r="B12" s="7" t="inlineStr">
        <is>
          <t>应付账款</t>
        </is>
      </c>
      <c r="C12" s="10" t="n">
        <v>3</v>
      </c>
      <c r="D12" s="7">
        <f>360/C12</f>
        <v/>
      </c>
      <c r="E12" s="123" t="n"/>
      <c r="F12" s="177">
        <f>(E总成本费用估算表!D3+E总成本费用估算表!D4)/$D$12</f>
        <v/>
      </c>
      <c r="G12" s="177">
        <f>(E总成本费用估算表!E3+E总成本费用估算表!E4)/$D$12</f>
        <v/>
      </c>
      <c r="H12" s="177">
        <f>(E总成本费用估算表!F3+E总成本费用估算表!F4)/$D$12</f>
        <v/>
      </c>
      <c r="I12" s="177">
        <f>(E总成本费用估算表!G3+E总成本费用估算表!G4)/$D$12</f>
        <v/>
      </c>
      <c r="J12" s="177">
        <f>(E总成本费用估算表!H3+E总成本费用估算表!H4)/$D$12</f>
        <v/>
      </c>
      <c r="K12" s="177">
        <f>('E总成本费用估算表'!I3+'E总成本费用估算表'!I4)/$D$12</f>
        <v/>
      </c>
      <c r="L12" s="177">
        <f>('E总成本费用估算表'!J3+'E总成本费用估算表'!J4)/$D$12</f>
        <v/>
      </c>
      <c r="M12" s="177">
        <f>('E总成本费用估算表'!K3+'E总成本费用估算表'!K4)/$D$12</f>
        <v/>
      </c>
      <c r="N12" s="177">
        <f>('E总成本费用估算表'!L3+'E总成本费用估算表'!L4)/$D$12</f>
        <v/>
      </c>
      <c r="O12" s="177">
        <f>('E总成本费用估算表'!M3+'E总成本费用估算表'!M4)/$D$12</f>
        <v/>
      </c>
      <c r="P12" s="177">
        <f>('E总成本费用估算表'!N3+'E总成本费用估算表'!N4)/$D$12</f>
        <v/>
      </c>
      <c r="Q12" s="177">
        <f>('E总成本费用估算表'!O3+'E总成本费用估算表'!O4)/$D$12</f>
        <v/>
      </c>
      <c r="R12" s="177">
        <f>('E总成本费用估算表'!P3+'E总成本费用估算表'!P4)/$D$12</f>
        <v/>
      </c>
      <c r="S12" s="177">
        <f>('E总成本费用估算表'!Q3+'E总成本费用估算表'!Q4)/$D$12</f>
        <v/>
      </c>
      <c r="T12" s="177">
        <f>('E总成本费用估算表'!R3+'E总成本费用估算表'!R4)/$D$12</f>
        <v/>
      </c>
      <c r="U12" s="177">
        <f>('E总成本费用估算表'!S3+'E总成本费用估算表'!S4)/$D$12</f>
        <v/>
      </c>
      <c r="V12" s="177">
        <f>('E总成本费用估算表'!T3+'E总成本费用估算表'!T4)/$D$12</f>
        <v/>
      </c>
      <c r="W12" s="177">
        <f>('E总成本费用估算表'!U3+'E总成本费用估算表'!U4)/$D$12</f>
        <v/>
      </c>
      <c r="X12" s="177">
        <f>('E总成本费用估算表'!V3+'E总成本费用估算表'!V4)/$D$12</f>
        <v/>
      </c>
      <c r="Y12" s="177">
        <f>('E总成本费用估算表'!W3+'E总成本费用估算表'!W4)/$D$12</f>
        <v/>
      </c>
      <c r="Z12" s="177">
        <f>('E总成本费用估算表'!X3+'E总成本费用估算表'!X4)/$D$12</f>
        <v/>
      </c>
      <c r="AA12" s="177">
        <f>('E总成本费用估算表'!Y3+'E总成本费用估算表'!Y4)/$D$12</f>
        <v/>
      </c>
    </row>
    <row r="13" customFormat="1" s="53">
      <c r="A13" s="7" t="n">
        <v>3</v>
      </c>
      <c r="B13" s="7" t="inlineStr">
        <is>
          <t>流动资金（1-2）</t>
        </is>
      </c>
      <c r="C13" s="10" t="n">
        <v>3</v>
      </c>
      <c r="D13" s="7">
        <f>360/C13</f>
        <v/>
      </c>
      <c r="E13" s="123" t="n"/>
      <c r="F13" s="177">
        <f>F3-F11</f>
        <v/>
      </c>
      <c r="G13" s="177">
        <f>G3-G11</f>
        <v/>
      </c>
      <c r="H13" s="177">
        <f>H3-H11</f>
        <v/>
      </c>
      <c r="I13" s="177">
        <f>I3-I11</f>
        <v/>
      </c>
      <c r="J13" s="177">
        <f>J3-J11</f>
        <v/>
      </c>
      <c r="K13" s="177">
        <f>K3-K11</f>
        <v/>
      </c>
      <c r="L13" s="177">
        <f>L3-L11</f>
        <v/>
      </c>
      <c r="M13" s="177">
        <f>M3-M11</f>
        <v/>
      </c>
      <c r="N13" s="177">
        <f>N3-N11</f>
        <v/>
      </c>
      <c r="O13" s="177">
        <f>O3-O11</f>
        <v/>
      </c>
      <c r="P13" s="177">
        <f>P3-P11</f>
        <v/>
      </c>
      <c r="Q13" s="177">
        <f>Q3-Q11</f>
        <v/>
      </c>
      <c r="R13" s="177">
        <f>R3-R11</f>
        <v/>
      </c>
      <c r="S13" s="177">
        <f>S3-S11</f>
        <v/>
      </c>
      <c r="T13" s="177">
        <f>T3-T11</f>
        <v/>
      </c>
      <c r="U13" s="177">
        <f>U3-U11</f>
        <v/>
      </c>
      <c r="V13" s="177">
        <f>V3-V11</f>
        <v/>
      </c>
      <c r="W13" s="177">
        <f>W3-W11</f>
        <v/>
      </c>
      <c r="X13" s="177">
        <f>X3-X11</f>
        <v/>
      </c>
      <c r="Y13" s="177">
        <f>Y3-Y11</f>
        <v/>
      </c>
      <c r="Z13" s="177">
        <f>Z3-Z11</f>
        <v/>
      </c>
      <c r="AA13" s="177">
        <f>AA3-AA11</f>
        <v/>
      </c>
    </row>
    <row r="14" customFormat="1" s="53">
      <c r="A14" s="7" t="n">
        <v>4</v>
      </c>
      <c r="B14" s="7" t="inlineStr">
        <is>
          <t>流动资金当年增加额</t>
        </is>
      </c>
      <c r="C14" s="10" t="n">
        <v>3</v>
      </c>
      <c r="D14" s="7">
        <f>360/C14</f>
        <v/>
      </c>
      <c r="E14" s="123" t="n"/>
      <c r="F14" s="177">
        <f>F13-E13</f>
        <v/>
      </c>
      <c r="G14" s="177">
        <f>G13-F13</f>
        <v/>
      </c>
      <c r="H14" s="177">
        <f>H13-G13</f>
        <v/>
      </c>
      <c r="I14" s="177">
        <f>I13-H13</f>
        <v/>
      </c>
      <c r="J14" s="177">
        <f>J13-I13</f>
        <v/>
      </c>
      <c r="K14" s="177">
        <f>K13-J13</f>
        <v/>
      </c>
      <c r="L14" s="177">
        <f>L13-K13</f>
        <v/>
      </c>
      <c r="M14" s="177">
        <f>M13-L13</f>
        <v/>
      </c>
      <c r="N14" s="177">
        <f>N13-M13</f>
        <v/>
      </c>
      <c r="O14" s="177">
        <f>O13-N13</f>
        <v/>
      </c>
      <c r="P14" s="177">
        <f>P13-O13</f>
        <v/>
      </c>
      <c r="Q14" s="177">
        <f>Q13-P13</f>
        <v/>
      </c>
      <c r="R14" s="177">
        <f>R13-Q13</f>
        <v/>
      </c>
      <c r="S14" s="177">
        <f>S13-R13</f>
        <v/>
      </c>
      <c r="T14" s="177">
        <f>T13-S13</f>
        <v/>
      </c>
      <c r="U14" s="177">
        <f>U13-T13</f>
        <v/>
      </c>
      <c r="V14" s="177">
        <f>V13-U13</f>
        <v/>
      </c>
      <c r="W14" s="177">
        <f>W13-V13</f>
        <v/>
      </c>
      <c r="X14" s="177">
        <f>X13-W13</f>
        <v/>
      </c>
      <c r="Y14" s="177">
        <f>Y13-X13</f>
        <v/>
      </c>
      <c r="Z14" s="177">
        <f>Z13-Y13</f>
        <v/>
      </c>
      <c r="AA14" s="177">
        <f>AA13-Z13</f>
        <v/>
      </c>
    </row>
    <row r="15" customFormat="1" s="53">
      <c r="A15" s="7" t="n">
        <v>5</v>
      </c>
      <c r="B15" s="7" t="inlineStr">
        <is>
          <t>流动资金贷款</t>
        </is>
      </c>
      <c r="C15" s="10" t="n">
        <v>3</v>
      </c>
      <c r="D15" s="7">
        <f>360/C15</f>
        <v/>
      </c>
      <c r="E15" s="179" t="n"/>
      <c r="F15" s="177">
        <f>D.2项目总投资使用计划与资金筹措表!E15</f>
        <v/>
      </c>
      <c r="G15" s="177">
        <f>D.2项目总投资使用计划与资金筹措表!F15</f>
        <v/>
      </c>
      <c r="H15" s="177">
        <f>D.2项目总投资使用计划与资金筹措表!G15</f>
        <v/>
      </c>
      <c r="I15" s="177">
        <f>D.2项目总投资使用计划与资金筹措表!H15</f>
        <v/>
      </c>
      <c r="J15" s="177">
        <f>D.2项目总投资使用计划与资金筹措表!I15</f>
        <v/>
      </c>
      <c r="K15" s="177">
        <f>'D.2项目总投资使用计划与资金筹措表'!J15</f>
        <v/>
      </c>
      <c r="L15" s="177">
        <f>'D.2项目总投资使用计划与资金筹措表'!K15</f>
        <v/>
      </c>
      <c r="M15" s="177">
        <f>'D.2项目总投资使用计划与资金筹措表'!L15</f>
        <v/>
      </c>
      <c r="N15" s="177">
        <f>'D.2项目总投资使用计划与资金筹措表'!M15</f>
        <v/>
      </c>
      <c r="O15" s="177">
        <f>'D.2项目总投资使用计划与资金筹措表'!N15</f>
        <v/>
      </c>
      <c r="P15" s="177">
        <f>'D.2项目总投资使用计划与资金筹措表'!O15</f>
        <v/>
      </c>
      <c r="Q15" s="177">
        <f>'D.2项目总投资使用计划与资金筹措表'!P15</f>
        <v/>
      </c>
      <c r="R15" s="177">
        <f>'D.2项目总投资使用计划与资金筹措表'!Q15</f>
        <v/>
      </c>
      <c r="S15" s="177">
        <f>'D.2项目总投资使用计划与资金筹措表'!R15</f>
        <v/>
      </c>
      <c r="T15" s="177">
        <f>'D.2项目总投资使用计划与资金筹措表'!S15</f>
        <v/>
      </c>
      <c r="U15" s="177">
        <f>'D.2项目总投资使用计划与资金筹措表'!T15</f>
        <v/>
      </c>
      <c r="V15" s="177">
        <f>'D.2项目总投资使用计划与资金筹措表'!U15</f>
        <v/>
      </c>
      <c r="W15" s="177">
        <f>'D.2项目总投资使用计划与资金筹措表'!V15</f>
        <v/>
      </c>
      <c r="X15" s="177">
        <f>'D.2项目总投资使用计划与资金筹措表'!W15</f>
        <v/>
      </c>
      <c r="Y15" s="177">
        <f>'D.2项目总投资使用计划与资金筹措表'!X15</f>
        <v/>
      </c>
      <c r="Z15" s="177">
        <f>'D.2项目总投资使用计划与资金筹措表'!Y15</f>
        <v/>
      </c>
      <c r="AA15" s="177">
        <f>'D.2项目总投资使用计划与资金筹措表'!Z15</f>
        <v/>
      </c>
    </row>
  </sheetData>
  <mergeCells count="1">
    <mergeCell ref="A1:J1"/>
  </mergeCells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eet10">
    <tabColor theme="4" tint="-0.249977111117893"/>
    <outlinePr summaryBelow="1" summaryRight="1"/>
    <pageSetUpPr/>
  </sheetPr>
  <dimension ref="A1:Y18"/>
  <sheetViews>
    <sheetView zoomScale="85" zoomScaleNormal="85" workbookViewId="0">
      <pane xSplit="2" ySplit="2" topLeftCell="C3" activePane="bottomRight" state="frozen"/>
      <selection activeCell="A1" sqref="A1"/>
      <selection pane="topRight" activeCell="A1" sqref="A1"/>
      <selection pane="bottomLeft" activeCell="A1" sqref="A1"/>
      <selection pane="bottomRight" activeCell="H21" sqref="H21"/>
    </sheetView>
  </sheetViews>
  <sheetFormatPr baseColWidth="8" defaultColWidth="8.890909090909091" defaultRowHeight="28.05" customHeight="1"/>
  <cols>
    <col width="6.89090909090909" customWidth="1" style="162" min="1" max="1"/>
    <col width="33" customWidth="1" style="162" min="2" max="2"/>
    <col width="6.89090909090909" customWidth="1" style="162" min="3" max="3"/>
    <col width="9.33636363636364" customWidth="1" style="162" min="4" max="8"/>
    <col width="73.5545454545454" customWidth="1" style="162" min="9" max="9"/>
  </cols>
  <sheetData>
    <row r="1" customFormat="1" s="53">
      <c r="A1" s="62" t="inlineStr">
        <is>
          <t>E总成本费用估算表（万元）</t>
        </is>
      </c>
      <c r="B1" s="167" t="n"/>
      <c r="C1" s="167" t="n"/>
      <c r="D1" s="167" t="n"/>
      <c r="E1" s="167" t="n"/>
      <c r="F1" s="167" t="n"/>
      <c r="G1" s="167" t="n"/>
      <c r="H1" s="168" t="n"/>
      <c r="I1" s="45" t="n"/>
    </row>
    <row r="2" ht="28.2" customFormat="1" customHeight="1" s="53">
      <c r="A2" s="2" t="inlineStr">
        <is>
          <t>序号</t>
        </is>
      </c>
      <c r="B2" s="2" t="inlineStr">
        <is>
          <t>科目</t>
        </is>
      </c>
      <c r="C2" s="36" t="n">
        <v>2025</v>
      </c>
      <c r="D2" s="36" t="n">
        <v>2026</v>
      </c>
      <c r="E2" s="36" t="n">
        <v>2027</v>
      </c>
      <c r="F2" s="36" t="n">
        <v>2028</v>
      </c>
      <c r="G2" s="36" t="n">
        <v>2029</v>
      </c>
      <c r="H2" s="36" t="n">
        <v>2030</v>
      </c>
      <c r="I2" s="210" t="n">
        <v>2031</v>
      </c>
      <c r="J2" s="210" t="n">
        <v>2032</v>
      </c>
      <c r="K2" s="210" t="n">
        <v>2033</v>
      </c>
      <c r="L2" s="210" t="n">
        <v>2034</v>
      </c>
      <c r="M2" s="210" t="n">
        <v>2035</v>
      </c>
      <c r="N2" s="210" t="n">
        <v>2036</v>
      </c>
      <c r="O2" s="210" t="n">
        <v>2037</v>
      </c>
      <c r="P2" s="210" t="n">
        <v>2038</v>
      </c>
      <c r="Q2" s="210" t="n">
        <v>2039</v>
      </c>
      <c r="R2" s="210" t="n">
        <v>2040</v>
      </c>
      <c r="S2" s="210" t="n">
        <v>2041</v>
      </c>
      <c r="T2" s="210" t="n">
        <v>2042</v>
      </c>
      <c r="U2" s="210" t="n">
        <v>2043</v>
      </c>
      <c r="V2" s="210" t="n">
        <v>2044</v>
      </c>
      <c r="W2" s="210" t="n">
        <v>2045</v>
      </c>
      <c r="X2" s="210" t="n">
        <v>2046</v>
      </c>
      <c r="Y2" s="210" t="n">
        <v>2047</v>
      </c>
    </row>
    <row r="3" customFormat="1" s="53">
      <c r="A3" s="7" t="n">
        <v>1</v>
      </c>
      <c r="B3" s="7" t="inlineStr">
        <is>
          <t>外购原材料费</t>
        </is>
      </c>
      <c r="C3" s="179" t="n"/>
      <c r="D3" s="180">
        <f>'E.1.1项目运营期费用(不含税）'!I7+'E.1.1项目运营期费用(不含税）'!I13</f>
        <v/>
      </c>
      <c r="E3" s="180">
        <f>'E.1.1项目运营期费用(不含税）'!J7+'E.1.1项目运营期费用(不含税）'!J13</f>
        <v/>
      </c>
      <c r="F3" s="180">
        <f>'E.1.1项目运营期费用(不含税）'!K7+'E.1.1项目运营期费用(不含税）'!K13</f>
        <v/>
      </c>
      <c r="G3" s="180">
        <f>'E.1.1项目运营期费用(不含税）'!L7+'E.1.1项目运营期费用(不含税）'!L13</f>
        <v/>
      </c>
      <c r="H3" s="180">
        <f>'E.1.1项目运营期费用(不含税）'!M7+'E.1.1项目运营期费用(不含税）'!M13</f>
        <v/>
      </c>
      <c r="I3" s="180">
        <f>'E.1.1项目运营期费用(不含税）'!N7+'E.1.1项目运营期费用(不含税）'!N13</f>
        <v/>
      </c>
      <c r="J3" s="180">
        <f>'E.1.1项目运营期费用(不含税）'!O7+'E.1.1项目运营期费用(不含税）'!O13</f>
        <v/>
      </c>
      <c r="K3" s="180">
        <f>'E.1.1项目运营期费用(不含税）'!P7+'E.1.1项目运营期费用(不含税）'!P13</f>
        <v/>
      </c>
      <c r="L3" s="180">
        <f>'E.1.1项目运营期费用(不含税）'!Q7+'E.1.1项目运营期费用(不含税）'!Q13</f>
        <v/>
      </c>
      <c r="M3" s="180">
        <f>'E.1.1项目运营期费用(不含税）'!R7+'E.1.1项目运营期费用(不含税）'!R13</f>
        <v/>
      </c>
      <c r="N3" s="180">
        <f>'E.1.1项目运营期费用(不含税）'!S7+'E.1.1项目运营期费用(不含税）'!S13</f>
        <v/>
      </c>
      <c r="O3" s="180">
        <f>'E.1.1项目运营期费用(不含税）'!T7+'E.1.1项目运营期费用(不含税）'!T13</f>
        <v/>
      </c>
      <c r="P3" s="180">
        <f>'E.1.1项目运营期费用(不含税）'!U7+'E.1.1项目运营期费用(不含税）'!U13</f>
        <v/>
      </c>
      <c r="Q3" s="180">
        <f>'E.1.1项目运营期费用(不含税）'!V7+'E.1.1项目运营期费用(不含税）'!V13</f>
        <v/>
      </c>
      <c r="R3" s="180">
        <f>'E.1.1项目运营期费用(不含税）'!W7+'E.1.1项目运营期费用(不含税）'!W13</f>
        <v/>
      </c>
      <c r="S3" s="180">
        <f>'E.1.1项目运营期费用(不含税）'!X7+'E.1.1项目运营期费用(不含税）'!X13</f>
        <v/>
      </c>
      <c r="T3" s="180">
        <f>'E.1.1项目运营期费用(不含税）'!Y7+'E.1.1项目运营期费用(不含税）'!Y13</f>
        <v/>
      </c>
      <c r="U3" s="180">
        <f>'E.1.1项目运营期费用(不含税）'!Z7+'E.1.1项目运营期费用(不含税）'!Z13</f>
        <v/>
      </c>
      <c r="V3" s="180">
        <f>'E.1.1项目运营期费用(不含税）'!AA7+'E.1.1项目运营期费用(不含税）'!AA13</f>
        <v/>
      </c>
      <c r="W3" s="180">
        <f>'E.1.1项目运营期费用(不含税）'!AB7+'E.1.1项目运营期费用(不含税）'!AB13</f>
        <v/>
      </c>
      <c r="X3" s="180">
        <f>'E.1.1项目运营期费用(不含税）'!AC7+'E.1.1项目运营期费用(不含税）'!AC13</f>
        <v/>
      </c>
      <c r="Y3" s="180">
        <f>'E.1.1项目运营期费用(不含税）'!AD7+'E.1.1项目运营期费用(不含税）'!AD13</f>
        <v/>
      </c>
    </row>
    <row r="4" customFormat="1" s="53">
      <c r="A4" s="7" t="n">
        <v>2</v>
      </c>
      <c r="B4" s="7" t="inlineStr">
        <is>
          <t>外购燃料及动力费</t>
        </is>
      </c>
      <c r="C4" s="179" t="n"/>
      <c r="D4" s="180">
        <f>'E.1.1项目运营期费用(不含税）'!I8+'E.1.1项目运营期费用(不含税）'!I9+'E.1.1项目运营期费用(不含税）'!I10</f>
        <v/>
      </c>
      <c r="E4" s="180">
        <f>'E.1.1项目运营期费用(不含税）'!J8+'E.1.1项目运营期费用(不含税）'!J9+'E.1.1项目运营期费用(不含税）'!J10</f>
        <v/>
      </c>
      <c r="F4" s="180">
        <f>'E.1.1项目运营期费用(不含税）'!K8+'E.1.1项目运营期费用(不含税）'!K9+'E.1.1项目运营期费用(不含税）'!K10</f>
        <v/>
      </c>
      <c r="G4" s="180">
        <f>'E.1.1项目运营期费用(不含税）'!L8+'E.1.1项目运营期费用(不含税）'!L9+'E.1.1项目运营期费用(不含税）'!L10</f>
        <v/>
      </c>
      <c r="H4" s="180">
        <f>'E.1.1项目运营期费用(不含税）'!M8+'E.1.1项目运营期费用(不含税）'!M9+'E.1.1项目运营期费用(不含税）'!M10</f>
        <v/>
      </c>
      <c r="I4" s="180">
        <f>'E.1.1项目运营期费用(不含税）'!N8+'E.1.1项目运营期费用(不含税）'!N9+'E.1.1项目运营期费用(不含税）'!N10</f>
        <v/>
      </c>
      <c r="J4" s="180">
        <f>'E.1.1项目运营期费用(不含税）'!O8+'E.1.1项目运营期费用(不含税）'!O9+'E.1.1项目运营期费用(不含税）'!O10</f>
        <v/>
      </c>
      <c r="K4" s="180">
        <f>'E.1.1项目运营期费用(不含税）'!P8+'E.1.1项目运营期费用(不含税）'!P9+'E.1.1项目运营期费用(不含税）'!P10</f>
        <v/>
      </c>
      <c r="L4" s="180">
        <f>'E.1.1项目运营期费用(不含税）'!Q8+'E.1.1项目运营期费用(不含税）'!Q9+'E.1.1项目运营期费用(不含税）'!Q10</f>
        <v/>
      </c>
      <c r="M4" s="180">
        <f>'E.1.1项目运营期费用(不含税）'!R8+'E.1.1项目运营期费用(不含税）'!R9+'E.1.1项目运营期费用(不含税）'!R10</f>
        <v/>
      </c>
      <c r="N4" s="180">
        <f>'E.1.1项目运营期费用(不含税）'!S8+'E.1.1项目运营期费用(不含税）'!S9+'E.1.1项目运营期费用(不含税）'!S10</f>
        <v/>
      </c>
      <c r="O4" s="180">
        <f>'E.1.1项目运营期费用(不含税）'!T8+'E.1.1项目运营期费用(不含税）'!T9+'E.1.1项目运营期费用(不含税）'!T10</f>
        <v/>
      </c>
      <c r="P4" s="180">
        <f>'E.1.1项目运营期费用(不含税）'!U8+'E.1.1项目运营期费用(不含税）'!U9+'E.1.1项目运营期费用(不含税）'!U10</f>
        <v/>
      </c>
      <c r="Q4" s="180">
        <f>'E.1.1项目运营期费用(不含税）'!V8+'E.1.1项目运营期费用(不含税）'!V9+'E.1.1项目运营期费用(不含税）'!V10</f>
        <v/>
      </c>
      <c r="R4" s="180">
        <f>'E.1.1项目运营期费用(不含税）'!W8+'E.1.1项目运营期费用(不含税）'!W9+'E.1.1项目运营期费用(不含税）'!W10</f>
        <v/>
      </c>
      <c r="S4" s="180">
        <f>'E.1.1项目运营期费用(不含税）'!X8+'E.1.1项目运营期费用(不含税）'!X9+'E.1.1项目运营期费用(不含税）'!X10</f>
        <v/>
      </c>
      <c r="T4" s="180">
        <f>'E.1.1项目运营期费用(不含税）'!Y8+'E.1.1项目运营期费用(不含税）'!Y9+'E.1.1项目运营期费用(不含税）'!Y10</f>
        <v/>
      </c>
      <c r="U4" s="180">
        <f>'E.1.1项目运营期费用(不含税）'!Z8+'E.1.1项目运营期费用(不含税）'!Z9+'E.1.1项目运营期费用(不含税）'!Z10</f>
        <v/>
      </c>
      <c r="V4" s="180">
        <f>'E.1.1项目运营期费用(不含税）'!AA8+'E.1.1项目运营期费用(不含税）'!AA9+'E.1.1项目运营期费用(不含税）'!AA10</f>
        <v/>
      </c>
      <c r="W4" s="180">
        <f>'E.1.1项目运营期费用(不含税）'!AB8+'E.1.1项目运营期费用(不含税）'!AB9+'E.1.1项目运营期费用(不含税）'!AB10</f>
        <v/>
      </c>
      <c r="X4" s="180">
        <f>'E.1.1项目运营期费用(不含税）'!AC8+'E.1.1项目运营期费用(不含税）'!AC9+'E.1.1项目运营期费用(不含税）'!AC10</f>
        <v/>
      </c>
      <c r="Y4" s="180">
        <f>'E.1.1项目运营期费用(不含税）'!AD8+'E.1.1项目运营期费用(不含税）'!AD9+'E.1.1项目运营期费用(不含税）'!AD10</f>
        <v/>
      </c>
    </row>
    <row r="5" customFormat="1" s="53">
      <c r="A5" s="7" t="n">
        <v>3</v>
      </c>
      <c r="B5" s="7" t="inlineStr">
        <is>
          <t>工资福利费</t>
        </is>
      </c>
      <c r="C5" s="179" t="n"/>
      <c r="D5" s="180">
        <f>'E.1.1项目运营期费用(不含税）'!I16</f>
        <v/>
      </c>
      <c r="E5" s="180">
        <f>'E.1.1项目运营期费用(不含税）'!J16</f>
        <v/>
      </c>
      <c r="F5" s="180">
        <f>'E.1.1项目运营期费用(不含税）'!K16</f>
        <v/>
      </c>
      <c r="G5" s="180">
        <f>'E.1.1项目运营期费用(不含税）'!L16</f>
        <v/>
      </c>
      <c r="H5" s="180">
        <f>'E.1.1项目运营期费用(不含税）'!M16</f>
        <v/>
      </c>
      <c r="I5" s="180">
        <f>'E.1.1项目运营期费用(不含税）'!N16</f>
        <v/>
      </c>
      <c r="J5" s="180">
        <f>'E.1.1项目运营期费用(不含税）'!O16</f>
        <v/>
      </c>
      <c r="K5" s="180">
        <f>'E.1.1项目运营期费用(不含税）'!P16</f>
        <v/>
      </c>
      <c r="L5" s="180">
        <f>'E.1.1项目运营期费用(不含税）'!Q16</f>
        <v/>
      </c>
      <c r="M5" s="180">
        <f>'E.1.1项目运营期费用(不含税）'!R16</f>
        <v/>
      </c>
      <c r="N5" s="180">
        <f>'E.1.1项目运营期费用(不含税）'!S16</f>
        <v/>
      </c>
      <c r="O5" s="180">
        <f>'E.1.1项目运营期费用(不含税）'!T16</f>
        <v/>
      </c>
      <c r="P5" s="180">
        <f>'E.1.1项目运营期费用(不含税）'!U16</f>
        <v/>
      </c>
      <c r="Q5" s="180">
        <f>'E.1.1项目运营期费用(不含税）'!V16</f>
        <v/>
      </c>
      <c r="R5" s="180">
        <f>'E.1.1项目运营期费用(不含税）'!W16</f>
        <v/>
      </c>
      <c r="S5" s="180">
        <f>'E.1.1项目运营期费用(不含税）'!X16</f>
        <v/>
      </c>
      <c r="T5" s="180">
        <f>'E.1.1项目运营期费用(不含税）'!Y16</f>
        <v/>
      </c>
      <c r="U5" s="180">
        <f>'E.1.1项目运营期费用(不含税）'!Z16</f>
        <v/>
      </c>
      <c r="V5" s="180">
        <f>'E.1.1项目运营期费用(不含税）'!AA16</f>
        <v/>
      </c>
      <c r="W5" s="180">
        <f>'E.1.1项目运营期费用(不含税）'!AB16</f>
        <v/>
      </c>
      <c r="X5" s="180">
        <f>'E.1.1项目运营期费用(不含税）'!AC16</f>
        <v/>
      </c>
      <c r="Y5" s="180">
        <f>'E.1.1项目运营期费用(不含税）'!AD16</f>
        <v/>
      </c>
    </row>
    <row r="6" customFormat="1" s="53">
      <c r="A6" s="7" t="n">
        <v>4</v>
      </c>
      <c r="B6" s="7" t="inlineStr">
        <is>
          <t>修理费</t>
        </is>
      </c>
      <c r="C6" s="179" t="n"/>
      <c r="D6" s="180">
        <f>'E.1.1项目运营期费用(不含税）'!I5+'E.1.1项目运营期费用(不含税）'!I12</f>
        <v/>
      </c>
      <c r="E6" s="180">
        <f>'E.1.1项目运营期费用(不含税）'!J5+'E.1.1项目运营期费用(不含税）'!J12</f>
        <v/>
      </c>
      <c r="F6" s="180">
        <f>'E.1.1项目运营期费用(不含税）'!K5+'E.1.1项目运营期费用(不含税）'!K12</f>
        <v/>
      </c>
      <c r="G6" s="180">
        <f>'E.1.1项目运营期费用(不含税）'!L5+'E.1.1项目运营期费用(不含税）'!L12</f>
        <v/>
      </c>
      <c r="H6" s="180">
        <f>'E.1.1项目运营期费用(不含税）'!M5+'E.1.1项目运营期费用(不含税）'!M12</f>
        <v/>
      </c>
      <c r="I6" s="180">
        <f>'E.1.1项目运营期费用(不含税）'!N5+'E.1.1项目运营期费用(不含税）'!N12</f>
        <v/>
      </c>
      <c r="J6" s="180">
        <f>'E.1.1项目运营期费用(不含税）'!O5+'E.1.1项目运营期费用(不含税）'!O12</f>
        <v/>
      </c>
      <c r="K6" s="180">
        <f>'E.1.1项目运营期费用(不含税）'!P5+'E.1.1项目运营期费用(不含税）'!P12</f>
        <v/>
      </c>
      <c r="L6" s="180">
        <f>'E.1.1项目运营期费用(不含税）'!Q5+'E.1.1项目运营期费用(不含税）'!Q12</f>
        <v/>
      </c>
      <c r="M6" s="180">
        <f>'E.1.1项目运营期费用(不含税）'!R5+'E.1.1项目运营期费用(不含税）'!R12</f>
        <v/>
      </c>
      <c r="N6" s="180">
        <f>'E.1.1项目运营期费用(不含税）'!S5+'E.1.1项目运营期费用(不含税）'!S12</f>
        <v/>
      </c>
      <c r="O6" s="180">
        <f>'E.1.1项目运营期费用(不含税）'!T5+'E.1.1项目运营期费用(不含税）'!T12</f>
        <v/>
      </c>
      <c r="P6" s="180">
        <f>'E.1.1项目运营期费用(不含税）'!U5+'E.1.1项目运营期费用(不含税）'!U12</f>
        <v/>
      </c>
      <c r="Q6" s="180">
        <f>'E.1.1项目运营期费用(不含税）'!V5+'E.1.1项目运营期费用(不含税）'!V12</f>
        <v/>
      </c>
      <c r="R6" s="180">
        <f>'E.1.1项目运营期费用(不含税）'!W5+'E.1.1项目运营期费用(不含税）'!W12</f>
        <v/>
      </c>
      <c r="S6" s="180">
        <f>'E.1.1项目运营期费用(不含税）'!X5+'E.1.1项目运营期费用(不含税）'!X12</f>
        <v/>
      </c>
      <c r="T6" s="180">
        <f>'E.1.1项目运营期费用(不含税）'!Y5+'E.1.1项目运营期费用(不含税）'!Y12</f>
        <v/>
      </c>
      <c r="U6" s="180">
        <f>'E.1.1项目运营期费用(不含税）'!Z5+'E.1.1项目运营期费用(不含税）'!Z12</f>
        <v/>
      </c>
      <c r="V6" s="180">
        <f>'E.1.1项目运营期费用(不含税）'!AA5+'E.1.1项目运营期费用(不含税）'!AA12</f>
        <v/>
      </c>
      <c r="W6" s="180">
        <f>'E.1.1项目运营期费用(不含税）'!AB5+'E.1.1项目运营期费用(不含税）'!AB12</f>
        <v/>
      </c>
      <c r="X6" s="180">
        <f>'E.1.1项目运营期费用(不含税）'!AC5+'E.1.1项目运营期费用(不含税）'!AC12</f>
        <v/>
      </c>
      <c r="Y6" s="180">
        <f>'E.1.1项目运营期费用(不含税）'!AD5+'E.1.1项目运营期费用(不含税）'!AD12</f>
        <v/>
      </c>
    </row>
    <row r="7" customFormat="1" s="53">
      <c r="A7" s="7" t="n">
        <v>5</v>
      </c>
      <c r="B7" s="7" t="inlineStr">
        <is>
          <t>其他费用 （5.1+5.2+5.3）</t>
        </is>
      </c>
      <c r="C7" s="179" t="n"/>
      <c r="D7" s="178">
        <f>D8+D9+D10</f>
        <v/>
      </c>
      <c r="E7" s="178">
        <f>E8+E9+E10</f>
        <v/>
      </c>
      <c r="F7" s="178">
        <f>F8+F9+F10</f>
        <v/>
      </c>
      <c r="G7" s="178">
        <f>G8+G9+G10</f>
        <v/>
      </c>
      <c r="H7" s="178">
        <f>H8+H9+H10</f>
        <v/>
      </c>
      <c r="I7" s="178">
        <f>I8+I9+I10</f>
        <v/>
      </c>
      <c r="J7" s="178">
        <f>J8+J9+J10</f>
        <v/>
      </c>
      <c r="K7" s="178">
        <f>K8+K9+K10</f>
        <v/>
      </c>
      <c r="L7" s="178">
        <f>L8+L9+L10</f>
        <v/>
      </c>
      <c r="M7" s="178">
        <f>M8+M9+M10</f>
        <v/>
      </c>
      <c r="N7" s="178">
        <f>N8+N9+N10</f>
        <v/>
      </c>
      <c r="O7" s="178">
        <f>O8+O9+O10</f>
        <v/>
      </c>
      <c r="P7" s="178">
        <f>P8+P9+P10</f>
        <v/>
      </c>
      <c r="Q7" s="178">
        <f>Q8+Q9+Q10</f>
        <v/>
      </c>
      <c r="R7" s="178">
        <f>R8+R9+R10</f>
        <v/>
      </c>
      <c r="S7" s="178">
        <f>S8+S9+S10</f>
        <v/>
      </c>
      <c r="T7" s="178">
        <f>T8+T9+T10</f>
        <v/>
      </c>
      <c r="U7" s="178">
        <f>U8+U9+U10</f>
        <v/>
      </c>
      <c r="V7" s="178">
        <f>V8+V9+V10</f>
        <v/>
      </c>
      <c r="W7" s="178">
        <f>W8+W9+W10</f>
        <v/>
      </c>
      <c r="X7" s="178">
        <f>X8+X9+X10</f>
        <v/>
      </c>
      <c r="Y7" s="178">
        <f>Y8+Y9+Y10</f>
        <v/>
      </c>
    </row>
    <row r="8" customFormat="1" s="53">
      <c r="A8" s="7" t="n">
        <v>5.1</v>
      </c>
      <c r="B8" s="7" t="inlineStr">
        <is>
          <t>其他制造费用</t>
        </is>
      </c>
      <c r="C8" s="179" t="n"/>
      <c r="D8" s="180">
        <f>'E.1.1项目运营期费用(不含税）'!I4+'E.1.1项目运营期费用(不含税）'!I14</f>
        <v/>
      </c>
      <c r="E8" s="180">
        <f>'E.1.1项目运营期费用(不含税）'!J4+'E.1.1项目运营期费用(不含税）'!J14</f>
        <v/>
      </c>
      <c r="F8" s="180">
        <f>'E.1.1项目运营期费用(不含税）'!K4+'E.1.1项目运营期费用(不含税）'!K14</f>
        <v/>
      </c>
      <c r="G8" s="180">
        <f>'E.1.1项目运营期费用(不含税）'!L4+'E.1.1项目运营期费用(不含税）'!L14</f>
        <v/>
      </c>
      <c r="H8" s="180">
        <f>'E.1.1项目运营期费用(不含税）'!M4+'E.1.1项目运营期费用(不含税）'!M14</f>
        <v/>
      </c>
      <c r="I8" s="180">
        <f>'E.1.1项目运营期费用(不含税）'!N4+'E.1.1项目运营期费用(不含税）'!N14</f>
        <v/>
      </c>
      <c r="J8" s="180">
        <f>'E.1.1项目运营期费用(不含税）'!O4+'E.1.1项目运营期费用(不含税）'!O14</f>
        <v/>
      </c>
      <c r="K8" s="180">
        <f>'E.1.1项目运营期费用(不含税）'!P4+'E.1.1项目运营期费用(不含税）'!P14</f>
        <v/>
      </c>
      <c r="L8" s="180">
        <f>'E.1.1项目运营期费用(不含税）'!Q4+'E.1.1项目运营期费用(不含税）'!Q14</f>
        <v/>
      </c>
      <c r="M8" s="180">
        <f>'E.1.1项目运营期费用(不含税）'!R4+'E.1.1项目运营期费用(不含税）'!R14</f>
        <v/>
      </c>
      <c r="N8" s="180">
        <f>'E.1.1项目运营期费用(不含税）'!S4+'E.1.1项目运营期费用(不含税）'!S14</f>
        <v/>
      </c>
      <c r="O8" s="180">
        <f>'E.1.1项目运营期费用(不含税）'!T4+'E.1.1项目运营期费用(不含税）'!T14</f>
        <v/>
      </c>
      <c r="P8" s="180">
        <f>'E.1.1项目运营期费用(不含税）'!U4+'E.1.1项目运营期费用(不含税）'!U14</f>
        <v/>
      </c>
      <c r="Q8" s="180">
        <f>'E.1.1项目运营期费用(不含税）'!V4+'E.1.1项目运营期费用(不含税）'!V14</f>
        <v/>
      </c>
      <c r="R8" s="180">
        <f>'E.1.1项目运营期费用(不含税）'!W4+'E.1.1项目运营期费用(不含税）'!W14</f>
        <v/>
      </c>
      <c r="S8" s="180">
        <f>'E.1.1项目运营期费用(不含税）'!X4+'E.1.1项目运营期费用(不含税）'!X14</f>
        <v/>
      </c>
      <c r="T8" s="180">
        <f>'E.1.1项目运营期费用(不含税）'!Y4+'E.1.1项目运营期费用(不含税）'!Y14</f>
        <v/>
      </c>
      <c r="U8" s="180">
        <f>'E.1.1项目运营期费用(不含税）'!Z4+'E.1.1项目运营期费用(不含税）'!Z14</f>
        <v/>
      </c>
      <c r="V8" s="180">
        <f>'E.1.1项目运营期费用(不含税）'!AA4+'E.1.1项目运营期费用(不含税）'!AA14</f>
        <v/>
      </c>
      <c r="W8" s="180">
        <f>'E.1.1项目运营期费用(不含税）'!AB4+'E.1.1项目运营期费用(不含税）'!AB14</f>
        <v/>
      </c>
      <c r="X8" s="180">
        <f>'E.1.1项目运营期费用(不含税）'!AC4+'E.1.1项目运营期费用(不含税）'!AC14</f>
        <v/>
      </c>
      <c r="Y8" s="180">
        <f>'E.1.1项目运营期费用(不含税）'!AD4+'E.1.1项目运营期费用(不含税）'!AD14</f>
        <v/>
      </c>
    </row>
    <row r="9" customFormat="1" s="53">
      <c r="A9" s="7" t="n">
        <v>5.2</v>
      </c>
      <c r="B9" s="7" t="inlineStr">
        <is>
          <t>其他管理费用</t>
        </is>
      </c>
      <c r="C9" s="179" t="n"/>
      <c r="D9" s="180">
        <f>'E.1.1项目运营期费用(不含税）'!I6+'E.1.1项目运营期费用(不含税）'!I11+'E.1.1项目运营期费用(不含税）'!I17+'E.1.1项目运营期费用(不含税）'!I18+'E.1.1项目运营期费用(不含税）'!I19+'E.1.1项目运营期费用(不含税）'!I20+'E.1.1项目运营期费用(不含税）'!I21+'E.1.1项目运营期费用(不含税）'!I22+'E.1.1项目运营期费用(不含税）'!I23+c借款还本付息计划表!E36</f>
        <v/>
      </c>
      <c r="E9" s="180">
        <f>'E.1.1项目运营期费用(不含税）'!J6+'E.1.1项目运营期费用(不含税）'!J11+'E.1.1项目运营期费用(不含税）'!J17+'E.1.1项目运营期费用(不含税）'!J18+'E.1.1项目运营期费用(不含税）'!J19+'E.1.1项目运营期费用(不含税）'!J20+'E.1.1项目运营期费用(不含税）'!J21+'E.1.1项目运营期费用(不含税）'!J22+'E.1.1项目运营期费用(不含税）'!J23+c借款还本付息计划表!F36</f>
        <v/>
      </c>
      <c r="F9" s="180">
        <f>'E.1.1项目运营期费用(不含税）'!K6+'E.1.1项目运营期费用(不含税）'!K11+'E.1.1项目运营期费用(不含税）'!K17+'E.1.1项目运营期费用(不含税）'!K18+'E.1.1项目运营期费用(不含税）'!K19+'E.1.1项目运营期费用(不含税）'!K20+'E.1.1项目运营期费用(不含税）'!K21+'E.1.1项目运营期费用(不含税）'!K22+'E.1.1项目运营期费用(不含税）'!K23+c借款还本付息计划表!G36</f>
        <v/>
      </c>
      <c r="G9" s="180">
        <f>'E.1.1项目运营期费用(不含税）'!L6+'E.1.1项目运营期费用(不含税）'!L11+'E.1.1项目运营期费用(不含税）'!L17+'E.1.1项目运营期费用(不含税）'!L18+'E.1.1项目运营期费用(不含税）'!L19+'E.1.1项目运营期费用(不含税）'!L20+'E.1.1项目运营期费用(不含税）'!L21+'E.1.1项目运营期费用(不含税）'!L22+'E.1.1项目运营期费用(不含税）'!L23+c借款还本付息计划表!H36</f>
        <v/>
      </c>
      <c r="H9" s="180">
        <f>'E.1.1项目运营期费用(不含税）'!M6+'E.1.1项目运营期费用(不含税）'!M11+'E.1.1项目运营期费用(不含税）'!M17+'E.1.1项目运营期费用(不含税）'!M18+'E.1.1项目运营期费用(不含税）'!M19+'E.1.1项目运营期费用(不含税）'!M20+'E.1.1项目运营期费用(不含税）'!M21+'E.1.1项目运营期费用(不含税）'!M22+'E.1.1项目运营期费用(不含税）'!M23+c借款还本付息计划表!I36</f>
        <v/>
      </c>
      <c r="I9" s="180">
        <f>'E.1.1项目运营期费用(不含税）'!N6+'E.1.1项目运营期费用(不含税）'!N11+'E.1.1项目运营期费用(不含税）'!N17+'E.1.1项目运营期费用(不含税）'!N18+'E.1.1项目运营期费用(不含税）'!N19+'E.1.1项目运营期费用(不含税）'!N20+'E.1.1项目运营期费用(不含税）'!N21+'E.1.1项目运营期费用(不含税）'!N22+'E.1.1项目运营期费用(不含税）'!N23+'c借款还本付息计划表'!J36</f>
        <v/>
      </c>
      <c r="J9" s="180">
        <f>'E.1.1项目运营期费用(不含税）'!O6+'E.1.1项目运营期费用(不含税）'!O11+'E.1.1项目运营期费用(不含税）'!O17+'E.1.1项目运营期费用(不含税）'!O18+'E.1.1项目运营期费用(不含税）'!O19+'E.1.1项目运营期费用(不含税）'!O20+'E.1.1项目运营期费用(不含税）'!O21+'E.1.1项目运营期费用(不含税）'!O22+'E.1.1项目运营期费用(不含税）'!O23+'c借款还本付息计划表'!K36</f>
        <v/>
      </c>
      <c r="K9" s="180">
        <f>'E.1.1项目运营期费用(不含税）'!P6+'E.1.1项目运营期费用(不含税）'!P11+'E.1.1项目运营期费用(不含税）'!P17+'E.1.1项目运营期费用(不含税）'!P18+'E.1.1项目运营期费用(不含税）'!P19+'E.1.1项目运营期费用(不含税）'!P20+'E.1.1项目运营期费用(不含税）'!P21+'E.1.1项目运营期费用(不含税）'!P22+'E.1.1项目运营期费用(不含税）'!P23+'c借款还本付息计划表'!L36</f>
        <v/>
      </c>
      <c r="L9" s="180">
        <f>'E.1.1项目运营期费用(不含税）'!Q6+'E.1.1项目运营期费用(不含税）'!Q11+'E.1.1项目运营期费用(不含税）'!Q17+'E.1.1项目运营期费用(不含税）'!Q18+'E.1.1项目运营期费用(不含税）'!Q19+'E.1.1项目运营期费用(不含税）'!Q20+'E.1.1项目运营期费用(不含税）'!Q21+'E.1.1项目运营期费用(不含税）'!Q22+'E.1.1项目运营期费用(不含税）'!Q23+'c借款还本付息计划表'!M36</f>
        <v/>
      </c>
      <c r="M9" s="180">
        <f>'E.1.1项目运营期费用(不含税）'!R6+'E.1.1项目运营期费用(不含税）'!R11+'E.1.1项目运营期费用(不含税）'!R17+'E.1.1项目运营期费用(不含税）'!R18+'E.1.1项目运营期费用(不含税）'!R19+'E.1.1项目运营期费用(不含税）'!R20+'E.1.1项目运营期费用(不含税）'!R21+'E.1.1项目运营期费用(不含税）'!R22+'E.1.1项目运营期费用(不含税）'!R23+'c借款还本付息计划表'!N36</f>
        <v/>
      </c>
      <c r="N9" s="180">
        <f>'E.1.1项目运营期费用(不含税）'!S6+'E.1.1项目运营期费用(不含税）'!S11+'E.1.1项目运营期费用(不含税）'!S17+'E.1.1项目运营期费用(不含税）'!S18+'E.1.1项目运营期费用(不含税）'!S19+'E.1.1项目运营期费用(不含税）'!S20+'E.1.1项目运营期费用(不含税）'!S21+'E.1.1项目运营期费用(不含税）'!S22+'E.1.1项目运营期费用(不含税）'!S23+'c借款还本付息计划表'!O36</f>
        <v/>
      </c>
      <c r="O9" s="180">
        <f>'E.1.1项目运营期费用(不含税）'!T6+'E.1.1项目运营期费用(不含税）'!T11+'E.1.1项目运营期费用(不含税）'!T17+'E.1.1项目运营期费用(不含税）'!T18+'E.1.1项目运营期费用(不含税）'!T19+'E.1.1项目运营期费用(不含税）'!T20+'E.1.1项目运营期费用(不含税）'!T21+'E.1.1项目运营期费用(不含税）'!T22+'E.1.1项目运营期费用(不含税）'!T23+'c借款还本付息计划表'!P36</f>
        <v/>
      </c>
      <c r="P9" s="180">
        <f>'E.1.1项目运营期费用(不含税）'!U6+'E.1.1项目运营期费用(不含税）'!U11+'E.1.1项目运营期费用(不含税）'!U17+'E.1.1项目运营期费用(不含税）'!U18+'E.1.1项目运营期费用(不含税）'!U19+'E.1.1项目运营期费用(不含税）'!U20+'E.1.1项目运营期费用(不含税）'!U21+'E.1.1项目运营期费用(不含税）'!U22+'E.1.1项目运营期费用(不含税）'!U23+'c借款还本付息计划表'!Q36</f>
        <v/>
      </c>
      <c r="Q9" s="180">
        <f>'E.1.1项目运营期费用(不含税）'!V6+'E.1.1项目运营期费用(不含税）'!V11+'E.1.1项目运营期费用(不含税）'!V17+'E.1.1项目运营期费用(不含税）'!V18+'E.1.1项目运营期费用(不含税）'!V19+'E.1.1项目运营期费用(不含税）'!V20+'E.1.1项目运营期费用(不含税）'!V21+'E.1.1项目运营期费用(不含税）'!V22+'E.1.1项目运营期费用(不含税）'!V23+'c借款还本付息计划表'!R36</f>
        <v/>
      </c>
      <c r="R9" s="180">
        <f>'E.1.1项目运营期费用(不含税）'!W6+'E.1.1项目运营期费用(不含税）'!W11+'E.1.1项目运营期费用(不含税）'!W17+'E.1.1项目运营期费用(不含税）'!W18+'E.1.1项目运营期费用(不含税）'!W19+'E.1.1项目运营期费用(不含税）'!W20+'E.1.1项目运营期费用(不含税）'!W21+'E.1.1项目运营期费用(不含税）'!W22+'E.1.1项目运营期费用(不含税）'!W23+'c借款还本付息计划表'!S36</f>
        <v/>
      </c>
      <c r="S9" s="180">
        <f>'E.1.1项目运营期费用(不含税）'!X6+'E.1.1项目运营期费用(不含税）'!X11+'E.1.1项目运营期费用(不含税）'!X17+'E.1.1项目运营期费用(不含税）'!X18+'E.1.1项目运营期费用(不含税）'!X19+'E.1.1项目运营期费用(不含税）'!X20+'E.1.1项目运营期费用(不含税）'!X21+'E.1.1项目运营期费用(不含税）'!X22+'E.1.1项目运营期费用(不含税）'!X23+'c借款还本付息计划表'!T36</f>
        <v/>
      </c>
      <c r="T9" s="180">
        <f>'E.1.1项目运营期费用(不含税）'!Y6+'E.1.1项目运营期费用(不含税）'!Y11+'E.1.1项目运营期费用(不含税）'!Y17+'E.1.1项目运营期费用(不含税）'!Y18+'E.1.1项目运营期费用(不含税）'!Y19+'E.1.1项目运营期费用(不含税）'!Y20+'E.1.1项目运营期费用(不含税）'!Y21+'E.1.1项目运营期费用(不含税）'!Y22+'E.1.1项目运营期费用(不含税）'!Y23+'c借款还本付息计划表'!U36</f>
        <v/>
      </c>
      <c r="U9" s="180">
        <f>'E.1.1项目运营期费用(不含税）'!Z6+'E.1.1项目运营期费用(不含税）'!Z11+'E.1.1项目运营期费用(不含税）'!Z17+'E.1.1项目运营期费用(不含税）'!Z18+'E.1.1项目运营期费用(不含税）'!Z19+'E.1.1项目运营期费用(不含税）'!Z20+'E.1.1项目运营期费用(不含税）'!Z21+'E.1.1项目运营期费用(不含税）'!Z22+'E.1.1项目运营期费用(不含税）'!Z23+'c借款还本付息计划表'!V36</f>
        <v/>
      </c>
      <c r="V9" s="180">
        <f>'E.1.1项目运营期费用(不含税）'!AA6+'E.1.1项目运营期费用(不含税）'!AA11+'E.1.1项目运营期费用(不含税）'!AA17+'E.1.1项目运营期费用(不含税）'!AA18+'E.1.1项目运营期费用(不含税）'!AA19+'E.1.1项目运营期费用(不含税）'!AA20+'E.1.1项目运营期费用(不含税）'!AA21+'E.1.1项目运营期费用(不含税）'!AA22+'E.1.1项目运营期费用(不含税）'!AA23+'c借款还本付息计划表'!W36</f>
        <v/>
      </c>
      <c r="W9" s="180">
        <f>'E.1.1项目运营期费用(不含税）'!AB6+'E.1.1项目运营期费用(不含税）'!AB11+'E.1.1项目运营期费用(不含税）'!AB17+'E.1.1项目运营期费用(不含税）'!AB18+'E.1.1项目运营期费用(不含税）'!AB19+'E.1.1项目运营期费用(不含税）'!AB20+'E.1.1项目运营期费用(不含税）'!AB21+'E.1.1项目运营期费用(不含税）'!AB22+'E.1.1项目运营期费用(不含税）'!AB23+'c借款还本付息计划表'!X36</f>
        <v/>
      </c>
      <c r="X9" s="180">
        <f>'E.1.1项目运营期费用(不含税）'!AC6+'E.1.1项目运营期费用(不含税）'!AC11+'E.1.1项目运营期费用(不含税）'!AC17+'E.1.1项目运营期费用(不含税）'!AC18+'E.1.1项目运营期费用(不含税）'!AC19+'E.1.1项目运营期费用(不含税）'!AC20+'E.1.1项目运营期费用(不含税）'!AC21+'E.1.1项目运营期费用(不含税）'!AC22+'E.1.1项目运营期费用(不含税）'!AC23+'c借款还本付息计划表'!Y36</f>
        <v/>
      </c>
      <c r="Y9" s="180">
        <f>'E.1.1项目运营期费用(不含税）'!AD6+'E.1.1项目运营期费用(不含税）'!AD11+'E.1.1项目运营期费用(不含税）'!AD17+'E.1.1项目运营期费用(不含税）'!AD18+'E.1.1项目运营期费用(不含税）'!AD19+'E.1.1项目运营期费用(不含税）'!AD20+'E.1.1项目运营期费用(不含税）'!AD21+'E.1.1项目运营期费用(不含税）'!AD22+'E.1.1项目运营期费用(不含税）'!AD23+'c借款还本付息计划表'!Z36</f>
        <v/>
      </c>
    </row>
    <row r="10" customFormat="1" s="53">
      <c r="A10" s="7" t="n">
        <v>5.3</v>
      </c>
      <c r="B10" s="7" t="inlineStr">
        <is>
          <t>其他营业费用</t>
        </is>
      </c>
      <c r="C10" s="179" t="n"/>
      <c r="D10" s="180">
        <f>'E.1.1项目运营期费用(不含税）'!I15</f>
        <v/>
      </c>
      <c r="E10" s="180">
        <f>'E.1.1项目运营期费用(不含税）'!J15</f>
        <v/>
      </c>
      <c r="F10" s="180">
        <f>'E.1.1项目运营期费用(不含税）'!K15</f>
        <v/>
      </c>
      <c r="G10" s="180">
        <f>'E.1.1项目运营期费用(不含税）'!L15</f>
        <v/>
      </c>
      <c r="H10" s="180">
        <f>'E.1.1项目运营期费用(不含税）'!M15</f>
        <v/>
      </c>
      <c r="I10" s="180">
        <f>'E.1.1项目运营期费用(不含税）'!N15</f>
        <v/>
      </c>
      <c r="J10" s="180">
        <f>'E.1.1项目运营期费用(不含税）'!O15</f>
        <v/>
      </c>
      <c r="K10" s="180">
        <f>'E.1.1项目运营期费用(不含税）'!P15</f>
        <v/>
      </c>
      <c r="L10" s="180">
        <f>'E.1.1项目运营期费用(不含税）'!Q15</f>
        <v/>
      </c>
      <c r="M10" s="180">
        <f>'E.1.1项目运营期费用(不含税）'!R15</f>
        <v/>
      </c>
      <c r="N10" s="180">
        <f>'E.1.1项目运营期费用(不含税）'!S15</f>
        <v/>
      </c>
      <c r="O10" s="180">
        <f>'E.1.1项目运营期费用(不含税）'!T15</f>
        <v/>
      </c>
      <c r="P10" s="180">
        <f>'E.1.1项目运营期费用(不含税）'!U15</f>
        <v/>
      </c>
      <c r="Q10" s="180">
        <f>'E.1.1项目运营期费用(不含税）'!V15</f>
        <v/>
      </c>
      <c r="R10" s="180">
        <f>'E.1.1项目运营期费用(不含税）'!W15</f>
        <v/>
      </c>
      <c r="S10" s="180">
        <f>'E.1.1项目运营期费用(不含税）'!X15</f>
        <v/>
      </c>
      <c r="T10" s="180">
        <f>'E.1.1项目运营期费用(不含税）'!Y15</f>
        <v/>
      </c>
      <c r="U10" s="180">
        <f>'E.1.1项目运营期费用(不含税）'!Z15</f>
        <v/>
      </c>
      <c r="V10" s="180">
        <f>'E.1.1项目运营期费用(不含税）'!AA15</f>
        <v/>
      </c>
      <c r="W10" s="180">
        <f>'E.1.1项目运营期费用(不含税）'!AB15</f>
        <v/>
      </c>
      <c r="X10" s="180">
        <f>'E.1.1项目运营期费用(不含税）'!AC15</f>
        <v/>
      </c>
      <c r="Y10" s="180">
        <f>'E.1.1项目运营期费用(不含税）'!AD15</f>
        <v/>
      </c>
    </row>
    <row r="11" customFormat="1" s="53">
      <c r="A11" s="7" t="n">
        <v>6</v>
      </c>
      <c r="B11" s="7" t="inlineStr">
        <is>
          <t>经营成本 （1+2+3+4+5）</t>
        </is>
      </c>
      <c r="C11" s="179" t="n"/>
      <c r="D11" s="177">
        <f>D3+D4+D5+D6+D7</f>
        <v/>
      </c>
      <c r="E11" s="177">
        <f>E3+E4+E5+E6+E7</f>
        <v/>
      </c>
      <c r="F11" s="177">
        <f>F3+F4+F5+F6+F7</f>
        <v/>
      </c>
      <c r="G11" s="177">
        <f>G3+G4+G5+G6+G7</f>
        <v/>
      </c>
      <c r="H11" s="177">
        <f>H3+H4+H5+H6+H7</f>
        <v/>
      </c>
      <c r="I11" s="177">
        <f>I3+I4+I5+I6+I7</f>
        <v/>
      </c>
      <c r="J11" s="177">
        <f>J3+J4+J5+J6+J7</f>
        <v/>
      </c>
      <c r="K11" s="177">
        <f>K3+K4+K5+K6+K7</f>
        <v/>
      </c>
      <c r="L11" s="177">
        <f>L3+L4+L5+L6+L7</f>
        <v/>
      </c>
      <c r="M11" s="177">
        <f>M3+M4+M5+M6+M7</f>
        <v/>
      </c>
      <c r="N11" s="177">
        <f>N3+N4+N5+N6+N7</f>
        <v/>
      </c>
      <c r="O11" s="177">
        <f>O3+O4+O5+O6+O7</f>
        <v/>
      </c>
      <c r="P11" s="177">
        <f>P3+P4+P5+P6+P7</f>
        <v/>
      </c>
      <c r="Q11" s="177">
        <f>Q3+Q4+Q5+Q6+Q7</f>
        <v/>
      </c>
      <c r="R11" s="177">
        <f>R3+R4+R5+R6+R7</f>
        <v/>
      </c>
      <c r="S11" s="177">
        <f>S3+S4+S5+S6+S7</f>
        <v/>
      </c>
      <c r="T11" s="177">
        <f>T3+T4+T5+T6+T7</f>
        <v/>
      </c>
      <c r="U11" s="177">
        <f>U3+U4+U5+U6+U7</f>
        <v/>
      </c>
      <c r="V11" s="177">
        <f>V3+V4+V5+V6+V7</f>
        <v/>
      </c>
      <c r="W11" s="177">
        <f>W3+W4+W5+W6+W7</f>
        <v/>
      </c>
      <c r="X11" s="177">
        <f>X3+X4+X5+X6+X7</f>
        <v/>
      </c>
      <c r="Y11" s="177">
        <f>Y3+Y4+Y5+Y6+Y7</f>
        <v/>
      </c>
    </row>
    <row r="12" customFormat="1" s="53">
      <c r="A12" s="7" t="n">
        <v>7</v>
      </c>
      <c r="B12" s="7" t="inlineStr">
        <is>
          <t>折旧费</t>
        </is>
      </c>
      <c r="C12" s="178">
        <f>('E.2固定资产折旧费估算表'!F12)</f>
        <v/>
      </c>
      <c r="D12" s="171">
        <f>('E.2固定资产折旧费估算表'!G12)</f>
        <v/>
      </c>
      <c r="E12" s="171">
        <f>('E.2固定资产折旧费估算表'!H12)</f>
        <v/>
      </c>
      <c r="F12" s="171">
        <f>('E.2固定资产折旧费估算表'!I12)</f>
        <v/>
      </c>
      <c r="G12" s="171">
        <f>('E.2固定资产折旧费估算表'!J12)</f>
        <v/>
      </c>
      <c r="H12" s="171">
        <f>('E.2固定资产折旧费估算表'!K12)</f>
        <v/>
      </c>
      <c r="I12" s="171">
        <f>('E.2固定资产折旧费估算表'!L12)</f>
        <v/>
      </c>
      <c r="J12" s="171">
        <f>('E.2固定资产折旧费估算表'!M12)</f>
        <v/>
      </c>
      <c r="K12" s="171">
        <f>('E.2固定资产折旧费估算表'!N12)</f>
        <v/>
      </c>
      <c r="L12" s="171">
        <f>('E.2固定资产折旧费估算表'!O12)</f>
        <v/>
      </c>
      <c r="M12" s="171">
        <f>('E.2固定资产折旧费估算表'!P12)</f>
        <v/>
      </c>
      <c r="N12" s="171">
        <f>('E.2固定资产折旧费估算表'!Q12)</f>
        <v/>
      </c>
      <c r="O12" s="171">
        <f>('E.2固定资产折旧费估算表'!R12)</f>
        <v/>
      </c>
      <c r="P12" s="171">
        <f>('E.2固定资产折旧费估算表'!S12)</f>
        <v/>
      </c>
      <c r="Q12" s="171">
        <f>('E.2固定资产折旧费估算表'!T12)</f>
        <v/>
      </c>
      <c r="R12" s="171">
        <f>('E.2固定资产折旧费估算表'!U12)</f>
        <v/>
      </c>
      <c r="S12" s="171">
        <f>('E.2固定资产折旧费估算表'!V12)</f>
        <v/>
      </c>
      <c r="T12" s="171">
        <f>('E.2固定资产折旧费估算表'!W12)</f>
        <v/>
      </c>
      <c r="U12" s="171">
        <f>('E.2固定资产折旧费估算表'!X12)</f>
        <v/>
      </c>
      <c r="V12" s="171">
        <f>('E.2固定资产折旧费估算表'!Y12)</f>
        <v/>
      </c>
      <c r="W12" s="171">
        <f>('E.2固定资产折旧费估算表'!Z12)</f>
        <v/>
      </c>
      <c r="X12" s="171">
        <f>('E.2固定资产折旧费估算表'!AA12)</f>
        <v/>
      </c>
      <c r="Y12" s="171">
        <f>('E.2固定资产折旧费估算表'!AB12)</f>
        <v/>
      </c>
    </row>
    <row r="13" customFormat="1" s="53">
      <c r="A13" s="7" t="n">
        <v>8</v>
      </c>
      <c r="B13" s="7" t="inlineStr">
        <is>
          <t>摊销费</t>
        </is>
      </c>
      <c r="C13" s="181">
        <f>('E.3无形资产和其他资产摊销费估算表'!F48)</f>
        <v/>
      </c>
      <c r="D13" s="171">
        <f>('E.3无形资产和其他资产摊销费估算表'!G48)</f>
        <v/>
      </c>
      <c r="E13" s="171">
        <f>('E.3无形资产和其他资产摊销费估算表'!H48)</f>
        <v/>
      </c>
      <c r="F13" s="171">
        <f>('E.3无形资产和其他资产摊销费估算表'!I48)</f>
        <v/>
      </c>
      <c r="G13" s="171">
        <f>('E.3无形资产和其他资产摊销费估算表'!J48)</f>
        <v/>
      </c>
      <c r="H13" s="171">
        <f>('E.3无形资产和其他资产摊销费估算表'!K48)</f>
        <v/>
      </c>
      <c r="I13" s="171">
        <f>('E.3无形资产和其他资产摊销费估算表'!L48)</f>
        <v/>
      </c>
      <c r="J13" s="171">
        <f>('E.3无形资产和其他资产摊销费估算表'!M48)</f>
        <v/>
      </c>
      <c r="K13" s="171">
        <f>('E.3无形资产和其他资产摊销费估算表'!N48)</f>
        <v/>
      </c>
      <c r="L13" s="171">
        <f>('E.3无形资产和其他资产摊销费估算表'!O48)</f>
        <v/>
      </c>
      <c r="M13" s="171">
        <f>('E.3无形资产和其他资产摊销费估算表'!P48)</f>
        <v/>
      </c>
      <c r="N13" s="171">
        <f>('E.3无形资产和其他资产摊销费估算表'!Q48)</f>
        <v/>
      </c>
      <c r="O13" s="171">
        <f>('E.3无形资产和其他资产摊销费估算表'!R48)</f>
        <v/>
      </c>
      <c r="P13" s="171">
        <f>('E.3无形资产和其他资产摊销费估算表'!S48)</f>
        <v/>
      </c>
      <c r="Q13" s="171">
        <f>('E.3无形资产和其他资产摊销费估算表'!T48)</f>
        <v/>
      </c>
      <c r="R13" s="171">
        <f>('E.3无形资产和其他资产摊销费估算表'!U48)</f>
        <v/>
      </c>
      <c r="S13" s="171">
        <f>('E.3无形资产和其他资产摊销费估算表'!V48)</f>
        <v/>
      </c>
      <c r="T13" s="171">
        <f>('E.3无形资产和其他资产摊销费估算表'!W48)</f>
        <v/>
      </c>
      <c r="U13" s="171">
        <f>('E.3无形资产和其他资产摊销费估算表'!X48)</f>
        <v/>
      </c>
      <c r="V13" s="171">
        <f>('E.3无形资产和其他资产摊销费估算表'!Y48)</f>
        <v/>
      </c>
      <c r="W13" s="171">
        <f>('E.3无形资产和其他资产摊销费估算表'!Z48)</f>
        <v/>
      </c>
      <c r="X13" s="171">
        <f>('E.3无形资产和其他资产摊销费估算表'!AA48)</f>
        <v/>
      </c>
      <c r="Y13" s="171">
        <f>('E.3无形资产和其他资产摊销费估算表'!AB48)</f>
        <v/>
      </c>
    </row>
    <row r="14" customFormat="1" s="53">
      <c r="A14" s="7" t="n">
        <v>9</v>
      </c>
      <c r="B14" s="7" t="inlineStr">
        <is>
          <t>利息支出</t>
        </is>
      </c>
      <c r="C14" s="179" t="n"/>
      <c r="D14" s="171" t="n"/>
      <c r="E14" s="171" t="n"/>
      <c r="F14" s="171">
        <f>('c借款还本付息计划表'!G38+'c借款还本付息计划表'!G36)</f>
        <v/>
      </c>
      <c r="G14" s="171">
        <f>('c借款还本付息计划表'!H38+'c借款还本付息计划表'!H36)</f>
        <v/>
      </c>
      <c r="H14" s="171">
        <f>('c借款还本付息计划表'!I38+'c借款还本付息计划表'!I36)</f>
        <v/>
      </c>
      <c r="I14" s="171">
        <f>('c借款还本付息计划表'!J38+'c借款还本付息计划表'!J36)</f>
        <v/>
      </c>
      <c r="J14" s="171">
        <f>('c借款还本付息计划表'!K38+'c借款还本付息计划表'!K36)</f>
        <v/>
      </c>
      <c r="K14" s="171">
        <f>('c借款还本付息计划表'!L38+'c借款还本付息计划表'!L36)</f>
        <v/>
      </c>
      <c r="L14" s="171">
        <f>('c借款还本付息计划表'!M38+'c借款还本付息计划表'!M36)</f>
        <v/>
      </c>
      <c r="M14" s="171">
        <f>('c借款还本付息计划表'!N38+'c借款还本付息计划表'!N36)</f>
        <v/>
      </c>
      <c r="N14" s="171">
        <f>('c借款还本付息计划表'!O38+'c借款还本付息计划表'!O36)</f>
        <v/>
      </c>
      <c r="O14" s="171">
        <f>('c借款还本付息计划表'!P38+'c借款还本付息计划表'!P36)</f>
        <v/>
      </c>
      <c r="P14" s="171">
        <f>('c借款还本付息计划表'!Q38+'c借款还本付息计划表'!Q36)</f>
        <v/>
      </c>
      <c r="Q14" s="171">
        <f>('c借款还本付息计划表'!R38+'c借款还本付息计划表'!R36)</f>
        <v/>
      </c>
      <c r="R14" s="171">
        <f>('c借款还本付息计划表'!S38+'c借款还本付息计划表'!S36)</f>
        <v/>
      </c>
      <c r="S14" s="171">
        <f>('c借款还本付息计划表'!T38+'c借款还本付息计划表'!T36)</f>
        <v/>
      </c>
      <c r="T14" s="171">
        <f>('c借款还本付息计划表'!U38+'c借款还本付息计划表'!U36)</f>
        <v/>
      </c>
      <c r="U14" s="171">
        <f>('c借款还本付息计划表'!V38+'c借款还本付息计划表'!V36)</f>
        <v/>
      </c>
      <c r="V14" s="171">
        <f>('c借款还本付息计划表'!W38+'c借款还本付息计划表'!W36)</f>
        <v/>
      </c>
      <c r="W14" s="171">
        <f>('c借款还本付息计划表'!X38+'c借款还本付息计划表'!X36)</f>
        <v/>
      </c>
      <c r="X14" s="171">
        <f>('c借款还本付息计划表'!Y38+'c借款还本付息计划表'!Y36)</f>
        <v/>
      </c>
      <c r="Y14" s="171">
        <f>('c借款还本付息计划表'!Z38+'c借款还本付息计划表'!Z36)</f>
        <v/>
      </c>
    </row>
    <row r="15" customFormat="1" s="53">
      <c r="A15" s="7" t="n">
        <v>10</v>
      </c>
      <c r="B15" s="7" t="inlineStr">
        <is>
          <t>总成本费用 （6+7+8+9）</t>
        </is>
      </c>
      <c r="C15" s="179" t="n"/>
      <c r="D15" s="177">
        <f>D11+D12+D13+D14</f>
        <v/>
      </c>
      <c r="E15" s="177">
        <f>E11+E12+E13+E14</f>
        <v/>
      </c>
      <c r="F15" s="177">
        <f>F11+F12+F13+F14</f>
        <v/>
      </c>
      <c r="G15" s="177">
        <f>G11+G12+G13+G14</f>
        <v/>
      </c>
      <c r="H15" s="177">
        <f>H11+H12+H13+H14</f>
        <v/>
      </c>
      <c r="I15" s="177">
        <f>I11+I12+I13+I14</f>
        <v/>
      </c>
      <c r="J15" s="177">
        <f>J11+J12+J13+J14</f>
        <v/>
      </c>
      <c r="K15" s="177">
        <f>K11+K12+K13+K14</f>
        <v/>
      </c>
      <c r="L15" s="177">
        <f>L11+L12+L13+L14</f>
        <v/>
      </c>
      <c r="M15" s="177">
        <f>M11+M12+M13+M14</f>
        <v/>
      </c>
      <c r="N15" s="177">
        <f>N11+N12+N13+N14</f>
        <v/>
      </c>
      <c r="O15" s="177">
        <f>O11+O12+O13+O14</f>
        <v/>
      </c>
      <c r="P15" s="177">
        <f>P11+P12+P13+P14</f>
        <v/>
      </c>
      <c r="Q15" s="177">
        <f>Q11+Q12+Q13+Q14</f>
        <v/>
      </c>
      <c r="R15" s="177">
        <f>R11+R12+R13+R14</f>
        <v/>
      </c>
      <c r="S15" s="177">
        <f>S11+S12+S13+S14</f>
        <v/>
      </c>
      <c r="T15" s="177">
        <f>T11+T12+T13+T14</f>
        <v/>
      </c>
      <c r="U15" s="177">
        <f>U11+U12+U13+U14</f>
        <v/>
      </c>
      <c r="V15" s="177">
        <f>V11+V12+V13+V14</f>
        <v/>
      </c>
      <c r="W15" s="177">
        <f>W11+W12+W13+W14</f>
        <v/>
      </c>
      <c r="X15" s="177">
        <f>X11+X12+X13+X14</f>
        <v/>
      </c>
      <c r="Y15" s="177">
        <f>Y11+Y12+Y13+Y14</f>
        <v/>
      </c>
    </row>
    <row r="16" customFormat="1" s="53">
      <c r="A16" s="7" t="n">
        <v>10.1</v>
      </c>
      <c r="B16" s="7" t="inlineStr">
        <is>
          <t>其中固定成本 （10-10.2）</t>
        </is>
      </c>
      <c r="C16" s="179" t="n"/>
      <c r="D16" s="177">
        <f>D15-D17</f>
        <v/>
      </c>
      <c r="E16" s="177">
        <f>E15-E17</f>
        <v/>
      </c>
      <c r="F16" s="177">
        <f>F15-F17</f>
        <v/>
      </c>
      <c r="G16" s="177">
        <f>G15-G17</f>
        <v/>
      </c>
      <c r="H16" s="177">
        <f>H15-H17</f>
        <v/>
      </c>
      <c r="I16" s="177">
        <f>I15-I17</f>
        <v/>
      </c>
      <c r="J16" s="177">
        <f>J15-J17</f>
        <v/>
      </c>
      <c r="K16" s="177">
        <f>K15-K17</f>
        <v/>
      </c>
      <c r="L16" s="177">
        <f>L15-L17</f>
        <v/>
      </c>
      <c r="M16" s="177">
        <f>M15-M17</f>
        <v/>
      </c>
      <c r="N16" s="177">
        <f>N15-N17</f>
        <v/>
      </c>
      <c r="O16" s="177">
        <f>O15-O17</f>
        <v/>
      </c>
      <c r="P16" s="177">
        <f>P15-P17</f>
        <v/>
      </c>
      <c r="Q16" s="177">
        <f>Q15-Q17</f>
        <v/>
      </c>
      <c r="R16" s="177">
        <f>R15-R17</f>
        <v/>
      </c>
      <c r="S16" s="177">
        <f>S15-S17</f>
        <v/>
      </c>
      <c r="T16" s="177">
        <f>T15-T17</f>
        <v/>
      </c>
      <c r="U16" s="177">
        <f>U15-U17</f>
        <v/>
      </c>
      <c r="V16" s="177">
        <f>V15-V17</f>
        <v/>
      </c>
      <c r="W16" s="177">
        <f>W15-W17</f>
        <v/>
      </c>
      <c r="X16" s="177">
        <f>X15-X17</f>
        <v/>
      </c>
      <c r="Y16" s="177">
        <f>Y15-Y17</f>
        <v/>
      </c>
    </row>
    <row r="17" customFormat="1" s="53">
      <c r="A17" s="7" t="n">
        <v>10.2</v>
      </c>
      <c r="B17" s="7" t="inlineStr">
        <is>
          <t>其中可变成本 （1+2+3+5.3）</t>
        </is>
      </c>
      <c r="C17" s="179" t="n"/>
      <c r="D17" s="177">
        <f>D3+D4+D5+D10</f>
        <v/>
      </c>
      <c r="E17" s="177">
        <f>E3+E4+E5+E10</f>
        <v/>
      </c>
      <c r="F17" s="177">
        <f>F3+F4+F5+F10</f>
        <v/>
      </c>
      <c r="G17" s="177">
        <f>G3+G4+G5+G10</f>
        <v/>
      </c>
      <c r="H17" s="177">
        <f>H3+H4+H5+H10</f>
        <v/>
      </c>
      <c r="I17" s="177">
        <f>I3+I4+I5+I10</f>
        <v/>
      </c>
      <c r="J17" s="177">
        <f>J3+J4+J5+J10</f>
        <v/>
      </c>
      <c r="K17" s="177">
        <f>K3+K4+K5+K10</f>
        <v/>
      </c>
      <c r="L17" s="177">
        <f>L3+L4+L5+L10</f>
        <v/>
      </c>
      <c r="M17" s="177">
        <f>M3+M4+M5+M10</f>
        <v/>
      </c>
      <c r="N17" s="177">
        <f>N3+N4+N5+N10</f>
        <v/>
      </c>
      <c r="O17" s="177">
        <f>O3+O4+O5+O10</f>
        <v/>
      </c>
      <c r="P17" s="177">
        <f>P3+P4+P5+P10</f>
        <v/>
      </c>
      <c r="Q17" s="177">
        <f>Q3+Q4+Q5+Q10</f>
        <v/>
      </c>
      <c r="R17" s="177">
        <f>R3+R4+R5+R10</f>
        <v/>
      </c>
      <c r="S17" s="177">
        <f>S3+S4+S5+S10</f>
        <v/>
      </c>
      <c r="T17" s="177">
        <f>T3+T4+T5+T10</f>
        <v/>
      </c>
      <c r="U17" s="177">
        <f>U3+U4+U5+U10</f>
        <v/>
      </c>
      <c r="V17" s="177">
        <f>V3+V4+V5+V10</f>
        <v/>
      </c>
      <c r="W17" s="177">
        <f>W3+W4+W5+W10</f>
        <v/>
      </c>
      <c r="X17" s="177">
        <f>X3+X4+X5+X10</f>
        <v/>
      </c>
      <c r="Y17" s="177">
        <f>Y3+Y4+Y5+Y10</f>
        <v/>
      </c>
    </row>
    <row r="18" s="162">
      <c r="C18" s="135" t="n"/>
    </row>
  </sheetData>
  <mergeCells count="1">
    <mergeCell ref="A1:H1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eet9">
    <tabColor rgb="FFFFFF00"/>
    <outlinePr summaryBelow="1" summaryRight="1"/>
    <pageSetUpPr/>
  </sheetPr>
  <dimension ref="A1:AE25"/>
  <sheetViews>
    <sheetView zoomScale="70" zoomScaleNormal="70" workbookViewId="0">
      <pane xSplit="7" ySplit="3" topLeftCell="H4" activePane="bottomRight" state="frozen"/>
      <selection activeCell="A1" sqref="A1"/>
      <selection pane="topRight" activeCell="A1" sqref="A1"/>
      <selection pane="bottomLeft" activeCell="A1" sqref="A1"/>
      <selection pane="bottomRight" activeCell="L5" sqref="L5"/>
    </sheetView>
  </sheetViews>
  <sheetFormatPr baseColWidth="8" defaultColWidth="8.890909090909091" defaultRowHeight="28.05" customHeight="1"/>
  <cols>
    <col width="19.8909090909091" customWidth="1" style="162" min="1" max="1"/>
    <col width="6.33636363636364" customWidth="1" style="162" min="2" max="2"/>
    <col width="32.2181818181818" customWidth="1" style="162" min="3" max="3"/>
    <col width="56.1090909090909" customWidth="1" style="162" min="4" max="4"/>
    <col width="7" customWidth="1" style="162" min="5" max="6"/>
    <col width="12.6636363636364" customWidth="1" style="162" min="7" max="7"/>
    <col width="10.4454545454545" customWidth="1" style="162" min="8" max="8"/>
    <col width="9.445454545454551" customWidth="1" style="162" min="9" max="10"/>
    <col width="8.21818181818182" customWidth="1" style="162" min="11" max="11"/>
    <col width="9.445454545454551" customWidth="1" style="162" min="12" max="12"/>
    <col width="10.6636363636364" customWidth="1" style="162" min="13" max="13"/>
    <col width="9.445454545454551" customWidth="1" style="162" min="14" max="14"/>
  </cols>
  <sheetData>
    <row r="1" customFormat="1" s="53">
      <c r="A1" s="109" t="inlineStr">
        <is>
          <t>E.1项目运营期费用（万元）</t>
        </is>
      </c>
    </row>
    <row r="2" customFormat="1" s="53">
      <c r="A2" s="17" t="inlineStr">
        <is>
          <t>成本类别</t>
        </is>
      </c>
      <c r="B2" s="17" t="inlineStr">
        <is>
          <t>序号</t>
        </is>
      </c>
      <c r="C2" s="17" t="inlineStr">
        <is>
          <t>科目</t>
        </is>
      </c>
      <c r="D2" s="17" t="inlineStr">
        <is>
          <t>取费计算方式</t>
        </is>
      </c>
      <c r="E2" s="17" t="inlineStr">
        <is>
          <t>数量</t>
        </is>
      </c>
      <c r="F2" s="23" t="inlineStr">
        <is>
          <t>单价</t>
        </is>
      </c>
      <c r="G2" s="23" t="inlineStr">
        <is>
          <t>浮动后单价</t>
        </is>
      </c>
      <c r="H2" s="22" t="n">
        <v>2025</v>
      </c>
      <c r="I2" s="26" t="n">
        <v>2026</v>
      </c>
      <c r="J2" s="22" t="n">
        <v>2027</v>
      </c>
      <c r="K2" s="26" t="n">
        <v>2028</v>
      </c>
      <c r="L2" s="22" t="n">
        <v>2029</v>
      </c>
      <c r="M2" s="26" t="n">
        <v>2030</v>
      </c>
      <c r="N2" s="204" t="n">
        <v>2031</v>
      </c>
      <c r="O2" s="204" t="n">
        <v>2032</v>
      </c>
      <c r="P2" s="204" t="n">
        <v>2033</v>
      </c>
      <c r="Q2" s="204" t="n">
        <v>2034</v>
      </c>
      <c r="R2" s="204" t="n">
        <v>2035</v>
      </c>
      <c r="S2" s="204" t="n">
        <v>2036</v>
      </c>
      <c r="T2" s="204" t="n">
        <v>2037</v>
      </c>
      <c r="U2" s="204" t="n">
        <v>2038</v>
      </c>
      <c r="V2" s="204" t="n">
        <v>2039</v>
      </c>
      <c r="W2" s="204" t="n">
        <v>2040</v>
      </c>
      <c r="X2" s="204" t="n">
        <v>2041</v>
      </c>
      <c r="Y2" s="204" t="n">
        <v>2042</v>
      </c>
      <c r="Z2" s="204" t="n">
        <v>2043</v>
      </c>
      <c r="AA2" s="204" t="n">
        <v>2044</v>
      </c>
      <c r="AB2" s="204" t="n">
        <v>2045</v>
      </c>
      <c r="AC2" s="204" t="n">
        <v>2046</v>
      </c>
      <c r="AD2" s="204" t="n">
        <v>2047</v>
      </c>
      <c r="AE2" s="204" t="inlineStr">
        <is>
          <t>合计</t>
        </is>
      </c>
    </row>
    <row r="3" customFormat="1" s="53">
      <c r="A3" s="164" t="n"/>
      <c r="B3" s="164" t="n"/>
      <c r="C3" s="164" t="n"/>
      <c r="D3" s="164" t="n"/>
      <c r="E3" s="164" t="n"/>
      <c r="F3" s="164" t="n"/>
      <c r="G3" s="164" t="n"/>
      <c r="H3" s="24" t="inlineStr">
        <is>
          <t>负荷系数</t>
        </is>
      </c>
      <c r="I3" s="12" t="n">
        <v>0.7</v>
      </c>
      <c r="J3" s="12" t="n">
        <v>0.7</v>
      </c>
      <c r="K3" s="72" t="n">
        <v>0.8</v>
      </c>
      <c r="L3" s="12" t="n">
        <v>0.9</v>
      </c>
      <c r="M3" s="12" t="n">
        <v>1</v>
      </c>
      <c r="N3" s="12" t="n">
        <v>1</v>
      </c>
      <c r="O3" s="12" t="n">
        <v>1</v>
      </c>
      <c r="P3" s="12" t="n">
        <v>1</v>
      </c>
      <c r="Q3" s="12" t="n">
        <v>1</v>
      </c>
      <c r="R3" s="12" t="n">
        <v>1</v>
      </c>
      <c r="S3" s="12" t="n">
        <v>1</v>
      </c>
      <c r="T3" s="12" t="n">
        <v>1</v>
      </c>
      <c r="U3" s="12" t="n">
        <v>1</v>
      </c>
      <c r="V3" s="12" t="n">
        <v>1</v>
      </c>
      <c r="W3" s="12" t="n">
        <v>1</v>
      </c>
      <c r="X3" s="12" t="n">
        <v>1</v>
      </c>
      <c r="Y3" s="12" t="n">
        <v>1</v>
      </c>
      <c r="Z3" s="12" t="n">
        <v>1</v>
      </c>
      <c r="AA3" s="12" t="n">
        <v>1</v>
      </c>
      <c r="AB3" s="12" t="n">
        <v>1</v>
      </c>
      <c r="AC3" s="12" t="n">
        <v>1</v>
      </c>
      <c r="AD3" s="12" t="n">
        <v>1</v>
      </c>
      <c r="AE3" s="205" t="inlineStr">
        <is>
          <t>/</t>
        </is>
      </c>
    </row>
    <row r="4" customFormat="1" s="53">
      <c r="A4" s="10" t="inlineStr">
        <is>
          <t>场地维护成本</t>
        </is>
      </c>
      <c r="B4" s="10" t="n">
        <v>1</v>
      </c>
      <c r="C4" s="10" t="inlineStr">
        <is>
          <t>场地租金</t>
        </is>
      </c>
      <c r="D4" s="10" t="inlineStr">
        <is>
          <t>按面积×租金单价</t>
        </is>
      </c>
      <c r="E4" s="169" t="n">
        <v>1</v>
      </c>
      <c r="F4" s="169" t="n">
        <v>2</v>
      </c>
      <c r="G4" s="182">
        <f>F4*(1+A财务假设!$D$19)</f>
        <v/>
      </c>
      <c r="H4" s="183" t="n"/>
      <c r="I4" s="182">
        <f>$E4*$G4*I$3</f>
        <v/>
      </c>
      <c r="J4" s="182">
        <f>$E4*$G4*J$3</f>
        <v/>
      </c>
      <c r="K4" s="182">
        <f>$E4*$G4*K$3</f>
        <v/>
      </c>
      <c r="L4" s="182">
        <f>$E4*$G4*L$3</f>
        <v/>
      </c>
      <c r="M4" s="182">
        <f>$E4*$G4*M$3</f>
        <v/>
      </c>
      <c r="N4" s="182">
        <f>$E4*$G4*N$3</f>
        <v/>
      </c>
      <c r="O4" s="182">
        <f>$E4*$G4*O$3</f>
        <v/>
      </c>
      <c r="P4" s="182">
        <f>$E4*$G4*P$3</f>
        <v/>
      </c>
      <c r="Q4" s="182">
        <f>$E4*$G4*Q$3</f>
        <v/>
      </c>
      <c r="R4" s="182">
        <f>$E4*$G4*R$3</f>
        <v/>
      </c>
      <c r="S4" s="182">
        <f>$E4*$G4*S$3</f>
        <v/>
      </c>
      <c r="T4" s="182">
        <f>$E4*$G4*T$3</f>
        <v/>
      </c>
      <c r="U4" s="182">
        <f>$E4*$G4*U$3</f>
        <v/>
      </c>
      <c r="V4" s="182">
        <f>$E4*$G4*V$3</f>
        <v/>
      </c>
      <c r="W4" s="182">
        <f>$E4*$G4*W$3</f>
        <v/>
      </c>
      <c r="X4" s="182">
        <f>$E4*$G4*X$3</f>
        <v/>
      </c>
      <c r="Y4" s="182">
        <f>$E4*$G4*Y$3</f>
        <v/>
      </c>
      <c r="Z4" s="182">
        <f>$E4*$G4*Z$3</f>
        <v/>
      </c>
      <c r="AA4" s="182">
        <f>$E4*$G4*AA$3</f>
        <v/>
      </c>
      <c r="AB4" s="182">
        <f>$E4*$G4*AB$3</f>
        <v/>
      </c>
      <c r="AC4" s="182">
        <f>$E4*$G4*AC$3</f>
        <v/>
      </c>
      <c r="AD4" s="182">
        <f>$E4*$G4*AD$3</f>
        <v/>
      </c>
      <c r="AE4" s="206">
        <f>(SUM(H4:AD4))</f>
        <v/>
      </c>
    </row>
    <row r="5" ht="48" customFormat="1" customHeight="1" s="53">
      <c r="A5" s="184" t="n"/>
      <c r="B5" s="10" t="n">
        <v>2</v>
      </c>
      <c r="C5" s="25" t="inlineStr">
        <is>
          <t>场地日常维护（停机坪/起降场/交通枢纽/飞行营地/指挥中心等）</t>
        </is>
      </c>
      <c r="D5" s="10" t="inlineStr">
        <is>
          <t>按面积 × 单位维护单价（元 / ㎡・年）</t>
        </is>
      </c>
      <c r="E5" s="169" t="n">
        <v>2</v>
      </c>
      <c r="F5" s="169" t="n">
        <v>2</v>
      </c>
      <c r="G5" s="182">
        <f>F5*(1+A财务假设!$D$19)</f>
        <v/>
      </c>
      <c r="H5" s="183" t="n"/>
      <c r="I5" s="182">
        <f>$E5*$G5*I$3</f>
        <v/>
      </c>
      <c r="J5" s="182">
        <f>$E5*$G5*J$3</f>
        <v/>
      </c>
      <c r="K5" s="182">
        <f>$E5*$G5*K$3</f>
        <v/>
      </c>
      <c r="L5" s="182">
        <f>$E5*$G5*L$3</f>
        <v/>
      </c>
      <c r="M5" s="182">
        <f>$E5*$G5*M$3</f>
        <v/>
      </c>
      <c r="N5" s="182">
        <f>$E5*$G5*N$3</f>
        <v/>
      </c>
      <c r="O5" s="182">
        <f>$E5*$G5*O$3</f>
        <v/>
      </c>
      <c r="P5" s="182">
        <f>$E5*$G5*P$3</f>
        <v/>
      </c>
      <c r="Q5" s="182">
        <f>$E5*$G5*Q$3</f>
        <v/>
      </c>
      <c r="R5" s="182">
        <f>$E5*$G5*R$3</f>
        <v/>
      </c>
      <c r="S5" s="182">
        <f>$E5*$G5*S$3</f>
        <v/>
      </c>
      <c r="T5" s="182">
        <f>$E5*$G5*T$3</f>
        <v/>
      </c>
      <c r="U5" s="182">
        <f>$E5*$G5*U$3</f>
        <v/>
      </c>
      <c r="V5" s="182">
        <f>$E5*$G5*V$3</f>
        <v/>
      </c>
      <c r="W5" s="182">
        <f>$E5*$G5*W$3</f>
        <v/>
      </c>
      <c r="X5" s="182">
        <f>$E5*$G5*X$3</f>
        <v/>
      </c>
      <c r="Y5" s="182">
        <f>$E5*$G5*Y$3</f>
        <v/>
      </c>
      <c r="Z5" s="182">
        <f>$E5*$G5*Z$3</f>
        <v/>
      </c>
      <c r="AA5" s="182">
        <f>$E5*$G5*AA$3</f>
        <v/>
      </c>
      <c r="AB5" s="182">
        <f>$E5*$G5*AB$3</f>
        <v/>
      </c>
      <c r="AC5" s="182">
        <f>$E5*$G5*AC$3</f>
        <v/>
      </c>
      <c r="AD5" s="182">
        <f>$E5*$G5*AD$3</f>
        <v/>
      </c>
      <c r="AE5" s="206">
        <f>(SUM(H5:AD5))</f>
        <v/>
      </c>
    </row>
    <row r="6" customFormat="1" s="53">
      <c r="A6" s="184" t="n"/>
      <c r="B6" s="10" t="n">
        <v>3</v>
      </c>
      <c r="C6" s="10" t="inlineStr">
        <is>
          <t>消防设施年检</t>
        </is>
      </c>
      <c r="D6" s="10" t="inlineStr">
        <is>
          <t>按设备数量 × 单台年检费（元 / 台・次）</t>
        </is>
      </c>
      <c r="E6" s="169" t="n">
        <v>3</v>
      </c>
      <c r="F6" s="169" t="n">
        <v>2</v>
      </c>
      <c r="G6" s="182">
        <f>F6*(1+A财务假设!$D$19)</f>
        <v/>
      </c>
      <c r="H6" s="183" t="n"/>
      <c r="I6" s="182">
        <f>$E6*$G6*I$3</f>
        <v/>
      </c>
      <c r="J6" s="182">
        <f>$E6*$G6*J$3</f>
        <v/>
      </c>
      <c r="K6" s="182">
        <f>$E6*$G6*K$3</f>
        <v/>
      </c>
      <c r="L6" s="182">
        <f>$E6*$G6*L$3</f>
        <v/>
      </c>
      <c r="M6" s="182">
        <f>$E6*$G6*M$3</f>
        <v/>
      </c>
      <c r="N6" s="182">
        <f>$E6*$G6*N$3</f>
        <v/>
      </c>
      <c r="O6" s="182">
        <f>$E6*$G6*O$3</f>
        <v/>
      </c>
      <c r="P6" s="182">
        <f>$E6*$G6*P$3</f>
        <v/>
      </c>
      <c r="Q6" s="182">
        <f>$E6*$G6*Q$3</f>
        <v/>
      </c>
      <c r="R6" s="182">
        <f>$E6*$G6*R$3</f>
        <v/>
      </c>
      <c r="S6" s="182">
        <f>$E6*$G6*S$3</f>
        <v/>
      </c>
      <c r="T6" s="182">
        <f>$E6*$G6*T$3</f>
        <v/>
      </c>
      <c r="U6" s="182">
        <f>$E6*$G6*U$3</f>
        <v/>
      </c>
      <c r="V6" s="182">
        <f>$E6*$G6*V$3</f>
        <v/>
      </c>
      <c r="W6" s="182">
        <f>$E6*$G6*W$3</f>
        <v/>
      </c>
      <c r="X6" s="182">
        <f>$E6*$G6*X$3</f>
        <v/>
      </c>
      <c r="Y6" s="182">
        <f>$E6*$G6*Y$3</f>
        <v/>
      </c>
      <c r="Z6" s="182">
        <f>$E6*$G6*Z$3</f>
        <v/>
      </c>
      <c r="AA6" s="182">
        <f>$E6*$G6*AA$3</f>
        <v/>
      </c>
      <c r="AB6" s="182">
        <f>$E6*$G6*AB$3</f>
        <v/>
      </c>
      <c r="AC6" s="182">
        <f>$E6*$G6*AC$3</f>
        <v/>
      </c>
      <c r="AD6" s="182">
        <f>$E6*$G6*AD$3</f>
        <v/>
      </c>
      <c r="AE6" s="206">
        <f>(SUM(H6:AD6))</f>
        <v/>
      </c>
    </row>
    <row r="7" customFormat="1" s="53">
      <c r="A7" s="164" t="n"/>
      <c r="B7" s="10" t="n">
        <v>4</v>
      </c>
      <c r="C7" s="10" t="inlineStr">
        <is>
          <t>防鸟措施（驱鸟器维护）</t>
        </is>
      </c>
      <c r="D7" s="10" t="inlineStr">
        <is>
          <t>按套数 × 年费（元 / 套・年）+ 耗材费（如驱鸟剂）</t>
        </is>
      </c>
      <c r="E7" s="169" t="n">
        <v>4</v>
      </c>
      <c r="F7" s="169" t="n">
        <v>2</v>
      </c>
      <c r="G7" s="182">
        <f>F7*(1+A财务假设!$D$19)</f>
        <v/>
      </c>
      <c r="H7" s="183" t="n"/>
      <c r="I7" s="182">
        <f>$E7*$G7*I$3</f>
        <v/>
      </c>
      <c r="J7" s="182">
        <f>$E7*$G7*J$3</f>
        <v/>
      </c>
      <c r="K7" s="182">
        <f>$E7*$G7*K$3</f>
        <v/>
      </c>
      <c r="L7" s="182">
        <f>$E7*$G7*L$3</f>
        <v/>
      </c>
      <c r="M7" s="182">
        <f>$E7*$G7*M$3</f>
        <v/>
      </c>
      <c r="N7" s="182">
        <f>$E7*$G7*N$3</f>
        <v/>
      </c>
      <c r="O7" s="182">
        <f>$E7*$G7*O$3</f>
        <v/>
      </c>
      <c r="P7" s="182">
        <f>$E7*$G7*P$3</f>
        <v/>
      </c>
      <c r="Q7" s="182">
        <f>$E7*$G7*Q$3</f>
        <v/>
      </c>
      <c r="R7" s="182">
        <f>$E7*$G7*R$3</f>
        <v/>
      </c>
      <c r="S7" s="182">
        <f>$E7*$G7*S$3</f>
        <v/>
      </c>
      <c r="T7" s="182">
        <f>$E7*$G7*T$3</f>
        <v/>
      </c>
      <c r="U7" s="182">
        <f>$E7*$G7*U$3</f>
        <v/>
      </c>
      <c r="V7" s="182">
        <f>$E7*$G7*V$3</f>
        <v/>
      </c>
      <c r="W7" s="182">
        <f>$E7*$G7*W$3</f>
        <v/>
      </c>
      <c r="X7" s="182">
        <f>$E7*$G7*X$3</f>
        <v/>
      </c>
      <c r="Y7" s="182">
        <f>$E7*$G7*Y$3</f>
        <v/>
      </c>
      <c r="Z7" s="182">
        <f>$E7*$G7*Z$3</f>
        <v/>
      </c>
      <c r="AA7" s="182">
        <f>$E7*$G7*AA$3</f>
        <v/>
      </c>
      <c r="AB7" s="182">
        <f>$E7*$G7*AB$3</f>
        <v/>
      </c>
      <c r="AC7" s="182">
        <f>$E7*$G7*AC$3</f>
        <v/>
      </c>
      <c r="AD7" s="182">
        <f>$E7*$G7*AD$3</f>
        <v/>
      </c>
      <c r="AE7" s="206">
        <f>(SUM(H7:AD7))</f>
        <v/>
      </c>
    </row>
    <row r="8" customFormat="1" s="53">
      <c r="A8" s="10" t="inlineStr">
        <is>
          <t>燃料动力费</t>
        </is>
      </c>
      <c r="B8" s="10" t="n">
        <v>5</v>
      </c>
      <c r="C8" s="10" t="inlineStr">
        <is>
          <t>飞行器能耗</t>
        </is>
      </c>
      <c r="D8" s="10" t="inlineStr">
        <is>
          <t>按电耗或油耗计算</t>
        </is>
      </c>
      <c r="E8" s="169" t="n">
        <v>5</v>
      </c>
      <c r="F8" s="169" t="n">
        <v>2</v>
      </c>
      <c r="G8" s="182">
        <f>F8*(1+A财务假设!$D$19)</f>
        <v/>
      </c>
      <c r="H8" s="183" t="n"/>
      <c r="I8" s="182">
        <f>$E8*$G8*I$3</f>
        <v/>
      </c>
      <c r="J8" s="182">
        <f>$E8*$G8*J$3</f>
        <v/>
      </c>
      <c r="K8" s="182">
        <f>$E8*$G8*K$3</f>
        <v/>
      </c>
      <c r="L8" s="182">
        <f>$E8*$G8*L$3</f>
        <v/>
      </c>
      <c r="M8" s="182">
        <f>$E8*$G8*M$3</f>
        <v/>
      </c>
      <c r="N8" s="182">
        <f>$E8*$G8*N$3</f>
        <v/>
      </c>
      <c r="O8" s="182">
        <f>$E8*$G8*O$3</f>
        <v/>
      </c>
      <c r="P8" s="182">
        <f>$E8*$G8*P$3</f>
        <v/>
      </c>
      <c r="Q8" s="182">
        <f>$E8*$G8*Q$3</f>
        <v/>
      </c>
      <c r="R8" s="182">
        <f>$E8*$G8*R$3</f>
        <v/>
      </c>
      <c r="S8" s="182">
        <f>$E8*$G8*S$3</f>
        <v/>
      </c>
      <c r="T8" s="182">
        <f>$E8*$G8*T$3</f>
        <v/>
      </c>
      <c r="U8" s="182">
        <f>$E8*$G8*U$3</f>
        <v/>
      </c>
      <c r="V8" s="182">
        <f>$E8*$G8*V$3</f>
        <v/>
      </c>
      <c r="W8" s="182">
        <f>$E8*$G8*W$3</f>
        <v/>
      </c>
      <c r="X8" s="182">
        <f>$E8*$G8*X$3</f>
        <v/>
      </c>
      <c r="Y8" s="182">
        <f>$E8*$G8*Y$3</f>
        <v/>
      </c>
      <c r="Z8" s="182">
        <f>$E8*$G8*Z$3</f>
        <v/>
      </c>
      <c r="AA8" s="182">
        <f>$E8*$G8*AA$3</f>
        <v/>
      </c>
      <c r="AB8" s="182">
        <f>$E8*$G8*AB$3</f>
        <v/>
      </c>
      <c r="AC8" s="182">
        <f>$E8*$G8*AC$3</f>
        <v/>
      </c>
      <c r="AD8" s="182">
        <f>$E8*$G8*AD$3</f>
        <v/>
      </c>
      <c r="AE8" s="206">
        <f>(SUM(H8:AD8))</f>
        <v/>
      </c>
    </row>
    <row r="9" customFormat="1" s="53">
      <c r="A9" s="184" t="n"/>
      <c r="B9" s="10" t="n">
        <v>6</v>
      </c>
      <c r="C9" s="10" t="inlineStr">
        <is>
          <t>核心设备电力能耗</t>
        </is>
      </c>
      <c r="D9" s="10" t="inlineStr">
        <is>
          <t>按实际用电量 × 电价（元 / 千瓦 时）</t>
        </is>
      </c>
      <c r="E9" s="169" t="n">
        <v>6</v>
      </c>
      <c r="F9" s="169" t="n">
        <v>2</v>
      </c>
      <c r="G9" s="182">
        <f>F9*(1+A财务假设!$D$19)</f>
        <v/>
      </c>
      <c r="H9" s="183" t="n"/>
      <c r="I9" s="182">
        <f>$E9*$G9*I$3</f>
        <v/>
      </c>
      <c r="J9" s="182">
        <f>$E9*$G9*J$3</f>
        <v/>
      </c>
      <c r="K9" s="182">
        <f>$E9*$G9*K$3</f>
        <v/>
      </c>
      <c r="L9" s="182">
        <f>$E9*$G9*L$3</f>
        <v/>
      </c>
      <c r="M9" s="182">
        <f>$E9*$G9*M$3</f>
        <v/>
      </c>
      <c r="N9" s="182">
        <f>$E9*$G9*N$3</f>
        <v/>
      </c>
      <c r="O9" s="182">
        <f>$E9*$G9*O$3</f>
        <v/>
      </c>
      <c r="P9" s="182">
        <f>$E9*$G9*P$3</f>
        <v/>
      </c>
      <c r="Q9" s="182">
        <f>$E9*$G9*Q$3</f>
        <v/>
      </c>
      <c r="R9" s="182">
        <f>$E9*$G9*R$3</f>
        <v/>
      </c>
      <c r="S9" s="182">
        <f>$E9*$G9*S$3</f>
        <v/>
      </c>
      <c r="T9" s="182">
        <f>$E9*$G9*T$3</f>
        <v/>
      </c>
      <c r="U9" s="182">
        <f>$E9*$G9*U$3</f>
        <v/>
      </c>
      <c r="V9" s="182">
        <f>$E9*$G9*V$3</f>
        <v/>
      </c>
      <c r="W9" s="182">
        <f>$E9*$G9*W$3</f>
        <v/>
      </c>
      <c r="X9" s="182">
        <f>$E9*$G9*X$3</f>
        <v/>
      </c>
      <c r="Y9" s="182">
        <f>$E9*$G9*Y$3</f>
        <v/>
      </c>
      <c r="Z9" s="182">
        <f>$E9*$G9*Z$3</f>
        <v/>
      </c>
      <c r="AA9" s="182">
        <f>$E9*$G9*AA$3</f>
        <v/>
      </c>
      <c r="AB9" s="182">
        <f>$E9*$G9*AB$3</f>
        <v/>
      </c>
      <c r="AC9" s="182">
        <f>$E9*$G9*AC$3</f>
        <v/>
      </c>
      <c r="AD9" s="182">
        <f>$E9*$G9*AD$3</f>
        <v/>
      </c>
      <c r="AE9" s="206">
        <f>(SUM(H9:AD9))</f>
        <v/>
      </c>
    </row>
    <row r="10" customFormat="1" s="53">
      <c r="A10" s="164" t="n"/>
      <c r="B10" s="10" t="n">
        <v>7</v>
      </c>
      <c r="C10" s="10" t="inlineStr">
        <is>
          <t>水电能耗</t>
        </is>
      </c>
      <c r="D10" s="10" t="inlineStr">
        <is>
          <t>按面积估算</t>
        </is>
      </c>
      <c r="E10" s="169" t="n">
        <v>7</v>
      </c>
      <c r="F10" s="169" t="n">
        <v>2</v>
      </c>
      <c r="G10" s="182">
        <f>F10*(1+A财务假设!$D$19)</f>
        <v/>
      </c>
      <c r="H10" s="183" t="n"/>
      <c r="I10" s="182">
        <f>$E10*$G10*I$3</f>
        <v/>
      </c>
      <c r="J10" s="182">
        <f>$E10*$G10*J$3</f>
        <v/>
      </c>
      <c r="K10" s="182">
        <f>$E10*$G10*K$3</f>
        <v/>
      </c>
      <c r="L10" s="182">
        <f>$E10*$G10*L$3</f>
        <v/>
      </c>
      <c r="M10" s="182">
        <f>$E10*$G10*M$3</f>
        <v/>
      </c>
      <c r="N10" s="182">
        <f>$E10*$G10*N$3</f>
        <v/>
      </c>
      <c r="O10" s="182">
        <f>$E10*$G10*O$3</f>
        <v/>
      </c>
      <c r="P10" s="182">
        <f>$E10*$G10*P$3</f>
        <v/>
      </c>
      <c r="Q10" s="182">
        <f>$E10*$G10*Q$3</f>
        <v/>
      </c>
      <c r="R10" s="182">
        <f>$E10*$G10*R$3</f>
        <v/>
      </c>
      <c r="S10" s="182">
        <f>$E10*$G10*S$3</f>
        <v/>
      </c>
      <c r="T10" s="182">
        <f>$E10*$G10*T$3</f>
        <v/>
      </c>
      <c r="U10" s="182">
        <f>$E10*$G10*U$3</f>
        <v/>
      </c>
      <c r="V10" s="182">
        <f>$E10*$G10*V$3</f>
        <v/>
      </c>
      <c r="W10" s="182">
        <f>$E10*$G10*W$3</f>
        <v/>
      </c>
      <c r="X10" s="182">
        <f>$E10*$G10*X$3</f>
        <v/>
      </c>
      <c r="Y10" s="182">
        <f>$E10*$G10*Y$3</f>
        <v/>
      </c>
      <c r="Z10" s="182">
        <f>$E10*$G10*Z$3</f>
        <v/>
      </c>
      <c r="AA10" s="182">
        <f>$E10*$G10*AA$3</f>
        <v/>
      </c>
      <c r="AB10" s="182">
        <f>$E10*$G10*AB$3</f>
        <v/>
      </c>
      <c r="AC10" s="182">
        <f>$E10*$G10*AC$3</f>
        <v/>
      </c>
      <c r="AD10" s="182">
        <f>$E10*$G10*AD$3</f>
        <v/>
      </c>
      <c r="AE10" s="206">
        <f>(SUM(H10:AD10))</f>
        <v/>
      </c>
    </row>
    <row r="11" customFormat="1" s="53">
      <c r="A11" s="10" t="inlineStr">
        <is>
          <t>网络费</t>
        </is>
      </c>
      <c r="B11" s="10" t="n">
        <v>8</v>
      </c>
      <c r="C11" s="10" t="inlineStr">
        <is>
          <t>网络通信费用</t>
        </is>
      </c>
      <c r="D11" s="10" t="inlineStr">
        <is>
          <t>按年计算租金</t>
        </is>
      </c>
      <c r="E11" s="169" t="n">
        <v>8</v>
      </c>
      <c r="F11" s="169" t="n">
        <v>2</v>
      </c>
      <c r="G11" s="182">
        <f>F11*(1+A财务假设!$D$19)</f>
        <v/>
      </c>
      <c r="H11" s="183" t="n"/>
      <c r="I11" s="182">
        <f>$E11*$G11*I$3</f>
        <v/>
      </c>
      <c r="J11" s="182">
        <f>$E11*$G11*J$3</f>
        <v/>
      </c>
      <c r="K11" s="182">
        <f>$E11*$G11*K$3</f>
        <v/>
      </c>
      <c r="L11" s="182">
        <f>$E11*$G11*L$3</f>
        <v/>
      </c>
      <c r="M11" s="182">
        <f>$E11*$G11*M$3</f>
        <v/>
      </c>
      <c r="N11" s="182">
        <f>$E11*$G11*N$3</f>
        <v/>
      </c>
      <c r="O11" s="182">
        <f>$E11*$G11*O$3</f>
        <v/>
      </c>
      <c r="P11" s="182">
        <f>$E11*$G11*P$3</f>
        <v/>
      </c>
      <c r="Q11" s="182">
        <f>$E11*$G11*Q$3</f>
        <v/>
      </c>
      <c r="R11" s="182">
        <f>$E11*$G11*R$3</f>
        <v/>
      </c>
      <c r="S11" s="182">
        <f>$E11*$G11*S$3</f>
        <v/>
      </c>
      <c r="T11" s="182">
        <f>$E11*$G11*T$3</f>
        <v/>
      </c>
      <c r="U11" s="182">
        <f>$E11*$G11*U$3</f>
        <v/>
      </c>
      <c r="V11" s="182">
        <f>$E11*$G11*V$3</f>
        <v/>
      </c>
      <c r="W11" s="182">
        <f>$E11*$G11*W$3</f>
        <v/>
      </c>
      <c r="X11" s="182">
        <f>$E11*$G11*X$3</f>
        <v/>
      </c>
      <c r="Y11" s="182">
        <f>$E11*$G11*Y$3</f>
        <v/>
      </c>
      <c r="Z11" s="182">
        <f>$E11*$G11*Z$3</f>
        <v/>
      </c>
      <c r="AA11" s="182">
        <f>$E11*$G11*AA$3</f>
        <v/>
      </c>
      <c r="AB11" s="182">
        <f>$E11*$G11*AB$3</f>
        <v/>
      </c>
      <c r="AC11" s="182">
        <f>$E11*$G11*AC$3</f>
        <v/>
      </c>
      <c r="AD11" s="182">
        <f>$E11*$G11*AD$3</f>
        <v/>
      </c>
      <c r="AE11" s="206">
        <f>(SUM(H11:AD11))</f>
        <v/>
      </c>
    </row>
    <row r="12" customFormat="1" s="53">
      <c r="A12" s="10" t="inlineStr">
        <is>
          <t>硬件维护成本</t>
        </is>
      </c>
      <c r="B12" s="10" t="n">
        <v>9</v>
      </c>
      <c r="C12" s="10" t="inlineStr">
        <is>
          <t>硬件设备维护</t>
        </is>
      </c>
      <c r="D12" s="10" t="inlineStr">
        <is>
          <t>按照固定资产15%计算</t>
        </is>
      </c>
      <c r="E12" s="169" t="n">
        <v>9</v>
      </c>
      <c r="F12" s="169" t="n">
        <v>2</v>
      </c>
      <c r="G12" s="182">
        <f>F12*(1+A财务假设!$D$19)</f>
        <v/>
      </c>
      <c r="H12" s="183" t="n"/>
      <c r="I12" s="182">
        <f>$E12*$G12*I$3</f>
        <v/>
      </c>
      <c r="J12" s="182">
        <f>$E12*$G12*J$3</f>
        <v/>
      </c>
      <c r="K12" s="182">
        <f>$E12*$G12*K$3</f>
        <v/>
      </c>
      <c r="L12" s="182">
        <f>$E12*$G12*L$3</f>
        <v/>
      </c>
      <c r="M12" s="182">
        <f>$E12*$G12*M$3</f>
        <v/>
      </c>
      <c r="N12" s="182">
        <f>$E12*$G12*N$3</f>
        <v/>
      </c>
      <c r="O12" s="182">
        <f>$E12*$G12*O$3</f>
        <v/>
      </c>
      <c r="P12" s="182">
        <f>$E12*$G12*P$3</f>
        <v/>
      </c>
      <c r="Q12" s="182">
        <f>$E12*$G12*Q$3</f>
        <v/>
      </c>
      <c r="R12" s="182">
        <f>$E12*$G12*R$3</f>
        <v/>
      </c>
      <c r="S12" s="182">
        <f>$E12*$G12*S$3</f>
        <v/>
      </c>
      <c r="T12" s="182">
        <f>$E12*$G12*T$3</f>
        <v/>
      </c>
      <c r="U12" s="182">
        <f>$E12*$G12*U$3</f>
        <v/>
      </c>
      <c r="V12" s="182">
        <f>$E12*$G12*V$3</f>
        <v/>
      </c>
      <c r="W12" s="182">
        <f>$E12*$G12*W$3</f>
        <v/>
      </c>
      <c r="X12" s="182">
        <f>$E12*$G12*X$3</f>
        <v/>
      </c>
      <c r="Y12" s="182">
        <f>$E12*$G12*Y$3</f>
        <v/>
      </c>
      <c r="Z12" s="182">
        <f>$E12*$G12*Z$3</f>
        <v/>
      </c>
      <c r="AA12" s="182">
        <f>$E12*$G12*AA$3</f>
        <v/>
      </c>
      <c r="AB12" s="182">
        <f>$E12*$G12*AB$3</f>
        <v/>
      </c>
      <c r="AC12" s="182">
        <f>$E12*$G12*AC$3</f>
        <v/>
      </c>
      <c r="AD12" s="182">
        <f>$E12*$G12*AD$3</f>
        <v/>
      </c>
      <c r="AE12" s="206">
        <f>(SUM(H12:AD12))</f>
        <v/>
      </c>
    </row>
    <row r="13" customFormat="1" s="53">
      <c r="A13" s="164" t="n"/>
      <c r="B13" s="10" t="n">
        <v>10</v>
      </c>
      <c r="C13" s="10" t="inlineStr">
        <is>
          <t>备品备件储备</t>
        </is>
      </c>
      <c r="D13" s="10" t="inlineStr">
        <is>
          <t>按年度设备维护预算 × 储备比例 （10%-20%）</t>
        </is>
      </c>
      <c r="E13" s="169" t="n">
        <v>1</v>
      </c>
      <c r="F13" s="169" t="n">
        <v>2</v>
      </c>
      <c r="G13" s="182">
        <f>F13*(1+A财务假设!$D$19)</f>
        <v/>
      </c>
      <c r="H13" s="183" t="n"/>
      <c r="I13" s="182">
        <f>$E13*$G13*I$3</f>
        <v/>
      </c>
      <c r="J13" s="182">
        <f>$E13*$G13*J$3</f>
        <v/>
      </c>
      <c r="K13" s="182">
        <f>$E13*$G13*K$3</f>
        <v/>
      </c>
      <c r="L13" s="182">
        <f>$E13*$G13*L$3</f>
        <v/>
      </c>
      <c r="M13" s="182">
        <f>$E13*$G13*M$3</f>
        <v/>
      </c>
      <c r="N13" s="182">
        <f>$E13*$G13*N$3</f>
        <v/>
      </c>
      <c r="O13" s="182">
        <f>$E13*$G13*O$3</f>
        <v/>
      </c>
      <c r="P13" s="182">
        <f>$E13*$G13*P$3</f>
        <v/>
      </c>
      <c r="Q13" s="182">
        <f>$E13*$G13*Q$3</f>
        <v/>
      </c>
      <c r="R13" s="182">
        <f>$E13*$G13*R$3</f>
        <v/>
      </c>
      <c r="S13" s="182">
        <f>$E13*$G13*S$3</f>
        <v/>
      </c>
      <c r="T13" s="182">
        <f>$E13*$G13*T$3</f>
        <v/>
      </c>
      <c r="U13" s="182">
        <f>$E13*$G13*U$3</f>
        <v/>
      </c>
      <c r="V13" s="182">
        <f>$E13*$G13*V$3</f>
        <v/>
      </c>
      <c r="W13" s="182">
        <f>$E13*$G13*W$3</f>
        <v/>
      </c>
      <c r="X13" s="182">
        <f>$E13*$G13*X$3</f>
        <v/>
      </c>
      <c r="Y13" s="182">
        <f>$E13*$G13*Y$3</f>
        <v/>
      </c>
      <c r="Z13" s="182">
        <f>$E13*$G13*Z$3</f>
        <v/>
      </c>
      <c r="AA13" s="182">
        <f>$E13*$G13*AA$3</f>
        <v/>
      </c>
      <c r="AB13" s="182">
        <f>$E13*$G13*AB$3</f>
        <v/>
      </c>
      <c r="AC13" s="182">
        <f>$E13*$G13*AC$3</f>
        <v/>
      </c>
      <c r="AD13" s="182">
        <f>$E13*$G13*AD$3</f>
        <v/>
      </c>
      <c r="AE13" s="206">
        <f>(SUM(H13:AD13))</f>
        <v/>
      </c>
    </row>
    <row r="14" customFormat="1" s="53">
      <c r="A14" s="10" t="inlineStr">
        <is>
          <t>软件维护费</t>
        </is>
      </c>
      <c r="B14" s="10" t="n">
        <v>11</v>
      </c>
      <c r="C14" s="10" t="inlineStr">
        <is>
          <t>软件维护</t>
        </is>
      </c>
      <c r="D14" s="10" t="inlineStr">
        <is>
          <t>按无形资产造价的20%计算</t>
        </is>
      </c>
      <c r="E14" s="169" t="n">
        <v>2</v>
      </c>
      <c r="F14" s="169" t="n">
        <v>2</v>
      </c>
      <c r="G14" s="182">
        <f>F14*(1+A财务假设!$D$19)</f>
        <v/>
      </c>
      <c r="H14" s="183" t="n"/>
      <c r="I14" s="182">
        <f>$E14*$G14*I$3</f>
        <v/>
      </c>
      <c r="J14" s="182">
        <f>$E14*$G14*J$3</f>
        <v/>
      </c>
      <c r="K14" s="182">
        <f>$E14*$G14*K$3</f>
        <v/>
      </c>
      <c r="L14" s="182">
        <f>$E14*$G14*L$3</f>
        <v/>
      </c>
      <c r="M14" s="182">
        <f>$E14*$G14*M$3</f>
        <v/>
      </c>
      <c r="N14" s="182">
        <f>$E14*$G14*N$3</f>
        <v/>
      </c>
      <c r="O14" s="182">
        <f>$E14*$G14*O$3</f>
        <v/>
      </c>
      <c r="P14" s="182">
        <f>$E14*$G14*P$3</f>
        <v/>
      </c>
      <c r="Q14" s="182">
        <f>$E14*$G14*Q$3</f>
        <v/>
      </c>
      <c r="R14" s="182">
        <f>$E14*$G14*R$3</f>
        <v/>
      </c>
      <c r="S14" s="182">
        <f>$E14*$G14*S$3</f>
        <v/>
      </c>
      <c r="T14" s="182">
        <f>$E14*$G14*T$3</f>
        <v/>
      </c>
      <c r="U14" s="182">
        <f>$E14*$G14*U$3</f>
        <v/>
      </c>
      <c r="V14" s="182">
        <f>$E14*$G14*V$3</f>
        <v/>
      </c>
      <c r="W14" s="182">
        <f>$E14*$G14*W$3</f>
        <v/>
      </c>
      <c r="X14" s="182">
        <f>$E14*$G14*X$3</f>
        <v/>
      </c>
      <c r="Y14" s="182">
        <f>$E14*$G14*Y$3</f>
        <v/>
      </c>
      <c r="Z14" s="182">
        <f>$E14*$G14*Z$3</f>
        <v/>
      </c>
      <c r="AA14" s="182">
        <f>$E14*$G14*AA$3</f>
        <v/>
      </c>
      <c r="AB14" s="182">
        <f>$E14*$G14*AB$3</f>
        <v/>
      </c>
      <c r="AC14" s="182">
        <f>$E14*$G14*AC$3</f>
        <v/>
      </c>
      <c r="AD14" s="182">
        <f>$E14*$G14*AD$3</f>
        <v/>
      </c>
      <c r="AE14" s="206">
        <f>(SUM(H14:AD14))</f>
        <v/>
      </c>
    </row>
    <row r="15" customFormat="1" s="53">
      <c r="A15" s="10" t="inlineStr">
        <is>
          <t>营销费用</t>
        </is>
      </c>
      <c r="B15" s="10" t="n">
        <v>12</v>
      </c>
      <c r="C15" s="10" t="inlineStr">
        <is>
          <t>营销及活动</t>
        </is>
      </c>
      <c r="D15" s="10" t="inlineStr">
        <is>
          <t>按年平均营业收入的2%计算</t>
        </is>
      </c>
      <c r="E15" s="169" t="n">
        <v>2</v>
      </c>
      <c r="F15" s="169" t="n">
        <v>2</v>
      </c>
      <c r="G15" s="182">
        <f>F15*(1+A财务假设!$D$19)</f>
        <v/>
      </c>
      <c r="H15" s="183" t="n"/>
      <c r="I15" s="182">
        <f>$E15*$G15*I$3</f>
        <v/>
      </c>
      <c r="J15" s="182">
        <f>$E15*$G15*J$3</f>
        <v/>
      </c>
      <c r="K15" s="182">
        <f>$E15*$G15*K$3</f>
        <v/>
      </c>
      <c r="L15" s="182">
        <f>$E15*$G15*L$3</f>
        <v/>
      </c>
      <c r="M15" s="182">
        <f>$E15*$G15*M$3</f>
        <v/>
      </c>
      <c r="N15" s="182">
        <f>$E15*$G15*N$3</f>
        <v/>
      </c>
      <c r="O15" s="182">
        <f>$E15*$G15*O$3</f>
        <v/>
      </c>
      <c r="P15" s="182">
        <f>$E15*$G15*P$3</f>
        <v/>
      </c>
      <c r="Q15" s="182">
        <f>$E15*$G15*Q$3</f>
        <v/>
      </c>
      <c r="R15" s="182">
        <f>$E15*$G15*R$3</f>
        <v/>
      </c>
      <c r="S15" s="182">
        <f>$E15*$G15*S$3</f>
        <v/>
      </c>
      <c r="T15" s="182">
        <f>$E15*$G15*T$3</f>
        <v/>
      </c>
      <c r="U15" s="182">
        <f>$E15*$G15*U$3</f>
        <v/>
      </c>
      <c r="V15" s="182">
        <f>$E15*$G15*V$3</f>
        <v/>
      </c>
      <c r="W15" s="182">
        <f>$E15*$G15*W$3</f>
        <v/>
      </c>
      <c r="X15" s="182">
        <f>$E15*$G15*X$3</f>
        <v/>
      </c>
      <c r="Y15" s="182">
        <f>$E15*$G15*Y$3</f>
        <v/>
      </c>
      <c r="Z15" s="182">
        <f>$E15*$G15*Z$3</f>
        <v/>
      </c>
      <c r="AA15" s="182">
        <f>$E15*$G15*AA$3</f>
        <v/>
      </c>
      <c r="AB15" s="182">
        <f>$E15*$G15*AB$3</f>
        <v/>
      </c>
      <c r="AC15" s="182">
        <f>$E15*$G15*AC$3</f>
        <v/>
      </c>
      <c r="AD15" s="182">
        <f>$E15*$G15*AD$3</f>
        <v/>
      </c>
      <c r="AE15" s="206">
        <f>(SUM(H15:AD15))</f>
        <v/>
      </c>
    </row>
    <row r="16" customFormat="1" s="53">
      <c r="A16" s="10" t="inlineStr">
        <is>
          <t>工资及福利费</t>
        </is>
      </c>
      <c r="B16" s="10" t="n">
        <v>13</v>
      </c>
      <c r="C16" s="10" t="inlineStr">
        <is>
          <t>人员薪酬</t>
        </is>
      </c>
      <c r="D16" s="10" t="inlineStr">
        <is>
          <t>按岗位月薪 ×12 + 福利（月薪 ×20%-30%）</t>
        </is>
      </c>
      <c r="E16" s="169" t="n">
        <v>3</v>
      </c>
      <c r="F16" s="169" t="n">
        <v>2</v>
      </c>
      <c r="G16" s="182">
        <f>F16*(1+A财务假设!$D$19)</f>
        <v/>
      </c>
      <c r="H16" s="183" t="n"/>
      <c r="I16" s="182">
        <f>$E16*$G16*I$3</f>
        <v/>
      </c>
      <c r="J16" s="182">
        <f>$E16*$G16*J$3</f>
        <v/>
      </c>
      <c r="K16" s="182">
        <f>$E16*$G16*K$3</f>
        <v/>
      </c>
      <c r="L16" s="182">
        <f>$E16*$G16*L$3</f>
        <v/>
      </c>
      <c r="M16" s="182">
        <f>$E16*$G16*M$3</f>
        <v/>
      </c>
      <c r="N16" s="182">
        <f>$E16*$G16*N$3</f>
        <v/>
      </c>
      <c r="O16" s="182">
        <f>$E16*$G16*O$3</f>
        <v/>
      </c>
      <c r="P16" s="182">
        <f>$E16*$G16*P$3</f>
        <v/>
      </c>
      <c r="Q16" s="182">
        <f>$E16*$G16*Q$3</f>
        <v/>
      </c>
      <c r="R16" s="182">
        <f>$E16*$G16*R$3</f>
        <v/>
      </c>
      <c r="S16" s="182">
        <f>$E16*$G16*S$3</f>
        <v/>
      </c>
      <c r="T16" s="182">
        <f>$E16*$G16*T$3</f>
        <v/>
      </c>
      <c r="U16" s="182">
        <f>$E16*$G16*U$3</f>
        <v/>
      </c>
      <c r="V16" s="182">
        <f>$E16*$G16*V$3</f>
        <v/>
      </c>
      <c r="W16" s="182">
        <f>$E16*$G16*W$3</f>
        <v/>
      </c>
      <c r="X16" s="182">
        <f>$E16*$G16*X$3</f>
        <v/>
      </c>
      <c r="Y16" s="182">
        <f>$E16*$G16*Y$3</f>
        <v/>
      </c>
      <c r="Z16" s="182">
        <f>$E16*$G16*Z$3</f>
        <v/>
      </c>
      <c r="AA16" s="182">
        <f>$E16*$G16*AA$3</f>
        <v/>
      </c>
      <c r="AB16" s="182">
        <f>$E16*$G16*AB$3</f>
        <v/>
      </c>
      <c r="AC16" s="182">
        <f>$E16*$G16*AC$3</f>
        <v/>
      </c>
      <c r="AD16" s="182">
        <f>$E16*$G16*AD$3</f>
        <v/>
      </c>
      <c r="AE16" s="206">
        <f>(SUM(H16:AD16))</f>
        <v/>
      </c>
    </row>
    <row r="17" customFormat="1" s="53">
      <c r="A17" s="184" t="n"/>
      <c r="B17" s="10" t="n">
        <v>14</v>
      </c>
      <c r="C17" s="10" t="inlineStr">
        <is>
          <t>培训与资质认证</t>
        </is>
      </c>
      <c r="D17" s="10" t="inlineStr">
        <is>
          <t>按人次 × 人均培训费（元 / 人 次）</t>
        </is>
      </c>
      <c r="E17" s="169" t="n">
        <v>3</v>
      </c>
      <c r="F17" s="169" t="n">
        <v>2</v>
      </c>
      <c r="G17" s="182">
        <f>F17*(1+A财务假设!$D$19)</f>
        <v/>
      </c>
      <c r="H17" s="183" t="n"/>
      <c r="I17" s="182">
        <f>$E17*$G17*I$3</f>
        <v/>
      </c>
      <c r="J17" s="182">
        <f>$E17*$G17*J$3</f>
        <v/>
      </c>
      <c r="K17" s="182">
        <f>$E17*$G17*K$3</f>
        <v/>
      </c>
      <c r="L17" s="182">
        <f>$E17*$G17*L$3</f>
        <v/>
      </c>
      <c r="M17" s="182">
        <f>$E17*$G17*M$3</f>
        <v/>
      </c>
      <c r="N17" s="182">
        <f>$E17*$G17*N$3</f>
        <v/>
      </c>
      <c r="O17" s="182">
        <f>$E17*$G17*O$3</f>
        <v/>
      </c>
      <c r="P17" s="182">
        <f>$E17*$G17*P$3</f>
        <v/>
      </c>
      <c r="Q17" s="182">
        <f>$E17*$G17*Q$3</f>
        <v/>
      </c>
      <c r="R17" s="182">
        <f>$E17*$G17*R$3</f>
        <v/>
      </c>
      <c r="S17" s="182">
        <f>$E17*$G17*S$3</f>
        <v/>
      </c>
      <c r="T17" s="182">
        <f>$E17*$G17*T$3</f>
        <v/>
      </c>
      <c r="U17" s="182">
        <f>$E17*$G17*U$3</f>
        <v/>
      </c>
      <c r="V17" s="182">
        <f>$E17*$G17*V$3</f>
        <v/>
      </c>
      <c r="W17" s="182">
        <f>$E17*$G17*W$3</f>
        <v/>
      </c>
      <c r="X17" s="182">
        <f>$E17*$G17*X$3</f>
        <v/>
      </c>
      <c r="Y17" s="182">
        <f>$E17*$G17*Y$3</f>
        <v/>
      </c>
      <c r="Z17" s="182">
        <f>$E17*$G17*Z$3</f>
        <v/>
      </c>
      <c r="AA17" s="182">
        <f>$E17*$G17*AA$3</f>
        <v/>
      </c>
      <c r="AB17" s="182">
        <f>$E17*$G17*AB$3</f>
        <v/>
      </c>
      <c r="AC17" s="182">
        <f>$E17*$G17*AC$3</f>
        <v/>
      </c>
      <c r="AD17" s="182">
        <f>$E17*$G17*AD$3</f>
        <v/>
      </c>
      <c r="AE17" s="206">
        <f>(SUM(H17:AD17))</f>
        <v/>
      </c>
    </row>
    <row r="18" customFormat="1" s="53">
      <c r="A18" s="164" t="n"/>
      <c r="B18" s="10" t="n">
        <v>15</v>
      </c>
      <c r="C18" s="10" t="inlineStr">
        <is>
          <t>办公与行政支出</t>
        </is>
      </c>
      <c r="D18" s="10" t="inlineStr">
        <is>
          <t>按人员数量 × 人均办公费（元 / 人・月）</t>
        </is>
      </c>
      <c r="E18" s="169" t="n">
        <v>4</v>
      </c>
      <c r="F18" s="169" t="n">
        <v>2</v>
      </c>
      <c r="G18" s="182">
        <f>F18*(1+A财务假设!$D$19)</f>
        <v/>
      </c>
      <c r="H18" s="183" t="n"/>
      <c r="I18" s="182">
        <f>$E18*$G18*I$3</f>
        <v/>
      </c>
      <c r="J18" s="182">
        <f>$E18*$G18*J$3</f>
        <v/>
      </c>
      <c r="K18" s="182">
        <f>$E18*$G18*K$3</f>
        <v/>
      </c>
      <c r="L18" s="182">
        <f>$E18*$G18*L$3</f>
        <v/>
      </c>
      <c r="M18" s="182">
        <f>$E18*$G18*M$3</f>
        <v/>
      </c>
      <c r="N18" s="182">
        <f>$E18*$G18*N$3</f>
        <v/>
      </c>
      <c r="O18" s="182">
        <f>$E18*$G18*O$3</f>
        <v/>
      </c>
      <c r="P18" s="182">
        <f>$E18*$G18*P$3</f>
        <v/>
      </c>
      <c r="Q18" s="182">
        <f>$E18*$G18*Q$3</f>
        <v/>
      </c>
      <c r="R18" s="182">
        <f>$E18*$G18*R$3</f>
        <v/>
      </c>
      <c r="S18" s="182">
        <f>$E18*$G18*S$3</f>
        <v/>
      </c>
      <c r="T18" s="182">
        <f>$E18*$G18*T$3</f>
        <v/>
      </c>
      <c r="U18" s="182">
        <f>$E18*$G18*U$3</f>
        <v/>
      </c>
      <c r="V18" s="182">
        <f>$E18*$G18*V$3</f>
        <v/>
      </c>
      <c r="W18" s="182">
        <f>$E18*$G18*W$3</f>
        <v/>
      </c>
      <c r="X18" s="182">
        <f>$E18*$G18*X$3</f>
        <v/>
      </c>
      <c r="Y18" s="182">
        <f>$E18*$G18*Y$3</f>
        <v/>
      </c>
      <c r="Z18" s="182">
        <f>$E18*$G18*Z$3</f>
        <v/>
      </c>
      <c r="AA18" s="182">
        <f>$E18*$G18*AA$3</f>
        <v/>
      </c>
      <c r="AB18" s="182">
        <f>$E18*$G18*AB$3</f>
        <v/>
      </c>
      <c r="AC18" s="182">
        <f>$E18*$G18*AC$3</f>
        <v/>
      </c>
      <c r="AD18" s="182">
        <f>$E18*$G18*AD$3</f>
        <v/>
      </c>
      <c r="AE18" s="206">
        <f>(SUM(H18:AD18))</f>
        <v/>
      </c>
    </row>
    <row r="19" customFormat="1" s="53">
      <c r="A19" s="10" t="inlineStr">
        <is>
          <t>合规性与安全成本</t>
        </is>
      </c>
      <c r="B19" s="10" t="n">
        <v>16</v>
      </c>
      <c r="C19" s="10" t="inlineStr">
        <is>
          <t>空域使用审批费</t>
        </is>
      </c>
      <c r="D19" s="10" t="inlineStr">
        <is>
          <t>按空域面积 × 年费率（元 / 平方 公里・年）</t>
        </is>
      </c>
      <c r="E19" s="169" t="n">
        <v>1</v>
      </c>
      <c r="F19" s="169" t="n">
        <v>2</v>
      </c>
      <c r="G19" s="182">
        <f>F19*(1+A财务假设!$D$19)</f>
        <v/>
      </c>
      <c r="H19" s="183" t="n"/>
      <c r="I19" s="182">
        <f>$E19*$G19*I$3</f>
        <v/>
      </c>
      <c r="J19" s="182">
        <f>$E19*$G19*J$3</f>
        <v/>
      </c>
      <c r="K19" s="182">
        <f>$E19*$G19*K$3</f>
        <v/>
      </c>
      <c r="L19" s="182">
        <f>$E19*$G19*L$3</f>
        <v/>
      </c>
      <c r="M19" s="182">
        <f>$E19*$G19*M$3</f>
        <v/>
      </c>
      <c r="N19" s="182">
        <f>$E19*$G19*N$3</f>
        <v/>
      </c>
      <c r="O19" s="182">
        <f>$E19*$G19*O$3</f>
        <v/>
      </c>
      <c r="P19" s="182">
        <f>$E19*$G19*P$3</f>
        <v/>
      </c>
      <c r="Q19" s="182">
        <f>$E19*$G19*Q$3</f>
        <v/>
      </c>
      <c r="R19" s="182">
        <f>$E19*$G19*R$3</f>
        <v/>
      </c>
      <c r="S19" s="182">
        <f>$E19*$G19*S$3</f>
        <v/>
      </c>
      <c r="T19" s="182">
        <f>$E19*$G19*T$3</f>
        <v/>
      </c>
      <c r="U19" s="182">
        <f>$E19*$G19*U$3</f>
        <v/>
      </c>
      <c r="V19" s="182">
        <f>$E19*$G19*V$3</f>
        <v/>
      </c>
      <c r="W19" s="182">
        <f>$E19*$G19*W$3</f>
        <v/>
      </c>
      <c r="X19" s="182">
        <f>$E19*$G19*X$3</f>
        <v/>
      </c>
      <c r="Y19" s="182">
        <f>$E19*$G19*Y$3</f>
        <v/>
      </c>
      <c r="Z19" s="182">
        <f>$E19*$G19*Z$3</f>
        <v/>
      </c>
      <c r="AA19" s="182">
        <f>$E19*$G19*AA$3</f>
        <v/>
      </c>
      <c r="AB19" s="182">
        <f>$E19*$G19*AB$3</f>
        <v/>
      </c>
      <c r="AC19" s="182">
        <f>$E19*$G19*AC$3</f>
        <v/>
      </c>
      <c r="AD19" s="182">
        <f>$E19*$G19*AD$3</f>
        <v/>
      </c>
      <c r="AE19" s="206">
        <f>(SUM(H19:AD19))</f>
        <v/>
      </c>
    </row>
    <row r="20" customFormat="1" s="53">
      <c r="A20" s="184" t="n"/>
      <c r="B20" s="10" t="n">
        <v>17</v>
      </c>
      <c r="C20" s="10" t="inlineStr">
        <is>
          <t>场地责任险</t>
        </is>
      </c>
      <c r="D20" s="10" t="inlineStr">
        <is>
          <t>按保额 × 保险费率（年费率 0.1%-0.3%）</t>
        </is>
      </c>
      <c r="E20" s="169" t="n">
        <v>4</v>
      </c>
      <c r="F20" s="169" t="n">
        <v>2</v>
      </c>
      <c r="G20" s="182">
        <f>F20*(1+A财务假设!$D$19)</f>
        <v/>
      </c>
      <c r="H20" s="183" t="n"/>
      <c r="I20" s="182">
        <f>$E20*$G20*I$3</f>
        <v/>
      </c>
      <c r="J20" s="182">
        <f>$E20*$G20*J$3</f>
        <v/>
      </c>
      <c r="K20" s="182">
        <f>$E20*$G20*K$3</f>
        <v/>
      </c>
      <c r="L20" s="182">
        <f>$E20*$G20*L$3</f>
        <v/>
      </c>
      <c r="M20" s="182">
        <f>$E20*$G20*M$3</f>
        <v/>
      </c>
      <c r="N20" s="182">
        <f>$E20*$G20*N$3</f>
        <v/>
      </c>
      <c r="O20" s="182">
        <f>$E20*$G20*O$3</f>
        <v/>
      </c>
      <c r="P20" s="182">
        <f>$E20*$G20*P$3</f>
        <v/>
      </c>
      <c r="Q20" s="182">
        <f>$E20*$G20*Q$3</f>
        <v/>
      </c>
      <c r="R20" s="182">
        <f>$E20*$G20*R$3</f>
        <v/>
      </c>
      <c r="S20" s="182">
        <f>$E20*$G20*S$3</f>
        <v/>
      </c>
      <c r="T20" s="182">
        <f>$E20*$G20*T$3</f>
        <v/>
      </c>
      <c r="U20" s="182">
        <f>$E20*$G20*U$3</f>
        <v/>
      </c>
      <c r="V20" s="182">
        <f>$E20*$G20*V$3</f>
        <v/>
      </c>
      <c r="W20" s="182">
        <f>$E20*$G20*W$3</f>
        <v/>
      </c>
      <c r="X20" s="182">
        <f>$E20*$G20*X$3</f>
        <v/>
      </c>
      <c r="Y20" s="182">
        <f>$E20*$G20*Y$3</f>
        <v/>
      </c>
      <c r="Z20" s="182">
        <f>$E20*$G20*Z$3</f>
        <v/>
      </c>
      <c r="AA20" s="182">
        <f>$E20*$G20*AA$3</f>
        <v/>
      </c>
      <c r="AB20" s="182">
        <f>$E20*$G20*AB$3</f>
        <v/>
      </c>
      <c r="AC20" s="182">
        <f>$E20*$G20*AC$3</f>
        <v/>
      </c>
      <c r="AD20" s="182">
        <f>$E20*$G20*AD$3</f>
        <v/>
      </c>
      <c r="AE20" s="206">
        <f>(SUM(H20:AD20))</f>
        <v/>
      </c>
    </row>
    <row r="21" customFormat="1" s="53">
      <c r="A21" s="164" t="n"/>
      <c r="B21" s="10" t="n">
        <v>18</v>
      </c>
      <c r="C21" s="10" t="inlineStr">
        <is>
          <t>安全演练与应急处置</t>
        </is>
      </c>
      <c r="D21" s="10" t="inlineStr">
        <is>
          <t>按次数 × 单次演练成本（元 / 次）</t>
        </is>
      </c>
      <c r="E21" s="169" t="n">
        <v>8</v>
      </c>
      <c r="F21" s="169" t="n">
        <v>2</v>
      </c>
      <c r="G21" s="182">
        <f>F21*(1+A财务假设!$D$19)</f>
        <v/>
      </c>
      <c r="H21" s="183" t="n"/>
      <c r="I21" s="182">
        <f>$E21*$G21*I$3</f>
        <v/>
      </c>
      <c r="J21" s="182">
        <f>$E21*$G21*J$3</f>
        <v/>
      </c>
      <c r="K21" s="182">
        <f>$E21*$G21*K$3</f>
        <v/>
      </c>
      <c r="L21" s="182">
        <f>$E21*$G21*L$3</f>
        <v/>
      </c>
      <c r="M21" s="182">
        <f>$E21*$G21*M$3</f>
        <v/>
      </c>
      <c r="N21" s="182">
        <f>$E21*$G21*N$3</f>
        <v/>
      </c>
      <c r="O21" s="182">
        <f>$E21*$G21*O$3</f>
        <v/>
      </c>
      <c r="P21" s="182">
        <f>$E21*$G21*P$3</f>
        <v/>
      </c>
      <c r="Q21" s="182">
        <f>$E21*$G21*Q$3</f>
        <v/>
      </c>
      <c r="R21" s="182">
        <f>$E21*$G21*R$3</f>
        <v/>
      </c>
      <c r="S21" s="182">
        <f>$E21*$G21*S$3</f>
        <v/>
      </c>
      <c r="T21" s="182">
        <f>$E21*$G21*T$3</f>
        <v/>
      </c>
      <c r="U21" s="182">
        <f>$E21*$G21*U$3</f>
        <v/>
      </c>
      <c r="V21" s="182">
        <f>$E21*$G21*V$3</f>
        <v/>
      </c>
      <c r="W21" s="182">
        <f>$E21*$G21*W$3</f>
        <v/>
      </c>
      <c r="X21" s="182">
        <f>$E21*$G21*X$3</f>
        <v/>
      </c>
      <c r="Y21" s="182">
        <f>$E21*$G21*Y$3</f>
        <v/>
      </c>
      <c r="Z21" s="182">
        <f>$E21*$G21*Z$3</f>
        <v/>
      </c>
      <c r="AA21" s="182">
        <f>$E21*$G21*AA$3</f>
        <v/>
      </c>
      <c r="AB21" s="182">
        <f>$E21*$G21*AB$3</f>
        <v/>
      </c>
      <c r="AC21" s="182">
        <f>$E21*$G21*AC$3</f>
        <v/>
      </c>
      <c r="AD21" s="182">
        <f>$E21*$G21*AD$3</f>
        <v/>
      </c>
      <c r="AE21" s="206">
        <f>(SUM(H21:AD21))</f>
        <v/>
      </c>
    </row>
    <row r="22" customFormat="1" s="53">
      <c r="A22" s="10" t="inlineStr">
        <is>
          <t>其他费用</t>
        </is>
      </c>
      <c r="B22" s="10" t="n">
        <v>19</v>
      </c>
      <c r="C22" s="10" t="inlineStr">
        <is>
          <t>第三方安全评估</t>
        </is>
      </c>
      <c r="D22" s="10" t="inlineStr">
        <is>
          <t>按项目投资额 × 评估费率 （0.1%-0.3%）</t>
        </is>
      </c>
      <c r="E22" s="169" t="n">
        <v>1</v>
      </c>
      <c r="F22" s="169" t="n">
        <v>2</v>
      </c>
      <c r="G22" s="182">
        <f>F22*(1+A财务假设!$D$19)</f>
        <v/>
      </c>
      <c r="H22" s="183" t="n"/>
      <c r="I22" s="182">
        <f>$E22*$G22*I$3</f>
        <v/>
      </c>
      <c r="J22" s="182">
        <f>$E22*$G22*J$3</f>
        <v/>
      </c>
      <c r="K22" s="182">
        <f>$E22*$G22*K$3</f>
        <v/>
      </c>
      <c r="L22" s="182">
        <f>$E22*$G22*L$3</f>
        <v/>
      </c>
      <c r="M22" s="182">
        <f>$E22*$G22*M$3</f>
        <v/>
      </c>
      <c r="N22" s="182">
        <f>$E22*$G22*N$3</f>
        <v/>
      </c>
      <c r="O22" s="182">
        <f>$E22*$G22*O$3</f>
        <v/>
      </c>
      <c r="P22" s="182">
        <f>$E22*$G22*P$3</f>
        <v/>
      </c>
      <c r="Q22" s="182">
        <f>$E22*$G22*Q$3</f>
        <v/>
      </c>
      <c r="R22" s="182">
        <f>$E22*$G22*R$3</f>
        <v/>
      </c>
      <c r="S22" s="182">
        <f>$E22*$G22*S$3</f>
        <v/>
      </c>
      <c r="T22" s="182">
        <f>$E22*$G22*T$3</f>
        <v/>
      </c>
      <c r="U22" s="182">
        <f>$E22*$G22*U$3</f>
        <v/>
      </c>
      <c r="V22" s="182">
        <f>$E22*$G22*V$3</f>
        <v/>
      </c>
      <c r="W22" s="182">
        <f>$E22*$G22*W$3</f>
        <v/>
      </c>
      <c r="X22" s="182">
        <f>$E22*$G22*X$3</f>
        <v/>
      </c>
      <c r="Y22" s="182">
        <f>$E22*$G22*Y$3</f>
        <v/>
      </c>
      <c r="Z22" s="182">
        <f>$E22*$G22*Z$3</f>
        <v/>
      </c>
      <c r="AA22" s="182">
        <f>$E22*$G22*AA$3</f>
        <v/>
      </c>
      <c r="AB22" s="182">
        <f>$E22*$G22*AB$3</f>
        <v/>
      </c>
      <c r="AC22" s="182">
        <f>$E22*$G22*AC$3</f>
        <v/>
      </c>
      <c r="AD22" s="182">
        <f>$E22*$G22*AD$3</f>
        <v/>
      </c>
      <c r="AE22" s="206">
        <f>(SUM(H22:AD22))</f>
        <v/>
      </c>
    </row>
    <row r="23" customFormat="1" s="53">
      <c r="A23" s="164" t="n"/>
      <c r="B23" s="10" t="n">
        <v>20</v>
      </c>
      <c r="C23" s="10" t="inlineStr">
        <is>
          <t>不可预见支出</t>
        </is>
      </c>
      <c r="D23" s="10" t="inlineStr">
        <is>
          <t>按年度总成本 × 计提比例 （5%-10%）</t>
        </is>
      </c>
      <c r="E23" s="169" t="n">
        <v>9</v>
      </c>
      <c r="F23" s="169" t="n">
        <v>2</v>
      </c>
      <c r="G23" s="182">
        <f>F23*(1+A财务假设!$D$19)</f>
        <v/>
      </c>
      <c r="H23" s="183" t="n"/>
      <c r="I23" s="182">
        <f>$E23*$G23*I$3</f>
        <v/>
      </c>
      <c r="J23" s="182">
        <f>$E23*$G23*J$3</f>
        <v/>
      </c>
      <c r="K23" s="182">
        <f>$E23*$G23*K$3</f>
        <v/>
      </c>
      <c r="L23" s="182">
        <f>$E23*$G23*L$3</f>
        <v/>
      </c>
      <c r="M23" s="182">
        <f>$E23*$G23*M$3</f>
        <v/>
      </c>
      <c r="N23" s="182">
        <f>$E23*$G23*N$3</f>
        <v/>
      </c>
      <c r="O23" s="182">
        <f>$E23*$G23*O$3</f>
        <v/>
      </c>
      <c r="P23" s="182">
        <f>$E23*$G23*P$3</f>
        <v/>
      </c>
      <c r="Q23" s="182">
        <f>$E23*$G23*Q$3</f>
        <v/>
      </c>
      <c r="R23" s="182">
        <f>$E23*$G23*R$3</f>
        <v/>
      </c>
      <c r="S23" s="182">
        <f>$E23*$G23*S$3</f>
        <v/>
      </c>
      <c r="T23" s="182">
        <f>$E23*$G23*T$3</f>
        <v/>
      </c>
      <c r="U23" s="182">
        <f>$E23*$G23*U$3</f>
        <v/>
      </c>
      <c r="V23" s="182">
        <f>$E23*$G23*V$3</f>
        <v/>
      </c>
      <c r="W23" s="182">
        <f>$E23*$G23*W$3</f>
        <v/>
      </c>
      <c r="X23" s="182">
        <f>$E23*$G23*X$3</f>
        <v/>
      </c>
      <c r="Y23" s="182">
        <f>$E23*$G23*Y$3</f>
        <v/>
      </c>
      <c r="Z23" s="182">
        <f>$E23*$G23*Z$3</f>
        <v/>
      </c>
      <c r="AA23" s="182">
        <f>$E23*$G23*AA$3</f>
        <v/>
      </c>
      <c r="AB23" s="182">
        <f>$E23*$G23*AB$3</f>
        <v/>
      </c>
      <c r="AC23" s="182">
        <f>$E23*$G23*AC$3</f>
        <v/>
      </c>
      <c r="AD23" s="182">
        <f>$E23*$G23*AD$3</f>
        <v/>
      </c>
      <c r="AE23" s="206">
        <f>(SUM(H23:AD23))</f>
        <v/>
      </c>
    </row>
    <row r="24">
      <c r="AE24" s="207" t="n"/>
    </row>
    <row r="25">
      <c r="AE25" s="207" t="n"/>
    </row>
  </sheetData>
  <mergeCells count="14">
    <mergeCell ref="A4:A7"/>
    <mergeCell ref="A8:A10"/>
    <mergeCell ref="A22:A23"/>
    <mergeCell ref="A12:A13"/>
    <mergeCell ref="A16:A18"/>
    <mergeCell ref="C2:C3"/>
    <mergeCell ref="A19:A21"/>
    <mergeCell ref="A2:A3"/>
    <mergeCell ref="B2:B3"/>
    <mergeCell ref="D2:D3"/>
    <mergeCell ref="F2:F3"/>
    <mergeCell ref="E2:E3"/>
    <mergeCell ref="G2:G3"/>
    <mergeCell ref="A1:N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eet26">
    <tabColor rgb="FF0070C0"/>
    <outlinePr summaryBelow="1" summaryRight="1"/>
    <pageSetUpPr/>
  </sheetPr>
  <dimension ref="A1:AE25"/>
  <sheetViews>
    <sheetView showZeros="0" zoomScale="70" zoomScaleNormal="70" workbookViewId="0">
      <pane xSplit="7" ySplit="3" topLeftCell="H4" activePane="bottomRight" state="frozen"/>
      <selection activeCell="A1" sqref="A1"/>
      <selection pane="topRight" activeCell="A1" sqref="A1"/>
      <selection pane="bottomLeft" activeCell="A1" sqref="A1"/>
      <selection pane="bottomRight" activeCell="P15" sqref="P15"/>
    </sheetView>
  </sheetViews>
  <sheetFormatPr baseColWidth="8" defaultColWidth="20.7818181818182" defaultRowHeight="14"/>
  <cols>
    <col width="18.4454545454545" customWidth="1" style="162" min="1" max="1"/>
    <col width="13.3363636363636" customWidth="1" style="162" min="2" max="2"/>
    <col width="24.7818181818182" customWidth="1" style="18" min="3" max="3"/>
    <col width="23.8909090909091" customWidth="1" style="18" min="4" max="4"/>
    <col width="6.78181818181818" customWidth="1" style="162" min="5" max="6"/>
    <col width="12.3363636363636" customWidth="1" style="162" min="7" max="7"/>
    <col width="10.1090909090909" customWidth="1" style="162" min="8" max="8"/>
    <col width="9.33636363636364" customWidth="1" style="162" min="9" max="10"/>
    <col width="8" customWidth="1" style="162" min="11" max="11"/>
    <col width="9.33636363636364" customWidth="1" style="162" min="12" max="12"/>
    <col width="10.5545454545455" customWidth="1" style="162" min="13" max="13"/>
    <col width="9.33636363636364" customWidth="1" style="162" min="14" max="14"/>
  </cols>
  <sheetData>
    <row r="1" ht="22.5" customHeight="1" s="162">
      <c r="A1" s="109" t="inlineStr">
        <is>
          <t>E.1.1项目运营期费用(不含税）（万元）</t>
        </is>
      </c>
    </row>
    <row r="2" ht="16.5" customHeight="1" s="162">
      <c r="A2" s="20">
        <f t="array" ref="A2:G23">E.1项目运营期费用!A2:G23</f>
        <v/>
      </c>
      <c r="B2" s="20" t="inlineStr">
        <is>
          <t>序号</t>
        </is>
      </c>
      <c r="C2" s="20" t="inlineStr">
        <is>
          <t>科目</t>
        </is>
      </c>
      <c r="D2" s="20" t="inlineStr">
        <is>
          <t>取费计算方式</t>
        </is>
      </c>
      <c r="E2" s="20" t="inlineStr">
        <is>
          <t>数量</t>
        </is>
      </c>
      <c r="F2" s="20" t="inlineStr">
        <is>
          <t>单价</t>
        </is>
      </c>
      <c r="G2" s="20" t="inlineStr">
        <is>
          <t>浮动后单价</t>
        </is>
      </c>
      <c r="H2" s="22" t="n">
        <v>2025</v>
      </c>
      <c r="I2" s="26" t="n">
        <v>2026</v>
      </c>
      <c r="J2" s="22" t="n">
        <v>2027</v>
      </c>
      <c r="K2" s="26" t="n">
        <v>2028</v>
      </c>
      <c r="L2" s="22" t="n">
        <v>2029</v>
      </c>
      <c r="M2" s="26" t="n">
        <v>2030</v>
      </c>
      <c r="N2" s="204" t="n">
        <v>2031</v>
      </c>
      <c r="O2" s="204" t="n">
        <v>2032</v>
      </c>
      <c r="P2" s="204" t="n">
        <v>2033</v>
      </c>
      <c r="Q2" s="204" t="n">
        <v>2034</v>
      </c>
      <c r="R2" s="204" t="n">
        <v>2035</v>
      </c>
      <c r="S2" s="204" t="n">
        <v>2036</v>
      </c>
      <c r="T2" s="204" t="n">
        <v>2037</v>
      </c>
      <c r="U2" s="204" t="n">
        <v>2038</v>
      </c>
      <c r="V2" s="204" t="n">
        <v>2039</v>
      </c>
      <c r="W2" s="204" t="n">
        <v>2040</v>
      </c>
      <c r="X2" s="204" t="n">
        <v>2041</v>
      </c>
      <c r="Y2" s="204" t="n">
        <v>2042</v>
      </c>
      <c r="Z2" s="204" t="n">
        <v>2043</v>
      </c>
      <c r="AA2" s="204" t="n">
        <v>2044</v>
      </c>
      <c r="AB2" s="204" t="n">
        <v>2045</v>
      </c>
      <c r="AC2" s="204" t="n">
        <v>2046</v>
      </c>
      <c r="AD2" s="204" t="n">
        <v>2047</v>
      </c>
      <c r="AE2" s="204" t="inlineStr">
        <is>
          <t>合计</t>
        </is>
      </c>
    </row>
    <row r="3" ht="16.5" customHeight="1" s="162">
      <c r="A3" s="92" t="n">
        <v>0</v>
      </c>
      <c r="B3" s="92" t="n">
        <v>0</v>
      </c>
      <c r="C3" s="92" t="n">
        <v>0</v>
      </c>
      <c r="D3" s="92" t="n">
        <v>0</v>
      </c>
      <c r="E3" s="92" t="n">
        <v>0</v>
      </c>
      <c r="F3" s="92" t="n">
        <v>0</v>
      </c>
      <c r="G3" s="92" t="n">
        <v>0</v>
      </c>
      <c r="H3" s="24" t="inlineStr">
        <is>
          <t>负荷系数</t>
        </is>
      </c>
      <c r="I3" s="27">
        <f>E.1项目运营期费用!I3</f>
        <v/>
      </c>
      <c r="J3" s="27">
        <f>E.1项目运营期费用!J3</f>
        <v/>
      </c>
      <c r="K3" s="107">
        <f>E.1项目运营期费用!K3</f>
        <v/>
      </c>
      <c r="L3" s="27">
        <f>E.1项目运营期费用!L3</f>
        <v/>
      </c>
      <c r="M3" s="27">
        <f>E.1项目运营期费用!M3</f>
        <v/>
      </c>
      <c r="N3" s="27">
        <f>'E.1项目运营期费用'!N3</f>
        <v/>
      </c>
      <c r="O3" s="27">
        <f>'E.1项目运营期费用'!O3</f>
        <v/>
      </c>
      <c r="P3" s="27">
        <f>'E.1项目运营期费用'!P3</f>
        <v/>
      </c>
      <c r="Q3" s="27">
        <f>'E.1项目运营期费用'!Q3</f>
        <v/>
      </c>
      <c r="R3" s="27">
        <f>'E.1项目运营期费用'!R3</f>
        <v/>
      </c>
      <c r="S3" s="27">
        <f>'E.1项目运营期费用'!S3</f>
        <v/>
      </c>
      <c r="T3" s="27">
        <f>'E.1项目运营期费用'!T3</f>
        <v/>
      </c>
      <c r="U3" s="27">
        <f>'E.1项目运营期费用'!U3</f>
        <v/>
      </c>
      <c r="V3" s="27">
        <f>'E.1项目运营期费用'!V3</f>
        <v/>
      </c>
      <c r="W3" s="27">
        <f>'E.1项目运营期费用'!W3</f>
        <v/>
      </c>
      <c r="X3" s="27">
        <f>'E.1项目运营期费用'!X3</f>
        <v/>
      </c>
      <c r="Y3" s="27">
        <f>'E.1项目运营期费用'!Y3</f>
        <v/>
      </c>
      <c r="Z3" s="27">
        <f>'E.1项目运营期费用'!Z3</f>
        <v/>
      </c>
      <c r="AA3" s="27">
        <f>'E.1项目运营期费用'!AA3</f>
        <v/>
      </c>
      <c r="AB3" s="27">
        <f>'E.1项目运营期费用'!AB3</f>
        <v/>
      </c>
      <c r="AC3" s="27">
        <f>'E.1项目运营期费用'!AC3</f>
        <v/>
      </c>
      <c r="AD3" s="27">
        <f>'E.1项目运营期费用'!AD3</f>
        <v/>
      </c>
      <c r="AE3" s="208" t="inlineStr">
        <is>
          <t>/</t>
        </is>
      </c>
    </row>
    <row r="4" ht="16.5" customHeight="1" s="162">
      <c r="A4" s="92" t="inlineStr">
        <is>
          <t>场地维护成本</t>
        </is>
      </c>
      <c r="B4" s="92" t="n">
        <v>1</v>
      </c>
      <c r="C4" s="92" t="inlineStr">
        <is>
          <t>场地租金</t>
        </is>
      </c>
      <c r="D4" s="92" t="inlineStr">
        <is>
          <t>按面积×租金单价</t>
        </is>
      </c>
      <c r="E4" s="92" t="n">
        <v>1</v>
      </c>
      <c r="F4" s="92" t="n">
        <v>2</v>
      </c>
      <c r="G4" s="92" t="n">
        <v>2</v>
      </c>
      <c r="H4" s="185" t="n"/>
      <c r="I4" s="171">
        <f>$E4*$G4*I$3/(1+'G.2进项增值税率-运营成本'!$C3)</f>
        <v/>
      </c>
      <c r="J4" s="171">
        <f>$E4*$G4*J$3/(1+'G.2进项增值税率-运营成本'!$C3)</f>
        <v/>
      </c>
      <c r="K4" s="171">
        <f>$E4*$G4*K$3/(1+'G.2进项增值税率-运营成本'!$C3)</f>
        <v/>
      </c>
      <c r="L4" s="171">
        <f>$E4*$G4*L$3/(1+'G.2进项增值税率-运营成本'!$C3)</f>
        <v/>
      </c>
      <c r="M4" s="171">
        <f>$E4*$G4*M$3/(1+'G.2进项增值税率-运营成本'!$C3)</f>
        <v/>
      </c>
      <c r="N4" s="171">
        <f>$E4*$G4*N$3/(1+'G.2进项增值税率-运营成本'!$C3)</f>
        <v/>
      </c>
      <c r="O4" s="171">
        <f>$E4*$G4*O$3/(1+'G.2进项增值税率-运营成本'!$C3)</f>
        <v/>
      </c>
      <c r="P4" s="171">
        <f>$E4*$G4*P$3/(1+'G.2进项增值税率-运营成本'!$C3)</f>
        <v/>
      </c>
      <c r="Q4" s="171">
        <f>$E4*$G4*Q$3/(1+'G.2进项增值税率-运营成本'!$C3)</f>
        <v/>
      </c>
      <c r="R4" s="171">
        <f>$E4*$G4*R$3/(1+'G.2进项增值税率-运营成本'!$C3)</f>
        <v/>
      </c>
      <c r="S4" s="171">
        <f>$E4*$G4*S$3/(1+'G.2进项增值税率-运营成本'!$C3)</f>
        <v/>
      </c>
      <c r="T4" s="171">
        <f>$E4*$G4*T$3/(1+'G.2进项增值税率-运营成本'!$C3)</f>
        <v/>
      </c>
      <c r="U4" s="171">
        <f>$E4*$G4*U$3/(1+'G.2进项增值税率-运营成本'!$C3)</f>
        <v/>
      </c>
      <c r="V4" s="171">
        <f>$E4*$G4*V$3/(1+'G.2进项增值税率-运营成本'!$C3)</f>
        <v/>
      </c>
      <c r="W4" s="171">
        <f>$E4*$G4*W$3/(1+'G.2进项增值税率-运营成本'!$C3)</f>
        <v/>
      </c>
      <c r="X4" s="171">
        <f>$E4*$G4*X$3/(1+'G.2进项增值税率-运营成本'!$C3)</f>
        <v/>
      </c>
      <c r="Y4" s="171">
        <f>$E4*$G4*Y$3/(1+'G.2进项增值税率-运营成本'!$C3)</f>
        <v/>
      </c>
      <c r="Z4" s="171">
        <f>$E4*$G4*Z$3/(1+'G.2进项增值税率-运营成本'!$C3)</f>
        <v/>
      </c>
      <c r="AA4" s="171">
        <f>$E4*$G4*AA$3/(1+'G.2进项增值税率-运营成本'!$C3)</f>
        <v/>
      </c>
      <c r="AB4" s="171">
        <f>$E4*$G4*AB$3/(1+'G.2进项增值税率-运营成本'!$C3)</f>
        <v/>
      </c>
      <c r="AC4" s="171">
        <f>$E4*$G4*AC$3/(1+'G.2进项增值税率-运营成本'!$C3)</f>
        <v/>
      </c>
      <c r="AD4" s="171">
        <f>$E4*$G4*AD$3/(1+'G.2进项增值税率-运营成本'!$C3)</f>
        <v/>
      </c>
      <c r="AE4" s="209">
        <f>(SUM(H4:AD4))</f>
        <v/>
      </c>
    </row>
    <row r="5" ht="49.5" customHeight="1" s="162">
      <c r="A5" s="92" t="n">
        <v>0</v>
      </c>
      <c r="B5" s="92" t="n">
        <v>2</v>
      </c>
      <c r="C5" s="92" t="inlineStr">
        <is>
          <t>场地日常维护（停机坪/起降场/交通枢纽/飞行营地/指挥中心等）</t>
        </is>
      </c>
      <c r="D5" s="92" t="inlineStr">
        <is>
          <t>按面积 × 单位维护单价（元 / ㎡・年）</t>
        </is>
      </c>
      <c r="E5" s="92" t="n">
        <v>2</v>
      </c>
      <c r="F5" s="92" t="n">
        <v>2</v>
      </c>
      <c r="G5" s="92" t="n">
        <v>2</v>
      </c>
      <c r="H5" s="185" t="n"/>
      <c r="I5" s="171">
        <f>$E5*$G5*I$3/(1+'G.2进项增值税率-运营成本'!$C4)</f>
        <v/>
      </c>
      <c r="J5" s="171">
        <f>$E5*$G5*J$3/(1+'G.2进项增值税率-运营成本'!$C4)</f>
        <v/>
      </c>
      <c r="K5" s="171">
        <f>$E5*$G5*K$3/(1+'G.2进项增值税率-运营成本'!$C4)</f>
        <v/>
      </c>
      <c r="L5" s="171">
        <f>$E5*$G5*L$3/(1+'G.2进项增值税率-运营成本'!$C4)</f>
        <v/>
      </c>
      <c r="M5" s="171">
        <f>$E5*$G5*M$3/(1+'G.2进项增值税率-运营成本'!$C4)</f>
        <v/>
      </c>
      <c r="N5" s="171">
        <f>$E5*$G5*N$3/(1+'G.2进项增值税率-运营成本'!$C4)</f>
        <v/>
      </c>
      <c r="O5" s="171">
        <f>$E5*$G5*O$3/(1+'G.2进项增值税率-运营成本'!$C4)</f>
        <v/>
      </c>
      <c r="P5" s="171">
        <f>$E5*$G5*P$3/(1+'G.2进项增值税率-运营成本'!$C4)</f>
        <v/>
      </c>
      <c r="Q5" s="171">
        <f>$E5*$G5*Q$3/(1+'G.2进项增值税率-运营成本'!$C4)</f>
        <v/>
      </c>
      <c r="R5" s="171">
        <f>$E5*$G5*R$3/(1+'G.2进项增值税率-运营成本'!$C4)</f>
        <v/>
      </c>
      <c r="S5" s="171">
        <f>$E5*$G5*S$3/(1+'G.2进项增值税率-运营成本'!$C4)</f>
        <v/>
      </c>
      <c r="T5" s="171">
        <f>$E5*$G5*T$3/(1+'G.2进项增值税率-运营成本'!$C4)</f>
        <v/>
      </c>
      <c r="U5" s="171">
        <f>$E5*$G5*U$3/(1+'G.2进项增值税率-运营成本'!$C4)</f>
        <v/>
      </c>
      <c r="V5" s="171">
        <f>$E5*$G5*V$3/(1+'G.2进项增值税率-运营成本'!$C4)</f>
        <v/>
      </c>
      <c r="W5" s="171">
        <f>$E5*$G5*W$3/(1+'G.2进项增值税率-运营成本'!$C4)</f>
        <v/>
      </c>
      <c r="X5" s="171">
        <f>$E5*$G5*X$3/(1+'G.2进项增值税率-运营成本'!$C4)</f>
        <v/>
      </c>
      <c r="Y5" s="171">
        <f>$E5*$G5*Y$3/(1+'G.2进项增值税率-运营成本'!$C4)</f>
        <v/>
      </c>
      <c r="Z5" s="171">
        <f>$E5*$G5*Z$3/(1+'G.2进项增值税率-运营成本'!$C4)</f>
        <v/>
      </c>
      <c r="AA5" s="171">
        <f>$E5*$G5*AA$3/(1+'G.2进项增值税率-运营成本'!$C4)</f>
        <v/>
      </c>
      <c r="AB5" s="171">
        <f>$E5*$G5*AB$3/(1+'G.2进项增值税率-运营成本'!$C4)</f>
        <v/>
      </c>
      <c r="AC5" s="171">
        <f>$E5*$G5*AC$3/(1+'G.2进项增值税率-运营成本'!$C4)</f>
        <v/>
      </c>
      <c r="AD5" s="171">
        <f>$E5*$G5*AD$3/(1+'G.2进项增值税率-运营成本'!$C4)</f>
        <v/>
      </c>
      <c r="AE5" s="209">
        <f>(SUM(H5:AD5))</f>
        <v/>
      </c>
    </row>
    <row r="6" ht="33" customHeight="1" s="162">
      <c r="A6" s="92" t="n">
        <v>0</v>
      </c>
      <c r="B6" s="92" t="n">
        <v>3</v>
      </c>
      <c r="C6" s="92" t="inlineStr">
        <is>
          <t>消防设施年检</t>
        </is>
      </c>
      <c r="D6" s="92" t="inlineStr">
        <is>
          <t>按设备数量 × 单台年检费（元 / 台・次）</t>
        </is>
      </c>
      <c r="E6" s="92" t="n">
        <v>3</v>
      </c>
      <c r="F6" s="92" t="n">
        <v>2</v>
      </c>
      <c r="G6" s="92" t="n">
        <v>2</v>
      </c>
      <c r="H6" s="185" t="n"/>
      <c r="I6" s="171">
        <f>$E6*$G6*I$3/(1+'G.2进项增值税率-运营成本'!$C5)</f>
        <v/>
      </c>
      <c r="J6" s="171">
        <f>$E6*$G6*J$3/(1+'G.2进项增值税率-运营成本'!$C5)</f>
        <v/>
      </c>
      <c r="K6" s="171">
        <f>$E6*$G6*K$3/(1+'G.2进项增值税率-运营成本'!$C5)</f>
        <v/>
      </c>
      <c r="L6" s="171">
        <f>$E6*$G6*L$3/(1+'G.2进项增值税率-运营成本'!$C5)</f>
        <v/>
      </c>
      <c r="M6" s="171">
        <f>$E6*$G6*M$3/(1+'G.2进项增值税率-运营成本'!$C5)</f>
        <v/>
      </c>
      <c r="N6" s="171">
        <f>$E6*$G6*N$3/(1+'G.2进项增值税率-运营成本'!$C5)</f>
        <v/>
      </c>
      <c r="O6" s="171">
        <f>$E6*$G6*O$3/(1+'G.2进项增值税率-运营成本'!$C5)</f>
        <v/>
      </c>
      <c r="P6" s="171">
        <f>$E6*$G6*P$3/(1+'G.2进项增值税率-运营成本'!$C5)</f>
        <v/>
      </c>
      <c r="Q6" s="171">
        <f>$E6*$G6*Q$3/(1+'G.2进项增值税率-运营成本'!$C5)</f>
        <v/>
      </c>
      <c r="R6" s="171">
        <f>$E6*$G6*R$3/(1+'G.2进项增值税率-运营成本'!$C5)</f>
        <v/>
      </c>
      <c r="S6" s="171">
        <f>$E6*$G6*S$3/(1+'G.2进项增值税率-运营成本'!$C5)</f>
        <v/>
      </c>
      <c r="T6" s="171">
        <f>$E6*$G6*T$3/(1+'G.2进项增值税率-运营成本'!$C5)</f>
        <v/>
      </c>
      <c r="U6" s="171">
        <f>$E6*$G6*U$3/(1+'G.2进项增值税率-运营成本'!$C5)</f>
        <v/>
      </c>
      <c r="V6" s="171">
        <f>$E6*$G6*V$3/(1+'G.2进项增值税率-运营成本'!$C5)</f>
        <v/>
      </c>
      <c r="W6" s="171">
        <f>$E6*$G6*W$3/(1+'G.2进项增值税率-运营成本'!$C5)</f>
        <v/>
      </c>
      <c r="X6" s="171">
        <f>$E6*$G6*X$3/(1+'G.2进项增值税率-运营成本'!$C5)</f>
        <v/>
      </c>
      <c r="Y6" s="171">
        <f>$E6*$G6*Y$3/(1+'G.2进项增值税率-运营成本'!$C5)</f>
        <v/>
      </c>
      <c r="Z6" s="171">
        <f>$E6*$G6*Z$3/(1+'G.2进项增值税率-运营成本'!$C5)</f>
        <v/>
      </c>
      <c r="AA6" s="171">
        <f>$E6*$G6*AA$3/(1+'G.2进项增值税率-运营成本'!$C5)</f>
        <v/>
      </c>
      <c r="AB6" s="171">
        <f>$E6*$G6*AB$3/(1+'G.2进项增值税率-运营成本'!$C5)</f>
        <v/>
      </c>
      <c r="AC6" s="171">
        <f>$E6*$G6*AC$3/(1+'G.2进项增值税率-运营成本'!$C5)</f>
        <v/>
      </c>
      <c r="AD6" s="171">
        <f>$E6*$G6*AD$3/(1+'G.2进项增值税率-运营成本'!$C5)</f>
        <v/>
      </c>
      <c r="AE6" s="209">
        <f>(SUM(H6:AD6))</f>
        <v/>
      </c>
    </row>
    <row r="7" ht="49.5" customHeight="1" s="162">
      <c r="A7" s="92" t="n">
        <v>0</v>
      </c>
      <c r="B7" s="92" t="n">
        <v>4</v>
      </c>
      <c r="C7" s="92" t="inlineStr">
        <is>
          <t>防鸟措施（驱鸟器维护）</t>
        </is>
      </c>
      <c r="D7" s="92" t="inlineStr">
        <is>
          <t>按套数 × 年费（元 / 套・年）+ 耗材费（如驱鸟剂）</t>
        </is>
      </c>
      <c r="E7" s="92" t="n">
        <v>4</v>
      </c>
      <c r="F7" s="92" t="n">
        <v>2</v>
      </c>
      <c r="G7" s="92" t="n">
        <v>2</v>
      </c>
      <c r="H7" s="185" t="n"/>
      <c r="I7" s="171">
        <f>$E7*$G7*I$3/(1+'G.2进项增值税率-运营成本'!$C6)</f>
        <v/>
      </c>
      <c r="J7" s="171">
        <f>$E7*$G7*J$3/(1+'G.2进项增值税率-运营成本'!$C6)</f>
        <v/>
      </c>
      <c r="K7" s="171">
        <f>$E7*$G7*K$3/(1+'G.2进项增值税率-运营成本'!$C6)</f>
        <v/>
      </c>
      <c r="L7" s="171">
        <f>$E7*$G7*L$3/(1+'G.2进项增值税率-运营成本'!$C6)</f>
        <v/>
      </c>
      <c r="M7" s="171">
        <f>$E7*$G7*M$3/(1+'G.2进项增值税率-运营成本'!$C6)</f>
        <v/>
      </c>
      <c r="N7" s="171">
        <f>$E7*$G7*N$3/(1+'G.2进项增值税率-运营成本'!$C6)</f>
        <v/>
      </c>
      <c r="O7" s="171">
        <f>$E7*$G7*O$3/(1+'G.2进项增值税率-运营成本'!$C6)</f>
        <v/>
      </c>
      <c r="P7" s="171">
        <f>$E7*$G7*P$3/(1+'G.2进项增值税率-运营成本'!$C6)</f>
        <v/>
      </c>
      <c r="Q7" s="171">
        <f>$E7*$G7*Q$3/(1+'G.2进项增值税率-运营成本'!$C6)</f>
        <v/>
      </c>
      <c r="R7" s="171">
        <f>$E7*$G7*R$3/(1+'G.2进项增值税率-运营成本'!$C6)</f>
        <v/>
      </c>
      <c r="S7" s="171">
        <f>$E7*$G7*S$3/(1+'G.2进项增值税率-运营成本'!$C6)</f>
        <v/>
      </c>
      <c r="T7" s="171">
        <f>$E7*$G7*T$3/(1+'G.2进项增值税率-运营成本'!$C6)</f>
        <v/>
      </c>
      <c r="U7" s="171">
        <f>$E7*$G7*U$3/(1+'G.2进项增值税率-运营成本'!$C6)</f>
        <v/>
      </c>
      <c r="V7" s="171">
        <f>$E7*$G7*V$3/(1+'G.2进项增值税率-运营成本'!$C6)</f>
        <v/>
      </c>
      <c r="W7" s="171">
        <f>$E7*$G7*W$3/(1+'G.2进项增值税率-运营成本'!$C6)</f>
        <v/>
      </c>
      <c r="X7" s="171">
        <f>$E7*$G7*X$3/(1+'G.2进项增值税率-运营成本'!$C6)</f>
        <v/>
      </c>
      <c r="Y7" s="171">
        <f>$E7*$G7*Y$3/(1+'G.2进项增值税率-运营成本'!$C6)</f>
        <v/>
      </c>
      <c r="Z7" s="171">
        <f>$E7*$G7*Z$3/(1+'G.2进项增值税率-运营成本'!$C6)</f>
        <v/>
      </c>
      <c r="AA7" s="171">
        <f>$E7*$G7*AA$3/(1+'G.2进项增值税率-运营成本'!$C6)</f>
        <v/>
      </c>
      <c r="AB7" s="171">
        <f>$E7*$G7*AB$3/(1+'G.2进项增值税率-运营成本'!$C6)</f>
        <v/>
      </c>
      <c r="AC7" s="171">
        <f>$E7*$G7*AC$3/(1+'G.2进项增值税率-运营成本'!$C6)</f>
        <v/>
      </c>
      <c r="AD7" s="171">
        <f>$E7*$G7*AD$3/(1+'G.2进项增值税率-运营成本'!$C6)</f>
        <v/>
      </c>
      <c r="AE7" s="209">
        <f>(SUM(H7:AD7))</f>
        <v/>
      </c>
    </row>
    <row r="8" ht="16.5" customHeight="1" s="162">
      <c r="A8" s="92" t="inlineStr">
        <is>
          <t>燃料动力费</t>
        </is>
      </c>
      <c r="B8" s="92" t="n">
        <v>5</v>
      </c>
      <c r="C8" s="92" t="inlineStr">
        <is>
          <t>飞行器能耗</t>
        </is>
      </c>
      <c r="D8" s="92" t="inlineStr">
        <is>
          <t>按电耗或油耗计算</t>
        </is>
      </c>
      <c r="E8" s="92" t="n">
        <v>5</v>
      </c>
      <c r="F8" s="92" t="n">
        <v>2</v>
      </c>
      <c r="G8" s="92" t="n">
        <v>2</v>
      </c>
      <c r="H8" s="185" t="n"/>
      <c r="I8" s="171">
        <f>$E8*$G8*I$3/(1+'G.2进项增值税率-运营成本'!$C7)</f>
        <v/>
      </c>
      <c r="J8" s="171">
        <f>$E8*$G8*J$3/(1+'G.2进项增值税率-运营成本'!$C7)</f>
        <v/>
      </c>
      <c r="K8" s="171">
        <f>$E8*$G8*K$3/(1+'G.2进项增值税率-运营成本'!$C7)</f>
        <v/>
      </c>
      <c r="L8" s="171">
        <f>$E8*$G8*L$3/(1+'G.2进项增值税率-运营成本'!$C7)</f>
        <v/>
      </c>
      <c r="M8" s="171">
        <f>$E8*$G8*M$3/(1+'G.2进项增值税率-运营成本'!$C7)</f>
        <v/>
      </c>
      <c r="N8" s="171">
        <f>$E8*$G8*N$3/(1+'G.2进项增值税率-运营成本'!$C7)</f>
        <v/>
      </c>
      <c r="O8" s="171">
        <f>$E8*$G8*O$3/(1+'G.2进项增值税率-运营成本'!$C7)</f>
        <v/>
      </c>
      <c r="P8" s="171">
        <f>$E8*$G8*P$3/(1+'G.2进项增值税率-运营成本'!$C7)</f>
        <v/>
      </c>
      <c r="Q8" s="171">
        <f>$E8*$G8*Q$3/(1+'G.2进项增值税率-运营成本'!$C7)</f>
        <v/>
      </c>
      <c r="R8" s="171">
        <f>$E8*$G8*R$3/(1+'G.2进项增值税率-运营成本'!$C7)</f>
        <v/>
      </c>
      <c r="S8" s="171">
        <f>$E8*$G8*S$3/(1+'G.2进项增值税率-运营成本'!$C7)</f>
        <v/>
      </c>
      <c r="T8" s="171">
        <f>$E8*$G8*T$3/(1+'G.2进项增值税率-运营成本'!$C7)</f>
        <v/>
      </c>
      <c r="U8" s="171">
        <f>$E8*$G8*U$3/(1+'G.2进项增值税率-运营成本'!$C7)</f>
        <v/>
      </c>
      <c r="V8" s="171">
        <f>$E8*$G8*V$3/(1+'G.2进项增值税率-运营成本'!$C7)</f>
        <v/>
      </c>
      <c r="W8" s="171">
        <f>$E8*$G8*W$3/(1+'G.2进项增值税率-运营成本'!$C7)</f>
        <v/>
      </c>
      <c r="X8" s="171">
        <f>$E8*$G8*X$3/(1+'G.2进项增值税率-运营成本'!$C7)</f>
        <v/>
      </c>
      <c r="Y8" s="171">
        <f>$E8*$G8*Y$3/(1+'G.2进项增值税率-运营成本'!$C7)</f>
        <v/>
      </c>
      <c r="Z8" s="171">
        <f>$E8*$G8*Z$3/(1+'G.2进项增值税率-运营成本'!$C7)</f>
        <v/>
      </c>
      <c r="AA8" s="171">
        <f>$E8*$G8*AA$3/(1+'G.2进项增值税率-运营成本'!$C7)</f>
        <v/>
      </c>
      <c r="AB8" s="171">
        <f>$E8*$G8*AB$3/(1+'G.2进项增值税率-运营成本'!$C7)</f>
        <v/>
      </c>
      <c r="AC8" s="171">
        <f>$E8*$G8*AC$3/(1+'G.2进项增值税率-运营成本'!$C7)</f>
        <v/>
      </c>
      <c r="AD8" s="171">
        <f>$E8*$G8*AD$3/(1+'G.2进项增值税率-运营成本'!$C7)</f>
        <v/>
      </c>
      <c r="AE8" s="209">
        <f>(SUM(H8:AD8))</f>
        <v/>
      </c>
    </row>
    <row r="9" ht="33" customHeight="1" s="162">
      <c r="A9" s="92" t="n">
        <v>0</v>
      </c>
      <c r="B9" s="92" t="n">
        <v>6</v>
      </c>
      <c r="C9" s="92" t="inlineStr">
        <is>
          <t>核心设备电力能耗</t>
        </is>
      </c>
      <c r="D9" s="92" t="inlineStr">
        <is>
          <t>按实际用电量 × 电价（元 / 千瓦 时）</t>
        </is>
      </c>
      <c r="E9" s="92" t="n">
        <v>6</v>
      </c>
      <c r="F9" s="92" t="n">
        <v>2</v>
      </c>
      <c r="G9" s="92" t="n">
        <v>2</v>
      </c>
      <c r="H9" s="185" t="n"/>
      <c r="I9" s="171">
        <f>$E9*$G9*I$3/(1+'G.2进项增值税率-运营成本'!$C8)</f>
        <v/>
      </c>
      <c r="J9" s="171">
        <f>$E9*$G9*J$3/(1+'G.2进项增值税率-运营成本'!$C8)</f>
        <v/>
      </c>
      <c r="K9" s="171">
        <f>$E9*$G9*K$3/(1+'G.2进项增值税率-运营成本'!$C8)</f>
        <v/>
      </c>
      <c r="L9" s="171">
        <f>$E9*$G9*L$3/(1+'G.2进项增值税率-运营成本'!$C8)</f>
        <v/>
      </c>
      <c r="M9" s="171">
        <f>$E9*$G9*M$3/(1+'G.2进项增值税率-运营成本'!$C8)</f>
        <v/>
      </c>
      <c r="N9" s="171">
        <f>$E9*$G9*N$3/(1+'G.2进项增值税率-运营成本'!$C8)</f>
        <v/>
      </c>
      <c r="O9" s="171">
        <f>$E9*$G9*O$3/(1+'G.2进项增值税率-运营成本'!$C8)</f>
        <v/>
      </c>
      <c r="P9" s="171">
        <f>$E9*$G9*P$3/(1+'G.2进项增值税率-运营成本'!$C8)</f>
        <v/>
      </c>
      <c r="Q9" s="171">
        <f>$E9*$G9*Q$3/(1+'G.2进项增值税率-运营成本'!$C8)</f>
        <v/>
      </c>
      <c r="R9" s="171">
        <f>$E9*$G9*R$3/(1+'G.2进项增值税率-运营成本'!$C8)</f>
        <v/>
      </c>
      <c r="S9" s="171">
        <f>$E9*$G9*S$3/(1+'G.2进项增值税率-运营成本'!$C8)</f>
        <v/>
      </c>
      <c r="T9" s="171">
        <f>$E9*$G9*T$3/(1+'G.2进项增值税率-运营成本'!$C8)</f>
        <v/>
      </c>
      <c r="U9" s="171">
        <f>$E9*$G9*U$3/(1+'G.2进项增值税率-运营成本'!$C8)</f>
        <v/>
      </c>
      <c r="V9" s="171">
        <f>$E9*$G9*V$3/(1+'G.2进项增值税率-运营成本'!$C8)</f>
        <v/>
      </c>
      <c r="W9" s="171">
        <f>$E9*$G9*W$3/(1+'G.2进项增值税率-运营成本'!$C8)</f>
        <v/>
      </c>
      <c r="X9" s="171">
        <f>$E9*$G9*X$3/(1+'G.2进项增值税率-运营成本'!$C8)</f>
        <v/>
      </c>
      <c r="Y9" s="171">
        <f>$E9*$G9*Y$3/(1+'G.2进项增值税率-运营成本'!$C8)</f>
        <v/>
      </c>
      <c r="Z9" s="171">
        <f>$E9*$G9*Z$3/(1+'G.2进项增值税率-运营成本'!$C8)</f>
        <v/>
      </c>
      <c r="AA9" s="171">
        <f>$E9*$G9*AA$3/(1+'G.2进项增值税率-运营成本'!$C8)</f>
        <v/>
      </c>
      <c r="AB9" s="171">
        <f>$E9*$G9*AB$3/(1+'G.2进项增值税率-运营成本'!$C8)</f>
        <v/>
      </c>
      <c r="AC9" s="171">
        <f>$E9*$G9*AC$3/(1+'G.2进项增值税率-运营成本'!$C8)</f>
        <v/>
      </c>
      <c r="AD9" s="171">
        <f>$E9*$G9*AD$3/(1+'G.2进项增值税率-运营成本'!$C8)</f>
        <v/>
      </c>
      <c r="AE9" s="209">
        <f>(SUM(H9:AD9))</f>
        <v/>
      </c>
    </row>
    <row r="10" ht="16.5" customHeight="1" s="162">
      <c r="A10" s="92" t="n">
        <v>0</v>
      </c>
      <c r="B10" s="92" t="n">
        <v>7</v>
      </c>
      <c r="C10" s="92" t="inlineStr">
        <is>
          <t>水电能耗</t>
        </is>
      </c>
      <c r="D10" s="92" t="inlineStr">
        <is>
          <t>按面积估算</t>
        </is>
      </c>
      <c r="E10" s="92" t="n">
        <v>7</v>
      </c>
      <c r="F10" s="92" t="n">
        <v>2</v>
      </c>
      <c r="G10" s="92" t="n">
        <v>2</v>
      </c>
      <c r="H10" s="185" t="n"/>
      <c r="I10" s="171">
        <f>$E10*$G10*I$3/(1+'G.2进项增值税率-运营成本'!$C9)</f>
        <v/>
      </c>
      <c r="J10" s="171">
        <f>$E10*$G10*J$3/(1+'G.2进项增值税率-运营成本'!$C9)</f>
        <v/>
      </c>
      <c r="K10" s="171">
        <f>$E10*$G10*K$3/(1+'G.2进项增值税率-运营成本'!$C9)</f>
        <v/>
      </c>
      <c r="L10" s="171">
        <f>$E10*$G10*L$3/(1+'G.2进项增值税率-运营成本'!$C9)</f>
        <v/>
      </c>
      <c r="M10" s="171">
        <f>$E10*$G10*M$3/(1+'G.2进项增值税率-运营成本'!$C9)</f>
        <v/>
      </c>
      <c r="N10" s="171">
        <f>$E10*$G10*N$3/(1+'G.2进项增值税率-运营成本'!$C9)</f>
        <v/>
      </c>
      <c r="O10" s="171">
        <f>$E10*$G10*O$3/(1+'G.2进项增值税率-运营成本'!$C9)</f>
        <v/>
      </c>
      <c r="P10" s="171">
        <f>$E10*$G10*P$3/(1+'G.2进项增值税率-运营成本'!$C9)</f>
        <v/>
      </c>
      <c r="Q10" s="171">
        <f>$E10*$G10*Q$3/(1+'G.2进项增值税率-运营成本'!$C9)</f>
        <v/>
      </c>
      <c r="R10" s="171">
        <f>$E10*$G10*R$3/(1+'G.2进项增值税率-运营成本'!$C9)</f>
        <v/>
      </c>
      <c r="S10" s="171">
        <f>$E10*$G10*S$3/(1+'G.2进项增值税率-运营成本'!$C9)</f>
        <v/>
      </c>
      <c r="T10" s="171">
        <f>$E10*$G10*T$3/(1+'G.2进项增值税率-运营成本'!$C9)</f>
        <v/>
      </c>
      <c r="U10" s="171">
        <f>$E10*$G10*U$3/(1+'G.2进项增值税率-运营成本'!$C9)</f>
        <v/>
      </c>
      <c r="V10" s="171">
        <f>$E10*$G10*V$3/(1+'G.2进项增值税率-运营成本'!$C9)</f>
        <v/>
      </c>
      <c r="W10" s="171">
        <f>$E10*$G10*W$3/(1+'G.2进项增值税率-运营成本'!$C9)</f>
        <v/>
      </c>
      <c r="X10" s="171">
        <f>$E10*$G10*X$3/(1+'G.2进项增值税率-运营成本'!$C9)</f>
        <v/>
      </c>
      <c r="Y10" s="171">
        <f>$E10*$G10*Y$3/(1+'G.2进项增值税率-运营成本'!$C9)</f>
        <v/>
      </c>
      <c r="Z10" s="171">
        <f>$E10*$G10*Z$3/(1+'G.2进项增值税率-运营成本'!$C9)</f>
        <v/>
      </c>
      <c r="AA10" s="171">
        <f>$E10*$G10*AA$3/(1+'G.2进项增值税率-运营成本'!$C9)</f>
        <v/>
      </c>
      <c r="AB10" s="171">
        <f>$E10*$G10*AB$3/(1+'G.2进项增值税率-运营成本'!$C9)</f>
        <v/>
      </c>
      <c r="AC10" s="171">
        <f>$E10*$G10*AC$3/(1+'G.2进项增值税率-运营成本'!$C9)</f>
        <v/>
      </c>
      <c r="AD10" s="171">
        <f>$E10*$G10*AD$3/(1+'G.2进项增值税率-运营成本'!$C9)</f>
        <v/>
      </c>
      <c r="AE10" s="209">
        <f>(SUM(H10:AD10))</f>
        <v/>
      </c>
    </row>
    <row r="11" ht="16.5" customHeight="1" s="162">
      <c r="A11" s="92" t="inlineStr">
        <is>
          <t>网络费</t>
        </is>
      </c>
      <c r="B11" s="92" t="n">
        <v>8</v>
      </c>
      <c r="C11" s="92" t="inlineStr">
        <is>
          <t>网络通信费用</t>
        </is>
      </c>
      <c r="D11" s="92" t="inlineStr">
        <is>
          <t>按年计算租金</t>
        </is>
      </c>
      <c r="E11" s="92" t="n">
        <v>8</v>
      </c>
      <c r="F11" s="92" t="n">
        <v>2</v>
      </c>
      <c r="G11" s="92" t="n">
        <v>2</v>
      </c>
      <c r="H11" s="185" t="n"/>
      <c r="I11" s="171">
        <f>$E11*$G11*I$3/(1+'G.2进项增值税率-运营成本'!$C10)</f>
        <v/>
      </c>
      <c r="J11" s="171">
        <f>$E11*$G11*J$3/(1+'G.2进项增值税率-运营成本'!$C10)</f>
        <v/>
      </c>
      <c r="K11" s="171">
        <f>$E11*$G11*K$3/(1+'G.2进项增值税率-运营成本'!$C10)</f>
        <v/>
      </c>
      <c r="L11" s="171">
        <f>$E11*$G11*L$3/(1+'G.2进项增值税率-运营成本'!$C10)</f>
        <v/>
      </c>
      <c r="M11" s="171">
        <f>$E11*$G11*M$3/(1+'G.2进项增值税率-运营成本'!$C10)</f>
        <v/>
      </c>
      <c r="N11" s="171">
        <f>$E11*$G11*N$3/(1+'G.2进项增值税率-运营成本'!$C10)</f>
        <v/>
      </c>
      <c r="O11" s="171">
        <f>$E11*$G11*O$3/(1+'G.2进项增值税率-运营成本'!$C10)</f>
        <v/>
      </c>
      <c r="P11" s="171">
        <f>$E11*$G11*P$3/(1+'G.2进项增值税率-运营成本'!$C10)</f>
        <v/>
      </c>
      <c r="Q11" s="171">
        <f>$E11*$G11*Q$3/(1+'G.2进项增值税率-运营成本'!$C10)</f>
        <v/>
      </c>
      <c r="R11" s="171">
        <f>$E11*$G11*R$3/(1+'G.2进项增值税率-运营成本'!$C10)</f>
        <v/>
      </c>
      <c r="S11" s="171">
        <f>$E11*$G11*S$3/(1+'G.2进项增值税率-运营成本'!$C10)</f>
        <v/>
      </c>
      <c r="T11" s="171">
        <f>$E11*$G11*T$3/(1+'G.2进项增值税率-运营成本'!$C10)</f>
        <v/>
      </c>
      <c r="U11" s="171">
        <f>$E11*$G11*U$3/(1+'G.2进项增值税率-运营成本'!$C10)</f>
        <v/>
      </c>
      <c r="V11" s="171">
        <f>$E11*$G11*V$3/(1+'G.2进项增值税率-运营成本'!$C10)</f>
        <v/>
      </c>
      <c r="W11" s="171">
        <f>$E11*$G11*W$3/(1+'G.2进项增值税率-运营成本'!$C10)</f>
        <v/>
      </c>
      <c r="X11" s="171">
        <f>$E11*$G11*X$3/(1+'G.2进项增值税率-运营成本'!$C10)</f>
        <v/>
      </c>
      <c r="Y11" s="171">
        <f>$E11*$G11*Y$3/(1+'G.2进项增值税率-运营成本'!$C10)</f>
        <v/>
      </c>
      <c r="Z11" s="171">
        <f>$E11*$G11*Z$3/(1+'G.2进项增值税率-运营成本'!$C10)</f>
        <v/>
      </c>
      <c r="AA11" s="171">
        <f>$E11*$G11*AA$3/(1+'G.2进项增值税率-运营成本'!$C10)</f>
        <v/>
      </c>
      <c r="AB11" s="171">
        <f>$E11*$G11*AB$3/(1+'G.2进项增值税率-运营成本'!$C10)</f>
        <v/>
      </c>
      <c r="AC11" s="171">
        <f>$E11*$G11*AC$3/(1+'G.2进项增值税率-运营成本'!$C10)</f>
        <v/>
      </c>
      <c r="AD11" s="171">
        <f>$E11*$G11*AD$3/(1+'G.2进项增值税率-运营成本'!$C10)</f>
        <v/>
      </c>
      <c r="AE11" s="209">
        <f>(SUM(H11:AD11))</f>
        <v/>
      </c>
    </row>
    <row r="12" ht="16.5" customHeight="1" s="162">
      <c r="A12" s="92" t="inlineStr">
        <is>
          <t>硬件维护成本</t>
        </is>
      </c>
      <c r="B12" s="92" t="n">
        <v>9</v>
      </c>
      <c r="C12" s="92" t="inlineStr">
        <is>
          <t>硬件设备维护</t>
        </is>
      </c>
      <c r="D12" s="92" t="inlineStr">
        <is>
          <t>按照固定资产15%计算</t>
        </is>
      </c>
      <c r="E12" s="92" t="n">
        <v>9</v>
      </c>
      <c r="F12" s="92" t="n">
        <v>2</v>
      </c>
      <c r="G12" s="92" t="n">
        <v>2</v>
      </c>
      <c r="H12" s="185" t="n"/>
      <c r="I12" s="171">
        <f>$E12*$G12*I$3/(1+'G.2进项增值税率-运营成本'!$C11)</f>
        <v/>
      </c>
      <c r="J12" s="171">
        <f>$E12*$G12*J$3/(1+'G.2进项增值税率-运营成本'!$C11)</f>
        <v/>
      </c>
      <c r="K12" s="171">
        <f>$E12*$G12*K$3/(1+'G.2进项增值税率-运营成本'!$C11)</f>
        <v/>
      </c>
      <c r="L12" s="171">
        <f>$E12*$G12*L$3/(1+'G.2进项增值税率-运营成本'!$C11)</f>
        <v/>
      </c>
      <c r="M12" s="171">
        <f>$E12*$G12*M$3/(1+'G.2进项增值税率-运营成本'!$C11)</f>
        <v/>
      </c>
      <c r="N12" s="171">
        <f>$E12*$G12*N$3/(1+'G.2进项增值税率-运营成本'!$C11)</f>
        <v/>
      </c>
      <c r="O12" s="171">
        <f>$E12*$G12*O$3/(1+'G.2进项增值税率-运营成本'!$C11)</f>
        <v/>
      </c>
      <c r="P12" s="171">
        <f>$E12*$G12*P$3/(1+'G.2进项增值税率-运营成本'!$C11)</f>
        <v/>
      </c>
      <c r="Q12" s="171">
        <f>$E12*$G12*Q$3/(1+'G.2进项增值税率-运营成本'!$C11)</f>
        <v/>
      </c>
      <c r="R12" s="171">
        <f>$E12*$G12*R$3/(1+'G.2进项增值税率-运营成本'!$C11)</f>
        <v/>
      </c>
      <c r="S12" s="171">
        <f>$E12*$G12*S$3/(1+'G.2进项增值税率-运营成本'!$C11)</f>
        <v/>
      </c>
      <c r="T12" s="171">
        <f>$E12*$G12*T$3/(1+'G.2进项增值税率-运营成本'!$C11)</f>
        <v/>
      </c>
      <c r="U12" s="171">
        <f>$E12*$G12*U$3/(1+'G.2进项增值税率-运营成本'!$C11)</f>
        <v/>
      </c>
      <c r="V12" s="171">
        <f>$E12*$G12*V$3/(1+'G.2进项增值税率-运营成本'!$C11)</f>
        <v/>
      </c>
      <c r="W12" s="171">
        <f>$E12*$G12*W$3/(1+'G.2进项增值税率-运营成本'!$C11)</f>
        <v/>
      </c>
      <c r="X12" s="171">
        <f>$E12*$G12*X$3/(1+'G.2进项增值税率-运营成本'!$C11)</f>
        <v/>
      </c>
      <c r="Y12" s="171">
        <f>$E12*$G12*Y$3/(1+'G.2进项增值税率-运营成本'!$C11)</f>
        <v/>
      </c>
      <c r="Z12" s="171">
        <f>$E12*$G12*Z$3/(1+'G.2进项增值税率-运营成本'!$C11)</f>
        <v/>
      </c>
      <c r="AA12" s="171">
        <f>$E12*$G12*AA$3/(1+'G.2进项增值税率-运营成本'!$C11)</f>
        <v/>
      </c>
      <c r="AB12" s="171">
        <f>$E12*$G12*AB$3/(1+'G.2进项增值税率-运营成本'!$C11)</f>
        <v/>
      </c>
      <c r="AC12" s="171">
        <f>$E12*$G12*AC$3/(1+'G.2进项增值税率-运营成本'!$C11)</f>
        <v/>
      </c>
      <c r="AD12" s="171">
        <f>$E12*$G12*AD$3/(1+'G.2进项增值税率-运营成本'!$C11)</f>
        <v/>
      </c>
      <c r="AE12" s="209">
        <f>(SUM(H12:AD12))</f>
        <v/>
      </c>
    </row>
    <row r="13" ht="33" customHeight="1" s="162">
      <c r="A13" s="92" t="n">
        <v>0</v>
      </c>
      <c r="B13" s="92" t="n">
        <v>10</v>
      </c>
      <c r="C13" s="92" t="inlineStr">
        <is>
          <t>备品备件储备</t>
        </is>
      </c>
      <c r="D13" s="92" t="inlineStr">
        <is>
          <t>按年度设备维护预算 × 储备比例 （10%-20%）</t>
        </is>
      </c>
      <c r="E13" s="92" t="n">
        <v>1</v>
      </c>
      <c r="F13" s="92" t="n">
        <v>2</v>
      </c>
      <c r="G13" s="92" t="n">
        <v>2</v>
      </c>
      <c r="H13" s="185" t="n"/>
      <c r="I13" s="171">
        <f>$E13*$G13*I$3/(1+'G.2进项增值税率-运营成本'!$C12)</f>
        <v/>
      </c>
      <c r="J13" s="171">
        <f>$E13*$G13*J$3/(1+'G.2进项增值税率-运营成本'!$C12)</f>
        <v/>
      </c>
      <c r="K13" s="171">
        <f>$E13*$G13*K$3/(1+'G.2进项增值税率-运营成本'!$C12)</f>
        <v/>
      </c>
      <c r="L13" s="171">
        <f>$E13*$G13*L$3/(1+'G.2进项增值税率-运营成本'!$C12)</f>
        <v/>
      </c>
      <c r="M13" s="171">
        <f>$E13*$G13*M$3/(1+'G.2进项增值税率-运营成本'!$C12)</f>
        <v/>
      </c>
      <c r="N13" s="171">
        <f>$E13*$G13*N$3/(1+'G.2进项增值税率-运营成本'!$C12)</f>
        <v/>
      </c>
      <c r="O13" s="171">
        <f>$E13*$G13*O$3/(1+'G.2进项增值税率-运营成本'!$C12)</f>
        <v/>
      </c>
      <c r="P13" s="171">
        <f>$E13*$G13*P$3/(1+'G.2进项增值税率-运营成本'!$C12)</f>
        <v/>
      </c>
      <c r="Q13" s="171">
        <f>$E13*$G13*Q$3/(1+'G.2进项增值税率-运营成本'!$C12)</f>
        <v/>
      </c>
      <c r="R13" s="171">
        <f>$E13*$G13*R$3/(1+'G.2进项增值税率-运营成本'!$C12)</f>
        <v/>
      </c>
      <c r="S13" s="171">
        <f>$E13*$G13*S$3/(1+'G.2进项增值税率-运营成本'!$C12)</f>
        <v/>
      </c>
      <c r="T13" s="171">
        <f>$E13*$G13*T$3/(1+'G.2进项增值税率-运营成本'!$C12)</f>
        <v/>
      </c>
      <c r="U13" s="171">
        <f>$E13*$G13*U$3/(1+'G.2进项增值税率-运营成本'!$C12)</f>
        <v/>
      </c>
      <c r="V13" s="171">
        <f>$E13*$G13*V$3/(1+'G.2进项增值税率-运营成本'!$C12)</f>
        <v/>
      </c>
      <c r="W13" s="171">
        <f>$E13*$G13*W$3/(1+'G.2进项增值税率-运营成本'!$C12)</f>
        <v/>
      </c>
      <c r="X13" s="171">
        <f>$E13*$G13*X$3/(1+'G.2进项增值税率-运营成本'!$C12)</f>
        <v/>
      </c>
      <c r="Y13" s="171">
        <f>$E13*$G13*Y$3/(1+'G.2进项增值税率-运营成本'!$C12)</f>
        <v/>
      </c>
      <c r="Z13" s="171">
        <f>$E13*$G13*Z$3/(1+'G.2进项增值税率-运营成本'!$C12)</f>
        <v/>
      </c>
      <c r="AA13" s="171">
        <f>$E13*$G13*AA$3/(1+'G.2进项增值税率-运营成本'!$C12)</f>
        <v/>
      </c>
      <c r="AB13" s="171">
        <f>$E13*$G13*AB$3/(1+'G.2进项增值税率-运营成本'!$C12)</f>
        <v/>
      </c>
      <c r="AC13" s="171">
        <f>$E13*$G13*AC$3/(1+'G.2进项增值税率-运营成本'!$C12)</f>
        <v/>
      </c>
      <c r="AD13" s="171">
        <f>$E13*$G13*AD$3/(1+'G.2进项增值税率-运营成本'!$C12)</f>
        <v/>
      </c>
      <c r="AE13" s="209">
        <f>(SUM(H13:AD13))</f>
        <v/>
      </c>
    </row>
    <row r="14" ht="33" customHeight="1" s="162">
      <c r="A14" s="92" t="inlineStr">
        <is>
          <t>软件维护费</t>
        </is>
      </c>
      <c r="B14" s="92" t="n">
        <v>11</v>
      </c>
      <c r="C14" s="92" t="inlineStr">
        <is>
          <t>软件维护</t>
        </is>
      </c>
      <c r="D14" s="92" t="inlineStr">
        <is>
          <t>按无形资产造价的20%计算</t>
        </is>
      </c>
      <c r="E14" s="92" t="n">
        <v>2</v>
      </c>
      <c r="F14" s="92" t="n">
        <v>2</v>
      </c>
      <c r="G14" s="92" t="n">
        <v>2</v>
      </c>
      <c r="H14" s="185" t="n"/>
      <c r="I14" s="171">
        <f>$E14*$G14*I$3/(1+'G.2进项增值税率-运营成本'!$C13)</f>
        <v/>
      </c>
      <c r="J14" s="171">
        <f>$E14*$G14*J$3/(1+'G.2进项增值税率-运营成本'!$C13)</f>
        <v/>
      </c>
      <c r="K14" s="171">
        <f>$E14*$G14*K$3/(1+'G.2进项增值税率-运营成本'!$C13)</f>
        <v/>
      </c>
      <c r="L14" s="171">
        <f>$E14*$G14*L$3/(1+'G.2进项增值税率-运营成本'!$C13)</f>
        <v/>
      </c>
      <c r="M14" s="171">
        <f>$E14*$G14*M$3/(1+'G.2进项增值税率-运营成本'!$C13)</f>
        <v/>
      </c>
      <c r="N14" s="171">
        <f>$E14*$G14*N$3/(1+'G.2进项增值税率-运营成本'!$C13)</f>
        <v/>
      </c>
      <c r="O14" s="171">
        <f>$E14*$G14*O$3/(1+'G.2进项增值税率-运营成本'!$C13)</f>
        <v/>
      </c>
      <c r="P14" s="171">
        <f>$E14*$G14*P$3/(1+'G.2进项增值税率-运营成本'!$C13)</f>
        <v/>
      </c>
      <c r="Q14" s="171">
        <f>$E14*$G14*Q$3/(1+'G.2进项增值税率-运营成本'!$C13)</f>
        <v/>
      </c>
      <c r="R14" s="171">
        <f>$E14*$G14*R$3/(1+'G.2进项增值税率-运营成本'!$C13)</f>
        <v/>
      </c>
      <c r="S14" s="171">
        <f>$E14*$G14*S$3/(1+'G.2进项增值税率-运营成本'!$C13)</f>
        <v/>
      </c>
      <c r="T14" s="171">
        <f>$E14*$G14*T$3/(1+'G.2进项增值税率-运营成本'!$C13)</f>
        <v/>
      </c>
      <c r="U14" s="171">
        <f>$E14*$G14*U$3/(1+'G.2进项增值税率-运营成本'!$C13)</f>
        <v/>
      </c>
      <c r="V14" s="171">
        <f>$E14*$G14*V$3/(1+'G.2进项增值税率-运营成本'!$C13)</f>
        <v/>
      </c>
      <c r="W14" s="171">
        <f>$E14*$G14*W$3/(1+'G.2进项增值税率-运营成本'!$C13)</f>
        <v/>
      </c>
      <c r="X14" s="171">
        <f>$E14*$G14*X$3/(1+'G.2进项增值税率-运营成本'!$C13)</f>
        <v/>
      </c>
      <c r="Y14" s="171">
        <f>$E14*$G14*Y$3/(1+'G.2进项增值税率-运营成本'!$C13)</f>
        <v/>
      </c>
      <c r="Z14" s="171">
        <f>$E14*$G14*Z$3/(1+'G.2进项增值税率-运营成本'!$C13)</f>
        <v/>
      </c>
      <c r="AA14" s="171">
        <f>$E14*$G14*AA$3/(1+'G.2进项增值税率-运营成本'!$C13)</f>
        <v/>
      </c>
      <c r="AB14" s="171">
        <f>$E14*$G14*AB$3/(1+'G.2进项增值税率-运营成本'!$C13)</f>
        <v/>
      </c>
      <c r="AC14" s="171">
        <f>$E14*$G14*AC$3/(1+'G.2进项增值税率-运营成本'!$C13)</f>
        <v/>
      </c>
      <c r="AD14" s="171">
        <f>$E14*$G14*AD$3/(1+'G.2进项增值税率-运营成本'!$C13)</f>
        <v/>
      </c>
      <c r="AE14" s="209">
        <f>(SUM(H14:AD14))</f>
        <v/>
      </c>
    </row>
    <row r="15" ht="33" customHeight="1" s="162">
      <c r="A15" s="92" t="inlineStr">
        <is>
          <t>营销费用</t>
        </is>
      </c>
      <c r="B15" s="92" t="n">
        <v>12</v>
      </c>
      <c r="C15" s="92" t="inlineStr">
        <is>
          <t>营销及活动</t>
        </is>
      </c>
      <c r="D15" s="92" t="inlineStr">
        <is>
          <t>按年平均营业收入的2%计算</t>
        </is>
      </c>
      <c r="E15" s="92" t="n">
        <v>2</v>
      </c>
      <c r="F15" s="92" t="n">
        <v>2</v>
      </c>
      <c r="G15" s="92" t="n">
        <v>2</v>
      </c>
      <c r="H15" s="185" t="n"/>
      <c r="I15" s="171">
        <f>$E15*$G15*I$3/(1+'G.2进项增值税率-运营成本'!$C14)</f>
        <v/>
      </c>
      <c r="J15" s="171">
        <f>$E15*$G15*J$3/(1+'G.2进项增值税率-运营成本'!$C14)</f>
        <v/>
      </c>
      <c r="K15" s="171">
        <f>$E15*$G15*K$3/(1+'G.2进项增值税率-运营成本'!$C14)</f>
        <v/>
      </c>
      <c r="L15" s="171">
        <f>$E15*$G15*L$3/(1+'G.2进项增值税率-运营成本'!$C14)</f>
        <v/>
      </c>
      <c r="M15" s="171">
        <f>$E15*$G15*M$3/(1+'G.2进项增值税率-运营成本'!$C14)</f>
        <v/>
      </c>
      <c r="N15" s="171">
        <f>$E15*$G15*N$3/(1+'G.2进项增值税率-运营成本'!$C14)</f>
        <v/>
      </c>
      <c r="O15" s="171">
        <f>$E15*$G15*O$3/(1+'G.2进项增值税率-运营成本'!$C14)</f>
        <v/>
      </c>
      <c r="P15" s="171">
        <f>$E15*$G15*P$3/(1+'G.2进项增值税率-运营成本'!$C14)</f>
        <v/>
      </c>
      <c r="Q15" s="171">
        <f>$E15*$G15*Q$3/(1+'G.2进项增值税率-运营成本'!$C14)</f>
        <v/>
      </c>
      <c r="R15" s="171">
        <f>$E15*$G15*R$3/(1+'G.2进项增值税率-运营成本'!$C14)</f>
        <v/>
      </c>
      <c r="S15" s="171">
        <f>$E15*$G15*S$3/(1+'G.2进项增值税率-运营成本'!$C14)</f>
        <v/>
      </c>
      <c r="T15" s="171">
        <f>$E15*$G15*T$3/(1+'G.2进项增值税率-运营成本'!$C14)</f>
        <v/>
      </c>
      <c r="U15" s="171">
        <f>$E15*$G15*U$3/(1+'G.2进项增值税率-运营成本'!$C14)</f>
        <v/>
      </c>
      <c r="V15" s="171">
        <f>$E15*$G15*V$3/(1+'G.2进项增值税率-运营成本'!$C14)</f>
        <v/>
      </c>
      <c r="W15" s="171">
        <f>$E15*$G15*W$3/(1+'G.2进项增值税率-运营成本'!$C14)</f>
        <v/>
      </c>
      <c r="X15" s="171">
        <f>$E15*$G15*X$3/(1+'G.2进项增值税率-运营成本'!$C14)</f>
        <v/>
      </c>
      <c r="Y15" s="171">
        <f>$E15*$G15*Y$3/(1+'G.2进项增值税率-运营成本'!$C14)</f>
        <v/>
      </c>
      <c r="Z15" s="171">
        <f>$E15*$G15*Z$3/(1+'G.2进项增值税率-运营成本'!$C14)</f>
        <v/>
      </c>
      <c r="AA15" s="171">
        <f>$E15*$G15*AA$3/(1+'G.2进项增值税率-运营成本'!$C14)</f>
        <v/>
      </c>
      <c r="AB15" s="171">
        <f>$E15*$G15*AB$3/(1+'G.2进项增值税率-运营成本'!$C14)</f>
        <v/>
      </c>
      <c r="AC15" s="171">
        <f>$E15*$G15*AC$3/(1+'G.2进项增值税率-运营成本'!$C14)</f>
        <v/>
      </c>
      <c r="AD15" s="171">
        <f>$E15*$G15*AD$3/(1+'G.2进项增值税率-运营成本'!$C14)</f>
        <v/>
      </c>
      <c r="AE15" s="209">
        <f>(SUM(H15:AD15))</f>
        <v/>
      </c>
    </row>
    <row r="16" ht="33" customHeight="1" s="162">
      <c r="A16" s="92" t="inlineStr">
        <is>
          <t>工资及福利费</t>
        </is>
      </c>
      <c r="B16" s="92" t="n">
        <v>13</v>
      </c>
      <c r="C16" s="92" t="inlineStr">
        <is>
          <t>人员薪酬</t>
        </is>
      </c>
      <c r="D16" s="92" t="inlineStr">
        <is>
          <t>按岗位月薪 ×12 + 福利（月薪 ×20%-30%）</t>
        </is>
      </c>
      <c r="E16" s="92" t="n">
        <v>3</v>
      </c>
      <c r="F16" s="92" t="n">
        <v>2</v>
      </c>
      <c r="G16" s="92" t="n">
        <v>2</v>
      </c>
      <c r="H16" s="185" t="n"/>
      <c r="I16" s="171">
        <f>$E16*$G16*I$3/(1+'G.2进项增值税率-运营成本'!$C15)</f>
        <v/>
      </c>
      <c r="J16" s="171">
        <f>$E16*$G16*J$3/(1+'G.2进项增值税率-运营成本'!$C15)</f>
        <v/>
      </c>
      <c r="K16" s="171">
        <f>$E16*$G16*K$3/(1+'G.2进项增值税率-运营成本'!$C15)</f>
        <v/>
      </c>
      <c r="L16" s="171">
        <f>$E16*$G16*L$3/(1+'G.2进项增值税率-运营成本'!$C15)</f>
        <v/>
      </c>
      <c r="M16" s="171">
        <f>$E16*$G16*M$3/(1+'G.2进项增值税率-运营成本'!$C15)</f>
        <v/>
      </c>
      <c r="N16" s="171">
        <f>$E16*$G16*N$3/(1+'G.2进项增值税率-运营成本'!$C15)</f>
        <v/>
      </c>
      <c r="O16" s="171">
        <f>$E16*$G16*O$3/(1+'G.2进项增值税率-运营成本'!$C15)</f>
        <v/>
      </c>
      <c r="P16" s="171">
        <f>$E16*$G16*P$3/(1+'G.2进项增值税率-运营成本'!$C15)</f>
        <v/>
      </c>
      <c r="Q16" s="171">
        <f>$E16*$G16*Q$3/(1+'G.2进项增值税率-运营成本'!$C15)</f>
        <v/>
      </c>
      <c r="R16" s="171">
        <f>$E16*$G16*R$3/(1+'G.2进项增值税率-运营成本'!$C15)</f>
        <v/>
      </c>
      <c r="S16" s="171">
        <f>$E16*$G16*S$3/(1+'G.2进项增值税率-运营成本'!$C15)</f>
        <v/>
      </c>
      <c r="T16" s="171">
        <f>$E16*$G16*T$3/(1+'G.2进项增值税率-运营成本'!$C15)</f>
        <v/>
      </c>
      <c r="U16" s="171">
        <f>$E16*$G16*U$3/(1+'G.2进项增值税率-运营成本'!$C15)</f>
        <v/>
      </c>
      <c r="V16" s="171">
        <f>$E16*$G16*V$3/(1+'G.2进项增值税率-运营成本'!$C15)</f>
        <v/>
      </c>
      <c r="W16" s="171">
        <f>$E16*$G16*W$3/(1+'G.2进项增值税率-运营成本'!$C15)</f>
        <v/>
      </c>
      <c r="X16" s="171">
        <f>$E16*$G16*X$3/(1+'G.2进项增值税率-运营成本'!$C15)</f>
        <v/>
      </c>
      <c r="Y16" s="171">
        <f>$E16*$G16*Y$3/(1+'G.2进项增值税率-运营成本'!$C15)</f>
        <v/>
      </c>
      <c r="Z16" s="171">
        <f>$E16*$G16*Z$3/(1+'G.2进项增值税率-运营成本'!$C15)</f>
        <v/>
      </c>
      <c r="AA16" s="171">
        <f>$E16*$G16*AA$3/(1+'G.2进项增值税率-运营成本'!$C15)</f>
        <v/>
      </c>
      <c r="AB16" s="171">
        <f>$E16*$G16*AB$3/(1+'G.2进项增值税率-运营成本'!$C15)</f>
        <v/>
      </c>
      <c r="AC16" s="171">
        <f>$E16*$G16*AC$3/(1+'G.2进项增值税率-运营成本'!$C15)</f>
        <v/>
      </c>
      <c r="AD16" s="171">
        <f>$E16*$G16*AD$3/(1+'G.2进项增值税率-运营成本'!$C15)</f>
        <v/>
      </c>
      <c r="AE16" s="209">
        <f>(SUM(H16:AD16))</f>
        <v/>
      </c>
    </row>
    <row r="17" ht="33" customHeight="1" s="162">
      <c r="A17" s="92" t="n">
        <v>0</v>
      </c>
      <c r="B17" s="92" t="n">
        <v>14</v>
      </c>
      <c r="C17" s="92" t="inlineStr">
        <is>
          <t>培训与资质认证</t>
        </is>
      </c>
      <c r="D17" s="92" t="inlineStr">
        <is>
          <t>按人次 × 人均培训费（元 / 人 次）</t>
        </is>
      </c>
      <c r="E17" s="92" t="n">
        <v>3</v>
      </c>
      <c r="F17" s="92" t="n">
        <v>2</v>
      </c>
      <c r="G17" s="92" t="n">
        <v>2</v>
      </c>
      <c r="H17" s="185" t="n"/>
      <c r="I17" s="171">
        <f>$E17*$G17*I$3/(1+'G.2进项增值税率-运营成本'!$C16)</f>
        <v/>
      </c>
      <c r="J17" s="171">
        <f>$E17*$G17*J$3/(1+'G.2进项增值税率-运营成本'!$C16)</f>
        <v/>
      </c>
      <c r="K17" s="171">
        <f>$E17*$G17*K$3/(1+'G.2进项增值税率-运营成本'!$C16)</f>
        <v/>
      </c>
      <c r="L17" s="171">
        <f>$E17*$G17*L$3/(1+'G.2进项增值税率-运营成本'!$C16)</f>
        <v/>
      </c>
      <c r="M17" s="171">
        <f>$E17*$G17*M$3/(1+'G.2进项增值税率-运营成本'!$C16)</f>
        <v/>
      </c>
      <c r="N17" s="171">
        <f>$E17*$G17*N$3/(1+'G.2进项增值税率-运营成本'!$C16)</f>
        <v/>
      </c>
      <c r="O17" s="171">
        <f>$E17*$G17*O$3/(1+'G.2进项增值税率-运营成本'!$C16)</f>
        <v/>
      </c>
      <c r="P17" s="171">
        <f>$E17*$G17*P$3/(1+'G.2进项增值税率-运营成本'!$C16)</f>
        <v/>
      </c>
      <c r="Q17" s="171">
        <f>$E17*$G17*Q$3/(1+'G.2进项增值税率-运营成本'!$C16)</f>
        <v/>
      </c>
      <c r="R17" s="171">
        <f>$E17*$G17*R$3/(1+'G.2进项增值税率-运营成本'!$C16)</f>
        <v/>
      </c>
      <c r="S17" s="171">
        <f>$E17*$G17*S$3/(1+'G.2进项增值税率-运营成本'!$C16)</f>
        <v/>
      </c>
      <c r="T17" s="171">
        <f>$E17*$G17*T$3/(1+'G.2进项增值税率-运营成本'!$C16)</f>
        <v/>
      </c>
      <c r="U17" s="171">
        <f>$E17*$G17*U$3/(1+'G.2进项增值税率-运营成本'!$C16)</f>
        <v/>
      </c>
      <c r="V17" s="171">
        <f>$E17*$G17*V$3/(1+'G.2进项增值税率-运营成本'!$C16)</f>
        <v/>
      </c>
      <c r="W17" s="171">
        <f>$E17*$G17*W$3/(1+'G.2进项增值税率-运营成本'!$C16)</f>
        <v/>
      </c>
      <c r="X17" s="171">
        <f>$E17*$G17*X$3/(1+'G.2进项增值税率-运营成本'!$C16)</f>
        <v/>
      </c>
      <c r="Y17" s="171">
        <f>$E17*$G17*Y$3/(1+'G.2进项增值税率-运营成本'!$C16)</f>
        <v/>
      </c>
      <c r="Z17" s="171">
        <f>$E17*$G17*Z$3/(1+'G.2进项增值税率-运营成本'!$C16)</f>
        <v/>
      </c>
      <c r="AA17" s="171">
        <f>$E17*$G17*AA$3/(1+'G.2进项增值税率-运营成本'!$C16)</f>
        <v/>
      </c>
      <c r="AB17" s="171">
        <f>$E17*$G17*AB$3/(1+'G.2进项增值税率-运营成本'!$C16)</f>
        <v/>
      </c>
      <c r="AC17" s="171">
        <f>$E17*$G17*AC$3/(1+'G.2进项增值税率-运营成本'!$C16)</f>
        <v/>
      </c>
      <c r="AD17" s="171">
        <f>$E17*$G17*AD$3/(1+'G.2进项增值税率-运营成本'!$C16)</f>
        <v/>
      </c>
      <c r="AE17" s="209">
        <f>(SUM(H17:AD17))</f>
        <v/>
      </c>
    </row>
    <row r="18" ht="33" customHeight="1" s="162">
      <c r="A18" s="92" t="n">
        <v>0</v>
      </c>
      <c r="B18" s="92" t="n">
        <v>15</v>
      </c>
      <c r="C18" s="92" t="inlineStr">
        <is>
          <t>办公与行政支出</t>
        </is>
      </c>
      <c r="D18" s="92" t="inlineStr">
        <is>
          <t>按人员数量 × 人均办公费（元 / 人・月）</t>
        </is>
      </c>
      <c r="E18" s="92" t="n">
        <v>4</v>
      </c>
      <c r="F18" s="92" t="n">
        <v>2</v>
      </c>
      <c r="G18" s="92" t="n">
        <v>2</v>
      </c>
      <c r="H18" s="185" t="n"/>
      <c r="I18" s="171">
        <f>$E18*$G18*I$3/(1+'G.2进项增值税率-运营成本'!$C17)</f>
        <v/>
      </c>
      <c r="J18" s="171">
        <f>$E18*$G18*J$3/(1+'G.2进项增值税率-运营成本'!$C17)</f>
        <v/>
      </c>
      <c r="K18" s="171">
        <f>$E18*$G18*K$3/(1+'G.2进项增值税率-运营成本'!$C17)</f>
        <v/>
      </c>
      <c r="L18" s="171">
        <f>$E18*$G18*L$3/(1+'G.2进项增值税率-运营成本'!$C17)</f>
        <v/>
      </c>
      <c r="M18" s="171">
        <f>$E18*$G18*M$3/(1+'G.2进项增值税率-运营成本'!$C17)</f>
        <v/>
      </c>
      <c r="N18" s="171">
        <f>$E18*$G18*N$3/(1+'G.2进项增值税率-运营成本'!$C17)</f>
        <v/>
      </c>
      <c r="O18" s="171">
        <f>$E18*$G18*O$3/(1+'G.2进项增值税率-运营成本'!$C17)</f>
        <v/>
      </c>
      <c r="P18" s="171">
        <f>$E18*$G18*P$3/(1+'G.2进项增值税率-运营成本'!$C17)</f>
        <v/>
      </c>
      <c r="Q18" s="171">
        <f>$E18*$G18*Q$3/(1+'G.2进项增值税率-运营成本'!$C17)</f>
        <v/>
      </c>
      <c r="R18" s="171">
        <f>$E18*$G18*R$3/(1+'G.2进项增值税率-运营成本'!$C17)</f>
        <v/>
      </c>
      <c r="S18" s="171">
        <f>$E18*$G18*S$3/(1+'G.2进项增值税率-运营成本'!$C17)</f>
        <v/>
      </c>
      <c r="T18" s="171">
        <f>$E18*$G18*T$3/(1+'G.2进项增值税率-运营成本'!$C17)</f>
        <v/>
      </c>
      <c r="U18" s="171">
        <f>$E18*$G18*U$3/(1+'G.2进项增值税率-运营成本'!$C17)</f>
        <v/>
      </c>
      <c r="V18" s="171">
        <f>$E18*$G18*V$3/(1+'G.2进项增值税率-运营成本'!$C17)</f>
        <v/>
      </c>
      <c r="W18" s="171">
        <f>$E18*$G18*W$3/(1+'G.2进项增值税率-运营成本'!$C17)</f>
        <v/>
      </c>
      <c r="X18" s="171">
        <f>$E18*$G18*X$3/(1+'G.2进项增值税率-运营成本'!$C17)</f>
        <v/>
      </c>
      <c r="Y18" s="171">
        <f>$E18*$G18*Y$3/(1+'G.2进项增值税率-运营成本'!$C17)</f>
        <v/>
      </c>
      <c r="Z18" s="171">
        <f>$E18*$G18*Z$3/(1+'G.2进项增值税率-运营成本'!$C17)</f>
        <v/>
      </c>
      <c r="AA18" s="171">
        <f>$E18*$G18*AA$3/(1+'G.2进项增值税率-运营成本'!$C17)</f>
        <v/>
      </c>
      <c r="AB18" s="171">
        <f>$E18*$G18*AB$3/(1+'G.2进项增值税率-运营成本'!$C17)</f>
        <v/>
      </c>
      <c r="AC18" s="171">
        <f>$E18*$G18*AC$3/(1+'G.2进项增值税率-运营成本'!$C17)</f>
        <v/>
      </c>
      <c r="AD18" s="171">
        <f>$E18*$G18*AD$3/(1+'G.2进项增值税率-运营成本'!$C17)</f>
        <v/>
      </c>
      <c r="AE18" s="209">
        <f>(SUM(H18:AD18))</f>
        <v/>
      </c>
    </row>
    <row r="19" ht="33" customHeight="1" s="162">
      <c r="A19" s="92" t="inlineStr">
        <is>
          <t>合规性与安全成本</t>
        </is>
      </c>
      <c r="B19" s="92" t="n">
        <v>16</v>
      </c>
      <c r="C19" s="92" t="inlineStr">
        <is>
          <t>空域使用审批费</t>
        </is>
      </c>
      <c r="D19" s="92" t="inlineStr">
        <is>
          <t>按空域面积 × 年费率（元 / 平方 公里・年）</t>
        </is>
      </c>
      <c r="E19" s="92" t="n">
        <v>1</v>
      </c>
      <c r="F19" s="92" t="n">
        <v>2</v>
      </c>
      <c r="G19" s="92" t="n">
        <v>2</v>
      </c>
      <c r="H19" s="185" t="n"/>
      <c r="I19" s="171">
        <f>$E19*$G19*I$3/(1+'G.2进项增值税率-运营成本'!$C18)</f>
        <v/>
      </c>
      <c r="J19" s="171">
        <f>$E19*$G19*J$3/(1+'G.2进项增值税率-运营成本'!$C18)</f>
        <v/>
      </c>
      <c r="K19" s="171">
        <f>$E19*$G19*K$3/(1+'G.2进项增值税率-运营成本'!$C18)</f>
        <v/>
      </c>
      <c r="L19" s="171">
        <f>$E19*$G19*L$3/(1+'G.2进项增值税率-运营成本'!$C18)</f>
        <v/>
      </c>
      <c r="M19" s="171">
        <f>$E19*$G19*M$3/(1+'G.2进项增值税率-运营成本'!$C18)</f>
        <v/>
      </c>
      <c r="N19" s="171">
        <f>$E19*$G19*N$3/(1+'G.2进项增值税率-运营成本'!$C18)</f>
        <v/>
      </c>
      <c r="O19" s="171">
        <f>$E19*$G19*O$3/(1+'G.2进项增值税率-运营成本'!$C18)</f>
        <v/>
      </c>
      <c r="P19" s="171">
        <f>$E19*$G19*P$3/(1+'G.2进项增值税率-运营成本'!$C18)</f>
        <v/>
      </c>
      <c r="Q19" s="171">
        <f>$E19*$G19*Q$3/(1+'G.2进项增值税率-运营成本'!$C18)</f>
        <v/>
      </c>
      <c r="R19" s="171">
        <f>$E19*$G19*R$3/(1+'G.2进项增值税率-运营成本'!$C18)</f>
        <v/>
      </c>
      <c r="S19" s="171">
        <f>$E19*$G19*S$3/(1+'G.2进项增值税率-运营成本'!$C18)</f>
        <v/>
      </c>
      <c r="T19" s="171">
        <f>$E19*$G19*T$3/(1+'G.2进项增值税率-运营成本'!$C18)</f>
        <v/>
      </c>
      <c r="U19" s="171">
        <f>$E19*$G19*U$3/(1+'G.2进项增值税率-运营成本'!$C18)</f>
        <v/>
      </c>
      <c r="V19" s="171">
        <f>$E19*$G19*V$3/(1+'G.2进项增值税率-运营成本'!$C18)</f>
        <v/>
      </c>
      <c r="W19" s="171">
        <f>$E19*$G19*W$3/(1+'G.2进项增值税率-运营成本'!$C18)</f>
        <v/>
      </c>
      <c r="X19" s="171">
        <f>$E19*$G19*X$3/(1+'G.2进项增值税率-运营成本'!$C18)</f>
        <v/>
      </c>
      <c r="Y19" s="171">
        <f>$E19*$G19*Y$3/(1+'G.2进项增值税率-运营成本'!$C18)</f>
        <v/>
      </c>
      <c r="Z19" s="171">
        <f>$E19*$G19*Z$3/(1+'G.2进项增值税率-运营成本'!$C18)</f>
        <v/>
      </c>
      <c r="AA19" s="171">
        <f>$E19*$G19*AA$3/(1+'G.2进项增值税率-运营成本'!$C18)</f>
        <v/>
      </c>
      <c r="AB19" s="171">
        <f>$E19*$G19*AB$3/(1+'G.2进项增值税率-运营成本'!$C18)</f>
        <v/>
      </c>
      <c r="AC19" s="171">
        <f>$E19*$G19*AC$3/(1+'G.2进项增值税率-运营成本'!$C18)</f>
        <v/>
      </c>
      <c r="AD19" s="171">
        <f>$E19*$G19*AD$3/(1+'G.2进项增值税率-运营成本'!$C18)</f>
        <v/>
      </c>
      <c r="AE19" s="209">
        <f>(SUM(H19:AD19))</f>
        <v/>
      </c>
    </row>
    <row r="20" ht="33" customHeight="1" s="162">
      <c r="A20" s="92" t="n">
        <v>0</v>
      </c>
      <c r="B20" s="92" t="n">
        <v>17</v>
      </c>
      <c r="C20" s="92" t="inlineStr">
        <is>
          <t>场地责任险</t>
        </is>
      </c>
      <c r="D20" s="92" t="inlineStr">
        <is>
          <t>按保额 × 保险费率（年费率 0.1%-0.3%）</t>
        </is>
      </c>
      <c r="E20" s="92" t="n">
        <v>4</v>
      </c>
      <c r="F20" s="92" t="n">
        <v>2</v>
      </c>
      <c r="G20" s="92" t="n">
        <v>2</v>
      </c>
      <c r="H20" s="185" t="n"/>
      <c r="I20" s="171">
        <f>$E20*$G20*I$3/(1+'G.2进项增值税率-运营成本'!$C19)</f>
        <v/>
      </c>
      <c r="J20" s="171">
        <f>$E20*$G20*J$3/(1+'G.2进项增值税率-运营成本'!$C19)</f>
        <v/>
      </c>
      <c r="K20" s="171">
        <f>$E20*$G20*K$3/(1+'G.2进项增值税率-运营成本'!$C19)</f>
        <v/>
      </c>
      <c r="L20" s="171">
        <f>$E20*$G20*L$3/(1+'G.2进项增值税率-运营成本'!$C19)</f>
        <v/>
      </c>
      <c r="M20" s="171">
        <f>$E20*$G20*M$3/(1+'G.2进项增值税率-运营成本'!$C19)</f>
        <v/>
      </c>
      <c r="N20" s="171">
        <f>$E20*$G20*N$3/(1+'G.2进项增值税率-运营成本'!$C19)</f>
        <v/>
      </c>
      <c r="O20" s="171">
        <f>$E20*$G20*O$3/(1+'G.2进项增值税率-运营成本'!$C19)</f>
        <v/>
      </c>
      <c r="P20" s="171">
        <f>$E20*$G20*P$3/(1+'G.2进项增值税率-运营成本'!$C19)</f>
        <v/>
      </c>
      <c r="Q20" s="171">
        <f>$E20*$G20*Q$3/(1+'G.2进项增值税率-运营成本'!$C19)</f>
        <v/>
      </c>
      <c r="R20" s="171">
        <f>$E20*$G20*R$3/(1+'G.2进项增值税率-运营成本'!$C19)</f>
        <v/>
      </c>
      <c r="S20" s="171">
        <f>$E20*$G20*S$3/(1+'G.2进项增值税率-运营成本'!$C19)</f>
        <v/>
      </c>
      <c r="T20" s="171">
        <f>$E20*$G20*T$3/(1+'G.2进项增值税率-运营成本'!$C19)</f>
        <v/>
      </c>
      <c r="U20" s="171">
        <f>$E20*$G20*U$3/(1+'G.2进项增值税率-运营成本'!$C19)</f>
        <v/>
      </c>
      <c r="V20" s="171">
        <f>$E20*$G20*V$3/(1+'G.2进项增值税率-运营成本'!$C19)</f>
        <v/>
      </c>
      <c r="W20" s="171">
        <f>$E20*$G20*W$3/(1+'G.2进项增值税率-运营成本'!$C19)</f>
        <v/>
      </c>
      <c r="X20" s="171">
        <f>$E20*$G20*X$3/(1+'G.2进项增值税率-运营成本'!$C19)</f>
        <v/>
      </c>
      <c r="Y20" s="171">
        <f>$E20*$G20*Y$3/(1+'G.2进项增值税率-运营成本'!$C19)</f>
        <v/>
      </c>
      <c r="Z20" s="171">
        <f>$E20*$G20*Z$3/(1+'G.2进项增值税率-运营成本'!$C19)</f>
        <v/>
      </c>
      <c r="AA20" s="171">
        <f>$E20*$G20*AA$3/(1+'G.2进项增值税率-运营成本'!$C19)</f>
        <v/>
      </c>
      <c r="AB20" s="171">
        <f>$E20*$G20*AB$3/(1+'G.2进项增值税率-运营成本'!$C19)</f>
        <v/>
      </c>
      <c r="AC20" s="171">
        <f>$E20*$G20*AC$3/(1+'G.2进项增值税率-运营成本'!$C19)</f>
        <v/>
      </c>
      <c r="AD20" s="171">
        <f>$E20*$G20*AD$3/(1+'G.2进项增值税率-运营成本'!$C19)</f>
        <v/>
      </c>
      <c r="AE20" s="209">
        <f>(SUM(H20:AD20))</f>
        <v/>
      </c>
    </row>
    <row r="21" ht="33" customHeight="1" s="162">
      <c r="A21" s="92" t="n">
        <v>0</v>
      </c>
      <c r="B21" s="92" t="n">
        <v>18</v>
      </c>
      <c r="C21" s="92" t="inlineStr">
        <is>
          <t>安全演练与应急处置</t>
        </is>
      </c>
      <c r="D21" s="92" t="inlineStr">
        <is>
          <t>按次数 × 单次演练成本（元 / 次）</t>
        </is>
      </c>
      <c r="E21" s="92" t="n">
        <v>8</v>
      </c>
      <c r="F21" s="92" t="n">
        <v>2</v>
      </c>
      <c r="G21" s="92" t="n">
        <v>2</v>
      </c>
      <c r="H21" s="185" t="n"/>
      <c r="I21" s="171">
        <f>$E21*$G21*I$3/(1+'G.2进项增值税率-运营成本'!$C20)</f>
        <v/>
      </c>
      <c r="J21" s="171">
        <f>$E21*$G21*J$3/(1+'G.2进项增值税率-运营成本'!$C20)</f>
        <v/>
      </c>
      <c r="K21" s="171">
        <f>$E21*$G21*K$3/(1+'G.2进项增值税率-运营成本'!$C20)</f>
        <v/>
      </c>
      <c r="L21" s="171">
        <f>$E21*$G21*L$3/(1+'G.2进项增值税率-运营成本'!$C20)</f>
        <v/>
      </c>
      <c r="M21" s="171">
        <f>$E21*$G21*M$3/(1+'G.2进项增值税率-运营成本'!$C20)</f>
        <v/>
      </c>
      <c r="N21" s="171">
        <f>$E21*$G21*N$3/(1+'G.2进项增值税率-运营成本'!$C20)</f>
        <v/>
      </c>
      <c r="O21" s="171">
        <f>$E21*$G21*O$3/(1+'G.2进项增值税率-运营成本'!$C20)</f>
        <v/>
      </c>
      <c r="P21" s="171">
        <f>$E21*$G21*P$3/(1+'G.2进项增值税率-运营成本'!$C20)</f>
        <v/>
      </c>
      <c r="Q21" s="171">
        <f>$E21*$G21*Q$3/(1+'G.2进项增值税率-运营成本'!$C20)</f>
        <v/>
      </c>
      <c r="R21" s="171">
        <f>$E21*$G21*R$3/(1+'G.2进项增值税率-运营成本'!$C20)</f>
        <v/>
      </c>
      <c r="S21" s="171">
        <f>$E21*$G21*S$3/(1+'G.2进项增值税率-运营成本'!$C20)</f>
        <v/>
      </c>
      <c r="T21" s="171">
        <f>$E21*$G21*T$3/(1+'G.2进项增值税率-运营成本'!$C20)</f>
        <v/>
      </c>
      <c r="U21" s="171">
        <f>$E21*$G21*U$3/(1+'G.2进项增值税率-运营成本'!$C20)</f>
        <v/>
      </c>
      <c r="V21" s="171">
        <f>$E21*$G21*V$3/(1+'G.2进项增值税率-运营成本'!$C20)</f>
        <v/>
      </c>
      <c r="W21" s="171">
        <f>$E21*$G21*W$3/(1+'G.2进项增值税率-运营成本'!$C20)</f>
        <v/>
      </c>
      <c r="X21" s="171">
        <f>$E21*$G21*X$3/(1+'G.2进项增值税率-运营成本'!$C20)</f>
        <v/>
      </c>
      <c r="Y21" s="171">
        <f>$E21*$G21*Y$3/(1+'G.2进项增值税率-运营成本'!$C20)</f>
        <v/>
      </c>
      <c r="Z21" s="171">
        <f>$E21*$G21*Z$3/(1+'G.2进项增值税率-运营成本'!$C20)</f>
        <v/>
      </c>
      <c r="AA21" s="171">
        <f>$E21*$G21*AA$3/(1+'G.2进项增值税率-运营成本'!$C20)</f>
        <v/>
      </c>
      <c r="AB21" s="171">
        <f>$E21*$G21*AB$3/(1+'G.2进项增值税率-运营成本'!$C20)</f>
        <v/>
      </c>
      <c r="AC21" s="171">
        <f>$E21*$G21*AC$3/(1+'G.2进项增值税率-运营成本'!$C20)</f>
        <v/>
      </c>
      <c r="AD21" s="171">
        <f>$E21*$G21*AD$3/(1+'G.2进项增值税率-运营成本'!$C20)</f>
        <v/>
      </c>
      <c r="AE21" s="209">
        <f>(SUM(H21:AD21))</f>
        <v/>
      </c>
    </row>
    <row r="22" ht="33" customHeight="1" s="162">
      <c r="A22" s="92" t="inlineStr">
        <is>
          <t>其他费用</t>
        </is>
      </c>
      <c r="B22" s="92" t="n">
        <v>19</v>
      </c>
      <c r="C22" s="92" t="inlineStr">
        <is>
          <t>第三方安全评估</t>
        </is>
      </c>
      <c r="D22" s="92" t="inlineStr">
        <is>
          <t>按项目投资额 × 评估费率 （0.1%-0.3%）</t>
        </is>
      </c>
      <c r="E22" s="92" t="n">
        <v>1</v>
      </c>
      <c r="F22" s="92" t="n">
        <v>2</v>
      </c>
      <c r="G22" s="92" t="n">
        <v>2</v>
      </c>
      <c r="H22" s="185" t="n"/>
      <c r="I22" s="171">
        <f>$E22*$G22*I$3/(1+'G.2进项增值税率-运营成本'!$C21)</f>
        <v/>
      </c>
      <c r="J22" s="171">
        <f>$E22*$G22*J$3/(1+'G.2进项增值税率-运营成本'!$C21)</f>
        <v/>
      </c>
      <c r="K22" s="171">
        <f>$E22*$G22*K$3/(1+'G.2进项增值税率-运营成本'!$C21)</f>
        <v/>
      </c>
      <c r="L22" s="171">
        <f>$E22*$G22*L$3/(1+'G.2进项增值税率-运营成本'!$C21)</f>
        <v/>
      </c>
      <c r="M22" s="171">
        <f>$E22*$G22*M$3/(1+'G.2进项增值税率-运营成本'!$C21)</f>
        <v/>
      </c>
      <c r="N22" s="171">
        <f>$E22*$G22*N$3/(1+'G.2进项增值税率-运营成本'!$C21)</f>
        <v/>
      </c>
      <c r="O22" s="171">
        <f>$E22*$G22*O$3/(1+'G.2进项增值税率-运营成本'!$C21)</f>
        <v/>
      </c>
      <c r="P22" s="171">
        <f>$E22*$G22*P$3/(1+'G.2进项增值税率-运营成本'!$C21)</f>
        <v/>
      </c>
      <c r="Q22" s="171">
        <f>$E22*$G22*Q$3/(1+'G.2进项增值税率-运营成本'!$C21)</f>
        <v/>
      </c>
      <c r="R22" s="171">
        <f>$E22*$G22*R$3/(1+'G.2进项增值税率-运营成本'!$C21)</f>
        <v/>
      </c>
      <c r="S22" s="171">
        <f>$E22*$G22*S$3/(1+'G.2进项增值税率-运营成本'!$C21)</f>
        <v/>
      </c>
      <c r="T22" s="171">
        <f>$E22*$G22*T$3/(1+'G.2进项增值税率-运营成本'!$C21)</f>
        <v/>
      </c>
      <c r="U22" s="171">
        <f>$E22*$G22*U$3/(1+'G.2进项增值税率-运营成本'!$C21)</f>
        <v/>
      </c>
      <c r="V22" s="171">
        <f>$E22*$G22*V$3/(1+'G.2进项增值税率-运营成本'!$C21)</f>
        <v/>
      </c>
      <c r="W22" s="171">
        <f>$E22*$G22*W$3/(1+'G.2进项增值税率-运营成本'!$C21)</f>
        <v/>
      </c>
      <c r="X22" s="171">
        <f>$E22*$G22*X$3/(1+'G.2进项增值税率-运营成本'!$C21)</f>
        <v/>
      </c>
      <c r="Y22" s="171">
        <f>$E22*$G22*Y$3/(1+'G.2进项增值税率-运营成本'!$C21)</f>
        <v/>
      </c>
      <c r="Z22" s="171">
        <f>$E22*$G22*Z$3/(1+'G.2进项增值税率-运营成本'!$C21)</f>
        <v/>
      </c>
      <c r="AA22" s="171">
        <f>$E22*$G22*AA$3/(1+'G.2进项增值税率-运营成本'!$C21)</f>
        <v/>
      </c>
      <c r="AB22" s="171">
        <f>$E22*$G22*AB$3/(1+'G.2进项增值税率-运营成本'!$C21)</f>
        <v/>
      </c>
      <c r="AC22" s="171">
        <f>$E22*$G22*AC$3/(1+'G.2进项增值税率-运营成本'!$C21)</f>
        <v/>
      </c>
      <c r="AD22" s="171">
        <f>$E22*$G22*AD$3/(1+'G.2进项增值税率-运营成本'!$C21)</f>
        <v/>
      </c>
      <c r="AE22" s="209">
        <f>(SUM(H22:AD22))</f>
        <v/>
      </c>
    </row>
    <row r="23" ht="33" customHeight="1" s="162">
      <c r="A23" s="92" t="n">
        <v>0</v>
      </c>
      <c r="B23" s="92" t="n">
        <v>20</v>
      </c>
      <c r="C23" s="92" t="inlineStr">
        <is>
          <t>不可预见支出</t>
        </is>
      </c>
      <c r="D23" s="92" t="inlineStr">
        <is>
          <t>按年度总成本 × 计提比例 （5%-10%）</t>
        </is>
      </c>
      <c r="E23" s="92" t="n">
        <v>9</v>
      </c>
      <c r="F23" s="92" t="n">
        <v>2</v>
      </c>
      <c r="G23" s="92" t="n">
        <v>2</v>
      </c>
      <c r="H23" s="185" t="n"/>
      <c r="I23" s="171">
        <f>$E23*$G23*I$3/(1+'G.2进项增值税率-运营成本'!$C22)</f>
        <v/>
      </c>
      <c r="J23" s="171">
        <f>$E23*$G23*J$3/(1+'G.2进项增值税率-运营成本'!$C22)</f>
        <v/>
      </c>
      <c r="K23" s="171">
        <f>$E23*$G23*K$3/(1+'G.2进项增值税率-运营成本'!$C22)</f>
        <v/>
      </c>
      <c r="L23" s="171">
        <f>$E23*$G23*L$3/(1+'G.2进项增值税率-运营成本'!$C22)</f>
        <v/>
      </c>
      <c r="M23" s="171">
        <f>$E23*$G23*M$3/(1+'G.2进项增值税率-运营成本'!$C22)</f>
        <v/>
      </c>
      <c r="N23" s="171">
        <f>$E23*$G23*N$3/(1+'G.2进项增值税率-运营成本'!$C22)</f>
        <v/>
      </c>
      <c r="O23" s="171">
        <f>$E23*$G23*O$3/(1+'G.2进项增值税率-运营成本'!$C22)</f>
        <v/>
      </c>
      <c r="P23" s="171">
        <f>$E23*$G23*P$3/(1+'G.2进项增值税率-运营成本'!$C22)</f>
        <v/>
      </c>
      <c r="Q23" s="171">
        <f>$E23*$G23*Q$3/(1+'G.2进项增值税率-运营成本'!$C22)</f>
        <v/>
      </c>
      <c r="R23" s="171">
        <f>$E23*$G23*R$3/(1+'G.2进项增值税率-运营成本'!$C22)</f>
        <v/>
      </c>
      <c r="S23" s="171">
        <f>$E23*$G23*S$3/(1+'G.2进项增值税率-运营成本'!$C22)</f>
        <v/>
      </c>
      <c r="T23" s="171">
        <f>$E23*$G23*T$3/(1+'G.2进项增值税率-运营成本'!$C22)</f>
        <v/>
      </c>
      <c r="U23" s="171">
        <f>$E23*$G23*U$3/(1+'G.2进项增值税率-运营成本'!$C22)</f>
        <v/>
      </c>
      <c r="V23" s="171">
        <f>$E23*$G23*V$3/(1+'G.2进项增值税率-运营成本'!$C22)</f>
        <v/>
      </c>
      <c r="W23" s="171">
        <f>$E23*$G23*W$3/(1+'G.2进项增值税率-运营成本'!$C22)</f>
        <v/>
      </c>
      <c r="X23" s="171">
        <f>$E23*$G23*X$3/(1+'G.2进项增值税率-运营成本'!$C22)</f>
        <v/>
      </c>
      <c r="Y23" s="171">
        <f>$E23*$G23*Y$3/(1+'G.2进项增值税率-运营成本'!$C22)</f>
        <v/>
      </c>
      <c r="Z23" s="171">
        <f>$E23*$G23*Z$3/(1+'G.2进项增值税率-运营成本'!$C22)</f>
        <v/>
      </c>
      <c r="AA23" s="171">
        <f>$E23*$G23*AA$3/(1+'G.2进项增值税率-运营成本'!$C22)</f>
        <v/>
      </c>
      <c r="AB23" s="171">
        <f>$E23*$G23*AB$3/(1+'G.2进项增值税率-运营成本'!$C22)</f>
        <v/>
      </c>
      <c r="AC23" s="171">
        <f>$E23*$G23*AC$3/(1+'G.2进项增值税率-运营成本'!$C22)</f>
        <v/>
      </c>
      <c r="AD23" s="171">
        <f>$E23*$G23*AD$3/(1+'G.2进项增值税率-运营成本'!$C22)</f>
        <v/>
      </c>
      <c r="AE23" s="209">
        <f>(SUM(H23:AD23))</f>
        <v/>
      </c>
    </row>
    <row r="24">
      <c r="AE24" s="207">
        <f>(SUM(H24:AD24))</f>
        <v/>
      </c>
    </row>
    <row r="25">
      <c r="AE25" s="207" t="n"/>
    </row>
  </sheetData>
  <mergeCells count="1">
    <mergeCell ref="A1:N1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eet11">
    <tabColor rgb="FFFFFF00"/>
    <outlinePr summaryBelow="1" summaryRight="1"/>
    <pageSetUpPr/>
  </sheetPr>
  <dimension ref="A1:AB12"/>
  <sheetViews>
    <sheetView workbookViewId="0">
      <pane xSplit="5" ySplit="3" topLeftCell="F4" activePane="bottomRight" state="frozen"/>
      <selection activeCell="A1" sqref="A1"/>
      <selection pane="topRight" activeCell="A1" sqref="A1"/>
      <selection pane="bottomLeft" activeCell="A1" sqref="A1"/>
      <selection pane="bottomRight" activeCell="F17" sqref="F17"/>
    </sheetView>
  </sheetViews>
  <sheetFormatPr baseColWidth="8" defaultColWidth="8.890909090909091" defaultRowHeight="14"/>
  <cols>
    <col width="12.4454545454545" customWidth="1" style="162" min="1" max="1"/>
    <col width="15.5545454545455" customWidth="1" style="162" min="2" max="2"/>
    <col width="22.2181818181818" customWidth="1" style="162" min="3" max="3"/>
    <col width="14.2181818181818" customWidth="1" style="162" min="4" max="4"/>
    <col width="17.5545454545455" customWidth="1" style="162" min="5" max="5"/>
    <col width="6.44545454545455" customWidth="1" style="162" min="6" max="6"/>
    <col width="8.66363636363636" customWidth="1" style="162" min="7" max="8"/>
    <col width="9.890909090909091" customWidth="1" style="162" min="9" max="11"/>
  </cols>
  <sheetData>
    <row r="1" ht="20" customFormat="1" customHeight="1" s="53">
      <c r="A1" s="40" t="inlineStr">
        <is>
          <t>E.2固定资产折旧费估算表（万元）</t>
        </is>
      </c>
      <c r="B1" s="167" t="n"/>
      <c r="C1" s="167" t="n"/>
      <c r="D1" s="167" t="n"/>
      <c r="E1" s="167" t="n"/>
      <c r="F1" s="167" t="n"/>
      <c r="G1" s="167" t="n"/>
      <c r="H1" s="167" t="n"/>
      <c r="I1" s="167" t="n"/>
      <c r="J1" s="167" t="n"/>
      <c r="K1" s="168" t="n"/>
      <c r="L1" s="45" t="n"/>
      <c r="M1" s="45" t="n"/>
      <c r="N1" s="45" t="n"/>
    </row>
    <row r="2" ht="16.5" customFormat="1" customHeight="1" s="53">
      <c r="A2" s="124" t="inlineStr">
        <is>
          <t>序号</t>
        </is>
      </c>
      <c r="B2" s="124" t="inlineStr">
        <is>
          <t>项目</t>
        </is>
      </c>
      <c r="C2" s="124" t="inlineStr">
        <is>
          <t>原值</t>
        </is>
      </c>
      <c r="D2" s="124" t="inlineStr">
        <is>
          <t>年折旧率</t>
        </is>
      </c>
      <c r="E2" s="124" t="inlineStr">
        <is>
          <t>年折旧额</t>
        </is>
      </c>
      <c r="F2" s="125" t="inlineStr">
        <is>
          <t>净值（原值-年折旧额*n）</t>
        </is>
      </c>
      <c r="G2" s="167" t="n"/>
      <c r="H2" s="167" t="n"/>
      <c r="I2" s="167" t="n"/>
      <c r="J2" s="167" t="n"/>
      <c r="K2" s="167" t="n"/>
      <c r="L2" s="45" t="n"/>
      <c r="M2" s="45" t="n"/>
      <c r="N2" s="45" t="n"/>
    </row>
    <row r="3" ht="66" customFormat="1" customHeight="1" s="53">
      <c r="A3" s="7" t="n"/>
      <c r="B3" s="7" t="n"/>
      <c r="C3" s="81" t="inlineStr">
        <is>
          <t>不含税（固定资产金额）+不含税（工程其他费）+预备费 + c建设期利息及发行费</t>
        </is>
      </c>
      <c r="D3" s="81" t="inlineStr">
        <is>
          <t>1 /B 折旧年限 × 100%
（折旧年限等同于运营期）</t>
        </is>
      </c>
      <c r="E3" s="81" t="inlineStr">
        <is>
          <t>原值 × A~（1-残值残值率）× 年折旧率）</t>
        </is>
      </c>
      <c r="F3" s="25" t="n">
        <v>2025</v>
      </c>
      <c r="G3" s="25" t="n">
        <v>2026</v>
      </c>
      <c r="H3" s="25" t="n">
        <v>2027</v>
      </c>
      <c r="I3" s="25" t="n">
        <v>2028</v>
      </c>
      <c r="J3" s="25" t="n">
        <v>2029</v>
      </c>
      <c r="K3" s="25" t="n">
        <v>2030</v>
      </c>
      <c r="L3" s="203" t="n">
        <v>2031</v>
      </c>
      <c r="M3" s="203" t="n">
        <v>2032</v>
      </c>
      <c r="N3" s="203" t="n">
        <v>2033</v>
      </c>
      <c r="O3" s="203" t="n">
        <v>2034</v>
      </c>
      <c r="P3" s="203" t="n">
        <v>2035</v>
      </c>
      <c r="Q3" s="203" t="n">
        <v>2036</v>
      </c>
      <c r="R3" s="203" t="n">
        <v>2037</v>
      </c>
      <c r="S3" s="203" t="n">
        <v>2038</v>
      </c>
      <c r="T3" s="203" t="n">
        <v>2039</v>
      </c>
      <c r="U3" s="203" t="n">
        <v>2040</v>
      </c>
      <c r="V3" s="203" t="n">
        <v>2041</v>
      </c>
      <c r="W3" s="203" t="n">
        <v>2042</v>
      </c>
      <c r="X3" s="203" t="n">
        <v>2043</v>
      </c>
      <c r="Y3" s="203" t="n">
        <v>2044</v>
      </c>
      <c r="Z3" s="203" t="n">
        <v>2045</v>
      </c>
      <c r="AA3" s="203" t="n">
        <v>2046</v>
      </c>
      <c r="AB3" s="203" t="n">
        <v>2047</v>
      </c>
    </row>
    <row r="4" ht="16.5" customFormat="1" customHeight="1" s="53">
      <c r="A4" s="10" t="inlineStr">
        <is>
          <t>建设期1</t>
        </is>
      </c>
      <c r="B4" s="7" t="inlineStr">
        <is>
          <t>固定资产投资</t>
        </is>
      </c>
      <c r="C4" s="186">
        <f>E.4建设投资税后金额表!H4+E.4建设投资税后金额表!H9+E.4建设投资税后金额表!H13+E.4建设投资税后金额表!H19+c借款还本付息计划表!D38+c借款还本付息计划表!D37</f>
        <v/>
      </c>
      <c r="D4" s="128">
        <f>1/B项目信息!$D$8*100%</f>
        <v/>
      </c>
      <c r="E4" s="185">
        <f>C4*(1-A财务假设!$D$12)*D4</f>
        <v/>
      </c>
      <c r="F4" s="185">
        <f>IF(F3-$F$3&gt;0, $C$4-$E$4*(F3-$F$3), 0)</f>
        <v/>
      </c>
      <c r="G4" s="187">
        <f>IF(G3-$F$3&gt;0, $C$4-$E$4*(G3-$F$3), 0)</f>
        <v/>
      </c>
      <c r="H4" s="187">
        <f>IF(H3-$F$3&gt;0, $C$4-$E$4*(H3-$F$3), 0)</f>
        <v/>
      </c>
      <c r="I4" s="187">
        <f>IF(I3-$F$3&gt;0, $C$4-$E$4*(I3-$F$3), 0)</f>
        <v/>
      </c>
      <c r="J4" s="187">
        <f>IF(J3-$F$3&gt;0, $C$4-$E$4*(J3-$F$3), 0)</f>
        <v/>
      </c>
      <c r="K4" s="187">
        <f>IF(K3-$F$3&gt;0, $C$4-$E$4*(K3-$F$3), 0)</f>
        <v/>
      </c>
      <c r="L4" s="187">
        <f>IF(L3-$F$3&gt;0, $C$4-$E$4*(L3-$F$3), 0)</f>
        <v/>
      </c>
      <c r="M4" s="187">
        <f>IF(M3-$F$3&gt;0, $C$4-$E$4*(M3-$F$3), 0)</f>
        <v/>
      </c>
      <c r="N4" s="187">
        <f>IF(N3-$F$3&gt;0, $C$4-$E$4*(N3-$F$3), 0)</f>
        <v/>
      </c>
      <c r="O4" s="187">
        <f>IF(O3-$F$3&gt;0, $C$4-$E$4*(O3-$F$3), 0)</f>
        <v/>
      </c>
      <c r="P4" s="187">
        <f>IF(P3-$F$3&gt;0, $C$4-$E$4*(P3-$F$3), 0)</f>
        <v/>
      </c>
      <c r="Q4" s="187">
        <f>IF(Q3-$F$3&gt;0, $C$4-$E$4*(Q3-$F$3), 0)</f>
        <v/>
      </c>
      <c r="R4" s="187">
        <f>IF(R3-$F$3&gt;0, $C$4-$E$4*(R3-$F$3), 0)</f>
        <v/>
      </c>
      <c r="S4" s="187">
        <f>IF(S3-$F$3&gt;0, $C$4-$E$4*(S3-$F$3), 0)</f>
        <v/>
      </c>
      <c r="T4" s="187">
        <f>IF(T3-$F$3&gt;0, $C$4-$E$4*(T3-$F$3), 0)</f>
        <v/>
      </c>
      <c r="U4" s="187">
        <f>IF(U3-$F$3&gt;0, $C$4-$E$4*(U3-$F$3), 0)</f>
        <v/>
      </c>
      <c r="V4" s="187">
        <f>IF(V3-$F$3&gt;0, $C$4-$E$4*(V3-$F$3), 0)</f>
        <v/>
      </c>
      <c r="W4" s="187">
        <f>IF(W3-$F$3&gt;0, $C$4-$E$4*(W3-$F$3), 0)</f>
        <v/>
      </c>
      <c r="X4" s="187">
        <f>IF(X3-$F$3&gt;0, $C$4-$E$4*(X3-$F$3), 0)</f>
        <v/>
      </c>
      <c r="Y4" s="187">
        <f>IF(Y3-$F$3&gt;0, $C$4-$E$4*(Y3-$F$3), 0)</f>
        <v/>
      </c>
      <c r="Z4" s="187">
        <f>IF(Z3-$F$3&gt;0, $C$4-$E$4*(Z3-$F$3), 0)</f>
        <v/>
      </c>
      <c r="AA4" s="187">
        <f>IF(AA3-$F$3&gt;0, $C$4-$E$4*(AA3-$F$3), 0)</f>
        <v/>
      </c>
      <c r="AB4" s="187">
        <f>IF(AB3-$F$3&gt;0, $C$4-$E$4*(AB3-$F$3), 0)</f>
        <v/>
      </c>
    </row>
    <row r="5" ht="16.5" customFormat="1" customHeight="1" s="53">
      <c r="A5" s="10" t="inlineStr">
        <is>
          <t>建设期2</t>
        </is>
      </c>
      <c r="B5" s="7" t="inlineStr">
        <is>
          <t>固定资产投资</t>
        </is>
      </c>
      <c r="C5" s="186">
        <f>E.4建设投资税后金额表!I4+E.4建设投资税后金额表!I9+E.4建设投资税后金额表!I13+E.4建设投资税后金额表!I19+c借款还本付息计划表!E38+c借款还本付息计划表!E37</f>
        <v/>
      </c>
      <c r="D5" s="128">
        <f>1/B项目信息!$D$14*100%</f>
        <v/>
      </c>
      <c r="E5" s="185">
        <f>C5*(1-A财务假设!$D$12)*D5</f>
        <v/>
      </c>
      <c r="F5" s="185">
        <f>IF(F3-$G$3&gt;0, $C$5-$E$5*(F3-$G$3), 0)</f>
        <v/>
      </c>
      <c r="G5" s="187">
        <f>IF(G3-$G$3&gt;0, $C$5-$E$5*(G3-$G$3), 0)</f>
        <v/>
      </c>
      <c r="H5" s="187">
        <f>IF(H3-$G$3&gt;0, $C$5-$E$5*(H3-$G$3), 0)</f>
        <v/>
      </c>
      <c r="I5" s="187">
        <f>IF(I3-$G$3&gt;0, $C$5-$E$5*(I3-$G$3), 0)</f>
        <v/>
      </c>
      <c r="J5" s="187">
        <f>IF(J3-$G$3&gt;0, $C$5-$E$5*(J3-$G$3), 0)</f>
        <v/>
      </c>
      <c r="K5" s="187">
        <f>IF(K3-$G$3&gt;0, $C$5-$E$5*(K3-$G$3), 0)</f>
        <v/>
      </c>
      <c r="L5" s="187">
        <f>IF(L3-$G$3&gt;0, $C$5-$E$5*(L3-$G$3), 0)</f>
        <v/>
      </c>
      <c r="M5" s="187">
        <f>IF(M3-$G$3&gt;0, $C$5-$E$5*(M3-$G$3), 0)</f>
        <v/>
      </c>
      <c r="N5" s="187">
        <f>IF(N3-$G$3&gt;0, $C$5-$E$5*(N3-$G$3), 0)</f>
        <v/>
      </c>
      <c r="O5" s="187">
        <f>IF(O3-$G$3&gt;0, $C$5-$E$5*(O3-$G$3), 0)</f>
        <v/>
      </c>
      <c r="P5" s="187">
        <f>IF(P3-$G$3&gt;0, $C$5-$E$5*(P3-$G$3), 0)</f>
        <v/>
      </c>
      <c r="Q5" s="187">
        <f>IF(Q3-$G$3&gt;0, $C$5-$E$5*(Q3-$G$3), 0)</f>
        <v/>
      </c>
      <c r="R5" s="187">
        <f>IF(R3-$G$3&gt;0, $C$5-$E$5*(R3-$G$3), 0)</f>
        <v/>
      </c>
      <c r="S5" s="187">
        <f>IF(S3-$G$3&gt;0, $C$5-$E$5*(S3-$G$3), 0)</f>
        <v/>
      </c>
      <c r="T5" s="187">
        <f>IF(T3-$G$3&gt;0, $C$5-$E$5*(T3-$G$3), 0)</f>
        <v/>
      </c>
      <c r="U5" s="187">
        <f>IF(U3-$G$3&gt;0, $C$5-$E$5*(U3-$G$3), 0)</f>
        <v/>
      </c>
      <c r="V5" s="187">
        <f>IF(V3-$G$3&gt;0, $C$5-$E$5*(V3-$G$3), 0)</f>
        <v/>
      </c>
      <c r="W5" s="187">
        <f>IF(W3-$G$3&gt;0, $C$5-$E$5*(W3-$G$3), 0)</f>
        <v/>
      </c>
      <c r="X5" s="187">
        <f>IF(X3-$G$3&gt;0, $C$5-$E$5*(X3-$G$3), 0)</f>
        <v/>
      </c>
      <c r="Y5" s="187">
        <f>IF(Y3-$G$3&gt;0, $C$5-$E$5*(Y3-$G$3), 0)</f>
        <v/>
      </c>
      <c r="Z5" s="187">
        <f>IF(Z3-$G$3&gt;0, $C$5-$E$5*(Z3-$G$3), 0)</f>
        <v/>
      </c>
      <c r="AA5" s="187">
        <f>IF(AA3-$G$3&gt;0, $C$5-$E$5*(AA3-$G$3), 0)</f>
        <v/>
      </c>
      <c r="AB5" s="187">
        <f>IF(AB3-$G$3&gt;0, $C$5-$E$5*(AB3-$G$3), 0)</f>
        <v/>
      </c>
    </row>
    <row r="6" ht="16.5" customFormat="1" customHeight="1" s="53">
      <c r="A6" s="10" t="inlineStr">
        <is>
          <t>建设期3</t>
        </is>
      </c>
      <c r="B6" s="7" t="inlineStr">
        <is>
          <t>固定资产投资</t>
        </is>
      </c>
      <c r="C6" s="186">
        <f>E.4建设投资税后金额表!J4+E.4建设投资税后金额表!J9+E.4建设投资税后金额表!J13+E.4建设投资税后金额表!J19+c借款还本付息计划表!F38+c借款还本付息计划表!F37</f>
        <v/>
      </c>
      <c r="D6" s="128">
        <f>1/B项目信息!$D$20*100%</f>
        <v/>
      </c>
      <c r="E6" s="185">
        <f>C6*(1-A财务假设!$D$12)*D6</f>
        <v/>
      </c>
      <c r="F6" s="185">
        <f>IF(F3-$H$3&gt;0, $C$6-$E$6*(F3-$H$3), 0)</f>
        <v/>
      </c>
      <c r="G6" s="187">
        <f>IF(G3-$H$3&gt;0, $C$6-$E$6*(G3-$H$3), 0)</f>
        <v/>
      </c>
      <c r="H6" s="187">
        <f>IF(H3-$H$3&gt;0, $C$6-$E$6*(H3-$H$3), 0)</f>
        <v/>
      </c>
      <c r="I6" s="187">
        <f>IF(I3-$H$3&gt;0, $C$6-$E$6*(I3-$H$3), 0)</f>
        <v/>
      </c>
      <c r="J6" s="187">
        <f>IF(J3-$H$3&gt;0, $C$6-$E$6*(J3-$H$3), 0)</f>
        <v/>
      </c>
      <c r="K6" s="187">
        <f>IF(K3-$H$3&gt;0, $C$6-$E$6*(K3-$H$3), 0)</f>
        <v/>
      </c>
      <c r="L6" s="187">
        <f>IF(L3-$H$3&gt;0, $C$6-$E$6*(L3-$H$3), 0)</f>
        <v/>
      </c>
      <c r="M6" s="187">
        <f>IF(M3-$H$3&gt;0, $C$6-$E$6*(M3-$H$3), 0)</f>
        <v/>
      </c>
      <c r="N6" s="187">
        <f>IF(N3-$H$3&gt;0, $C$6-$E$6*(N3-$H$3), 0)</f>
        <v/>
      </c>
      <c r="O6" s="187">
        <f>IF(O3-$H$3&gt;0, $C$6-$E$6*(O3-$H$3), 0)</f>
        <v/>
      </c>
      <c r="P6" s="187">
        <f>IF(P3-$H$3&gt;0, $C$6-$E$6*(P3-$H$3), 0)</f>
        <v/>
      </c>
      <c r="Q6" s="187">
        <f>IF(Q3-$H$3&gt;0, $C$6-$E$6*(Q3-$H$3), 0)</f>
        <v/>
      </c>
      <c r="R6" s="187">
        <f>IF(R3-$H$3&gt;0, $C$6-$E$6*(R3-$H$3), 0)</f>
        <v/>
      </c>
      <c r="S6" s="187">
        <f>IF(S3-$H$3&gt;0, $C$6-$E$6*(S3-$H$3), 0)</f>
        <v/>
      </c>
      <c r="T6" s="187">
        <f>IF(T3-$H$3&gt;0, $C$6-$E$6*(T3-$H$3), 0)</f>
        <v/>
      </c>
      <c r="U6" s="187">
        <f>IF(U3-$H$3&gt;0, $C$6-$E$6*(U3-$H$3), 0)</f>
        <v/>
      </c>
      <c r="V6" s="187">
        <f>IF(V3-$H$3&gt;0, $C$6-$E$6*(V3-$H$3), 0)</f>
        <v/>
      </c>
      <c r="W6" s="187">
        <f>IF(W3-$H$3&gt;0, $C$6-$E$6*(W3-$H$3), 0)</f>
        <v/>
      </c>
      <c r="X6" s="187">
        <f>IF(X3-$H$3&gt;0, $C$6-$E$6*(X3-$H$3), 0)</f>
        <v/>
      </c>
      <c r="Y6" s="187">
        <f>IF(Y3-$H$3&gt;0, $C$6-$E$6*(Y3-$H$3), 0)</f>
        <v/>
      </c>
      <c r="Z6" s="187">
        <f>IF(Z3-$H$3&gt;0, $C$6-$E$6*(Z3-$H$3), 0)</f>
        <v/>
      </c>
      <c r="AA6" s="187">
        <f>IF(AA3-$H$3&gt;0, $C$6-$E$6*(AA3-$H$3), 0)</f>
        <v/>
      </c>
      <c r="AB6" s="187">
        <f>IF(AB3-$H$3&gt;0, $C$6-$E$6*(AB3-$H$3), 0)</f>
        <v/>
      </c>
    </row>
    <row r="7" ht="16.5" customFormat="1" customHeight="1" s="53">
      <c r="A7" s="7" t="inlineStr">
        <is>
          <t>净值合计</t>
        </is>
      </c>
      <c r="B7" s="7" t="inlineStr">
        <is>
          <t>固定资产投资</t>
        </is>
      </c>
      <c r="C7" s="188">
        <f>SUM(C4:C6)</f>
        <v/>
      </c>
      <c r="D7" s="27" t="inlineStr">
        <is>
          <t>/</t>
        </is>
      </c>
      <c r="E7" s="188">
        <f>SUM(E4:E6)</f>
        <v/>
      </c>
      <c r="F7" s="188">
        <f>SUM(F4:F6)</f>
        <v/>
      </c>
      <c r="G7" s="188">
        <f>SUM(G4:G6)</f>
        <v/>
      </c>
      <c r="H7" s="188">
        <f>SUM(H4:H6)</f>
        <v/>
      </c>
      <c r="I7" s="188">
        <f>SUM(I4:I6)</f>
        <v/>
      </c>
      <c r="J7" s="188">
        <f>SUM(J4:J6)</f>
        <v/>
      </c>
      <c r="K7" s="188">
        <f>SUM(K4:K6)</f>
        <v/>
      </c>
      <c r="L7" s="188">
        <f>SUM(L4:L6)</f>
        <v/>
      </c>
      <c r="M7" s="188">
        <f>SUM(M4:M6)</f>
        <v/>
      </c>
      <c r="N7" s="188">
        <f>SUM(N4:N6)</f>
        <v/>
      </c>
      <c r="O7" s="188">
        <f>SUM(O4:O6)</f>
        <v/>
      </c>
      <c r="P7" s="188">
        <f>SUM(P4:P6)</f>
        <v/>
      </c>
      <c r="Q7" s="188">
        <f>SUM(Q4:Q6)</f>
        <v/>
      </c>
      <c r="R7" s="188">
        <f>SUM(R4:R6)</f>
        <v/>
      </c>
      <c r="S7" s="188">
        <f>SUM(S4:S6)</f>
        <v/>
      </c>
      <c r="T7" s="188">
        <f>SUM(T4:T6)</f>
        <v/>
      </c>
      <c r="U7" s="188">
        <f>SUM(U4:U6)</f>
        <v/>
      </c>
      <c r="V7" s="188">
        <f>SUM(V4:V6)</f>
        <v/>
      </c>
      <c r="W7" s="188">
        <f>SUM(W4:W6)</f>
        <v/>
      </c>
      <c r="X7" s="188">
        <f>SUM(X4:X6)</f>
        <v/>
      </c>
      <c r="Y7" s="188">
        <f>SUM(Y4:Y6)</f>
        <v/>
      </c>
      <c r="Z7" s="188">
        <f>SUM(Z4:Z6)</f>
        <v/>
      </c>
      <c r="AA7" s="188">
        <f>SUM(AA4:AA6)</f>
        <v/>
      </c>
      <c r="AB7" s="188">
        <f>SUM(AB4:AB6)</f>
        <v/>
      </c>
    </row>
    <row r="8" ht="16.5" customFormat="1" customHeight="1" s="53">
      <c r="A8" s="7" t="n"/>
      <c r="B8" s="7" t="n"/>
      <c r="C8" s="188" t="n"/>
      <c r="D8" s="27" t="n"/>
      <c r="E8" s="188" t="n"/>
      <c r="F8" s="188" t="n"/>
      <c r="G8" s="188" t="n"/>
      <c r="H8" s="188" t="n"/>
      <c r="I8" s="188" t="n"/>
      <c r="J8" s="188" t="n"/>
      <c r="K8" s="188" t="n"/>
      <c r="L8" s="188" t="n"/>
      <c r="M8" s="188" t="n"/>
      <c r="N8" s="188" t="n"/>
      <c r="O8" s="188" t="n"/>
      <c r="P8" s="188" t="n"/>
      <c r="Q8" s="188" t="n"/>
      <c r="R8" s="188" t="n"/>
      <c r="S8" s="188" t="n"/>
      <c r="T8" s="188" t="n"/>
      <c r="U8" s="188" t="n"/>
      <c r="V8" s="188" t="n"/>
      <c r="W8" s="188" t="n"/>
      <c r="X8" s="188" t="n"/>
      <c r="Y8" s="188" t="n"/>
      <c r="Z8" s="188" t="n"/>
      <c r="AA8" s="188" t="n"/>
      <c r="AB8" s="188" t="n"/>
    </row>
    <row r="9" ht="16.5" customFormat="1" customHeight="1" s="53">
      <c r="A9" s="10" t="inlineStr">
        <is>
          <t>建设期1</t>
        </is>
      </c>
      <c r="B9" s="7" t="inlineStr">
        <is>
          <t>固定资产投资</t>
        </is>
      </c>
      <c r="C9" s="187" t="inlineStr"/>
      <c r="D9" s="130" t="inlineStr"/>
      <c r="E9" s="189">
        <f>SUM(F9:AB9)</f>
        <v/>
      </c>
      <c r="F9" s="189">
        <f>IF(F3-$F$3&gt;0, IF(F4&lt;&gt;"",$E$4, 0),0 )</f>
        <v/>
      </c>
      <c r="G9" s="189">
        <f>IF(G3-$F$3&gt;0, IF(G4&lt;&gt;"",$E$4, 0),0 )</f>
        <v/>
      </c>
      <c r="H9" s="189">
        <f>IF(H3-$F$3&gt;0, IF(H4&lt;&gt;"",$E$4, 0),0 )</f>
        <v/>
      </c>
      <c r="I9" s="189">
        <f>IF(I3-$F$3&gt;0, IF(I4&lt;&gt;"",$E$4, 0),0 )</f>
        <v/>
      </c>
      <c r="J9" s="189">
        <f>IF(J3-$F$3&gt;0, IF(J4&lt;&gt;"",$E$4, 0),0 )</f>
        <v/>
      </c>
      <c r="K9" s="189">
        <f>IF(K3-$F$3&gt;0, IF(K4&lt;&gt;"",$E$4, 0),0 )</f>
        <v/>
      </c>
      <c r="L9" s="189">
        <f>IF(L3-$F$3&gt;0, IF(K4&lt;&gt;"",$E$4, 0),0 )</f>
        <v/>
      </c>
      <c r="M9" s="189">
        <f>IF(M3-$F$3&gt;0, IF(K4&lt;&gt;"",$E$4, 0),0 )</f>
        <v/>
      </c>
      <c r="N9" s="189">
        <f>IF(N3-$F$3&gt;0, IF(K4&lt;&gt;"",$E$4, 0),0 )</f>
        <v/>
      </c>
      <c r="O9" s="189">
        <f>IF(O3-$F$3&gt;0, IF(K4&lt;&gt;"",$E$4, 0),0 )</f>
        <v/>
      </c>
      <c r="P9" s="189">
        <f>IF(P3-$F$3&gt;0, IF(K4&lt;&gt;"",$E$4, 0),0 )</f>
        <v/>
      </c>
      <c r="Q9" s="189">
        <f>IF(Q3-$F$3&gt;0, IF(K4&lt;&gt;"",$E$4, 0),0 )</f>
        <v/>
      </c>
      <c r="R9" s="189">
        <f>IF(R3-$F$3&gt;0, IF(K4&lt;&gt;"",$E$4, 0),0 )</f>
        <v/>
      </c>
      <c r="S9" s="189">
        <f>IF(S3-$F$3&gt;0, IF(K4&lt;&gt;"",$E$4, 0),0 )</f>
        <v/>
      </c>
      <c r="T9" s="189">
        <f>IF(T3-$F$3&gt;0, IF(K4&lt;&gt;"",$E$4, 0),0 )</f>
        <v/>
      </c>
      <c r="U9" s="189">
        <f>IF(U3-$F$3&gt;0, IF(K4&lt;&gt;"",$E$4, 0),0 )</f>
        <v/>
      </c>
      <c r="V9" s="189">
        <f>IF(V3-$F$3&gt;0, IF(K4&lt;&gt;"",$E$4, 0),0 )</f>
        <v/>
      </c>
      <c r="W9" s="189">
        <f>IF(W3-$F$3&gt;0, IF(K4&lt;&gt;"",$E$4, 0),0 )</f>
        <v/>
      </c>
      <c r="X9" s="189">
        <f>IF(X3-$F$3&gt;0, IF(K4&lt;&gt;"",$E$4, 0),0 )</f>
        <v/>
      </c>
      <c r="Y9" s="189">
        <f>IF(Y3-$F$3&gt;0, IF(K4&lt;&gt;"",$E$4, 0),0 )</f>
        <v/>
      </c>
      <c r="Z9" s="189">
        <f>IF(Z3-$F$3&gt;0, IF(K4&lt;&gt;"",$E$4, 0),0 )</f>
        <v/>
      </c>
      <c r="AA9" s="189">
        <f>IF(AA3-$F$3&gt;0, IF(K4&lt;&gt;"",$E$4, 0),0 )</f>
        <v/>
      </c>
      <c r="AB9" s="189">
        <f>IF(AB3-$F$3&gt;0, IF(K4&lt;&gt;"",$E$4, 0),0 )</f>
        <v/>
      </c>
    </row>
    <row r="10" ht="16.5" customFormat="1" customHeight="1" s="53">
      <c r="A10" s="10" t="inlineStr">
        <is>
          <t>建设期2</t>
        </is>
      </c>
      <c r="B10" s="7" t="inlineStr">
        <is>
          <t>固定资产投资</t>
        </is>
      </c>
      <c r="C10" s="187" t="inlineStr"/>
      <c r="D10" s="130" t="inlineStr"/>
      <c r="E10" s="189">
        <f>SUM(F10:AB10)</f>
        <v/>
      </c>
      <c r="F10" s="189">
        <f>IF(F3-$G$3&gt;0, IF(F5&lt;&gt;"",$E$5, 0),0 )</f>
        <v/>
      </c>
      <c r="G10" s="189">
        <f>IF(G3-$G$3&gt;0, IF(G5&lt;&gt;"",$E$5, 0),0 )</f>
        <v/>
      </c>
      <c r="H10" s="189">
        <f>IF(H3-$G$3&gt;0, IF(H5&lt;&gt;"",$E$5, 0),0 )</f>
        <v/>
      </c>
      <c r="I10" s="189">
        <f>IF(I3-$G$3&gt;0, IF(I5&lt;&gt;"",$E$5, 0),0 )</f>
        <v/>
      </c>
      <c r="J10" s="189">
        <f>IF(J3-$G$3&gt;0, IF(J5&lt;&gt;"",$E$5, 0),0 )</f>
        <v/>
      </c>
      <c r="K10" s="189">
        <f>IF(K3-$G$3&gt;0, IF(K5&lt;&gt;"",$E$5, 0),0 )</f>
        <v/>
      </c>
      <c r="L10" s="189">
        <f>IF(L3-$G$3&gt;0, IF(K5&lt;&gt;"",$E$5, 0),0 )</f>
        <v/>
      </c>
      <c r="M10" s="189">
        <f>IF(M3-$G$3&gt;0, IF(K5&lt;&gt;"",$E$5, 0),0 )</f>
        <v/>
      </c>
      <c r="N10" s="189">
        <f>IF(N3-$G$3&gt;0, IF(K5&lt;&gt;"",$E$5, 0),0 )</f>
        <v/>
      </c>
      <c r="O10" s="189">
        <f>IF(O3-$G$3&gt;0, IF(K5&lt;&gt;"",$E$5, 0),0 )</f>
        <v/>
      </c>
      <c r="P10" s="189">
        <f>IF(P3-$G$3&gt;0, IF(K5&lt;&gt;"",$E$5, 0),0 )</f>
        <v/>
      </c>
      <c r="Q10" s="189">
        <f>IF(Q3-$G$3&gt;0, IF(K5&lt;&gt;"",$E$5, 0),0 )</f>
        <v/>
      </c>
      <c r="R10" s="189">
        <f>IF(R3-$G$3&gt;0, IF(K5&lt;&gt;"",$E$5, 0),0 )</f>
        <v/>
      </c>
      <c r="S10" s="189">
        <f>IF(S3-$G$3&gt;0, IF(K5&lt;&gt;"",$E$5, 0),0 )</f>
        <v/>
      </c>
      <c r="T10" s="189">
        <f>IF(T3-$G$3&gt;0, IF(K5&lt;&gt;"",$E$5, 0),0 )</f>
        <v/>
      </c>
      <c r="U10" s="189">
        <f>IF(U3-$G$3&gt;0, IF(K5&lt;&gt;"",$E$5, 0),0 )</f>
        <v/>
      </c>
      <c r="V10" s="189">
        <f>IF(V3-$G$3&gt;0, IF(K5&lt;&gt;"",$E$5, 0),0 )</f>
        <v/>
      </c>
      <c r="W10" s="189">
        <f>IF(W3-$G$3&gt;0, IF(K5&lt;&gt;"",$E$5, 0),0 )</f>
        <v/>
      </c>
      <c r="X10" s="189">
        <f>IF(X3-$G$3&gt;0, IF(K5&lt;&gt;"",$E$5, 0),0 )</f>
        <v/>
      </c>
      <c r="Y10" s="189">
        <f>IF(Y3-$G$3&gt;0, IF(K5&lt;&gt;"",$E$5, 0),0 )</f>
        <v/>
      </c>
      <c r="Z10" s="189">
        <f>IF(Z3-$G$3&gt;0, IF(K5&lt;&gt;"",$E$5, 0),0 )</f>
        <v/>
      </c>
      <c r="AA10" s="189">
        <f>IF(AA3-$G$3&gt;0, IF(K5&lt;&gt;"",$E$5, 0),0 )</f>
        <v/>
      </c>
      <c r="AB10" s="189">
        <f>IF(AB3-$G$3&gt;0, IF(K5&lt;&gt;"",$E$5, 0),0 )</f>
        <v/>
      </c>
    </row>
    <row r="11" ht="16.5" customFormat="1" customHeight="1" s="53">
      <c r="A11" s="10" t="inlineStr">
        <is>
          <t>建设期3</t>
        </is>
      </c>
      <c r="B11" s="7" t="inlineStr">
        <is>
          <t>固定资产投资</t>
        </is>
      </c>
      <c r="C11" s="187" t="inlineStr"/>
      <c r="D11" s="130" t="inlineStr"/>
      <c r="E11" s="189">
        <f>SUM(F11:AB11)</f>
        <v/>
      </c>
      <c r="F11" s="189">
        <f>IF(F3-$H$3&gt;0, IF(F6&lt;&gt;"",$E$6, 0),0 )</f>
        <v/>
      </c>
      <c r="G11" s="189">
        <f>IF(G3-$H$3&gt;0, IF(G6&lt;&gt;"",$E$6, 0),0 )</f>
        <v/>
      </c>
      <c r="H11" s="189">
        <f>IF(H3-$H$3&gt;0, IF(H6&lt;&gt;"",$E$6, 0),0 )</f>
        <v/>
      </c>
      <c r="I11" s="189">
        <f>IF(I3-$H$3&gt;0, IF(I6&lt;&gt;"",$E$6, 0),0 )</f>
        <v/>
      </c>
      <c r="J11" s="189">
        <f>IF(J3-$H$3&gt;0, IF(J6&lt;&gt;"",$E$6, 0),0 )</f>
        <v/>
      </c>
      <c r="K11" s="189">
        <f>IF(K3-$H$3&gt;0, IF(K6&lt;&gt;"",$E$6, 0),0 )</f>
        <v/>
      </c>
      <c r="L11" s="189">
        <f>IF(L3-$H$3&gt;0, IF(K6&lt;&gt;"",$E$6, 0),0 )</f>
        <v/>
      </c>
      <c r="M11" s="189">
        <f>IF(M3-$H$3&gt;0, IF(K6&lt;&gt;"",$E$6, 0),0 )</f>
        <v/>
      </c>
      <c r="N11" s="189">
        <f>IF(N3-$H$3&gt;0, IF(K6&lt;&gt;"",$E$6, 0),0 )</f>
        <v/>
      </c>
      <c r="O11" s="189">
        <f>IF(O3-$H$3&gt;0, IF(K6&lt;&gt;"",$E$6, 0),0 )</f>
        <v/>
      </c>
      <c r="P11" s="189">
        <f>IF(P3-$H$3&gt;0, IF(K6&lt;&gt;"",$E$6, 0),0 )</f>
        <v/>
      </c>
      <c r="Q11" s="189">
        <f>IF(Q3-$H$3&gt;0, IF(K6&lt;&gt;"",$E$6, 0),0 )</f>
        <v/>
      </c>
      <c r="R11" s="189">
        <f>IF(R3-$H$3&gt;0, IF(K6&lt;&gt;"",$E$6, 0),0 )</f>
        <v/>
      </c>
      <c r="S11" s="189">
        <f>IF(S3-$H$3&gt;0, IF(K6&lt;&gt;"",$E$6, 0),0 )</f>
        <v/>
      </c>
      <c r="T11" s="189">
        <f>IF(T3-$H$3&gt;0, IF(K6&lt;&gt;"",$E$6, 0),0 )</f>
        <v/>
      </c>
      <c r="U11" s="189">
        <f>IF(U3-$H$3&gt;0, IF(K6&lt;&gt;"",$E$6, 0),0 )</f>
        <v/>
      </c>
      <c r="V11" s="189">
        <f>IF(V3-$H$3&gt;0, IF(K6&lt;&gt;"",$E$6, 0),0 )</f>
        <v/>
      </c>
      <c r="W11" s="189">
        <f>IF(W3-$H$3&gt;0, IF(K6&lt;&gt;"",$E$6, 0),0 )</f>
        <v/>
      </c>
      <c r="X11" s="189">
        <f>IF(X3-$H$3&gt;0, IF(K6&lt;&gt;"",$E$6, 0),0 )</f>
        <v/>
      </c>
      <c r="Y11" s="189">
        <f>IF(Y3-$H$3&gt;0, IF(K6&lt;&gt;"",$E$6, 0),0 )</f>
        <v/>
      </c>
      <c r="Z11" s="189">
        <f>IF(Z3-$H$3&gt;0, IF(K6&lt;&gt;"",$E$6, 0),0 )</f>
        <v/>
      </c>
      <c r="AA11" s="189">
        <f>IF(AA3-$H$3&gt;0, IF(K6&lt;&gt;"",$E$6, 0),0 )</f>
        <v/>
      </c>
      <c r="AB11" s="189">
        <f>IF(AB3-$H$3&gt;0, IF(K6&lt;&gt;"",$E$6, 0),0 )</f>
        <v/>
      </c>
    </row>
    <row r="12" ht="16.5" customFormat="1" customHeight="1" s="51">
      <c r="A12" s="7" t="inlineStr">
        <is>
          <t>折旧额合计</t>
        </is>
      </c>
      <c r="B12" s="7" t="inlineStr">
        <is>
          <t>固定资产投资</t>
        </is>
      </c>
      <c r="C12" s="64" t="inlineStr"/>
      <c r="D12" s="64" t="inlineStr"/>
      <c r="E12" s="190">
        <f>SUM(E9:E11)</f>
        <v/>
      </c>
      <c r="F12" s="190">
        <f>SUM(F9:F11)</f>
        <v/>
      </c>
      <c r="G12" s="190">
        <f>SUM(G9:G11)</f>
        <v/>
      </c>
      <c r="H12" s="190">
        <f>SUM(H9:H11)</f>
        <v/>
      </c>
      <c r="I12" s="190">
        <f>SUM(I9:I11)</f>
        <v/>
      </c>
      <c r="J12" s="190">
        <f>SUM(J9:J11)</f>
        <v/>
      </c>
      <c r="K12" s="190">
        <f>SUM(K9:K11)</f>
        <v/>
      </c>
      <c r="L12" s="190">
        <f>SUM(L9:L11)</f>
        <v/>
      </c>
      <c r="M12" s="190">
        <f>SUM(M9:M11)</f>
        <v/>
      </c>
      <c r="N12" s="190">
        <f>SUM(N9:N11)</f>
        <v/>
      </c>
      <c r="O12" s="190">
        <f>SUM(O9:O11)</f>
        <v/>
      </c>
      <c r="P12" s="190">
        <f>SUM(P9:P11)</f>
        <v/>
      </c>
      <c r="Q12" s="190">
        <f>SUM(Q9:Q11)</f>
        <v/>
      </c>
      <c r="R12" s="190">
        <f>SUM(R9:R11)</f>
        <v/>
      </c>
      <c r="S12" s="190">
        <f>SUM(S9:S11)</f>
        <v/>
      </c>
      <c r="T12" s="190">
        <f>SUM(T9:T11)</f>
        <v/>
      </c>
      <c r="U12" s="190">
        <f>SUM(U9:U11)</f>
        <v/>
      </c>
      <c r="V12" s="190">
        <f>SUM(V9:V11)</f>
        <v/>
      </c>
      <c r="W12" s="190">
        <f>SUM(W9:W11)</f>
        <v/>
      </c>
      <c r="X12" s="190">
        <f>SUM(X9:X11)</f>
        <v/>
      </c>
      <c r="Y12" s="190">
        <f>SUM(Y9:Y11)</f>
        <v/>
      </c>
      <c r="Z12" s="190">
        <f>SUM(Z9:Z11)</f>
        <v/>
      </c>
      <c r="AA12" s="190">
        <f>SUM(AA9:AA11)</f>
        <v/>
      </c>
      <c r="AB12" s="190">
        <f>SUM(AB9:AB11)</f>
        <v/>
      </c>
    </row>
  </sheetData>
  <mergeCells count="2">
    <mergeCell ref="F2:K2"/>
    <mergeCell ref="A1:K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Sheet12">
    <tabColor rgb="FFFFFF00"/>
    <outlinePr summaryBelow="1" summaryRight="1"/>
    <pageSetUpPr/>
  </sheetPr>
  <dimension ref="A1:AB50"/>
  <sheetViews>
    <sheetView zoomScale="60" zoomScaleNormal="60" workbookViewId="0">
      <pane xSplit="5" ySplit="3" topLeftCell="F4" activePane="bottomRight" state="frozen"/>
      <selection activeCell="A1" sqref="A1"/>
      <selection pane="topRight" activeCell="A1" sqref="A1"/>
      <selection pane="bottomLeft" activeCell="A1" sqref="A1"/>
      <selection pane="bottomRight" activeCell="L23" sqref="L23"/>
    </sheetView>
  </sheetViews>
  <sheetFormatPr baseColWidth="8" defaultColWidth="30.7818181818182" defaultRowHeight="16.5"/>
  <cols>
    <col width="9.21818181818182" customWidth="1" style="53" min="1" max="1"/>
    <col width="21.6636363636364" customWidth="1" style="53" min="2" max="2"/>
    <col width="34.8909090909091" customWidth="1" style="53" min="3" max="3"/>
    <col width="28.7818181818182" customWidth="1" style="53" min="4" max="4"/>
    <col width="16.4454545454545" customWidth="1" style="53" min="5" max="5"/>
    <col width="6.55454545454545" customWidth="1" style="53" min="6" max="6"/>
    <col width="6.55454545454545" customWidth="1" style="191" min="7" max="7"/>
    <col width="7.66363636363636" customWidth="1" style="191" min="8" max="11"/>
    <col width="142.445454545455" customWidth="1" style="53" min="12" max="12"/>
    <col width="30.7818181818182" customWidth="1" style="53" min="13" max="16384"/>
  </cols>
  <sheetData>
    <row r="1" ht="22.5" customHeight="1" s="162">
      <c r="A1" s="109" t="inlineStr">
        <is>
          <t>E.3无形资产和其他资产摊销费估算表</t>
        </is>
      </c>
      <c r="L1" s="45" t="n"/>
    </row>
    <row r="2">
      <c r="A2" s="2" t="inlineStr">
        <is>
          <t>序号</t>
        </is>
      </c>
      <c r="B2" s="2" t="inlineStr">
        <is>
          <t>项目</t>
        </is>
      </c>
      <c r="C2" s="2" t="inlineStr">
        <is>
          <t>原值</t>
        </is>
      </c>
      <c r="D2" s="2" t="inlineStr">
        <is>
          <t>年折旧率</t>
        </is>
      </c>
      <c r="E2" s="2" t="inlineStr">
        <is>
          <t>年折旧额</t>
        </is>
      </c>
      <c r="F2" s="111" t="inlineStr">
        <is>
          <t>净值</t>
        </is>
      </c>
      <c r="G2" s="167" t="n"/>
      <c r="H2" s="167" t="n"/>
      <c r="I2" s="167" t="n"/>
      <c r="J2" s="167" t="n"/>
      <c r="K2" s="167" t="n"/>
      <c r="L2" s="45" t="n"/>
    </row>
    <row r="3" ht="49.5" customHeight="1" s="162">
      <c r="A3" s="7" t="n"/>
      <c r="B3" s="7" t="n"/>
      <c r="C3" s="92" t="inlineStr">
        <is>
          <t>不含税(软件类)+不含税(安全类软件)+不含税 (数据类)+专利费+土地使用权费+商标权、著作权费</t>
        </is>
      </c>
      <c r="D3" s="113" t="inlineStr">
        <is>
          <t>1 /B 折旧年限 × 100%
（折旧年限等同于运营期）</t>
        </is>
      </c>
      <c r="E3" s="92" t="inlineStr">
        <is>
          <t>原值×年折旧率</t>
        </is>
      </c>
      <c r="F3" s="25" t="n">
        <v>2025</v>
      </c>
      <c r="G3" s="25" t="n">
        <v>2026</v>
      </c>
      <c r="H3" s="25" t="n">
        <v>2027</v>
      </c>
      <c r="I3" s="25" t="n">
        <v>2028</v>
      </c>
      <c r="J3" s="25" t="n">
        <v>2029</v>
      </c>
      <c r="K3" s="25" t="n">
        <v>2030</v>
      </c>
      <c r="L3" s="203" t="n">
        <v>2031</v>
      </c>
      <c r="M3" s="203" t="n">
        <v>2032</v>
      </c>
      <c r="N3" s="203" t="n">
        <v>2033</v>
      </c>
      <c r="O3" s="203" t="n">
        <v>2034</v>
      </c>
      <c r="P3" s="203" t="n">
        <v>2035</v>
      </c>
      <c r="Q3" s="203" t="n">
        <v>2036</v>
      </c>
      <c r="R3" s="203" t="n">
        <v>2037</v>
      </c>
      <c r="S3" s="203" t="n">
        <v>2038</v>
      </c>
      <c r="T3" s="203" t="n">
        <v>2039</v>
      </c>
      <c r="U3" s="203" t="n">
        <v>2040</v>
      </c>
      <c r="V3" s="203" t="n">
        <v>2041</v>
      </c>
      <c r="W3" s="203" t="n">
        <v>2042</v>
      </c>
      <c r="X3" s="203" t="n">
        <v>2043</v>
      </c>
      <c r="Y3" s="203" t="n">
        <v>2044</v>
      </c>
      <c r="Z3" s="203" t="n">
        <v>2045</v>
      </c>
      <c r="AA3" s="203" t="n">
        <v>2046</v>
      </c>
      <c r="AB3" s="203" t="n">
        <v>2047</v>
      </c>
    </row>
    <row r="4">
      <c r="A4" s="10" t="inlineStr">
        <is>
          <t>建设期1</t>
        </is>
      </c>
      <c r="B4" s="114" t="inlineStr">
        <is>
          <t>合计1</t>
        </is>
      </c>
      <c r="C4" s="185">
        <f>C5+C9</f>
        <v/>
      </c>
      <c r="D4" s="113" t="inlineStr">
        <is>
          <t>/</t>
        </is>
      </c>
      <c r="E4" s="188">
        <f>E5+E9</f>
        <v/>
      </c>
      <c r="F4" s="188">
        <f>F5+F9</f>
        <v/>
      </c>
      <c r="G4" s="188">
        <f>G5+G9</f>
        <v/>
      </c>
      <c r="H4" s="188">
        <f>H5+H9</f>
        <v/>
      </c>
      <c r="I4" s="188">
        <f>I5+I9</f>
        <v/>
      </c>
      <c r="J4" s="188">
        <f>J5+J9</f>
        <v/>
      </c>
      <c r="K4" s="188">
        <f>K5+K9</f>
        <v/>
      </c>
      <c r="L4" s="188">
        <f>L5+L9</f>
        <v/>
      </c>
      <c r="M4" s="188">
        <f>M5+M9</f>
        <v/>
      </c>
      <c r="N4" s="188">
        <f>N5+N9</f>
        <v/>
      </c>
      <c r="O4" s="188">
        <f>O5+O9</f>
        <v/>
      </c>
      <c r="P4" s="188">
        <f>P5+P9</f>
        <v/>
      </c>
      <c r="Q4" s="188">
        <f>Q5+Q9</f>
        <v/>
      </c>
      <c r="R4" s="188">
        <f>R5+R9</f>
        <v/>
      </c>
      <c r="S4" s="188">
        <f>S5+S9</f>
        <v/>
      </c>
      <c r="T4" s="188">
        <f>T5+T9</f>
        <v/>
      </c>
      <c r="U4" s="188">
        <f>U5+U9</f>
        <v/>
      </c>
      <c r="V4" s="188">
        <f>V5+V9</f>
        <v/>
      </c>
      <c r="W4" s="188">
        <f>W5+W9</f>
        <v/>
      </c>
      <c r="X4" s="188">
        <f>X5+X9</f>
        <v/>
      </c>
      <c r="Y4" s="188">
        <f>Y5+Y9</f>
        <v/>
      </c>
      <c r="Z4" s="188">
        <f>Z5+Z9</f>
        <v/>
      </c>
      <c r="AA4" s="188">
        <f>AA5+AA9</f>
        <v/>
      </c>
      <c r="AB4" s="188">
        <f>AB5+AB9</f>
        <v/>
      </c>
    </row>
    <row r="5">
      <c r="A5" s="7" t="inlineStr">
        <is>
          <t>1.1</t>
        </is>
      </c>
      <c r="B5" s="7" t="inlineStr">
        <is>
          <t>无形资产</t>
        </is>
      </c>
      <c r="C5" s="177">
        <f>SUM(C6:C8)</f>
        <v/>
      </c>
      <c r="D5" s="116" t="inlineStr">
        <is>
          <t>/</t>
        </is>
      </c>
      <c r="E5" s="177">
        <f>SUM(E6:E8)</f>
        <v/>
      </c>
      <c r="F5" s="177">
        <f>SUM(F6:F8)</f>
        <v/>
      </c>
      <c r="G5" s="177">
        <f>SUM(G6:G8)</f>
        <v/>
      </c>
      <c r="H5" s="177">
        <f>SUM(H6:H8)</f>
        <v/>
      </c>
      <c r="I5" s="177">
        <f>SUM(I6:I8)</f>
        <v/>
      </c>
      <c r="J5" s="177">
        <f>SUM(J6:J8)</f>
        <v/>
      </c>
      <c r="K5" s="177">
        <f>SUM(K6:K8)</f>
        <v/>
      </c>
      <c r="L5" s="177">
        <f>SUM(L6:L8)</f>
        <v/>
      </c>
      <c r="M5" s="177">
        <f>SUM(M6:M8)</f>
        <v/>
      </c>
      <c r="N5" s="177">
        <f>SUM(N6:N8)</f>
        <v/>
      </c>
      <c r="O5" s="177">
        <f>SUM(O6:O8)</f>
        <v/>
      </c>
      <c r="P5" s="177">
        <f>SUM(P6:P8)</f>
        <v/>
      </c>
      <c r="Q5" s="177">
        <f>SUM(Q6:Q8)</f>
        <v/>
      </c>
      <c r="R5" s="177">
        <f>SUM(R6:R8)</f>
        <v/>
      </c>
      <c r="S5" s="177">
        <f>SUM(S6:S8)</f>
        <v/>
      </c>
      <c r="T5" s="177">
        <f>SUM(T6:T8)</f>
        <v/>
      </c>
      <c r="U5" s="177">
        <f>SUM(U6:U8)</f>
        <v/>
      </c>
      <c r="V5" s="177">
        <f>SUM(V6:V8)</f>
        <v/>
      </c>
      <c r="W5" s="177">
        <f>SUM(W6:W8)</f>
        <v/>
      </c>
      <c r="X5" s="177">
        <f>SUM(X6:X8)</f>
        <v/>
      </c>
      <c r="Y5" s="177">
        <f>SUM(Y6:Y8)</f>
        <v/>
      </c>
      <c r="Z5" s="177">
        <f>SUM(Z6:Z8)</f>
        <v/>
      </c>
      <c r="AA5" s="177">
        <f>SUM(AA6:AA8)</f>
        <v/>
      </c>
      <c r="AB5" s="177">
        <f>SUM(AB6:AB8)</f>
        <v/>
      </c>
    </row>
    <row r="6">
      <c r="A6" s="7" t="inlineStr">
        <is>
          <t>1.1.1</t>
        </is>
      </c>
      <c r="B6" s="7" t="inlineStr">
        <is>
          <t>土地使用权</t>
        </is>
      </c>
      <c r="C6" s="169" t="n">
        <v>0</v>
      </c>
      <c r="D6" s="95">
        <f>1/B项目信息!$D$8*100%</f>
        <v/>
      </c>
      <c r="E6" s="177">
        <f>C6*D6</f>
        <v/>
      </c>
      <c r="F6" s="177">
        <f>IF(F3-$F$3&gt;0, $C$6-$E$6*(F3-$F$3), 0)</f>
        <v/>
      </c>
      <c r="G6" s="169">
        <f>IF(G3-$F$3&gt;0, $C$6-$E$6*(G3-$F$3), 0)</f>
        <v/>
      </c>
      <c r="H6" s="169">
        <f>IF(H3-$F$3&gt;0, $C$6-$E$6*(H3-$F$3), 0)</f>
        <v/>
      </c>
      <c r="I6" s="169">
        <f>IF(I3-$F$3&gt;0, $C$6-$E$6*(I3-$F$3), 0)</f>
        <v/>
      </c>
      <c r="J6" s="169">
        <f>IF(J3-$F$3&gt;0, $C$6-$E$6*(J3-$F$3), 0)</f>
        <v/>
      </c>
      <c r="K6" s="169">
        <f>IF(K3-$F$3&gt;0, $C$6-$E$6*(K3-$F$3), 0)</f>
        <v/>
      </c>
      <c r="L6" s="169">
        <f>IF(L3-$F$3&gt;0, $C$6-$E$6*(L3-$F$3), 0)</f>
        <v/>
      </c>
      <c r="M6" s="169">
        <f>IF(M3-$F$3&gt;0, $C$6-$E$6*(M3-$F$3), 0)</f>
        <v/>
      </c>
      <c r="N6" s="169">
        <f>IF(N3-$F$3&gt;0, $C$6-$E$6*(N3-$F$3), 0)</f>
        <v/>
      </c>
      <c r="O6" s="169">
        <f>IF(O3-$F$3&gt;0, $C$6-$E$6*(O3-$F$3), 0)</f>
        <v/>
      </c>
      <c r="P6" s="169">
        <f>IF(P3-$F$3&gt;0, $C$6-$E$6*(P3-$F$3), 0)</f>
        <v/>
      </c>
      <c r="Q6" s="169">
        <f>IF(Q3-$F$3&gt;0, $C$6-$E$6*(Q3-$F$3), 0)</f>
        <v/>
      </c>
      <c r="R6" s="169">
        <f>IF(R3-$F$3&gt;0, $C$6-$E$6*(R3-$F$3), 0)</f>
        <v/>
      </c>
      <c r="S6" s="169">
        <f>IF(S3-$F$3&gt;0, $C$6-$E$6*(S3-$F$3), 0)</f>
        <v/>
      </c>
      <c r="T6" s="169">
        <f>IF(T3-$F$3&gt;0, $C$6-$E$6*(T3-$F$3), 0)</f>
        <v/>
      </c>
      <c r="U6" s="169">
        <f>IF(U3-$F$3&gt;0, $C$6-$E$6*(U3-$F$3), 0)</f>
        <v/>
      </c>
      <c r="V6" s="169">
        <f>IF(V3-$F$3&gt;0, $C$6-$E$6*(V3-$F$3), 0)</f>
        <v/>
      </c>
      <c r="W6" s="169">
        <f>IF(W3-$F$3&gt;0, $C$6-$E$6*(W3-$F$3), 0)</f>
        <v/>
      </c>
      <c r="X6" s="169">
        <f>IF(X3-$F$3&gt;0, $C$6-$E$6*(X3-$F$3), 0)</f>
        <v/>
      </c>
      <c r="Y6" s="169">
        <f>IF(Y3-$F$3&gt;0, $C$6-$E$6*(Y3-$F$3), 0)</f>
        <v/>
      </c>
      <c r="Z6" s="169">
        <f>IF(Z3-$F$3&gt;0, $C$6-$E$6*(Z3-$F$3), 0)</f>
        <v/>
      </c>
      <c r="AA6" s="169">
        <f>IF(AA3-$F$3&gt;0, $C$6-$E$6*(AA3-$F$3), 0)</f>
        <v/>
      </c>
      <c r="AB6" s="169">
        <f>IF(AB3-$F$3&gt;0, $C$6-$E$6*(AB3-$F$3), 0)</f>
        <v/>
      </c>
    </row>
    <row r="7">
      <c r="A7" s="7" t="inlineStr">
        <is>
          <t>1.1.2</t>
        </is>
      </c>
      <c r="B7" s="7" t="inlineStr">
        <is>
          <t>专利技术</t>
        </is>
      </c>
      <c r="C7" s="169" t="n">
        <v>0</v>
      </c>
      <c r="D7" s="95">
        <f>1/B项目信息!$D$8*100%</f>
        <v/>
      </c>
      <c r="E7" s="177">
        <f>C7*D7</f>
        <v/>
      </c>
      <c r="F7" s="177">
        <f>IF(F3-$F$3&gt;0, $C$7-$E$7*(F3-$F$3), 0)</f>
        <v/>
      </c>
      <c r="G7" s="169">
        <f>IF(G3-$F$3&gt;0, $C$7-$E$7*(G3-$F$3), 0)</f>
        <v/>
      </c>
      <c r="H7" s="169">
        <f>IF(H3-$F$3&gt;0, $C$7-$E$7*(H3-$F$3), 0)</f>
        <v/>
      </c>
      <c r="I7" s="169">
        <f>IF(I3-$F$3&gt;0, $C$7-$E$7*(I3-$F$3), 0)</f>
        <v/>
      </c>
      <c r="J7" s="169">
        <f>IF(J3-$F$3&gt;0, $C$7-$E$7*(J3-$F$3), 0)</f>
        <v/>
      </c>
      <c r="K7" s="169">
        <f>IF(K3-$F$3&gt;0, $C$7-$E$7*(K3-$F$3), 0)</f>
        <v/>
      </c>
      <c r="L7" s="169">
        <f>IF(L3-$F$3&gt;0, $C$7-$E$7*(L3-$F$3), 0)</f>
        <v/>
      </c>
      <c r="M7" s="169">
        <f>IF(M3-$F$3&gt;0, $C$7-$E$7*(M3-$F$3), 0)</f>
        <v/>
      </c>
      <c r="N7" s="169">
        <f>IF(N3-$F$3&gt;0, $C$7-$E$7*(N3-$F$3), 0)</f>
        <v/>
      </c>
      <c r="O7" s="169">
        <f>IF(O3-$F$3&gt;0, $C$7-$E$7*(O3-$F$3), 0)</f>
        <v/>
      </c>
      <c r="P7" s="169">
        <f>IF(P3-$F$3&gt;0, $C$7-$E$7*(P3-$F$3), 0)</f>
        <v/>
      </c>
      <c r="Q7" s="169">
        <f>IF(Q3-$F$3&gt;0, $C$7-$E$7*(Q3-$F$3), 0)</f>
        <v/>
      </c>
      <c r="R7" s="169">
        <f>IF(R3-$F$3&gt;0, $C$7-$E$7*(R3-$F$3), 0)</f>
        <v/>
      </c>
      <c r="S7" s="169">
        <f>IF(S3-$F$3&gt;0, $C$7-$E$7*(S3-$F$3), 0)</f>
        <v/>
      </c>
      <c r="T7" s="169">
        <f>IF(T3-$F$3&gt;0, $C$7-$E$7*(T3-$F$3), 0)</f>
        <v/>
      </c>
      <c r="U7" s="169">
        <f>IF(U3-$F$3&gt;0, $C$7-$E$7*(U3-$F$3), 0)</f>
        <v/>
      </c>
      <c r="V7" s="169">
        <f>IF(V3-$F$3&gt;0, $C$7-$E$7*(V3-$F$3), 0)</f>
        <v/>
      </c>
      <c r="W7" s="169">
        <f>IF(W3-$F$3&gt;0, $C$7-$E$7*(W3-$F$3), 0)</f>
        <v/>
      </c>
      <c r="X7" s="169">
        <f>IF(X3-$F$3&gt;0, $C$7-$E$7*(X3-$F$3), 0)</f>
        <v/>
      </c>
      <c r="Y7" s="169">
        <f>IF(Y3-$F$3&gt;0, $C$7-$E$7*(Y3-$F$3), 0)</f>
        <v/>
      </c>
      <c r="Z7" s="169">
        <f>IF(Z3-$F$3&gt;0, $C$7-$E$7*(Z3-$F$3), 0)</f>
        <v/>
      </c>
      <c r="AA7" s="169">
        <f>IF(AA3-$F$3&gt;0, $C$7-$E$7*(AA3-$F$3), 0)</f>
        <v/>
      </c>
      <c r="AB7" s="169">
        <f>IF(AB3-$F$3&gt;0, $C$7-$E$7*(AB3-$F$3), 0)</f>
        <v/>
      </c>
    </row>
    <row r="8">
      <c r="A8" s="7" t="inlineStr">
        <is>
          <t>1.1.3</t>
        </is>
      </c>
      <c r="B8" s="92" t="inlineStr">
        <is>
          <t>软件及其他无形资产</t>
        </is>
      </c>
      <c r="C8" s="192">
        <f>E.4建设投资税后金额表!H10+E.4建设投资税后金额表!H11+E.4建设投资税后金额表!H12</f>
        <v/>
      </c>
      <c r="D8" s="118">
        <f>1/B项目信息!$D$8*100%</f>
        <v/>
      </c>
      <c r="E8" s="177">
        <f>C8*D8</f>
        <v/>
      </c>
      <c r="F8" s="177">
        <f>IF(F3-$F$3&gt;0, $C$8-$E$8*(F3-$F$3), 0)</f>
        <v/>
      </c>
      <c r="G8" s="180">
        <f>IF(G3-$F$3&gt;0, $C$8-$E$8*(G3-$F$3), 0)</f>
        <v/>
      </c>
      <c r="H8" s="180">
        <f>IF(H3-$F$3&gt;0, $C$8-$E$8*(H3-$F$3), 0)</f>
        <v/>
      </c>
      <c r="I8" s="180">
        <f>IF(I3-$F$3&gt;0, $C$8-$E$8*(I3-$F$3), 0)</f>
        <v/>
      </c>
      <c r="J8" s="180">
        <f>IF(J3-$F$3&gt;0, $C$8-$E$8*(J3-$F$3), 0)</f>
        <v/>
      </c>
      <c r="K8" s="180">
        <f>IF(K3-$F$3&gt;0, $C$8-$E$8*(K3-$F$3), 0)</f>
        <v/>
      </c>
      <c r="L8" s="180">
        <f>IF(L3-$F$3&gt;0, $C$8-$E$8*(L3-$F$3), 0)</f>
        <v/>
      </c>
      <c r="M8" s="180">
        <f>IF(M3-$F$3&gt;0, $C$8-$E$8*(M3-$F$3), 0)</f>
        <v/>
      </c>
      <c r="N8" s="180">
        <f>IF(N3-$F$3&gt;0, $C$8-$E$8*(N3-$F$3), 0)</f>
        <v/>
      </c>
      <c r="O8" s="180">
        <f>IF(O3-$F$3&gt;0, $C$8-$E$8*(O3-$F$3), 0)</f>
        <v/>
      </c>
      <c r="P8" s="180">
        <f>IF(P3-$F$3&gt;0, $C$8-$E$8*(P3-$F$3), 0)</f>
        <v/>
      </c>
      <c r="Q8" s="180">
        <f>IF(Q3-$F$3&gt;0, $C$8-$E$8*(Q3-$F$3), 0)</f>
        <v/>
      </c>
      <c r="R8" s="180">
        <f>IF(R3-$F$3&gt;0, $C$8-$E$8*(R3-$F$3), 0)</f>
        <v/>
      </c>
      <c r="S8" s="180">
        <f>IF(S3-$F$3&gt;0, $C$8-$E$8*(S3-$F$3), 0)</f>
        <v/>
      </c>
      <c r="T8" s="180">
        <f>IF(T3-$F$3&gt;0, $C$8-$E$8*(T3-$F$3), 0)</f>
        <v/>
      </c>
      <c r="U8" s="180">
        <f>IF(U3-$F$3&gt;0, $C$8-$E$8*(U3-$F$3), 0)</f>
        <v/>
      </c>
      <c r="V8" s="180">
        <f>IF(V3-$F$3&gt;0, $C$8-$E$8*(V3-$F$3), 0)</f>
        <v/>
      </c>
      <c r="W8" s="180">
        <f>IF(W3-$F$3&gt;0, $C$8-$E$8*(W3-$F$3), 0)</f>
        <v/>
      </c>
      <c r="X8" s="180">
        <f>IF(X3-$F$3&gt;0, $C$8-$E$8*(X3-$F$3), 0)</f>
        <v/>
      </c>
      <c r="Y8" s="180">
        <f>IF(Y3-$F$3&gt;0, $C$8-$E$8*(Y3-$F$3), 0)</f>
        <v/>
      </c>
      <c r="Z8" s="180">
        <f>IF(Z3-$F$3&gt;0, $C$8-$E$8*(Z3-$F$3), 0)</f>
        <v/>
      </c>
      <c r="AA8" s="180">
        <f>IF(AA3-$F$3&gt;0, $C$8-$E$8*(AA3-$F$3), 0)</f>
        <v/>
      </c>
      <c r="AB8" s="180">
        <f>IF(AB3-$F$3&gt;0, $C$8-$E$8*(AB3-$F$3), 0)</f>
        <v/>
      </c>
    </row>
    <row r="9">
      <c r="A9" s="7" t="inlineStr">
        <is>
          <t>1.2</t>
        </is>
      </c>
      <c r="B9" s="7" t="inlineStr">
        <is>
          <t>其他资产</t>
        </is>
      </c>
      <c r="C9" s="177">
        <f>C10</f>
        <v/>
      </c>
      <c r="D9" s="119" t="inlineStr">
        <is>
          <t>/</t>
        </is>
      </c>
      <c r="E9" s="177">
        <f>E10</f>
        <v/>
      </c>
      <c r="F9" s="177">
        <f>F10</f>
        <v/>
      </c>
      <c r="G9" s="177">
        <f>G10</f>
        <v/>
      </c>
      <c r="H9" s="177">
        <f>H10</f>
        <v/>
      </c>
      <c r="I9" s="177">
        <f>I10</f>
        <v/>
      </c>
      <c r="J9" s="177">
        <f>J10</f>
        <v/>
      </c>
      <c r="K9" s="177">
        <f>K10</f>
        <v/>
      </c>
      <c r="L9" s="177">
        <f>L10</f>
        <v/>
      </c>
      <c r="M9" s="177">
        <f>M10</f>
        <v/>
      </c>
      <c r="N9" s="177">
        <f>N10</f>
        <v/>
      </c>
      <c r="O9" s="177">
        <f>O10</f>
        <v/>
      </c>
      <c r="P9" s="177">
        <f>P10</f>
        <v/>
      </c>
      <c r="Q9" s="177">
        <f>Q10</f>
        <v/>
      </c>
      <c r="R9" s="177">
        <f>R10</f>
        <v/>
      </c>
      <c r="S9" s="177">
        <f>S10</f>
        <v/>
      </c>
      <c r="T9" s="177">
        <f>T10</f>
        <v/>
      </c>
      <c r="U9" s="177">
        <f>U10</f>
        <v/>
      </c>
      <c r="V9" s="177">
        <f>V10</f>
        <v/>
      </c>
      <c r="W9" s="177">
        <f>W10</f>
        <v/>
      </c>
      <c r="X9" s="177">
        <f>X10</f>
        <v/>
      </c>
      <c r="Y9" s="177">
        <f>Y10</f>
        <v/>
      </c>
      <c r="Z9" s="177">
        <f>Z10</f>
        <v/>
      </c>
      <c r="AA9" s="177">
        <f>AA10</f>
        <v/>
      </c>
      <c r="AB9" s="177">
        <f>AB10</f>
        <v/>
      </c>
    </row>
    <row r="10">
      <c r="A10" s="7" t="inlineStr">
        <is>
          <t>1.2.1</t>
        </is>
      </c>
      <c r="B10" s="7" t="inlineStr">
        <is>
          <t>项目开办费</t>
        </is>
      </c>
      <c r="C10" s="169" t="n">
        <v>0</v>
      </c>
      <c r="D10" s="95">
        <f>1/B项目信息!$D$8*100%</f>
        <v/>
      </c>
      <c r="E10" s="177">
        <f>C10*D10</f>
        <v/>
      </c>
      <c r="F10" s="177">
        <f>IF(F3-$F$3&gt;0, $C$10-$E$10*(F3-$F$3), 0)</f>
        <v/>
      </c>
      <c r="G10" s="169">
        <f>IF(G3-$F$3&gt;0, $C$10-$E$10*(G3-$F$3), 0)</f>
        <v/>
      </c>
      <c r="H10" s="169">
        <f>IF(H3-$F$3&gt;0, $C$10-$E$10*(H3-$F$3), 0)</f>
        <v/>
      </c>
      <c r="I10" s="169">
        <f>IF(I3-$F$3&gt;0, $C$10-$E$10*(I3-$F$3), 0)</f>
        <v/>
      </c>
      <c r="J10" s="169">
        <f>IF(J3-$F$3&gt;0, $C$10-$E$10*(J3-$F$3), 0)</f>
        <v/>
      </c>
      <c r="K10" s="169">
        <f>IF(K3-$F$3&gt;0, $C$10-$E$10*(K3-$F$3), 0)</f>
        <v/>
      </c>
      <c r="L10" s="169">
        <f>IF(L3-$F$3&gt;0, $C$10-$E$10*(L3-$F$3), 0)</f>
        <v/>
      </c>
      <c r="M10" s="169">
        <f>IF(M3-$F$3&gt;0, $C$10-$E$10*(M3-$F$3), 0)</f>
        <v/>
      </c>
      <c r="N10" s="169">
        <f>IF(N3-$F$3&gt;0, $C$10-$E$10*(N3-$F$3), 0)</f>
        <v/>
      </c>
      <c r="O10" s="169">
        <f>IF(O3-$F$3&gt;0, $C$10-$E$10*(O3-$F$3), 0)</f>
        <v/>
      </c>
      <c r="P10" s="169">
        <f>IF(P3-$F$3&gt;0, $C$10-$E$10*(P3-$F$3), 0)</f>
        <v/>
      </c>
      <c r="Q10" s="169">
        <f>IF(Q3-$F$3&gt;0, $C$10-$E$10*(Q3-$F$3), 0)</f>
        <v/>
      </c>
      <c r="R10" s="169">
        <f>IF(R3-$F$3&gt;0, $C$10-$E$10*(R3-$F$3), 0)</f>
        <v/>
      </c>
      <c r="S10" s="169">
        <f>IF(S3-$F$3&gt;0, $C$10-$E$10*(S3-$F$3), 0)</f>
        <v/>
      </c>
      <c r="T10" s="169">
        <f>IF(T3-$F$3&gt;0, $C$10-$E$10*(T3-$F$3), 0)</f>
        <v/>
      </c>
      <c r="U10" s="169">
        <f>IF(U3-$F$3&gt;0, $C$10-$E$10*(U3-$F$3), 0)</f>
        <v/>
      </c>
      <c r="V10" s="169">
        <f>IF(V3-$F$3&gt;0, $C$10-$E$10*(V3-$F$3), 0)</f>
        <v/>
      </c>
      <c r="W10" s="169">
        <f>IF(W3-$F$3&gt;0, $C$10-$E$10*(W3-$F$3), 0)</f>
        <v/>
      </c>
      <c r="X10" s="169">
        <f>IF(X3-$F$3&gt;0, $C$10-$E$10*(X3-$F$3), 0)</f>
        <v/>
      </c>
      <c r="Y10" s="169">
        <f>IF(Y3-$F$3&gt;0, $C$10-$E$10*(Y3-$F$3), 0)</f>
        <v/>
      </c>
      <c r="Z10" s="169">
        <f>IF(Z3-$F$3&gt;0, $C$10-$E$10*(Z3-$F$3), 0)</f>
        <v/>
      </c>
      <c r="AA10" s="169">
        <f>IF(AA3-$F$3&gt;0, $C$10-$E$10*(AA3-$F$3), 0)</f>
        <v/>
      </c>
      <c r="AB10" s="169">
        <f>IF(AB3-$F$3&gt;0, $C$10-$E$10*(AB3-$F$3), 0)</f>
        <v/>
      </c>
    </row>
    <row r="11">
      <c r="A11" s="10" t="inlineStr">
        <is>
          <t>建设期2</t>
        </is>
      </c>
      <c r="B11" s="114" t="inlineStr">
        <is>
          <t>合计2</t>
        </is>
      </c>
      <c r="C11" s="177">
        <f>C12+C16</f>
        <v/>
      </c>
      <c r="D11" s="43" t="inlineStr">
        <is>
          <t>/</t>
        </is>
      </c>
      <c r="E11" s="177">
        <f>E12+E16</f>
        <v/>
      </c>
      <c r="F11" s="177">
        <f>F12+F16</f>
        <v/>
      </c>
      <c r="G11" s="177">
        <f>G12+G16</f>
        <v/>
      </c>
      <c r="H11" s="177">
        <f>H12+H16</f>
        <v/>
      </c>
      <c r="I11" s="177">
        <f>I12+I16</f>
        <v/>
      </c>
      <c r="J11" s="177">
        <f>J12+J16</f>
        <v/>
      </c>
      <c r="K11" s="177">
        <f>K12+K16</f>
        <v/>
      </c>
      <c r="L11" s="177">
        <f>L12+L16</f>
        <v/>
      </c>
      <c r="M11" s="177">
        <f>M12+M16</f>
        <v/>
      </c>
      <c r="N11" s="177">
        <f>N12+N16</f>
        <v/>
      </c>
      <c r="O11" s="177">
        <f>O12+O16</f>
        <v/>
      </c>
      <c r="P11" s="177">
        <f>P12+P16</f>
        <v/>
      </c>
      <c r="Q11" s="177">
        <f>Q12+Q16</f>
        <v/>
      </c>
      <c r="R11" s="177">
        <f>R12+R16</f>
        <v/>
      </c>
      <c r="S11" s="177">
        <f>S12+S16</f>
        <v/>
      </c>
      <c r="T11" s="177">
        <f>T12+T16</f>
        <v/>
      </c>
      <c r="U11" s="177">
        <f>U12+U16</f>
        <v/>
      </c>
      <c r="V11" s="177">
        <f>V12+V16</f>
        <v/>
      </c>
      <c r="W11" s="177">
        <f>W12+W16</f>
        <v/>
      </c>
      <c r="X11" s="177">
        <f>X12+X16</f>
        <v/>
      </c>
      <c r="Y11" s="177">
        <f>Y12+Y16</f>
        <v/>
      </c>
      <c r="Z11" s="177">
        <f>Z12+Z16</f>
        <v/>
      </c>
      <c r="AA11" s="177">
        <f>AA12+AA16</f>
        <v/>
      </c>
      <c r="AB11" s="177">
        <f>AB12+AB16</f>
        <v/>
      </c>
    </row>
    <row r="12">
      <c r="A12" s="7" t="inlineStr">
        <is>
          <t>2.1</t>
        </is>
      </c>
      <c r="B12" s="7" t="inlineStr">
        <is>
          <t>无形资产</t>
        </is>
      </c>
      <c r="C12" s="177">
        <f>SUM(C13:C15)</f>
        <v/>
      </c>
      <c r="D12" s="43" t="inlineStr">
        <is>
          <t>/</t>
        </is>
      </c>
      <c r="E12" s="177">
        <f>SUM(E13:E15)</f>
        <v/>
      </c>
      <c r="F12" s="177">
        <f>SUM(F13:F15)</f>
        <v/>
      </c>
      <c r="G12" s="177">
        <f>SUM(G13:G15)</f>
        <v/>
      </c>
      <c r="H12" s="169">
        <f>SUM(H13:H15)</f>
        <v/>
      </c>
      <c r="I12" s="169">
        <f>SUM(I13:I15)</f>
        <v/>
      </c>
      <c r="J12" s="169">
        <f>SUM(J13:J15)</f>
        <v/>
      </c>
      <c r="K12" s="169">
        <f>SUM(K13:K15)</f>
        <v/>
      </c>
      <c r="L12" s="169">
        <f>SUM(L13:L15)</f>
        <v/>
      </c>
      <c r="M12" s="169">
        <f>SUM(M13:M15)</f>
        <v/>
      </c>
      <c r="N12" s="169">
        <f>SUM(N13:N15)</f>
        <v/>
      </c>
      <c r="O12" s="169">
        <f>SUM(O13:O15)</f>
        <v/>
      </c>
      <c r="P12" s="169">
        <f>SUM(P13:P15)</f>
        <v/>
      </c>
      <c r="Q12" s="169">
        <f>SUM(Q13:Q15)</f>
        <v/>
      </c>
      <c r="R12" s="169">
        <f>SUM(R13:R15)</f>
        <v/>
      </c>
      <c r="S12" s="169">
        <f>SUM(S13:S15)</f>
        <v/>
      </c>
      <c r="T12" s="169">
        <f>SUM(T13:T15)</f>
        <v/>
      </c>
      <c r="U12" s="169">
        <f>SUM(U13:U15)</f>
        <v/>
      </c>
      <c r="V12" s="169">
        <f>SUM(V13:V15)</f>
        <v/>
      </c>
      <c r="W12" s="169">
        <f>SUM(W13:W15)</f>
        <v/>
      </c>
      <c r="X12" s="169">
        <f>SUM(X13:X15)</f>
        <v/>
      </c>
      <c r="Y12" s="169">
        <f>SUM(Y13:Y15)</f>
        <v/>
      </c>
      <c r="Z12" s="169">
        <f>SUM(Z13:Z15)</f>
        <v/>
      </c>
      <c r="AA12" s="169">
        <f>SUM(AA13:AA15)</f>
        <v/>
      </c>
      <c r="AB12" s="169">
        <f>SUM(AB13:AB15)</f>
        <v/>
      </c>
    </row>
    <row r="13">
      <c r="A13" s="7" t="inlineStr">
        <is>
          <t>2.1.1</t>
        </is>
      </c>
      <c r="B13" s="7" t="inlineStr">
        <is>
          <t>土地使用权</t>
        </is>
      </c>
      <c r="C13" s="169" t="n">
        <v>0</v>
      </c>
      <c r="D13" s="95">
        <f>1/B项目信息!$D$14*100%</f>
        <v/>
      </c>
      <c r="E13" s="177">
        <f>C13*D13</f>
        <v/>
      </c>
      <c r="F13" s="177">
        <f>IF(F3-$G$3&gt;0, $C$13-$E$13*(F3-$G$3), 0)</f>
        <v/>
      </c>
      <c r="G13" s="177">
        <f>IF(G3-$G$3&gt;0, $C$13-$E$13*(G3-$G$3), 0)</f>
        <v/>
      </c>
      <c r="H13" s="169">
        <f>IF(H3-$G$3&gt;0, $C$13-$E$13*(H3-$G$3), 0)</f>
        <v/>
      </c>
      <c r="I13" s="169">
        <f>IF(I3-$G$3&gt;0, $C$13-$E$13*(I3-$G$3), 0)</f>
        <v/>
      </c>
      <c r="J13" s="169">
        <f>IF(J3-$G$3&gt;0, $C$13-$E$13*(J3-$G$3), 0)</f>
        <v/>
      </c>
      <c r="K13" s="169">
        <f>IF(K3-$G$3&gt;0, $C$13-$E$13*(K3-$G$3), 0)</f>
        <v/>
      </c>
      <c r="L13" s="169">
        <f>IF(L3-$G$3&gt;0, $C$13-$E$13*(L3-$G$3), 0)</f>
        <v/>
      </c>
      <c r="M13" s="169">
        <f>IF(M3-$G$3&gt;0, $C$13-$E$13*(M3-$G$3), 0)</f>
        <v/>
      </c>
      <c r="N13" s="169">
        <f>IF(N3-$G$3&gt;0, $C$13-$E$13*(N3-$G$3), 0)</f>
        <v/>
      </c>
      <c r="O13" s="169">
        <f>IF(O3-$G$3&gt;0, $C$13-$E$13*(O3-$G$3), 0)</f>
        <v/>
      </c>
      <c r="P13" s="169">
        <f>IF(P3-$G$3&gt;0, $C$13-$E$13*(P3-$G$3), 0)</f>
        <v/>
      </c>
      <c r="Q13" s="169">
        <f>IF(Q3-$G$3&gt;0, $C$13-$E$13*(Q3-$G$3), 0)</f>
        <v/>
      </c>
      <c r="R13" s="169">
        <f>IF(R3-$G$3&gt;0, $C$13-$E$13*(R3-$G$3), 0)</f>
        <v/>
      </c>
      <c r="S13" s="169">
        <f>IF(S3-$G$3&gt;0, $C$13-$E$13*(S3-$G$3), 0)</f>
        <v/>
      </c>
      <c r="T13" s="169">
        <f>IF(T3-$G$3&gt;0, $C$13-$E$13*(T3-$G$3), 0)</f>
        <v/>
      </c>
      <c r="U13" s="169">
        <f>IF(U3-$G$3&gt;0, $C$13-$E$13*(U3-$G$3), 0)</f>
        <v/>
      </c>
      <c r="V13" s="169">
        <f>IF(V3-$G$3&gt;0, $C$13-$E$13*(V3-$G$3), 0)</f>
        <v/>
      </c>
      <c r="W13" s="169">
        <f>IF(W3-$G$3&gt;0, $C$13-$E$13*(W3-$G$3), 0)</f>
        <v/>
      </c>
      <c r="X13" s="169">
        <f>IF(X3-$G$3&gt;0, $C$13-$E$13*(X3-$G$3), 0)</f>
        <v/>
      </c>
      <c r="Y13" s="169">
        <f>IF(Y3-$G$3&gt;0, $C$13-$E$13*(Y3-$G$3), 0)</f>
        <v/>
      </c>
      <c r="Z13" s="169">
        <f>IF(Z3-$G$3&gt;0, $C$13-$E$13*(Z3-$G$3), 0)</f>
        <v/>
      </c>
      <c r="AA13" s="169">
        <f>IF(AA3-$G$3&gt;0, $C$13-$E$13*(AA3-$G$3), 0)</f>
        <v/>
      </c>
      <c r="AB13" s="169">
        <f>IF(AB3-$G$3&gt;0, $C$13-$E$13*(AB3-$G$3), 0)</f>
        <v/>
      </c>
    </row>
    <row r="14">
      <c r="A14" s="7" t="inlineStr">
        <is>
          <t>2.1.2</t>
        </is>
      </c>
      <c r="B14" s="7" t="inlineStr">
        <is>
          <t>专利技术</t>
        </is>
      </c>
      <c r="C14" s="169" t="n">
        <v>0</v>
      </c>
      <c r="D14" s="95">
        <f>1/B项目信息!$D$14*100%</f>
        <v/>
      </c>
      <c r="E14" s="177">
        <f>C14*D14</f>
        <v/>
      </c>
      <c r="F14" s="177">
        <f>IF(F3-$G$3&gt;0, $C$14-$E$14*(F3-$G$3), 0)</f>
        <v/>
      </c>
      <c r="G14" s="177">
        <f>IF(G3-$G$3&gt;0, $C$14-$E$14*(G3-$G$3), 0)</f>
        <v/>
      </c>
      <c r="H14" s="169">
        <f>IF(H3-$G$3&gt;0, $C$14-$E$14*(H3-$G$3), 0)</f>
        <v/>
      </c>
      <c r="I14" s="169">
        <f>IF(I3-$G$3&gt;0, $C$14-$E$14*(I3-$G$3), 0)</f>
        <v/>
      </c>
      <c r="J14" s="169">
        <f>IF(J3-$G$3&gt;0, $C$14-$E$14*(J3-$G$3), 0)</f>
        <v/>
      </c>
      <c r="K14" s="169">
        <f>IF(K3-$G$3&gt;0, $C$14-$E$14*(K3-$G$3), 0)</f>
        <v/>
      </c>
      <c r="L14" s="169">
        <f>IF(L3-$G$3&gt;0, $C$14-$E$14*(L3-$G$3), 0)</f>
        <v/>
      </c>
      <c r="M14" s="169">
        <f>IF(M3-$G$3&gt;0, $C$14-$E$14*(M3-$G$3), 0)</f>
        <v/>
      </c>
      <c r="N14" s="169">
        <f>IF(N3-$G$3&gt;0, $C$14-$E$14*(N3-$G$3), 0)</f>
        <v/>
      </c>
      <c r="O14" s="169">
        <f>IF(O3-$G$3&gt;0, $C$14-$E$14*(O3-$G$3), 0)</f>
        <v/>
      </c>
      <c r="P14" s="169">
        <f>IF(P3-$G$3&gt;0, $C$14-$E$14*(P3-$G$3), 0)</f>
        <v/>
      </c>
      <c r="Q14" s="169">
        <f>IF(Q3-$G$3&gt;0, $C$14-$E$14*(Q3-$G$3), 0)</f>
        <v/>
      </c>
      <c r="R14" s="169">
        <f>IF(R3-$G$3&gt;0, $C$14-$E$14*(R3-$G$3), 0)</f>
        <v/>
      </c>
      <c r="S14" s="169">
        <f>IF(S3-$G$3&gt;0, $C$14-$E$14*(S3-$G$3), 0)</f>
        <v/>
      </c>
      <c r="T14" s="169">
        <f>IF(T3-$G$3&gt;0, $C$14-$E$14*(T3-$G$3), 0)</f>
        <v/>
      </c>
      <c r="U14" s="169">
        <f>IF(U3-$G$3&gt;0, $C$14-$E$14*(U3-$G$3), 0)</f>
        <v/>
      </c>
      <c r="V14" s="169">
        <f>IF(V3-$G$3&gt;0, $C$14-$E$14*(V3-$G$3), 0)</f>
        <v/>
      </c>
      <c r="W14" s="169">
        <f>IF(W3-$G$3&gt;0, $C$14-$E$14*(W3-$G$3), 0)</f>
        <v/>
      </c>
      <c r="X14" s="169">
        <f>IF(X3-$G$3&gt;0, $C$14-$E$14*(X3-$G$3), 0)</f>
        <v/>
      </c>
      <c r="Y14" s="169">
        <f>IF(Y3-$G$3&gt;0, $C$14-$E$14*(Y3-$G$3), 0)</f>
        <v/>
      </c>
      <c r="Z14" s="169">
        <f>IF(Z3-$G$3&gt;0, $C$14-$E$14*(Z3-$G$3), 0)</f>
        <v/>
      </c>
      <c r="AA14" s="169">
        <f>IF(AA3-$G$3&gt;0, $C$14-$E$14*(AA3-$G$3), 0)</f>
        <v/>
      </c>
      <c r="AB14" s="169">
        <f>IF(AB3-$G$3&gt;0, $C$14-$E$14*(AB3-$G$3), 0)</f>
        <v/>
      </c>
    </row>
    <row r="15">
      <c r="A15" s="7" t="inlineStr">
        <is>
          <t>2.1.3</t>
        </is>
      </c>
      <c r="B15" s="92" t="inlineStr">
        <is>
          <t>软件及其他无形资产</t>
        </is>
      </c>
      <c r="C15" s="180">
        <f>E.4建设投资税后金额表!I10+E.4建设投资税后金额表!I11+E.4建设投资税后金额表!I12</f>
        <v/>
      </c>
      <c r="D15" s="118">
        <f>1/B项目信息!$D$14*100%</f>
        <v/>
      </c>
      <c r="E15" s="177">
        <f>C15*D15</f>
        <v/>
      </c>
      <c r="F15" s="177">
        <f>IF(F3-$G$3&gt;0, $C$15-$E$15*(F3-$G$3), 0)</f>
        <v/>
      </c>
      <c r="G15" s="177">
        <f>IF(G3-$G$3&gt;0, $C$15-$E$15*(G3-$G$3), 0)</f>
        <v/>
      </c>
      <c r="H15" s="180">
        <f>IF(H3-$G$3&gt;0, $C$15-$E$15*(H3-$G$3), 0)</f>
        <v/>
      </c>
      <c r="I15" s="180">
        <f>IF(I3-$G$3&gt;0, $C$15-$E$15*(I3-$G$3), 0)</f>
        <v/>
      </c>
      <c r="J15" s="180">
        <f>IF(J3-$G$3&gt;0, $C$15-$E$15*(J3-$G$3), 0)</f>
        <v/>
      </c>
      <c r="K15" s="180">
        <f>IF(K3-$G$3&gt;0, $C$15-$E$15*(K3-$G$3), 0)</f>
        <v/>
      </c>
      <c r="L15" s="180">
        <f>IF(L3-$G$3&gt;0, $C$15-$E$15*(L3-$G$3), 0)</f>
        <v/>
      </c>
      <c r="M15" s="180">
        <f>IF(M3-$G$3&gt;0, $C$15-$E$15*(M3-$G$3), 0)</f>
        <v/>
      </c>
      <c r="N15" s="180">
        <f>IF(N3-$G$3&gt;0, $C$15-$E$15*(N3-$G$3), 0)</f>
        <v/>
      </c>
      <c r="O15" s="180">
        <f>IF(O3-$G$3&gt;0, $C$15-$E$15*(O3-$G$3), 0)</f>
        <v/>
      </c>
      <c r="P15" s="180">
        <f>IF(P3-$G$3&gt;0, $C$15-$E$15*(P3-$G$3), 0)</f>
        <v/>
      </c>
      <c r="Q15" s="180">
        <f>IF(Q3-$G$3&gt;0, $C$15-$E$15*(Q3-$G$3), 0)</f>
        <v/>
      </c>
      <c r="R15" s="180">
        <f>IF(R3-$G$3&gt;0, $C$15-$E$15*(R3-$G$3), 0)</f>
        <v/>
      </c>
      <c r="S15" s="180">
        <f>IF(S3-$G$3&gt;0, $C$15-$E$15*(S3-$G$3), 0)</f>
        <v/>
      </c>
      <c r="T15" s="180">
        <f>IF(T3-$G$3&gt;0, $C$15-$E$15*(T3-$G$3), 0)</f>
        <v/>
      </c>
      <c r="U15" s="180">
        <f>IF(U3-$G$3&gt;0, $C$15-$E$15*(U3-$G$3), 0)</f>
        <v/>
      </c>
      <c r="V15" s="180">
        <f>IF(V3-$G$3&gt;0, $C$15-$E$15*(V3-$G$3), 0)</f>
        <v/>
      </c>
      <c r="W15" s="180">
        <f>IF(W3-$G$3&gt;0, $C$15-$E$15*(W3-$G$3), 0)</f>
        <v/>
      </c>
      <c r="X15" s="180">
        <f>IF(X3-$G$3&gt;0, $C$15-$E$15*(X3-$G$3), 0)</f>
        <v/>
      </c>
      <c r="Y15" s="180">
        <f>IF(Y3-$G$3&gt;0, $C$15-$E$15*(Y3-$G$3), 0)</f>
        <v/>
      </c>
      <c r="Z15" s="180">
        <f>IF(Z3-$G$3&gt;0, $C$15-$E$15*(Z3-$G$3), 0)</f>
        <v/>
      </c>
      <c r="AA15" s="180">
        <f>IF(AA3-$G$3&gt;0, $C$15-$E$15*(AA3-$G$3), 0)</f>
        <v/>
      </c>
      <c r="AB15" s="180">
        <f>IF(AB3-$G$3&gt;0, $C$15-$E$15*(AB3-$G$3), 0)</f>
        <v/>
      </c>
    </row>
    <row r="16">
      <c r="A16" s="7" t="inlineStr">
        <is>
          <t>2.2</t>
        </is>
      </c>
      <c r="B16" s="7" t="inlineStr">
        <is>
          <t>其他资产</t>
        </is>
      </c>
      <c r="C16" s="177">
        <f>C17</f>
        <v/>
      </c>
      <c r="D16" s="95" t="inlineStr">
        <is>
          <t>/</t>
        </is>
      </c>
      <c r="E16" s="177">
        <f>E17</f>
        <v/>
      </c>
      <c r="F16" s="177">
        <f>F17</f>
        <v/>
      </c>
      <c r="G16" s="177">
        <f>G17</f>
        <v/>
      </c>
      <c r="H16" s="177">
        <f>H17</f>
        <v/>
      </c>
      <c r="I16" s="177">
        <f>I17</f>
        <v/>
      </c>
      <c r="J16" s="177">
        <f>J17</f>
        <v/>
      </c>
      <c r="K16" s="177">
        <f>K17</f>
        <v/>
      </c>
      <c r="L16" s="177">
        <f>L17</f>
        <v/>
      </c>
      <c r="M16" s="177">
        <f>M17</f>
        <v/>
      </c>
      <c r="N16" s="177">
        <f>N17</f>
        <v/>
      </c>
      <c r="O16" s="177">
        <f>O17</f>
        <v/>
      </c>
      <c r="P16" s="177">
        <f>P17</f>
        <v/>
      </c>
      <c r="Q16" s="177">
        <f>Q17</f>
        <v/>
      </c>
      <c r="R16" s="177">
        <f>R17</f>
        <v/>
      </c>
      <c r="S16" s="177">
        <f>S17</f>
        <v/>
      </c>
      <c r="T16" s="177">
        <f>T17</f>
        <v/>
      </c>
      <c r="U16" s="177">
        <f>U17</f>
        <v/>
      </c>
      <c r="V16" s="177">
        <f>V17</f>
        <v/>
      </c>
      <c r="W16" s="177">
        <f>W17</f>
        <v/>
      </c>
      <c r="X16" s="177">
        <f>X17</f>
        <v/>
      </c>
      <c r="Y16" s="177">
        <f>Y17</f>
        <v/>
      </c>
      <c r="Z16" s="177">
        <f>Z17</f>
        <v/>
      </c>
      <c r="AA16" s="177">
        <f>AA17</f>
        <v/>
      </c>
      <c r="AB16" s="177">
        <f>AB17</f>
        <v/>
      </c>
    </row>
    <row r="17">
      <c r="A17" s="7" t="inlineStr">
        <is>
          <t>2.2.1</t>
        </is>
      </c>
      <c r="B17" s="7" t="inlineStr">
        <is>
          <t>项目开办费</t>
        </is>
      </c>
      <c r="C17" s="169" t="n">
        <v>0</v>
      </c>
      <c r="D17" s="95">
        <f>1/B项目信息!$D$14*100%</f>
        <v/>
      </c>
      <c r="E17" s="177">
        <f>C17*D17</f>
        <v/>
      </c>
      <c r="F17" s="177">
        <f>IF(F3-$G$3&gt;0, $C$17-$E$17*(F3-$G$3), 0)</f>
        <v/>
      </c>
      <c r="G17" s="177">
        <f>IF(G3-$G$3&gt;0, $C$17-$E$17*(G3-$G$3), 0)</f>
        <v/>
      </c>
      <c r="H17" s="169">
        <f>IF(H3-$G$3&gt;0, $C$17-$E$17*(H3-$G$3), 0)</f>
        <v/>
      </c>
      <c r="I17" s="169">
        <f>IF(I3-$G$3&gt;0, $C$17-$E$17*(I3-$G$3), 0)</f>
        <v/>
      </c>
      <c r="J17" s="169">
        <f>IF(J3-$G$3&gt;0, $C$17-$E$17*(J3-$G$3), 0)</f>
        <v/>
      </c>
      <c r="K17" s="169">
        <f>IF(K3-$G$3&gt;0, $C$17-$E$17*(K3-$G$3), 0)</f>
        <v/>
      </c>
      <c r="L17" s="169">
        <f>IF(L3-$G$3&gt;0, $C$17-$E$17*(L3-$G$3), 0)</f>
        <v/>
      </c>
      <c r="M17" s="169">
        <f>IF(M3-$G$3&gt;0, $C$17-$E$17*(M3-$G$3), 0)</f>
        <v/>
      </c>
      <c r="N17" s="169">
        <f>IF(N3-$G$3&gt;0, $C$17-$E$17*(N3-$G$3), 0)</f>
        <v/>
      </c>
      <c r="O17" s="169">
        <f>IF(O3-$G$3&gt;0, $C$17-$E$17*(O3-$G$3), 0)</f>
        <v/>
      </c>
      <c r="P17" s="169">
        <f>IF(P3-$G$3&gt;0, $C$17-$E$17*(P3-$G$3), 0)</f>
        <v/>
      </c>
      <c r="Q17" s="169">
        <f>IF(Q3-$G$3&gt;0, $C$17-$E$17*(Q3-$G$3), 0)</f>
        <v/>
      </c>
      <c r="R17" s="169">
        <f>IF(R3-$G$3&gt;0, $C$17-$E$17*(R3-$G$3), 0)</f>
        <v/>
      </c>
      <c r="S17" s="169">
        <f>IF(S3-$G$3&gt;0, $C$17-$E$17*(S3-$G$3), 0)</f>
        <v/>
      </c>
      <c r="T17" s="169">
        <f>IF(T3-$G$3&gt;0, $C$17-$E$17*(T3-$G$3), 0)</f>
        <v/>
      </c>
      <c r="U17" s="169">
        <f>IF(U3-$G$3&gt;0, $C$17-$E$17*(U3-$G$3), 0)</f>
        <v/>
      </c>
      <c r="V17" s="169">
        <f>IF(V3-$G$3&gt;0, $C$17-$E$17*(V3-$G$3), 0)</f>
        <v/>
      </c>
      <c r="W17" s="169">
        <f>IF(W3-$G$3&gt;0, $C$17-$E$17*(W3-$G$3), 0)</f>
        <v/>
      </c>
      <c r="X17" s="169">
        <f>IF(X3-$G$3&gt;0, $C$17-$E$17*(X3-$G$3), 0)</f>
        <v/>
      </c>
      <c r="Y17" s="169">
        <f>IF(Y3-$G$3&gt;0, $C$17-$E$17*(Y3-$G$3), 0)</f>
        <v/>
      </c>
      <c r="Z17" s="169">
        <f>IF(Z3-$G$3&gt;0, $C$17-$E$17*(Z3-$G$3), 0)</f>
        <v/>
      </c>
      <c r="AA17" s="169">
        <f>IF(AA3-$G$3&gt;0, $C$17-$E$17*(AA3-$G$3), 0)</f>
        <v/>
      </c>
      <c r="AB17" s="169">
        <f>IF(AB3-$G$3&gt;0, $C$17-$E$17*(AB3-$G$3), 0)</f>
        <v/>
      </c>
    </row>
    <row r="18">
      <c r="A18" s="10" t="inlineStr">
        <is>
          <t>建设期3</t>
        </is>
      </c>
      <c r="B18" s="114" t="inlineStr">
        <is>
          <t>合计3</t>
        </is>
      </c>
      <c r="C18" s="177">
        <f>C19+C23</f>
        <v/>
      </c>
      <c r="D18" s="91" t="inlineStr">
        <is>
          <t>/</t>
        </is>
      </c>
      <c r="E18" s="177">
        <f>E19+E23</f>
        <v/>
      </c>
      <c r="F18" s="177">
        <f>F19+F23</f>
        <v/>
      </c>
      <c r="G18" s="177">
        <f>G19+G23</f>
        <v/>
      </c>
      <c r="H18" s="177">
        <f>H19+H23</f>
        <v/>
      </c>
      <c r="I18" s="177">
        <f>I19+I23</f>
        <v/>
      </c>
      <c r="J18" s="177">
        <f>J19+J23</f>
        <v/>
      </c>
      <c r="K18" s="177">
        <f>K19+K23</f>
        <v/>
      </c>
      <c r="L18" s="177">
        <f>L19+L23</f>
        <v/>
      </c>
      <c r="M18" s="177">
        <f>M19+M23</f>
        <v/>
      </c>
      <c r="N18" s="177">
        <f>N19+N23</f>
        <v/>
      </c>
      <c r="O18" s="177">
        <f>O19+O23</f>
        <v/>
      </c>
      <c r="P18" s="177">
        <f>P19+P23</f>
        <v/>
      </c>
      <c r="Q18" s="177">
        <f>Q19+Q23</f>
        <v/>
      </c>
      <c r="R18" s="177">
        <f>R19+R23</f>
        <v/>
      </c>
      <c r="S18" s="177">
        <f>S19+S23</f>
        <v/>
      </c>
      <c r="T18" s="177">
        <f>T19+T23</f>
        <v/>
      </c>
      <c r="U18" s="177">
        <f>U19+U23</f>
        <v/>
      </c>
      <c r="V18" s="177">
        <f>V19+V23</f>
        <v/>
      </c>
      <c r="W18" s="177">
        <f>W19+W23</f>
        <v/>
      </c>
      <c r="X18" s="177">
        <f>X19+X23</f>
        <v/>
      </c>
      <c r="Y18" s="177">
        <f>Y19+Y23</f>
        <v/>
      </c>
      <c r="Z18" s="177">
        <f>Z19+Z23</f>
        <v/>
      </c>
      <c r="AA18" s="177">
        <f>AA19+AA23</f>
        <v/>
      </c>
      <c r="AB18" s="177">
        <f>AB19+AB23</f>
        <v/>
      </c>
    </row>
    <row r="19">
      <c r="A19" s="7" t="inlineStr">
        <is>
          <t>3.1</t>
        </is>
      </c>
      <c r="B19" s="7" t="inlineStr">
        <is>
          <t>无形资产</t>
        </is>
      </c>
      <c r="C19" s="177">
        <f>SUM(C20:C22)</f>
        <v/>
      </c>
      <c r="D19" s="120" t="inlineStr">
        <is>
          <t>/</t>
        </is>
      </c>
      <c r="E19" s="177">
        <f>SUM(E20:E22)</f>
        <v/>
      </c>
      <c r="F19" s="177">
        <f>SUM(F20:F22)</f>
        <v/>
      </c>
      <c r="G19" s="177">
        <f>SUM(G20:G22)</f>
        <v/>
      </c>
      <c r="H19" s="177">
        <f>SUM(H20:H22)</f>
        <v/>
      </c>
      <c r="I19" s="169">
        <f>SUM(I20:I22)</f>
        <v/>
      </c>
      <c r="J19" s="169">
        <f>SUM(J20:J22)</f>
        <v/>
      </c>
      <c r="K19" s="169">
        <f>SUM(K20:K22)</f>
        <v/>
      </c>
      <c r="L19" s="169">
        <f>SUM(L20:L22)</f>
        <v/>
      </c>
      <c r="M19" s="169">
        <f>SUM(M20:M22)</f>
        <v/>
      </c>
      <c r="N19" s="169">
        <f>SUM(N20:N22)</f>
        <v/>
      </c>
      <c r="O19" s="169">
        <f>SUM(O20:O22)</f>
        <v/>
      </c>
      <c r="P19" s="169">
        <f>SUM(P20:P22)</f>
        <v/>
      </c>
      <c r="Q19" s="169">
        <f>SUM(Q20:Q22)</f>
        <v/>
      </c>
      <c r="R19" s="169">
        <f>SUM(R20:R22)</f>
        <v/>
      </c>
      <c r="S19" s="169">
        <f>SUM(S20:S22)</f>
        <v/>
      </c>
      <c r="T19" s="169">
        <f>SUM(T20:T22)</f>
        <v/>
      </c>
      <c r="U19" s="169">
        <f>SUM(U20:U22)</f>
        <v/>
      </c>
      <c r="V19" s="169">
        <f>SUM(V20:V22)</f>
        <v/>
      </c>
      <c r="W19" s="169">
        <f>SUM(W20:W22)</f>
        <v/>
      </c>
      <c r="X19" s="169">
        <f>SUM(X20:X22)</f>
        <v/>
      </c>
      <c r="Y19" s="169">
        <f>SUM(Y20:Y22)</f>
        <v/>
      </c>
      <c r="Z19" s="169">
        <f>SUM(Z20:Z22)</f>
        <v/>
      </c>
      <c r="AA19" s="169">
        <f>SUM(AA20:AA22)</f>
        <v/>
      </c>
      <c r="AB19" s="169">
        <f>SUM(AB20:AB22)</f>
        <v/>
      </c>
    </row>
    <row r="20">
      <c r="A20" s="7" t="inlineStr">
        <is>
          <t>3.1.1</t>
        </is>
      </c>
      <c r="B20" s="7" t="inlineStr">
        <is>
          <t>土地使用权</t>
        </is>
      </c>
      <c r="C20" s="169" t="n">
        <v>0</v>
      </c>
      <c r="D20" s="95">
        <f>1/B项目信息!$D$20*100%</f>
        <v/>
      </c>
      <c r="E20" s="177">
        <f>C20*D20</f>
        <v/>
      </c>
      <c r="F20" s="177">
        <f>IF(F3-$H$3&gt;0, $C$20-$E$20*(F3-$H$3), 0)</f>
        <v/>
      </c>
      <c r="G20" s="177">
        <f>IF(G3-$H$3&gt;0, $C$20-$E$20*(G3-$H$3), 0)</f>
        <v/>
      </c>
      <c r="H20" s="177">
        <f>IF(H3-$H$3&gt;0, $C$20-$E$20*(H3-$H$3), 0)</f>
        <v/>
      </c>
      <c r="I20" s="169">
        <f>IF(I3-$H$3&gt;0, $C$20-$E$20*(I3-$H$3), 0)</f>
        <v/>
      </c>
      <c r="J20" s="169">
        <f>IF(J3-$H$3&gt;0, $C$20-$E$20*(J3-$H$3), 0)</f>
        <v/>
      </c>
      <c r="K20" s="169">
        <f>IF(K3-$H$3&gt;0, $C$20-$E$20*(K3-$H$3), 0)</f>
        <v/>
      </c>
      <c r="L20" s="169">
        <f>IF(L3-$H$3&gt;0, $C$20-$E$20*(L3-$H$3), 0)</f>
        <v/>
      </c>
      <c r="M20" s="169">
        <f>IF(M3-$H$3&gt;0, $C$20-$E$20*(M3-$H$3), 0)</f>
        <v/>
      </c>
      <c r="N20" s="169">
        <f>IF(N3-$H$3&gt;0, $C$20-$E$20*(N3-$H$3), 0)</f>
        <v/>
      </c>
      <c r="O20" s="169">
        <f>IF(O3-$H$3&gt;0, $C$20-$E$20*(O3-$H$3), 0)</f>
        <v/>
      </c>
      <c r="P20" s="169">
        <f>IF(P3-$H$3&gt;0, $C$20-$E$20*(P3-$H$3), 0)</f>
        <v/>
      </c>
      <c r="Q20" s="169">
        <f>IF(Q3-$H$3&gt;0, $C$20-$E$20*(Q3-$H$3), 0)</f>
        <v/>
      </c>
      <c r="R20" s="169">
        <f>IF(R3-$H$3&gt;0, $C$20-$E$20*(R3-$H$3), 0)</f>
        <v/>
      </c>
      <c r="S20" s="169">
        <f>IF(S3-$H$3&gt;0, $C$20-$E$20*(S3-$H$3), 0)</f>
        <v/>
      </c>
      <c r="T20" s="169">
        <f>IF(T3-$H$3&gt;0, $C$20-$E$20*(T3-$H$3), 0)</f>
        <v/>
      </c>
      <c r="U20" s="169">
        <f>IF(U3-$H$3&gt;0, $C$20-$E$20*(U3-$H$3), 0)</f>
        <v/>
      </c>
      <c r="V20" s="169">
        <f>IF(V3-$H$3&gt;0, $C$20-$E$20*(V3-$H$3), 0)</f>
        <v/>
      </c>
      <c r="W20" s="169">
        <f>IF(W3-$H$3&gt;0, $C$20-$E$20*(W3-$H$3), 0)</f>
        <v/>
      </c>
      <c r="X20" s="169">
        <f>IF(X3-$H$3&gt;0, $C$20-$E$20*(X3-$H$3), 0)</f>
        <v/>
      </c>
      <c r="Y20" s="169">
        <f>IF(Y3-$H$3&gt;0, $C$20-$E$20*(Y3-$H$3), 0)</f>
        <v/>
      </c>
      <c r="Z20" s="169">
        <f>IF(Z3-$H$3&gt;0, $C$20-$E$20*(Z3-$H$3), 0)</f>
        <v/>
      </c>
      <c r="AA20" s="169">
        <f>IF(AA3-$H$3&gt;0, $C$20-$E$20*(AA3-$H$3), 0)</f>
        <v/>
      </c>
      <c r="AB20" s="169">
        <f>IF(AB3-$H$3&gt;0, $C$20-$E$20*(AB3-$H$3), 0)</f>
        <v/>
      </c>
    </row>
    <row r="21">
      <c r="A21" s="7" t="inlineStr">
        <is>
          <t>3.1.2</t>
        </is>
      </c>
      <c r="B21" s="7" t="inlineStr">
        <is>
          <t>专利技术</t>
        </is>
      </c>
      <c r="C21" s="169" t="n">
        <v>0</v>
      </c>
      <c r="D21" s="95">
        <f>1/B项目信息!$D$20*100%</f>
        <v/>
      </c>
      <c r="E21" s="177">
        <f>C21*D21</f>
        <v/>
      </c>
      <c r="F21" s="177">
        <f>IF(F3-$H$3&gt;0, $C$21-$E$21*(F3-$H$3), 0)</f>
        <v/>
      </c>
      <c r="G21" s="177">
        <f>IF(G3-$H$3&gt;0, $C$21-$E$21*(G3-$H$3), 0)</f>
        <v/>
      </c>
      <c r="H21" s="177">
        <f>IF(H3-$H$3&gt;0, $C$21-$E$21*(H3-$H$3), 0)</f>
        <v/>
      </c>
      <c r="I21" s="169">
        <f>IF(I3-$H$3&gt;0, $C$21-$E$21*(I3-$H$3), 0)</f>
        <v/>
      </c>
      <c r="J21" s="169">
        <f>IF(J3-$H$3&gt;0, $C$21-$E$21*(J3-$H$3), 0)</f>
        <v/>
      </c>
      <c r="K21" s="169">
        <f>IF(K3-$H$3&gt;0, $C$21-$E$21*(K3-$H$3), 0)</f>
        <v/>
      </c>
      <c r="L21" s="169">
        <f>IF(L3-$H$3&gt;0, $C$21-$E$21*(L3-$H$3), 0)</f>
        <v/>
      </c>
      <c r="M21" s="169">
        <f>IF(M3-$H$3&gt;0, $C$21-$E$21*(M3-$H$3), 0)</f>
        <v/>
      </c>
      <c r="N21" s="169">
        <f>IF(N3-$H$3&gt;0, $C$21-$E$21*(N3-$H$3), 0)</f>
        <v/>
      </c>
      <c r="O21" s="169">
        <f>IF(O3-$H$3&gt;0, $C$21-$E$21*(O3-$H$3), 0)</f>
        <v/>
      </c>
      <c r="P21" s="169">
        <f>IF(P3-$H$3&gt;0, $C$21-$E$21*(P3-$H$3), 0)</f>
        <v/>
      </c>
      <c r="Q21" s="169">
        <f>IF(Q3-$H$3&gt;0, $C$21-$E$21*(Q3-$H$3), 0)</f>
        <v/>
      </c>
      <c r="R21" s="169">
        <f>IF(R3-$H$3&gt;0, $C$21-$E$21*(R3-$H$3), 0)</f>
        <v/>
      </c>
      <c r="S21" s="169">
        <f>IF(S3-$H$3&gt;0, $C$21-$E$21*(S3-$H$3), 0)</f>
        <v/>
      </c>
      <c r="T21" s="169">
        <f>IF(T3-$H$3&gt;0, $C$21-$E$21*(T3-$H$3), 0)</f>
        <v/>
      </c>
      <c r="U21" s="169">
        <f>IF(U3-$H$3&gt;0, $C$21-$E$21*(U3-$H$3), 0)</f>
        <v/>
      </c>
      <c r="V21" s="169">
        <f>IF(V3-$H$3&gt;0, $C$21-$E$21*(V3-$H$3), 0)</f>
        <v/>
      </c>
      <c r="W21" s="169">
        <f>IF(W3-$H$3&gt;0, $C$21-$E$21*(W3-$H$3), 0)</f>
        <v/>
      </c>
      <c r="X21" s="169">
        <f>IF(X3-$H$3&gt;0, $C$21-$E$21*(X3-$H$3), 0)</f>
        <v/>
      </c>
      <c r="Y21" s="169">
        <f>IF(Y3-$H$3&gt;0, $C$21-$E$21*(Y3-$H$3), 0)</f>
        <v/>
      </c>
      <c r="Z21" s="169">
        <f>IF(Z3-$H$3&gt;0, $C$21-$E$21*(Z3-$H$3), 0)</f>
        <v/>
      </c>
      <c r="AA21" s="169">
        <f>IF(AA3-$H$3&gt;0, $C$21-$E$21*(AA3-$H$3), 0)</f>
        <v/>
      </c>
      <c r="AB21" s="169">
        <f>IF(AB3-$H$3&gt;0, $C$21-$E$21*(AB3-$H$3), 0)</f>
        <v/>
      </c>
    </row>
    <row r="22">
      <c r="A22" s="7" t="inlineStr">
        <is>
          <t>3.1.3</t>
        </is>
      </c>
      <c r="B22" s="92" t="inlineStr">
        <is>
          <t>软件及其他无形资产</t>
        </is>
      </c>
      <c r="C22" s="180">
        <f>E.4建设投资税后金额表!J10+E.4建设投资税后金额表!J11+E.4建设投资税后金额表!J12</f>
        <v/>
      </c>
      <c r="D22" s="118">
        <f>1/B项目信息!$D$20*100%</f>
        <v/>
      </c>
      <c r="E22" s="177">
        <f>C22*D22</f>
        <v/>
      </c>
      <c r="F22" s="177">
        <f>IF(F3-$H$3&gt;0, $C$22-$E$22*(F3-$H$3), 0)</f>
        <v/>
      </c>
      <c r="G22" s="177">
        <f>IF(G3-$H$3&gt;0, $C$22-$E$22*(G3-$H$3), 0)</f>
        <v/>
      </c>
      <c r="H22" s="177">
        <f>IF(H3-$H$3&gt;0, $C$22-$E$22*(H3-$H$3), 0)</f>
        <v/>
      </c>
      <c r="I22" s="180">
        <f>IF(I3-$H$3&gt;0, $C$22-$E$22*(I3-$H$3), 0)</f>
        <v/>
      </c>
      <c r="J22" s="180">
        <f>IF(J3-$H$3&gt;0, $C$22-$E$22*(J3-$H$3), 0)</f>
        <v/>
      </c>
      <c r="K22" s="180">
        <f>IF(K3-$H$3&gt;0, $C$22-$E$22*(K3-$H$3), 0)</f>
        <v/>
      </c>
      <c r="L22" s="180">
        <f>IF(L3-$H$3&gt;0, $C$22-$E$22*(L3-$H$3), 0)</f>
        <v/>
      </c>
      <c r="M22" s="180">
        <f>IF(M3-$H$3&gt;0, $C$22-$E$22*(M3-$H$3), 0)</f>
        <v/>
      </c>
      <c r="N22" s="180">
        <f>IF(N3-$H$3&gt;0, $C$22-$E$22*(N3-$H$3), 0)</f>
        <v/>
      </c>
      <c r="O22" s="180">
        <f>IF(O3-$H$3&gt;0, $C$22-$E$22*(O3-$H$3), 0)</f>
        <v/>
      </c>
      <c r="P22" s="180">
        <f>IF(P3-$H$3&gt;0, $C$22-$E$22*(P3-$H$3), 0)</f>
        <v/>
      </c>
      <c r="Q22" s="180">
        <f>IF(Q3-$H$3&gt;0, $C$22-$E$22*(Q3-$H$3), 0)</f>
        <v/>
      </c>
      <c r="R22" s="180">
        <f>IF(R3-$H$3&gt;0, $C$22-$E$22*(R3-$H$3), 0)</f>
        <v/>
      </c>
      <c r="S22" s="180">
        <f>IF(S3-$H$3&gt;0, $C$22-$E$22*(S3-$H$3), 0)</f>
        <v/>
      </c>
      <c r="T22" s="180">
        <f>IF(T3-$H$3&gt;0, $C$22-$E$22*(T3-$H$3), 0)</f>
        <v/>
      </c>
      <c r="U22" s="180">
        <f>IF(U3-$H$3&gt;0, $C$22-$E$22*(U3-$H$3), 0)</f>
        <v/>
      </c>
      <c r="V22" s="180">
        <f>IF(V3-$H$3&gt;0, $C$22-$E$22*(V3-$H$3), 0)</f>
        <v/>
      </c>
      <c r="W22" s="180">
        <f>IF(W3-$H$3&gt;0, $C$22-$E$22*(W3-$H$3), 0)</f>
        <v/>
      </c>
      <c r="X22" s="180">
        <f>IF(X3-$H$3&gt;0, $C$22-$E$22*(X3-$H$3), 0)</f>
        <v/>
      </c>
      <c r="Y22" s="180">
        <f>IF(Y3-$H$3&gt;0, $C$22-$E$22*(Y3-$H$3), 0)</f>
        <v/>
      </c>
      <c r="Z22" s="180">
        <f>IF(Z3-$H$3&gt;0, $C$22-$E$22*(Z3-$H$3), 0)</f>
        <v/>
      </c>
      <c r="AA22" s="180">
        <f>IF(AA3-$H$3&gt;0, $C$22-$E$22*(AA3-$H$3), 0)</f>
        <v/>
      </c>
      <c r="AB22" s="180">
        <f>IF(AB3-$H$3&gt;0, $C$22-$E$22*(AB3-$H$3), 0)</f>
        <v/>
      </c>
    </row>
    <row r="23">
      <c r="A23" s="7" t="inlineStr">
        <is>
          <t>3.2</t>
        </is>
      </c>
      <c r="B23" s="7" t="inlineStr">
        <is>
          <t>其他资产</t>
        </is>
      </c>
      <c r="C23" s="177">
        <f>C24</f>
        <v/>
      </c>
      <c r="D23" s="95" t="inlineStr">
        <is>
          <t>/</t>
        </is>
      </c>
      <c r="E23" s="177">
        <f>E24</f>
        <v/>
      </c>
      <c r="F23" s="177">
        <f>F24</f>
        <v/>
      </c>
      <c r="G23" s="177">
        <f>G24</f>
        <v/>
      </c>
      <c r="H23" s="177">
        <f>H24</f>
        <v/>
      </c>
      <c r="I23" s="177">
        <f>I24</f>
        <v/>
      </c>
      <c r="J23" s="177">
        <f>J24</f>
        <v/>
      </c>
      <c r="K23" s="177">
        <f>K24</f>
        <v/>
      </c>
      <c r="L23" s="177">
        <f>L24</f>
        <v/>
      </c>
      <c r="M23" s="177">
        <f>M24</f>
        <v/>
      </c>
      <c r="N23" s="177">
        <f>N24</f>
        <v/>
      </c>
      <c r="O23" s="177">
        <f>O24</f>
        <v/>
      </c>
      <c r="P23" s="177">
        <f>P24</f>
        <v/>
      </c>
      <c r="Q23" s="177">
        <f>Q24</f>
        <v/>
      </c>
      <c r="R23" s="177">
        <f>R24</f>
        <v/>
      </c>
      <c r="S23" s="177">
        <f>S24</f>
        <v/>
      </c>
      <c r="T23" s="177">
        <f>T24</f>
        <v/>
      </c>
      <c r="U23" s="177">
        <f>U24</f>
        <v/>
      </c>
      <c r="V23" s="177">
        <f>V24</f>
        <v/>
      </c>
      <c r="W23" s="177">
        <f>W24</f>
        <v/>
      </c>
      <c r="X23" s="177">
        <f>X24</f>
        <v/>
      </c>
      <c r="Y23" s="177">
        <f>Y24</f>
        <v/>
      </c>
      <c r="Z23" s="177">
        <f>Z24</f>
        <v/>
      </c>
      <c r="AA23" s="177">
        <f>AA24</f>
        <v/>
      </c>
      <c r="AB23" s="177">
        <f>AB24</f>
        <v/>
      </c>
    </row>
    <row r="24">
      <c r="A24" s="7" t="inlineStr">
        <is>
          <t>3.2.1</t>
        </is>
      </c>
      <c r="B24" s="7" t="inlineStr">
        <is>
          <t>项目开办费</t>
        </is>
      </c>
      <c r="C24" s="169" t="n">
        <v>0</v>
      </c>
      <c r="D24" s="95">
        <f>1/B项目信息!$D$20*100%</f>
        <v/>
      </c>
      <c r="E24" s="177">
        <f>C24*D24</f>
        <v/>
      </c>
      <c r="F24" s="177">
        <f>IF(F3-$H$3&gt;0, $C$24-$E$24*(F3-$H$3), 0)</f>
        <v/>
      </c>
      <c r="G24" s="177">
        <f>IF(G3-$H$3&gt;0, $C$24-$E$24*(G3-$H$3), 0)</f>
        <v/>
      </c>
      <c r="H24" s="177">
        <f>IF(H3-$H$3&gt;0, $C$24-$E$24*(H3-$H$3), 0)</f>
        <v/>
      </c>
      <c r="I24" s="169">
        <f>IF(I3-$H$3&gt;0, $C$24-$E$24*(I3-$H$3), 0)</f>
        <v/>
      </c>
      <c r="J24" s="169">
        <f>IF(J3-$H$3&gt;0, $C$24-$E$24*(J3-$H$3), 0)</f>
        <v/>
      </c>
      <c r="K24" s="169">
        <f>IF(K3-$H$3&gt;0, $C$24-$E$24*(K3-$H$3), 0)</f>
        <v/>
      </c>
      <c r="L24" s="169">
        <f>IF(L3-$H$3&gt;0, $C$24-$E$24*(L3-$H$3), 0)</f>
        <v/>
      </c>
      <c r="M24" s="169">
        <f>IF(M3-$H$3&gt;0, $C$24-$E$24*(M3-$H$3), 0)</f>
        <v/>
      </c>
      <c r="N24" s="169">
        <f>IF(N3-$H$3&gt;0, $C$24-$E$24*(N3-$H$3), 0)</f>
        <v/>
      </c>
      <c r="O24" s="169">
        <f>IF(O3-$H$3&gt;0, $C$24-$E$24*(O3-$H$3), 0)</f>
        <v/>
      </c>
      <c r="P24" s="169">
        <f>IF(P3-$H$3&gt;0, $C$24-$E$24*(P3-$H$3), 0)</f>
        <v/>
      </c>
      <c r="Q24" s="169">
        <f>IF(Q3-$H$3&gt;0, $C$24-$E$24*(Q3-$H$3), 0)</f>
        <v/>
      </c>
      <c r="R24" s="169">
        <f>IF(R3-$H$3&gt;0, $C$24-$E$24*(R3-$H$3), 0)</f>
        <v/>
      </c>
      <c r="S24" s="169">
        <f>IF(S3-$H$3&gt;0, $C$24-$E$24*(S3-$H$3), 0)</f>
        <v/>
      </c>
      <c r="T24" s="169">
        <f>IF(T3-$H$3&gt;0, $C$24-$E$24*(T3-$H$3), 0)</f>
        <v/>
      </c>
      <c r="U24" s="169">
        <f>IF(U3-$H$3&gt;0, $C$24-$E$24*(U3-$H$3), 0)</f>
        <v/>
      </c>
      <c r="V24" s="169">
        <f>IF(V3-$H$3&gt;0, $C$24-$E$24*(V3-$H$3), 0)</f>
        <v/>
      </c>
      <c r="W24" s="169">
        <f>IF(W3-$H$3&gt;0, $C$24-$E$24*(W3-$H$3), 0)</f>
        <v/>
      </c>
      <c r="X24" s="169">
        <f>IF(X3-$H$3&gt;0, $C$24-$E$24*(X3-$H$3), 0)</f>
        <v/>
      </c>
      <c r="Y24" s="169">
        <f>IF(Y3-$H$3&gt;0, $C$24-$E$24*(Y3-$H$3), 0)</f>
        <v/>
      </c>
      <c r="Z24" s="169">
        <f>IF(Z3-$H$3&gt;0, $C$24-$E$24*(Z3-$H$3), 0)</f>
        <v/>
      </c>
      <c r="AA24" s="169">
        <f>IF(AA3-$H$3&gt;0, $C$24-$E$24*(AA3-$H$3), 0)</f>
        <v/>
      </c>
      <c r="AB24" s="169">
        <f>IF(AB3-$H$3&gt;0, $C$24-$E$24*(AB3-$H$3), 0)</f>
        <v/>
      </c>
    </row>
    <row r="25">
      <c r="A25" s="100" t="n"/>
      <c r="B25" s="101" t="inlineStr">
        <is>
          <t>净值合计</t>
        </is>
      </c>
      <c r="C25" s="171">
        <f>C4+C11+C18</f>
        <v/>
      </c>
      <c r="D25" s="43" t="inlineStr">
        <is>
          <t>/</t>
        </is>
      </c>
      <c r="E25" s="171">
        <f>E4+E11+E18</f>
        <v/>
      </c>
      <c r="F25" s="171">
        <f>F4+F11+F18</f>
        <v/>
      </c>
      <c r="G25" s="171">
        <f>G4+G11+G18</f>
        <v/>
      </c>
      <c r="H25" s="171">
        <f>H4+H11+H18</f>
        <v/>
      </c>
      <c r="I25" s="171">
        <f>I4+I11+I18</f>
        <v/>
      </c>
      <c r="J25" s="171">
        <f>J4+J11+J18</f>
        <v/>
      </c>
      <c r="K25" s="171">
        <f>K4+K11+K18</f>
        <v/>
      </c>
      <c r="L25" s="171">
        <f>L4+L11+L18</f>
        <v/>
      </c>
      <c r="M25" s="171">
        <f>M4+M11+M18</f>
        <v/>
      </c>
      <c r="N25" s="171">
        <f>N4+N11+N18</f>
        <v/>
      </c>
      <c r="O25" s="171">
        <f>O4+O11+O18</f>
        <v/>
      </c>
      <c r="P25" s="171">
        <f>P4+P11+P18</f>
        <v/>
      </c>
      <c r="Q25" s="171">
        <f>Q4+Q11+Q18</f>
        <v/>
      </c>
      <c r="R25" s="171">
        <f>R4+R11+R18</f>
        <v/>
      </c>
      <c r="S25" s="171">
        <f>S4+S11+S18</f>
        <v/>
      </c>
      <c r="T25" s="171">
        <f>T4+T11+T18</f>
        <v/>
      </c>
      <c r="U25" s="171">
        <f>U4+U11+U18</f>
        <v/>
      </c>
      <c r="V25" s="171">
        <f>V4+V11+V18</f>
        <v/>
      </c>
      <c r="W25" s="171">
        <f>W4+W11+W18</f>
        <v/>
      </c>
      <c r="X25" s="171">
        <f>X4+X11+X18</f>
        <v/>
      </c>
      <c r="Y25" s="171">
        <f>Y4+Y11+Y18</f>
        <v/>
      </c>
      <c r="Z25" s="171">
        <f>Z4+Z11+Z18</f>
        <v/>
      </c>
      <c r="AA25" s="171">
        <f>AA4+AA11+AA18</f>
        <v/>
      </c>
      <c r="AB25" s="171">
        <f>AB4+AB11+AB18</f>
        <v/>
      </c>
    </row>
    <row r="26">
      <c r="L26" s="45" t="n"/>
    </row>
    <row r="27">
      <c r="A27" s="10" t="inlineStr">
        <is>
          <t>建设期1</t>
        </is>
      </c>
      <c r="B27" s="114" t="inlineStr">
        <is>
          <t>合计1</t>
        </is>
      </c>
      <c r="C27" s="185" t="inlineStr"/>
      <c r="D27" s="92" t="inlineStr"/>
      <c r="E27" s="188" t="inlineStr"/>
      <c r="F27" s="193">
        <f>F28+F32</f>
        <v/>
      </c>
      <c r="G27" s="193">
        <f>G28+G32</f>
        <v/>
      </c>
      <c r="H27" s="193">
        <f>H28+H32</f>
        <v/>
      </c>
      <c r="I27" s="193">
        <f>I28+I32</f>
        <v/>
      </c>
      <c r="J27" s="193">
        <f>J28+J32</f>
        <v/>
      </c>
      <c r="K27" s="193">
        <f>K28+K32</f>
        <v/>
      </c>
      <c r="L27" s="193">
        <f>L28+L32</f>
        <v/>
      </c>
      <c r="M27" s="193">
        <f>M28+M32</f>
        <v/>
      </c>
      <c r="N27" s="193">
        <f>N28+N32</f>
        <v/>
      </c>
      <c r="O27" s="193">
        <f>O28+O32</f>
        <v/>
      </c>
      <c r="P27" s="193">
        <f>P28+P32</f>
        <v/>
      </c>
      <c r="Q27" s="193">
        <f>Q28+Q32</f>
        <v/>
      </c>
      <c r="R27" s="193">
        <f>R28+R32</f>
        <v/>
      </c>
      <c r="S27" s="193">
        <f>S28+S32</f>
        <v/>
      </c>
      <c r="T27" s="193">
        <f>T28+T32</f>
        <v/>
      </c>
      <c r="U27" s="193">
        <f>U28+U32</f>
        <v/>
      </c>
      <c r="V27" s="193">
        <f>V28+V32</f>
        <v/>
      </c>
      <c r="W27" s="193">
        <f>W28+W32</f>
        <v/>
      </c>
      <c r="X27" s="193">
        <f>X28+X32</f>
        <v/>
      </c>
      <c r="Y27" s="193">
        <f>Y28+Y32</f>
        <v/>
      </c>
      <c r="Z27" s="193">
        <f>Z28+Z32</f>
        <v/>
      </c>
      <c r="AA27" s="193">
        <f>AA28+AA32</f>
        <v/>
      </c>
      <c r="AB27" s="193">
        <f>AB28+AB32</f>
        <v/>
      </c>
    </row>
    <row r="28">
      <c r="A28" s="7" t="inlineStr">
        <is>
          <t>1.1</t>
        </is>
      </c>
      <c r="B28" s="7" t="inlineStr">
        <is>
          <t>无形资产</t>
        </is>
      </c>
      <c r="C28" s="177" t="inlineStr"/>
      <c r="D28" s="27" t="inlineStr"/>
      <c r="E28" s="177" t="inlineStr"/>
      <c r="F28" s="171">
        <f>SUM(F29:F31)</f>
        <v/>
      </c>
      <c r="G28" s="171">
        <f>SUM(G29:G31)</f>
        <v/>
      </c>
      <c r="H28" s="171">
        <f>SUM(H29:H31)</f>
        <v/>
      </c>
      <c r="I28" s="171">
        <f>SUM(I29:I31)</f>
        <v/>
      </c>
      <c r="J28" s="171">
        <f>SUM(J29:J31)</f>
        <v/>
      </c>
      <c r="K28" s="171">
        <f>SUM(K29:K31)</f>
        <v/>
      </c>
      <c r="L28" s="171">
        <f>SUM(L29:L31)</f>
        <v/>
      </c>
      <c r="M28" s="171">
        <f>SUM(M29:M31)</f>
        <v/>
      </c>
      <c r="N28" s="171">
        <f>SUM(N29:N31)</f>
        <v/>
      </c>
      <c r="O28" s="171">
        <f>SUM(O29:O31)</f>
        <v/>
      </c>
      <c r="P28" s="171">
        <f>SUM(P29:P31)</f>
        <v/>
      </c>
      <c r="Q28" s="171">
        <f>SUM(Q29:Q31)</f>
        <v/>
      </c>
      <c r="R28" s="171">
        <f>SUM(R29:R31)</f>
        <v/>
      </c>
      <c r="S28" s="171">
        <f>SUM(S29:S31)</f>
        <v/>
      </c>
      <c r="T28" s="171">
        <f>SUM(T29:T31)</f>
        <v/>
      </c>
      <c r="U28" s="171">
        <f>SUM(U29:U31)</f>
        <v/>
      </c>
      <c r="V28" s="171">
        <f>SUM(V29:V31)</f>
        <v/>
      </c>
      <c r="W28" s="171">
        <f>SUM(W29:W31)</f>
        <v/>
      </c>
      <c r="X28" s="171">
        <f>SUM(X29:X31)</f>
        <v/>
      </c>
      <c r="Y28" s="171">
        <f>SUM(Y29:Y31)</f>
        <v/>
      </c>
      <c r="Z28" s="171">
        <f>SUM(Z29:Z31)</f>
        <v/>
      </c>
      <c r="AA28" s="171">
        <f>SUM(AA29:AA31)</f>
        <v/>
      </c>
      <c r="AB28" s="171">
        <f>SUM(AB29:AB31)</f>
        <v/>
      </c>
    </row>
    <row r="29">
      <c r="A29" s="7" t="inlineStr">
        <is>
          <t>1.1.1</t>
        </is>
      </c>
      <c r="B29" s="7" t="inlineStr">
        <is>
          <t>土地使用权</t>
        </is>
      </c>
      <c r="C29" s="169" t="inlineStr"/>
      <c r="D29" s="12" t="inlineStr"/>
      <c r="E29" s="177" t="inlineStr"/>
      <c r="F29" s="171">
        <f>IF(F3-$F$3&gt;0, IF(F6&lt;&gt;"",$E$6,0), 0)</f>
        <v/>
      </c>
      <c r="G29" s="171">
        <f>IF(G3-$F$3&gt;0, IF(G6&lt;&gt;"",$E$6,0), 0)</f>
        <v/>
      </c>
      <c r="H29" s="171">
        <f>IF(H3-$F$3&gt;0, IF(H6&lt;&gt;"",$E$6,0), 0)</f>
        <v/>
      </c>
      <c r="I29" s="171">
        <f>IF(I3-$F$3&gt;0, IF(I6&lt;&gt;"",$E$6,0), 0)</f>
        <v/>
      </c>
      <c r="J29" s="171">
        <f>IF(J3-$F$3&gt;0, IF(J6&lt;&gt;"",$E$6,0), 0)</f>
        <v/>
      </c>
      <c r="K29" s="171">
        <f>IF(K3-$F$3&gt;0, IF(K6&lt;&gt;"",$E$6,0), 0)</f>
        <v/>
      </c>
      <c r="L29" s="171">
        <f>IF(L3-$F$3&gt;0, IF(K6&lt;&gt;"",$E$6,0), 0)</f>
        <v/>
      </c>
      <c r="M29" s="171">
        <f>IF(M3-$F$3&gt;0, IF(K6&lt;&gt;"",$E$6,0), 0)</f>
        <v/>
      </c>
      <c r="N29" s="171">
        <f>IF(N3-$F$3&gt;0, IF(K6&lt;&gt;"",$E$6,0), 0)</f>
        <v/>
      </c>
      <c r="O29" s="171">
        <f>IF(O3-$F$3&gt;0, IF(K6&lt;&gt;"",$E$6,0), 0)</f>
        <v/>
      </c>
      <c r="P29" s="171">
        <f>IF(P3-$F$3&gt;0, IF(K6&lt;&gt;"",$E$6,0), 0)</f>
        <v/>
      </c>
      <c r="Q29" s="171">
        <f>IF(Q3-$F$3&gt;0, IF(K6&lt;&gt;"",$E$6,0), 0)</f>
        <v/>
      </c>
      <c r="R29" s="171">
        <f>IF(R3-$F$3&gt;0, IF(K6&lt;&gt;"",$E$6,0), 0)</f>
        <v/>
      </c>
      <c r="S29" s="171">
        <f>IF(S3-$F$3&gt;0, IF(K6&lt;&gt;"",$E$6,0), 0)</f>
        <v/>
      </c>
      <c r="T29" s="171">
        <f>IF(T3-$F$3&gt;0, IF(K6&lt;&gt;"",$E$6,0), 0)</f>
        <v/>
      </c>
      <c r="U29" s="171">
        <f>IF(U3-$F$3&gt;0, IF(K6&lt;&gt;"",$E$6,0), 0)</f>
        <v/>
      </c>
      <c r="V29" s="171">
        <f>IF(V3-$F$3&gt;0, IF(K6&lt;&gt;"",$E$6,0), 0)</f>
        <v/>
      </c>
      <c r="W29" s="171">
        <f>IF(W3-$F$3&gt;0, IF(K6&lt;&gt;"",$E$6,0), 0)</f>
        <v/>
      </c>
      <c r="X29" s="171">
        <f>IF(X3-$F$3&gt;0, IF(K6&lt;&gt;"",$E$6,0), 0)</f>
        <v/>
      </c>
      <c r="Y29" s="171">
        <f>IF(Y3-$F$3&gt;0, IF(K6&lt;&gt;"",$E$6,0), 0)</f>
        <v/>
      </c>
      <c r="Z29" s="171">
        <f>IF(Z3-$F$3&gt;0, IF(K6&lt;&gt;"",$E$6,0), 0)</f>
        <v/>
      </c>
      <c r="AA29" s="171">
        <f>IF(AA3-$F$3&gt;0, IF(K6&lt;&gt;"",$E$6,0), 0)</f>
        <v/>
      </c>
      <c r="AB29" s="171">
        <f>IF(AB3-$F$3&gt;0, IF(K6&lt;&gt;"",$E$6,0), 0)</f>
        <v/>
      </c>
    </row>
    <row r="30">
      <c r="A30" s="7" t="inlineStr">
        <is>
          <t>1.1.2</t>
        </is>
      </c>
      <c r="B30" s="7" t="inlineStr">
        <is>
          <t>专利技术</t>
        </is>
      </c>
      <c r="C30" s="169" t="inlineStr"/>
      <c r="D30" s="12" t="inlineStr"/>
      <c r="E30" s="177" t="inlineStr"/>
      <c r="F30" s="171">
        <f>IF(F3-$F$3&gt;0, IF(F7&lt;&gt;"",$E$7,0), 0)</f>
        <v/>
      </c>
      <c r="G30" s="171">
        <f>IF(G3-$F$3&gt;0, IF(G7&lt;&gt;"",$E$7,0), 0)</f>
        <v/>
      </c>
      <c r="H30" s="171">
        <f>IF(H3-$F$3&gt;0, IF(H7&lt;&gt;"",$E$7,0), 0)</f>
        <v/>
      </c>
      <c r="I30" s="171">
        <f>IF(I3-$F$3&gt;0, IF(I7&lt;&gt;"",$E$7,0), 0)</f>
        <v/>
      </c>
      <c r="J30" s="171">
        <f>IF(J3-$F$3&gt;0, IF(J7&lt;&gt;"",$E$7,0), 0)</f>
        <v/>
      </c>
      <c r="K30" s="171">
        <f>IF(K3-$F$3&gt;0, IF(K7&lt;&gt;"",$E$7,0), 0)</f>
        <v/>
      </c>
      <c r="L30" s="171">
        <f>IF(L3-$F$3&gt;0, IF(K7&lt;&gt;"",$E$7,0), 0)</f>
        <v/>
      </c>
      <c r="M30" s="171">
        <f>IF(M3-$F$3&gt;0, IF(K7&lt;&gt;"",$E$7,0), 0)</f>
        <v/>
      </c>
      <c r="N30" s="171">
        <f>IF(N3-$F$3&gt;0, IF(K7&lt;&gt;"",$E$7,0), 0)</f>
        <v/>
      </c>
      <c r="O30" s="171">
        <f>IF(O3-$F$3&gt;0, IF(K7&lt;&gt;"",$E$7,0), 0)</f>
        <v/>
      </c>
      <c r="P30" s="171">
        <f>IF(P3-$F$3&gt;0, IF(K7&lt;&gt;"",$E$7,0), 0)</f>
        <v/>
      </c>
      <c r="Q30" s="171">
        <f>IF(Q3-$F$3&gt;0, IF(K7&lt;&gt;"",$E$7,0), 0)</f>
        <v/>
      </c>
      <c r="R30" s="171">
        <f>IF(R3-$F$3&gt;0, IF(K7&lt;&gt;"",$E$7,0), 0)</f>
        <v/>
      </c>
      <c r="S30" s="171">
        <f>IF(S3-$F$3&gt;0, IF(K7&lt;&gt;"",$E$7,0), 0)</f>
        <v/>
      </c>
      <c r="T30" s="171">
        <f>IF(T3-$F$3&gt;0, IF(K7&lt;&gt;"",$E$7,0), 0)</f>
        <v/>
      </c>
      <c r="U30" s="171">
        <f>IF(U3-$F$3&gt;0, IF(K7&lt;&gt;"",$E$7,0), 0)</f>
        <v/>
      </c>
      <c r="V30" s="171">
        <f>IF(V3-$F$3&gt;0, IF(K7&lt;&gt;"",$E$7,0), 0)</f>
        <v/>
      </c>
      <c r="W30" s="171">
        <f>IF(W3-$F$3&gt;0, IF(K7&lt;&gt;"",$E$7,0), 0)</f>
        <v/>
      </c>
      <c r="X30" s="171">
        <f>IF(X3-$F$3&gt;0, IF(K7&lt;&gt;"",$E$7,0), 0)</f>
        <v/>
      </c>
      <c r="Y30" s="171">
        <f>IF(Y3-$F$3&gt;0, IF(K7&lt;&gt;"",$E$7,0), 0)</f>
        <v/>
      </c>
      <c r="Z30" s="171">
        <f>IF(Z3-$F$3&gt;0, IF(K7&lt;&gt;"",$E$7,0), 0)</f>
        <v/>
      </c>
      <c r="AA30" s="171">
        <f>IF(AA3-$F$3&gt;0, IF(K7&lt;&gt;"",$E$7,0), 0)</f>
        <v/>
      </c>
      <c r="AB30" s="171">
        <f>IF(AB3-$F$3&gt;0, IF(K7&lt;&gt;"",$E$7,0), 0)</f>
        <v/>
      </c>
    </row>
    <row r="31">
      <c r="A31" s="7" t="inlineStr">
        <is>
          <t>1.1.3</t>
        </is>
      </c>
      <c r="B31" s="92" t="inlineStr">
        <is>
          <t>软件及其他无形资产</t>
        </is>
      </c>
      <c r="C31" s="194" t="inlineStr"/>
      <c r="D31" s="12" t="inlineStr"/>
      <c r="E31" s="177" t="inlineStr"/>
      <c r="F31" s="171">
        <f>IF(F3-$F$3&gt;0, IF(F8&lt;&gt;"",$E$8,0), 0)</f>
        <v/>
      </c>
      <c r="G31" s="171">
        <f>IF(G3-$F$3&gt;0, IF(G8&lt;&gt;"",$E$8,0), 0)</f>
        <v/>
      </c>
      <c r="H31" s="171">
        <f>IF(H3-$F$3&gt;0, IF(H8&lt;&gt;"",$E$8,0), 0)</f>
        <v/>
      </c>
      <c r="I31" s="171">
        <f>IF(I3-$F$3&gt;0, IF(I8&lt;&gt;"",$E$8,0), 0)</f>
        <v/>
      </c>
      <c r="J31" s="171">
        <f>IF(J3-$F$3&gt;0, IF(J8&lt;&gt;"",$E$8,0), 0)</f>
        <v/>
      </c>
      <c r="K31" s="171">
        <f>IF(K3-$F$3&gt;0, IF(K8&lt;&gt;"",$E$8,0), 0)</f>
        <v/>
      </c>
      <c r="L31" s="171">
        <f>IF(L3-$F$3&gt;0, IF(K8&lt;&gt;"",$E$8,0), 0)</f>
        <v/>
      </c>
      <c r="M31" s="171">
        <f>IF(M3-$F$3&gt;0, IF(K8&lt;&gt;"",$E$8,0), 0)</f>
        <v/>
      </c>
      <c r="N31" s="171">
        <f>IF(N3-$F$3&gt;0, IF(K8&lt;&gt;"",$E$8,0), 0)</f>
        <v/>
      </c>
      <c r="O31" s="171">
        <f>IF(O3-$F$3&gt;0, IF(K8&lt;&gt;"",$E$8,0), 0)</f>
        <v/>
      </c>
      <c r="P31" s="171">
        <f>IF(P3-$F$3&gt;0, IF(K8&lt;&gt;"",$E$8,0), 0)</f>
        <v/>
      </c>
      <c r="Q31" s="171">
        <f>IF(Q3-$F$3&gt;0, IF(K8&lt;&gt;"",$E$8,0), 0)</f>
        <v/>
      </c>
      <c r="R31" s="171">
        <f>IF(R3-$F$3&gt;0, IF(K8&lt;&gt;"",$E$8,0), 0)</f>
        <v/>
      </c>
      <c r="S31" s="171">
        <f>IF(S3-$F$3&gt;0, IF(K8&lt;&gt;"",$E$8,0), 0)</f>
        <v/>
      </c>
      <c r="T31" s="171">
        <f>IF(T3-$F$3&gt;0, IF(K8&lt;&gt;"",$E$8,0), 0)</f>
        <v/>
      </c>
      <c r="U31" s="171">
        <f>IF(U3-$F$3&gt;0, IF(K8&lt;&gt;"",$E$8,0), 0)</f>
        <v/>
      </c>
      <c r="V31" s="171">
        <f>IF(V3-$F$3&gt;0, IF(K8&lt;&gt;"",$E$8,0), 0)</f>
        <v/>
      </c>
      <c r="W31" s="171">
        <f>IF(W3-$F$3&gt;0, IF(K8&lt;&gt;"",$E$8,0), 0)</f>
        <v/>
      </c>
      <c r="X31" s="171">
        <f>IF(X3-$F$3&gt;0, IF(K8&lt;&gt;"",$E$8,0), 0)</f>
        <v/>
      </c>
      <c r="Y31" s="171">
        <f>IF(Y3-$F$3&gt;0, IF(K8&lt;&gt;"",$E$8,0), 0)</f>
        <v/>
      </c>
      <c r="Z31" s="171">
        <f>IF(Z3-$F$3&gt;0, IF(K8&lt;&gt;"",$E$8,0), 0)</f>
        <v/>
      </c>
      <c r="AA31" s="171">
        <f>IF(AA3-$F$3&gt;0, IF(K8&lt;&gt;"",$E$8,0), 0)</f>
        <v/>
      </c>
      <c r="AB31" s="171">
        <f>IF(AB3-$F$3&gt;0, IF(K8&lt;&gt;"",$E$8,0), 0)</f>
        <v/>
      </c>
    </row>
    <row r="32">
      <c r="A32" s="7" t="inlineStr">
        <is>
          <t>1.2</t>
        </is>
      </c>
      <c r="B32" s="7" t="inlineStr">
        <is>
          <t>其他资产</t>
        </is>
      </c>
      <c r="C32" s="177" t="inlineStr"/>
      <c r="D32" s="122" t="inlineStr"/>
      <c r="E32" s="177" t="inlineStr"/>
      <c r="F32" s="171">
        <f>F33</f>
        <v/>
      </c>
      <c r="G32" s="171">
        <f>G33</f>
        <v/>
      </c>
      <c r="H32" s="171">
        <f>H33</f>
        <v/>
      </c>
      <c r="I32" s="171">
        <f>I33</f>
        <v/>
      </c>
      <c r="J32" s="171">
        <f>J33</f>
        <v/>
      </c>
      <c r="K32" s="171">
        <f>K33</f>
        <v/>
      </c>
      <c r="L32" s="171">
        <f>L33</f>
        <v/>
      </c>
      <c r="M32" s="171">
        <f>M33</f>
        <v/>
      </c>
      <c r="N32" s="171">
        <f>N33</f>
        <v/>
      </c>
      <c r="O32" s="171">
        <f>O33</f>
        <v/>
      </c>
      <c r="P32" s="171">
        <f>P33</f>
        <v/>
      </c>
      <c r="Q32" s="171">
        <f>Q33</f>
        <v/>
      </c>
      <c r="R32" s="171">
        <f>R33</f>
        <v/>
      </c>
      <c r="S32" s="171">
        <f>S33</f>
        <v/>
      </c>
      <c r="T32" s="171">
        <f>T33</f>
        <v/>
      </c>
      <c r="U32" s="171">
        <f>U33</f>
        <v/>
      </c>
      <c r="V32" s="171">
        <f>V33</f>
        <v/>
      </c>
      <c r="W32" s="171">
        <f>W33</f>
        <v/>
      </c>
      <c r="X32" s="171">
        <f>X33</f>
        <v/>
      </c>
      <c r="Y32" s="171">
        <f>Y33</f>
        <v/>
      </c>
      <c r="Z32" s="171">
        <f>Z33</f>
        <v/>
      </c>
      <c r="AA32" s="171">
        <f>AA33</f>
        <v/>
      </c>
      <c r="AB32" s="171">
        <f>AB33</f>
        <v/>
      </c>
    </row>
    <row r="33">
      <c r="A33" s="7" t="inlineStr">
        <is>
          <t>1.2.1</t>
        </is>
      </c>
      <c r="B33" s="7" t="inlineStr">
        <is>
          <t>项目开办费</t>
        </is>
      </c>
      <c r="C33" s="169" t="inlineStr"/>
      <c r="D33" s="12" t="inlineStr"/>
      <c r="E33" s="177" t="inlineStr"/>
      <c r="F33" s="171">
        <f>IF(F3-$F$3&gt;0, IF(F10&lt;&gt;"",$E$10,0), 0)</f>
        <v/>
      </c>
      <c r="G33" s="171">
        <f>IF(G3-$F$3&gt;0, IF(G10&lt;&gt;"",$E$10,0), 0)</f>
        <v/>
      </c>
      <c r="H33" s="171">
        <f>IF(H3-$F$3&gt;0, IF(H10&lt;&gt;"",$E$10,0), 0)</f>
        <v/>
      </c>
      <c r="I33" s="171">
        <f>IF(I3-$F$3&gt;0, IF(I10&lt;&gt;"",$E$10,0), 0)</f>
        <v/>
      </c>
      <c r="J33" s="171">
        <f>IF(J3-$F$3&gt;0, IF(J10&lt;&gt;"",$E$10,0), 0)</f>
        <v/>
      </c>
      <c r="K33" s="171">
        <f>IF(K3-$F$3&gt;0, IF(K10&lt;&gt;"",$E$10,0), 0)</f>
        <v/>
      </c>
      <c r="L33" s="171">
        <f>IF(L3-$F$3&gt;0, IF(K10&lt;&gt;"",$E$10,0), 0)</f>
        <v/>
      </c>
      <c r="M33" s="171">
        <f>IF(M3-$F$3&gt;0, IF(K10&lt;&gt;"",$E$10,0), 0)</f>
        <v/>
      </c>
      <c r="N33" s="171">
        <f>IF(N3-$F$3&gt;0, IF(K10&lt;&gt;"",$E$10,0), 0)</f>
        <v/>
      </c>
      <c r="O33" s="171">
        <f>IF(O3-$F$3&gt;0, IF(K10&lt;&gt;"",$E$10,0), 0)</f>
        <v/>
      </c>
      <c r="P33" s="171">
        <f>IF(P3-$F$3&gt;0, IF(K10&lt;&gt;"",$E$10,0), 0)</f>
        <v/>
      </c>
      <c r="Q33" s="171">
        <f>IF(Q3-$F$3&gt;0, IF(K10&lt;&gt;"",$E$10,0), 0)</f>
        <v/>
      </c>
      <c r="R33" s="171">
        <f>IF(R3-$F$3&gt;0, IF(K10&lt;&gt;"",$E$10,0), 0)</f>
        <v/>
      </c>
      <c r="S33" s="171">
        <f>IF(S3-$F$3&gt;0, IF(K10&lt;&gt;"",$E$10,0), 0)</f>
        <v/>
      </c>
      <c r="T33" s="171">
        <f>IF(T3-$F$3&gt;0, IF(K10&lt;&gt;"",$E$10,0), 0)</f>
        <v/>
      </c>
      <c r="U33" s="171">
        <f>IF(U3-$F$3&gt;0, IF(K10&lt;&gt;"",$E$10,0), 0)</f>
        <v/>
      </c>
      <c r="V33" s="171">
        <f>IF(V3-$F$3&gt;0, IF(K10&lt;&gt;"",$E$10,0), 0)</f>
        <v/>
      </c>
      <c r="W33" s="171">
        <f>IF(W3-$F$3&gt;0, IF(K10&lt;&gt;"",$E$10,0), 0)</f>
        <v/>
      </c>
      <c r="X33" s="171">
        <f>IF(X3-$F$3&gt;0, IF(K10&lt;&gt;"",$E$10,0), 0)</f>
        <v/>
      </c>
      <c r="Y33" s="171">
        <f>IF(Y3-$F$3&gt;0, IF(K10&lt;&gt;"",$E$10,0), 0)</f>
        <v/>
      </c>
      <c r="Z33" s="171">
        <f>IF(Z3-$F$3&gt;0, IF(K10&lt;&gt;"",$E$10,0), 0)</f>
        <v/>
      </c>
      <c r="AA33" s="171">
        <f>IF(AA3-$F$3&gt;0, IF(K10&lt;&gt;"",$E$10,0), 0)</f>
        <v/>
      </c>
      <c r="AB33" s="171">
        <f>IF(AB3-$F$3&gt;0, IF(K10&lt;&gt;"",$E$10,0), 0)</f>
        <v/>
      </c>
    </row>
    <row r="34">
      <c r="A34" s="10" t="inlineStr">
        <is>
          <t>建设期2</t>
        </is>
      </c>
      <c r="B34" s="114" t="inlineStr">
        <is>
          <t>合计2</t>
        </is>
      </c>
      <c r="C34" s="177" t="inlineStr"/>
      <c r="D34" s="7" t="inlineStr"/>
      <c r="E34" s="177" t="inlineStr"/>
      <c r="F34" s="193">
        <f>F35+F39</f>
        <v/>
      </c>
      <c r="G34" s="193">
        <f>G35+G39</f>
        <v/>
      </c>
      <c r="H34" s="193">
        <f>H35+H39</f>
        <v/>
      </c>
      <c r="I34" s="193">
        <f>I35+I39</f>
        <v/>
      </c>
      <c r="J34" s="193">
        <f>J35+J39</f>
        <v/>
      </c>
      <c r="K34" s="193">
        <f>K35+K39</f>
        <v/>
      </c>
      <c r="L34" s="193">
        <f>L35+L39</f>
        <v/>
      </c>
      <c r="M34" s="193">
        <f>M35+M39</f>
        <v/>
      </c>
      <c r="N34" s="193">
        <f>N35+N39</f>
        <v/>
      </c>
      <c r="O34" s="193">
        <f>O35+O39</f>
        <v/>
      </c>
      <c r="P34" s="193">
        <f>P35+P39</f>
        <v/>
      </c>
      <c r="Q34" s="193">
        <f>Q35+Q39</f>
        <v/>
      </c>
      <c r="R34" s="193">
        <f>R35+R39</f>
        <v/>
      </c>
      <c r="S34" s="193">
        <f>S35+S39</f>
        <v/>
      </c>
      <c r="T34" s="193">
        <f>T35+T39</f>
        <v/>
      </c>
      <c r="U34" s="193">
        <f>U35+U39</f>
        <v/>
      </c>
      <c r="V34" s="193">
        <f>V35+V39</f>
        <v/>
      </c>
      <c r="W34" s="193">
        <f>W35+W39</f>
        <v/>
      </c>
      <c r="X34" s="193">
        <f>X35+X39</f>
        <v/>
      </c>
      <c r="Y34" s="193">
        <f>Y35+Y39</f>
        <v/>
      </c>
      <c r="Z34" s="193">
        <f>Z35+Z39</f>
        <v/>
      </c>
      <c r="AA34" s="193">
        <f>AA35+AA39</f>
        <v/>
      </c>
      <c r="AB34" s="193">
        <f>AB35+AB39</f>
        <v/>
      </c>
    </row>
    <row r="35">
      <c r="A35" s="7" t="inlineStr">
        <is>
          <t>2.1</t>
        </is>
      </c>
      <c r="B35" s="7" t="inlineStr">
        <is>
          <t>无形资产</t>
        </is>
      </c>
      <c r="C35" s="177" t="inlineStr"/>
      <c r="D35" s="7" t="inlineStr"/>
      <c r="E35" s="177" t="inlineStr"/>
      <c r="F35" s="171">
        <f>SUM(F36:F38)</f>
        <v/>
      </c>
      <c r="G35" s="171">
        <f>SUM(G36:G38)</f>
        <v/>
      </c>
      <c r="H35" s="171">
        <f>SUM(H36:H38)</f>
        <v/>
      </c>
      <c r="I35" s="171">
        <f>SUM(I36:I38)</f>
        <v/>
      </c>
      <c r="J35" s="171">
        <f>SUM(J36:J38)</f>
        <v/>
      </c>
      <c r="K35" s="171">
        <f>SUM(K36:K38)</f>
        <v/>
      </c>
      <c r="L35" s="171">
        <f>SUM(L36:L38)</f>
        <v/>
      </c>
      <c r="M35" s="171">
        <f>SUM(M36:M38)</f>
        <v/>
      </c>
      <c r="N35" s="171">
        <f>SUM(N36:N38)</f>
        <v/>
      </c>
      <c r="O35" s="171">
        <f>SUM(O36:O38)</f>
        <v/>
      </c>
      <c r="P35" s="171">
        <f>SUM(P36:P38)</f>
        <v/>
      </c>
      <c r="Q35" s="171">
        <f>SUM(Q36:Q38)</f>
        <v/>
      </c>
      <c r="R35" s="171">
        <f>SUM(R36:R38)</f>
        <v/>
      </c>
      <c r="S35" s="171">
        <f>SUM(S36:S38)</f>
        <v/>
      </c>
      <c r="T35" s="171">
        <f>SUM(T36:T38)</f>
        <v/>
      </c>
      <c r="U35" s="171">
        <f>SUM(U36:U38)</f>
        <v/>
      </c>
      <c r="V35" s="171">
        <f>SUM(V36:V38)</f>
        <v/>
      </c>
      <c r="W35" s="171">
        <f>SUM(W36:W38)</f>
        <v/>
      </c>
      <c r="X35" s="171">
        <f>SUM(X36:X38)</f>
        <v/>
      </c>
      <c r="Y35" s="171">
        <f>SUM(Y36:Y38)</f>
        <v/>
      </c>
      <c r="Z35" s="171">
        <f>SUM(Z36:Z38)</f>
        <v/>
      </c>
      <c r="AA35" s="171">
        <f>SUM(AA36:AA38)</f>
        <v/>
      </c>
      <c r="AB35" s="171">
        <f>SUM(AB36:AB38)</f>
        <v/>
      </c>
    </row>
    <row r="36">
      <c r="A36" s="7" t="inlineStr">
        <is>
          <t>2.1.1</t>
        </is>
      </c>
      <c r="B36" s="7" t="inlineStr">
        <is>
          <t>土地使用权</t>
        </is>
      </c>
      <c r="C36" s="169" t="inlineStr"/>
      <c r="D36" s="12" t="inlineStr"/>
      <c r="E36" s="177" t="inlineStr"/>
      <c r="F36" s="171">
        <f>IF(F3-$G$3&gt;0, IF(F13&lt;&gt;"",$E$13,0), 0)</f>
        <v/>
      </c>
      <c r="G36" s="171">
        <f>IF(G3-$G$3&gt;0, IF(G13&lt;&gt;"",$E$13,0), 0)</f>
        <v/>
      </c>
      <c r="H36" s="171">
        <f>IF(H3-$G$3&gt;0, IF(H13&lt;&gt;"",$E$13,0), 0)</f>
        <v/>
      </c>
      <c r="I36" s="171">
        <f>IF(I3-$G$3&gt;0, IF(I13&lt;&gt;"",$E$13,0), 0)</f>
        <v/>
      </c>
      <c r="J36" s="171">
        <f>IF(J3-$G$3&gt;0, IF(J13&lt;&gt;"",$E$13,0), 0)</f>
        <v/>
      </c>
      <c r="K36" s="171">
        <f>IF(K3-$G$3&gt;0, IF(K13&lt;&gt;"",$E$13,0), 0)</f>
        <v/>
      </c>
      <c r="L36" s="171">
        <f>IF(L3-$G$3&gt;0, IF(K13&lt;&gt;"",$E$13,0), 0)</f>
        <v/>
      </c>
      <c r="M36" s="171">
        <f>IF(M3-$G$3&gt;0, IF(K13&lt;&gt;"",$E$13,0), 0)</f>
        <v/>
      </c>
      <c r="N36" s="171">
        <f>IF(N3-$G$3&gt;0, IF(K13&lt;&gt;"",$E$13,0), 0)</f>
        <v/>
      </c>
      <c r="O36" s="171">
        <f>IF(O3-$G$3&gt;0, IF(K13&lt;&gt;"",$E$13,0), 0)</f>
        <v/>
      </c>
      <c r="P36" s="171">
        <f>IF(P3-$G$3&gt;0, IF(K13&lt;&gt;"",$E$13,0), 0)</f>
        <v/>
      </c>
      <c r="Q36" s="171">
        <f>IF(Q3-$G$3&gt;0, IF(K13&lt;&gt;"",$E$13,0), 0)</f>
        <v/>
      </c>
      <c r="R36" s="171">
        <f>IF(R3-$G$3&gt;0, IF(K13&lt;&gt;"",$E$13,0), 0)</f>
        <v/>
      </c>
      <c r="S36" s="171">
        <f>IF(S3-$G$3&gt;0, IF(K13&lt;&gt;"",$E$13,0), 0)</f>
        <v/>
      </c>
      <c r="T36" s="171">
        <f>IF(T3-$G$3&gt;0, IF(K13&lt;&gt;"",$E$13,0), 0)</f>
        <v/>
      </c>
      <c r="U36" s="171">
        <f>IF(U3-$G$3&gt;0, IF(K13&lt;&gt;"",$E$13,0), 0)</f>
        <v/>
      </c>
      <c r="V36" s="171">
        <f>IF(V3-$G$3&gt;0, IF(K13&lt;&gt;"",$E$13,0), 0)</f>
        <v/>
      </c>
      <c r="W36" s="171">
        <f>IF(W3-$G$3&gt;0, IF(K13&lt;&gt;"",$E$13,0), 0)</f>
        <v/>
      </c>
      <c r="X36" s="171">
        <f>IF(X3-$G$3&gt;0, IF(K13&lt;&gt;"",$E$13,0), 0)</f>
        <v/>
      </c>
      <c r="Y36" s="171">
        <f>IF(Y3-$G$3&gt;0, IF(K13&lt;&gt;"",$E$13,0), 0)</f>
        <v/>
      </c>
      <c r="Z36" s="171">
        <f>IF(Z3-$G$3&gt;0, IF(K13&lt;&gt;"",$E$13,0), 0)</f>
        <v/>
      </c>
      <c r="AA36" s="171">
        <f>IF(AA3-$G$3&gt;0, IF(K13&lt;&gt;"",$E$13,0), 0)</f>
        <v/>
      </c>
      <c r="AB36" s="171">
        <f>IF(AB3-$G$3&gt;0, IF(K13&lt;&gt;"",$E$13,0), 0)</f>
        <v/>
      </c>
    </row>
    <row r="37">
      <c r="A37" s="7" t="inlineStr">
        <is>
          <t>2.1.2</t>
        </is>
      </c>
      <c r="B37" s="7" t="inlineStr">
        <is>
          <t>专利技术</t>
        </is>
      </c>
      <c r="C37" s="169" t="inlineStr"/>
      <c r="D37" s="12" t="inlineStr"/>
      <c r="E37" s="177" t="inlineStr"/>
      <c r="F37" s="171">
        <f>IF(F3-$G$3&gt;0, IF(F14&lt;&gt;"",$E$14,0), 0)</f>
        <v/>
      </c>
      <c r="G37" s="171">
        <f>IF(G3-$G$3&gt;0, IF(G14&lt;&gt;"",$E$14,0), 0)</f>
        <v/>
      </c>
      <c r="H37" s="171">
        <f>IF(H3-$G$3&gt;0, IF(H14&lt;&gt;"",$E$14,0), 0)</f>
        <v/>
      </c>
      <c r="I37" s="171">
        <f>IF(I3-$G$3&gt;0, IF(I14&lt;&gt;"",$E$14,0), 0)</f>
        <v/>
      </c>
      <c r="J37" s="171">
        <f>IF(J3-$G$3&gt;0, IF(J14&lt;&gt;"",$E$14,0), 0)</f>
        <v/>
      </c>
      <c r="K37" s="171">
        <f>IF(K3-$G$3&gt;0, IF(K14&lt;&gt;"",$E$14,0), 0)</f>
        <v/>
      </c>
      <c r="L37" s="171">
        <f>IF(L3-$G$3&gt;0, IF(K14&lt;&gt;"",$E$14,0), 0)</f>
        <v/>
      </c>
      <c r="M37" s="171">
        <f>IF(M3-$G$3&gt;0, IF(K14&lt;&gt;"",$E$14,0), 0)</f>
        <v/>
      </c>
      <c r="N37" s="171">
        <f>IF(N3-$G$3&gt;0, IF(K14&lt;&gt;"",$E$14,0), 0)</f>
        <v/>
      </c>
      <c r="O37" s="171">
        <f>IF(O3-$G$3&gt;0, IF(K14&lt;&gt;"",$E$14,0), 0)</f>
        <v/>
      </c>
      <c r="P37" s="171">
        <f>IF(P3-$G$3&gt;0, IF(K14&lt;&gt;"",$E$14,0), 0)</f>
        <v/>
      </c>
      <c r="Q37" s="171">
        <f>IF(Q3-$G$3&gt;0, IF(K14&lt;&gt;"",$E$14,0), 0)</f>
        <v/>
      </c>
      <c r="R37" s="171">
        <f>IF(R3-$G$3&gt;0, IF(K14&lt;&gt;"",$E$14,0), 0)</f>
        <v/>
      </c>
      <c r="S37" s="171">
        <f>IF(S3-$G$3&gt;0, IF(K14&lt;&gt;"",$E$14,0), 0)</f>
        <v/>
      </c>
      <c r="T37" s="171">
        <f>IF(T3-$G$3&gt;0, IF(K14&lt;&gt;"",$E$14,0), 0)</f>
        <v/>
      </c>
      <c r="U37" s="171">
        <f>IF(U3-$G$3&gt;0, IF(K14&lt;&gt;"",$E$14,0), 0)</f>
        <v/>
      </c>
      <c r="V37" s="171">
        <f>IF(V3-$G$3&gt;0, IF(K14&lt;&gt;"",$E$14,0), 0)</f>
        <v/>
      </c>
      <c r="W37" s="171">
        <f>IF(W3-$G$3&gt;0, IF(K14&lt;&gt;"",$E$14,0), 0)</f>
        <v/>
      </c>
      <c r="X37" s="171">
        <f>IF(X3-$G$3&gt;0, IF(K14&lt;&gt;"",$E$14,0), 0)</f>
        <v/>
      </c>
      <c r="Y37" s="171">
        <f>IF(Y3-$G$3&gt;0, IF(K14&lt;&gt;"",$E$14,0), 0)</f>
        <v/>
      </c>
      <c r="Z37" s="171">
        <f>IF(Z3-$G$3&gt;0, IF(K14&lt;&gt;"",$E$14,0), 0)</f>
        <v/>
      </c>
      <c r="AA37" s="171">
        <f>IF(AA3-$G$3&gt;0, IF(K14&lt;&gt;"",$E$14,0), 0)</f>
        <v/>
      </c>
      <c r="AB37" s="171">
        <f>IF(AB3-$G$3&gt;0, IF(K14&lt;&gt;"",$E$14,0), 0)</f>
        <v/>
      </c>
    </row>
    <row r="38">
      <c r="A38" s="7" t="inlineStr">
        <is>
          <t>2.1.3</t>
        </is>
      </c>
      <c r="B38" s="92" t="inlineStr">
        <is>
          <t>软件及其他无形资产</t>
        </is>
      </c>
      <c r="C38" s="169" t="inlineStr"/>
      <c r="D38" s="12" t="inlineStr"/>
      <c r="E38" s="177" t="inlineStr"/>
      <c r="F38" s="171">
        <f>IF(F3-$G$3&gt;0, IF(F15&lt;&gt;"",$E$15,0), 0)</f>
        <v/>
      </c>
      <c r="G38" s="171">
        <f>IF(G3-$G$3&gt;0, IF(G15&lt;&gt;"",$E$15,0), 0)</f>
        <v/>
      </c>
      <c r="H38" s="171">
        <f>IF(H3-$G$3&gt;0, IF(H15&lt;&gt;"",$E$15,0), 0)</f>
        <v/>
      </c>
      <c r="I38" s="171">
        <f>IF(I3-$G$3&gt;0, IF(I15&lt;&gt;"",$E$15,0), 0)</f>
        <v/>
      </c>
      <c r="J38" s="171">
        <f>IF(J3-$G$3&gt;0, IF(J15&lt;&gt;"",$E$15,0), 0)</f>
        <v/>
      </c>
      <c r="K38" s="171">
        <f>IF(K3-$G$3&gt;0, IF(K15&lt;&gt;"",$E$15,0), 0)</f>
        <v/>
      </c>
      <c r="L38" s="171">
        <f>IF(L3-$G$3&gt;0, IF(K15&lt;&gt;"",$E$15,0), 0)</f>
        <v/>
      </c>
      <c r="M38" s="171">
        <f>IF(M3-$G$3&gt;0, IF(K15&lt;&gt;"",$E$15,0), 0)</f>
        <v/>
      </c>
      <c r="N38" s="171">
        <f>IF(N3-$G$3&gt;0, IF(K15&lt;&gt;"",$E$15,0), 0)</f>
        <v/>
      </c>
      <c r="O38" s="171">
        <f>IF(O3-$G$3&gt;0, IF(K15&lt;&gt;"",$E$15,0), 0)</f>
        <v/>
      </c>
      <c r="P38" s="171">
        <f>IF(P3-$G$3&gt;0, IF(K15&lt;&gt;"",$E$15,0), 0)</f>
        <v/>
      </c>
      <c r="Q38" s="171">
        <f>IF(Q3-$G$3&gt;0, IF(K15&lt;&gt;"",$E$15,0), 0)</f>
        <v/>
      </c>
      <c r="R38" s="171">
        <f>IF(R3-$G$3&gt;0, IF(K15&lt;&gt;"",$E$15,0), 0)</f>
        <v/>
      </c>
      <c r="S38" s="171">
        <f>IF(S3-$G$3&gt;0, IF(K15&lt;&gt;"",$E$15,0), 0)</f>
        <v/>
      </c>
      <c r="T38" s="171">
        <f>IF(T3-$G$3&gt;0, IF(K15&lt;&gt;"",$E$15,0), 0)</f>
        <v/>
      </c>
      <c r="U38" s="171">
        <f>IF(U3-$G$3&gt;0, IF(K15&lt;&gt;"",$E$15,0), 0)</f>
        <v/>
      </c>
      <c r="V38" s="171">
        <f>IF(V3-$G$3&gt;0, IF(K15&lt;&gt;"",$E$15,0), 0)</f>
        <v/>
      </c>
      <c r="W38" s="171">
        <f>IF(W3-$G$3&gt;0, IF(K15&lt;&gt;"",$E$15,0), 0)</f>
        <v/>
      </c>
      <c r="X38" s="171">
        <f>IF(X3-$G$3&gt;0, IF(K15&lt;&gt;"",$E$15,0), 0)</f>
        <v/>
      </c>
      <c r="Y38" s="171">
        <f>IF(Y3-$G$3&gt;0, IF(K15&lt;&gt;"",$E$15,0), 0)</f>
        <v/>
      </c>
      <c r="Z38" s="171">
        <f>IF(Z3-$G$3&gt;0, IF(K15&lt;&gt;"",$E$15,0), 0)</f>
        <v/>
      </c>
      <c r="AA38" s="171">
        <f>IF(AA3-$G$3&gt;0, IF(K15&lt;&gt;"",$E$15,0), 0)</f>
        <v/>
      </c>
      <c r="AB38" s="171">
        <f>IF(AB3-$G$3&gt;0, IF(K15&lt;&gt;"",$E$15,0), 0)</f>
        <v/>
      </c>
    </row>
    <row r="39">
      <c r="A39" s="7" t="inlineStr">
        <is>
          <t>2.2</t>
        </is>
      </c>
      <c r="B39" s="7" t="inlineStr">
        <is>
          <t>其他资产</t>
        </is>
      </c>
      <c r="C39" s="177" t="inlineStr"/>
      <c r="D39" s="12" t="inlineStr"/>
      <c r="E39" s="177" t="inlineStr"/>
      <c r="F39" s="171">
        <f>F40</f>
        <v/>
      </c>
      <c r="G39" s="171">
        <f>G40</f>
        <v/>
      </c>
      <c r="H39" s="171">
        <f>H40</f>
        <v/>
      </c>
      <c r="I39" s="171">
        <f>I40</f>
        <v/>
      </c>
      <c r="J39" s="171">
        <f>J40</f>
        <v/>
      </c>
      <c r="K39" s="171">
        <f>K40</f>
        <v/>
      </c>
      <c r="L39" s="171">
        <f>L40</f>
        <v/>
      </c>
      <c r="M39" s="171">
        <f>M40</f>
        <v/>
      </c>
      <c r="N39" s="171">
        <f>N40</f>
        <v/>
      </c>
      <c r="O39" s="171">
        <f>O40</f>
        <v/>
      </c>
      <c r="P39" s="171">
        <f>P40</f>
        <v/>
      </c>
      <c r="Q39" s="171">
        <f>Q40</f>
        <v/>
      </c>
      <c r="R39" s="171">
        <f>R40</f>
        <v/>
      </c>
      <c r="S39" s="171">
        <f>S40</f>
        <v/>
      </c>
      <c r="T39" s="171">
        <f>T40</f>
        <v/>
      </c>
      <c r="U39" s="171">
        <f>U40</f>
        <v/>
      </c>
      <c r="V39" s="171">
        <f>V40</f>
        <v/>
      </c>
      <c r="W39" s="171">
        <f>W40</f>
        <v/>
      </c>
      <c r="X39" s="171">
        <f>X40</f>
        <v/>
      </c>
      <c r="Y39" s="171">
        <f>Y40</f>
        <v/>
      </c>
      <c r="Z39" s="171">
        <f>Z40</f>
        <v/>
      </c>
      <c r="AA39" s="171">
        <f>AA40</f>
        <v/>
      </c>
      <c r="AB39" s="171">
        <f>AB40</f>
        <v/>
      </c>
    </row>
    <row r="40">
      <c r="A40" s="7" t="inlineStr">
        <is>
          <t>2.2.1</t>
        </is>
      </c>
      <c r="B40" s="7" t="inlineStr">
        <is>
          <t>项目开办费</t>
        </is>
      </c>
      <c r="C40" s="169" t="inlineStr"/>
      <c r="D40" s="12" t="inlineStr"/>
      <c r="E40" s="177" t="inlineStr"/>
      <c r="F40" s="171">
        <f>IF(F3-$G$3&gt;0, IF(F17&lt;&gt;"",$E$17,0), 0)</f>
        <v/>
      </c>
      <c r="G40" s="171">
        <f>IF(G3-$G$3&gt;0, IF(G17&lt;&gt;"",$E$17,0), 0)</f>
        <v/>
      </c>
      <c r="H40" s="171">
        <f>IF(H3-$G$3&gt;0, IF(H17&lt;&gt;"",$E$17,0), 0)</f>
        <v/>
      </c>
      <c r="I40" s="171">
        <f>IF(I3-$G$3&gt;0, IF(I17&lt;&gt;"",$E$17,0), 0)</f>
        <v/>
      </c>
      <c r="J40" s="171">
        <f>IF(J3-$G$3&gt;0, IF(J17&lt;&gt;"",$E$17,0), 0)</f>
        <v/>
      </c>
      <c r="K40" s="171">
        <f>IF(K3-$G$3&gt;0, IF(K17&lt;&gt;"",$E$17,0), 0)</f>
        <v/>
      </c>
      <c r="L40" s="171">
        <f>IF(L3-$G$3&gt;0, IF(K17&lt;&gt;"",$E$17,0), 0)</f>
        <v/>
      </c>
      <c r="M40" s="171">
        <f>IF(M3-$G$3&gt;0, IF(K17&lt;&gt;"",$E$17,0), 0)</f>
        <v/>
      </c>
      <c r="N40" s="171">
        <f>IF(N3-$G$3&gt;0, IF(K17&lt;&gt;"",$E$17,0), 0)</f>
        <v/>
      </c>
      <c r="O40" s="171">
        <f>IF(O3-$G$3&gt;0, IF(K17&lt;&gt;"",$E$17,0), 0)</f>
        <v/>
      </c>
      <c r="P40" s="171">
        <f>IF(P3-$G$3&gt;0, IF(K17&lt;&gt;"",$E$17,0), 0)</f>
        <v/>
      </c>
      <c r="Q40" s="171">
        <f>IF(Q3-$G$3&gt;0, IF(K17&lt;&gt;"",$E$17,0), 0)</f>
        <v/>
      </c>
      <c r="R40" s="171">
        <f>IF(R3-$G$3&gt;0, IF(K17&lt;&gt;"",$E$17,0), 0)</f>
        <v/>
      </c>
      <c r="S40" s="171">
        <f>IF(S3-$G$3&gt;0, IF(K17&lt;&gt;"",$E$17,0), 0)</f>
        <v/>
      </c>
      <c r="T40" s="171">
        <f>IF(T3-$G$3&gt;0, IF(K17&lt;&gt;"",$E$17,0), 0)</f>
        <v/>
      </c>
      <c r="U40" s="171">
        <f>IF(U3-$G$3&gt;0, IF(K17&lt;&gt;"",$E$17,0), 0)</f>
        <v/>
      </c>
      <c r="V40" s="171">
        <f>IF(V3-$G$3&gt;0, IF(K17&lt;&gt;"",$E$17,0), 0)</f>
        <v/>
      </c>
      <c r="W40" s="171">
        <f>IF(W3-$G$3&gt;0, IF(K17&lt;&gt;"",$E$17,0), 0)</f>
        <v/>
      </c>
      <c r="X40" s="171">
        <f>IF(X3-$G$3&gt;0, IF(K17&lt;&gt;"",$E$17,0), 0)</f>
        <v/>
      </c>
      <c r="Y40" s="171">
        <f>IF(Y3-$G$3&gt;0, IF(K17&lt;&gt;"",$E$17,0), 0)</f>
        <v/>
      </c>
      <c r="Z40" s="171">
        <f>IF(Z3-$G$3&gt;0, IF(K17&lt;&gt;"",$E$17,0), 0)</f>
        <v/>
      </c>
      <c r="AA40" s="171">
        <f>IF(AA3-$G$3&gt;0, IF(K17&lt;&gt;"",$E$17,0), 0)</f>
        <v/>
      </c>
      <c r="AB40" s="171">
        <f>IF(AB3-$G$3&gt;0, IF(K17&lt;&gt;"",$E$17,0), 0)</f>
        <v/>
      </c>
    </row>
    <row r="41">
      <c r="A41" s="10" t="inlineStr">
        <is>
          <t>建设期3</t>
        </is>
      </c>
      <c r="B41" s="114" t="inlineStr">
        <is>
          <t>合计3</t>
        </is>
      </c>
      <c r="C41" s="177" t="inlineStr"/>
      <c r="D41" s="10" t="inlineStr"/>
      <c r="E41" s="177" t="inlineStr"/>
      <c r="F41" s="193">
        <f>F42+F46</f>
        <v/>
      </c>
      <c r="G41" s="193">
        <f>G42+G46</f>
        <v/>
      </c>
      <c r="H41" s="193">
        <f>H42+H46</f>
        <v/>
      </c>
      <c r="I41" s="193">
        <f>I42+I46</f>
        <v/>
      </c>
      <c r="J41" s="193">
        <f>J42+J46</f>
        <v/>
      </c>
      <c r="K41" s="193">
        <f>K42+K46</f>
        <v/>
      </c>
      <c r="L41" s="193">
        <f>L42+L46</f>
        <v/>
      </c>
      <c r="M41" s="193">
        <f>M42+M46</f>
        <v/>
      </c>
      <c r="N41" s="193">
        <f>N42+N46</f>
        <v/>
      </c>
      <c r="O41" s="193">
        <f>O42+O46</f>
        <v/>
      </c>
      <c r="P41" s="193">
        <f>P42+P46</f>
        <v/>
      </c>
      <c r="Q41" s="193">
        <f>Q42+Q46</f>
        <v/>
      </c>
      <c r="R41" s="193">
        <f>R42+R46</f>
        <v/>
      </c>
      <c r="S41" s="193">
        <f>S42+S46</f>
        <v/>
      </c>
      <c r="T41" s="193">
        <f>T42+T46</f>
        <v/>
      </c>
      <c r="U41" s="193">
        <f>U42+U46</f>
        <v/>
      </c>
      <c r="V41" s="193">
        <f>V42+V46</f>
        <v/>
      </c>
      <c r="W41" s="193">
        <f>W42+W46</f>
        <v/>
      </c>
      <c r="X41" s="193">
        <f>X42+X46</f>
        <v/>
      </c>
      <c r="Y41" s="193">
        <f>Y42+Y46</f>
        <v/>
      </c>
      <c r="Z41" s="193">
        <f>Z42+Z46</f>
        <v/>
      </c>
      <c r="AA41" s="193">
        <f>AA42+AA46</f>
        <v/>
      </c>
      <c r="AB41" s="193">
        <f>AB42+AB46</f>
        <v/>
      </c>
    </row>
    <row r="42">
      <c r="A42" s="7" t="inlineStr">
        <is>
          <t>3.1</t>
        </is>
      </c>
      <c r="B42" s="7" t="inlineStr">
        <is>
          <t>无形资产</t>
        </is>
      </c>
      <c r="C42" s="177" t="inlineStr"/>
      <c r="D42" s="123" t="inlineStr"/>
      <c r="E42" s="177" t="inlineStr"/>
      <c r="F42" s="171">
        <f>SUM(F43:F45)</f>
        <v/>
      </c>
      <c r="G42" s="171">
        <f>SUM(G43:G45)</f>
        <v/>
      </c>
      <c r="H42" s="171">
        <f>SUM(H43:H45)</f>
        <v/>
      </c>
      <c r="I42" s="171">
        <f>SUM(I43:I45)</f>
        <v/>
      </c>
      <c r="J42" s="171">
        <f>SUM(J43:J45)</f>
        <v/>
      </c>
      <c r="K42" s="171">
        <f>SUM(K43:K45)</f>
        <v/>
      </c>
      <c r="L42" s="171">
        <f>SUM(L43:L45)</f>
        <v/>
      </c>
      <c r="M42" s="171">
        <f>SUM(M43:M45)</f>
        <v/>
      </c>
      <c r="N42" s="171">
        <f>SUM(N43:N45)</f>
        <v/>
      </c>
      <c r="O42" s="171">
        <f>SUM(O43:O45)</f>
        <v/>
      </c>
      <c r="P42" s="171">
        <f>SUM(P43:P45)</f>
        <v/>
      </c>
      <c r="Q42" s="171">
        <f>SUM(Q43:Q45)</f>
        <v/>
      </c>
      <c r="R42" s="171">
        <f>SUM(R43:R45)</f>
        <v/>
      </c>
      <c r="S42" s="171">
        <f>SUM(S43:S45)</f>
        <v/>
      </c>
      <c r="T42" s="171">
        <f>SUM(T43:T45)</f>
        <v/>
      </c>
      <c r="U42" s="171">
        <f>SUM(U43:U45)</f>
        <v/>
      </c>
      <c r="V42" s="171">
        <f>SUM(V43:V45)</f>
        <v/>
      </c>
      <c r="W42" s="171">
        <f>SUM(W43:W45)</f>
        <v/>
      </c>
      <c r="X42" s="171">
        <f>SUM(X43:X45)</f>
        <v/>
      </c>
      <c r="Y42" s="171">
        <f>SUM(Y43:Y45)</f>
        <v/>
      </c>
      <c r="Z42" s="171">
        <f>SUM(Z43:Z45)</f>
        <v/>
      </c>
      <c r="AA42" s="171">
        <f>SUM(AA43:AA45)</f>
        <v/>
      </c>
      <c r="AB42" s="171">
        <f>SUM(AB43:AB45)</f>
        <v/>
      </c>
    </row>
    <row r="43">
      <c r="A43" s="7" t="inlineStr">
        <is>
          <t>3.1.1</t>
        </is>
      </c>
      <c r="B43" s="7" t="inlineStr">
        <is>
          <t>土地使用权</t>
        </is>
      </c>
      <c r="C43" s="169" t="inlineStr"/>
      <c r="D43" s="12" t="inlineStr"/>
      <c r="E43" s="177" t="inlineStr"/>
      <c r="F43" s="171">
        <f>IF(F3-$H$3&gt;0, IF(F20&lt;&gt;"",$E$20,0), 0)</f>
        <v/>
      </c>
      <c r="G43" s="171">
        <f>IF(G3-$H$3&gt;0, IF(G20&lt;&gt;"",$E$20,0), 0)</f>
        <v/>
      </c>
      <c r="H43" s="171">
        <f>IF(H3-$H$3&gt;0, IF(H20&lt;&gt;"",$E$20,0), 0)</f>
        <v/>
      </c>
      <c r="I43" s="171">
        <f>IF(I3-$H$3&gt;0, IF(I20&lt;&gt;"",$E$20,0), 0)</f>
        <v/>
      </c>
      <c r="J43" s="171">
        <f>IF(J3-$H$3&gt;0, IF(J20&lt;&gt;"",$E$20,0), 0)</f>
        <v/>
      </c>
      <c r="K43" s="171">
        <f>IF(K3-$H$3&gt;0, IF(K20&lt;&gt;"",$E$20,0), 0)</f>
        <v/>
      </c>
      <c r="L43" s="171">
        <f>IF(L3-$H$3&gt;0, IF(K20&lt;&gt;"",$E$20,0), 0)</f>
        <v/>
      </c>
      <c r="M43" s="171">
        <f>IF(M3-$H$3&gt;0, IF(K20&lt;&gt;"",$E$20,0), 0)</f>
        <v/>
      </c>
      <c r="N43" s="171">
        <f>IF(N3-$H$3&gt;0, IF(K20&lt;&gt;"",$E$20,0), 0)</f>
        <v/>
      </c>
      <c r="O43" s="171">
        <f>IF(O3-$H$3&gt;0, IF(K20&lt;&gt;"",$E$20,0), 0)</f>
        <v/>
      </c>
      <c r="P43" s="171">
        <f>IF(P3-$H$3&gt;0, IF(K20&lt;&gt;"",$E$20,0), 0)</f>
        <v/>
      </c>
      <c r="Q43" s="171">
        <f>IF(Q3-$H$3&gt;0, IF(K20&lt;&gt;"",$E$20,0), 0)</f>
        <v/>
      </c>
      <c r="R43" s="171">
        <f>IF(R3-$H$3&gt;0, IF(K20&lt;&gt;"",$E$20,0), 0)</f>
        <v/>
      </c>
      <c r="S43" s="171">
        <f>IF(S3-$H$3&gt;0, IF(K20&lt;&gt;"",$E$20,0), 0)</f>
        <v/>
      </c>
      <c r="T43" s="171">
        <f>IF(T3-$H$3&gt;0, IF(K20&lt;&gt;"",$E$20,0), 0)</f>
        <v/>
      </c>
      <c r="U43" s="171">
        <f>IF(U3-$H$3&gt;0, IF(K20&lt;&gt;"",$E$20,0), 0)</f>
        <v/>
      </c>
      <c r="V43" s="171">
        <f>IF(V3-$H$3&gt;0, IF(K20&lt;&gt;"",$E$20,0), 0)</f>
        <v/>
      </c>
      <c r="W43" s="171">
        <f>IF(W3-$H$3&gt;0, IF(K20&lt;&gt;"",$E$20,0), 0)</f>
        <v/>
      </c>
      <c r="X43" s="171">
        <f>IF(X3-$H$3&gt;0, IF(K20&lt;&gt;"",$E$20,0), 0)</f>
        <v/>
      </c>
      <c r="Y43" s="171">
        <f>IF(Y3-$H$3&gt;0, IF(K20&lt;&gt;"",$E$20,0), 0)</f>
        <v/>
      </c>
      <c r="Z43" s="171">
        <f>IF(Z3-$H$3&gt;0, IF(K20&lt;&gt;"",$E$20,0), 0)</f>
        <v/>
      </c>
      <c r="AA43" s="171">
        <f>IF(AA3-$H$3&gt;0, IF(K20&lt;&gt;"",$E$20,0), 0)</f>
        <v/>
      </c>
      <c r="AB43" s="171">
        <f>IF(AB3-$H$3&gt;0, IF(K20&lt;&gt;"",$E$20,0), 0)</f>
        <v/>
      </c>
    </row>
    <row r="44">
      <c r="A44" s="7" t="inlineStr">
        <is>
          <t>3.1.2</t>
        </is>
      </c>
      <c r="B44" s="7" t="inlineStr">
        <is>
          <t>专利技术</t>
        </is>
      </c>
      <c r="C44" s="169" t="inlineStr"/>
      <c r="D44" s="12" t="inlineStr"/>
      <c r="E44" s="177" t="inlineStr"/>
      <c r="F44" s="171">
        <f>IF(F3-$H$3&gt;0, IF(F21&lt;&gt;"",$E$21,0), 0)</f>
        <v/>
      </c>
      <c r="G44" s="171">
        <f>IF(G3-$H$3&gt;0, IF(G21&lt;&gt;"",$E$21,0), 0)</f>
        <v/>
      </c>
      <c r="H44" s="171">
        <f>IF(H3-$H$3&gt;0, IF(H21&lt;&gt;"",$E$21,0), 0)</f>
        <v/>
      </c>
      <c r="I44" s="171">
        <f>IF(I3-$H$3&gt;0, IF(I21&lt;&gt;"",$E$21,0), 0)</f>
        <v/>
      </c>
      <c r="J44" s="171">
        <f>IF(J3-$H$3&gt;0, IF(J21&lt;&gt;"",$E$21,0), 0)</f>
        <v/>
      </c>
      <c r="K44" s="171">
        <f>IF(K3-$H$3&gt;0, IF(K21&lt;&gt;"",$E$21,0), 0)</f>
        <v/>
      </c>
      <c r="L44" s="171">
        <f>IF(L3-$H$3&gt;0, IF(K21&lt;&gt;"",$E$21,0), 0)</f>
        <v/>
      </c>
      <c r="M44" s="171">
        <f>IF(M3-$H$3&gt;0, IF(K21&lt;&gt;"",$E$21,0), 0)</f>
        <v/>
      </c>
      <c r="N44" s="171">
        <f>IF(N3-$H$3&gt;0, IF(K21&lt;&gt;"",$E$21,0), 0)</f>
        <v/>
      </c>
      <c r="O44" s="171">
        <f>IF(O3-$H$3&gt;0, IF(K21&lt;&gt;"",$E$21,0), 0)</f>
        <v/>
      </c>
      <c r="P44" s="171">
        <f>IF(P3-$H$3&gt;0, IF(K21&lt;&gt;"",$E$21,0), 0)</f>
        <v/>
      </c>
      <c r="Q44" s="171">
        <f>IF(Q3-$H$3&gt;0, IF(K21&lt;&gt;"",$E$21,0), 0)</f>
        <v/>
      </c>
      <c r="R44" s="171">
        <f>IF(R3-$H$3&gt;0, IF(K21&lt;&gt;"",$E$21,0), 0)</f>
        <v/>
      </c>
      <c r="S44" s="171">
        <f>IF(S3-$H$3&gt;0, IF(K21&lt;&gt;"",$E$21,0), 0)</f>
        <v/>
      </c>
      <c r="T44" s="171">
        <f>IF(T3-$H$3&gt;0, IF(K21&lt;&gt;"",$E$21,0), 0)</f>
        <v/>
      </c>
      <c r="U44" s="171">
        <f>IF(U3-$H$3&gt;0, IF(K21&lt;&gt;"",$E$21,0), 0)</f>
        <v/>
      </c>
      <c r="V44" s="171">
        <f>IF(V3-$H$3&gt;0, IF(K21&lt;&gt;"",$E$21,0), 0)</f>
        <v/>
      </c>
      <c r="W44" s="171">
        <f>IF(W3-$H$3&gt;0, IF(K21&lt;&gt;"",$E$21,0), 0)</f>
        <v/>
      </c>
      <c r="X44" s="171">
        <f>IF(X3-$H$3&gt;0, IF(K21&lt;&gt;"",$E$21,0), 0)</f>
        <v/>
      </c>
      <c r="Y44" s="171">
        <f>IF(Y3-$H$3&gt;0, IF(K21&lt;&gt;"",$E$21,0), 0)</f>
        <v/>
      </c>
      <c r="Z44" s="171">
        <f>IF(Z3-$H$3&gt;0, IF(K21&lt;&gt;"",$E$21,0), 0)</f>
        <v/>
      </c>
      <c r="AA44" s="171">
        <f>IF(AA3-$H$3&gt;0, IF(K21&lt;&gt;"",$E$21,0), 0)</f>
        <v/>
      </c>
      <c r="AB44" s="171">
        <f>IF(AB3-$H$3&gt;0, IF(K21&lt;&gt;"",$E$21,0), 0)</f>
        <v/>
      </c>
    </row>
    <row r="45">
      <c r="A45" s="7" t="inlineStr">
        <is>
          <t>3.1.3</t>
        </is>
      </c>
      <c r="B45" s="92" t="inlineStr">
        <is>
          <t>软件及其他无形资产</t>
        </is>
      </c>
      <c r="C45" s="169" t="inlineStr"/>
      <c r="D45" s="12" t="inlineStr"/>
      <c r="E45" s="177" t="inlineStr"/>
      <c r="F45" s="171">
        <f>IF(F3-$H$3&gt;0, IF(F22&lt;&gt;"",$E$22,0), 0)</f>
        <v/>
      </c>
      <c r="G45" s="171">
        <f>IF(G3-$H$3&gt;0, IF(G22&lt;&gt;"",$E$22,0), 0)</f>
        <v/>
      </c>
      <c r="H45" s="171">
        <f>IF(H3-$H$3&gt;0, IF(H22&lt;&gt;"",$E$22,0), 0)</f>
        <v/>
      </c>
      <c r="I45" s="171">
        <f>IF(I3-$H$3&gt;0, IF(I22&lt;&gt;"",$E$22,0), 0)</f>
        <v/>
      </c>
      <c r="J45" s="171">
        <f>IF(J3-$H$3&gt;0, IF(J22&lt;&gt;"",$E$22,0), 0)</f>
        <v/>
      </c>
      <c r="K45" s="171">
        <f>IF(K3-$H$3&gt;0, IF(K22&lt;&gt;"",$E$22,0), 0)</f>
        <v/>
      </c>
      <c r="L45" s="171">
        <f>IF(L3-$H$3&gt;0, IF(K22&lt;&gt;"",$E$22,0), 0)</f>
        <v/>
      </c>
      <c r="M45" s="171">
        <f>IF(M3-$H$3&gt;0, IF(K22&lt;&gt;"",$E$22,0), 0)</f>
        <v/>
      </c>
      <c r="N45" s="171">
        <f>IF(N3-$H$3&gt;0, IF(K22&lt;&gt;"",$E$22,0), 0)</f>
        <v/>
      </c>
      <c r="O45" s="171">
        <f>IF(O3-$H$3&gt;0, IF(K22&lt;&gt;"",$E$22,0), 0)</f>
        <v/>
      </c>
      <c r="P45" s="171">
        <f>IF(P3-$H$3&gt;0, IF(K22&lt;&gt;"",$E$22,0), 0)</f>
        <v/>
      </c>
      <c r="Q45" s="171">
        <f>IF(Q3-$H$3&gt;0, IF(K22&lt;&gt;"",$E$22,0), 0)</f>
        <v/>
      </c>
      <c r="R45" s="171">
        <f>IF(R3-$H$3&gt;0, IF(K22&lt;&gt;"",$E$22,0), 0)</f>
        <v/>
      </c>
      <c r="S45" s="171">
        <f>IF(S3-$H$3&gt;0, IF(K22&lt;&gt;"",$E$22,0), 0)</f>
        <v/>
      </c>
      <c r="T45" s="171">
        <f>IF(T3-$H$3&gt;0, IF(K22&lt;&gt;"",$E$22,0), 0)</f>
        <v/>
      </c>
      <c r="U45" s="171">
        <f>IF(U3-$H$3&gt;0, IF(K22&lt;&gt;"",$E$22,0), 0)</f>
        <v/>
      </c>
      <c r="V45" s="171">
        <f>IF(V3-$H$3&gt;0, IF(K22&lt;&gt;"",$E$22,0), 0)</f>
        <v/>
      </c>
      <c r="W45" s="171">
        <f>IF(W3-$H$3&gt;0, IF(K22&lt;&gt;"",$E$22,0), 0)</f>
        <v/>
      </c>
      <c r="X45" s="171">
        <f>IF(X3-$H$3&gt;0, IF(K22&lt;&gt;"",$E$22,0), 0)</f>
        <v/>
      </c>
      <c r="Y45" s="171">
        <f>IF(Y3-$H$3&gt;0, IF(K22&lt;&gt;"",$E$22,0), 0)</f>
        <v/>
      </c>
      <c r="Z45" s="171">
        <f>IF(Z3-$H$3&gt;0, IF(K22&lt;&gt;"",$E$22,0), 0)</f>
        <v/>
      </c>
      <c r="AA45" s="171">
        <f>IF(AA3-$H$3&gt;0, IF(K22&lt;&gt;"",$E$22,0), 0)</f>
        <v/>
      </c>
      <c r="AB45" s="171">
        <f>IF(AB3-$H$3&gt;0, IF(K22&lt;&gt;"",$E$22,0), 0)</f>
        <v/>
      </c>
    </row>
    <row r="46">
      <c r="A46" s="7" t="inlineStr">
        <is>
          <t>3.2</t>
        </is>
      </c>
      <c r="B46" s="7" t="inlineStr">
        <is>
          <t>其他资产</t>
        </is>
      </c>
      <c r="C46" s="177" t="inlineStr"/>
      <c r="D46" s="12" t="inlineStr"/>
      <c r="E46" s="177" t="inlineStr"/>
      <c r="F46" s="171">
        <f>F47</f>
        <v/>
      </c>
      <c r="G46" s="171">
        <f>G47</f>
        <v/>
      </c>
      <c r="H46" s="171">
        <f>H47</f>
        <v/>
      </c>
      <c r="I46" s="171">
        <f>I47</f>
        <v/>
      </c>
      <c r="J46" s="171">
        <f>J47</f>
        <v/>
      </c>
      <c r="K46" s="171">
        <f>K47</f>
        <v/>
      </c>
      <c r="L46" s="171">
        <f>L47</f>
        <v/>
      </c>
      <c r="M46" s="171">
        <f>M47</f>
        <v/>
      </c>
      <c r="N46" s="171">
        <f>N47</f>
        <v/>
      </c>
      <c r="O46" s="171">
        <f>O47</f>
        <v/>
      </c>
      <c r="P46" s="171">
        <f>P47</f>
        <v/>
      </c>
      <c r="Q46" s="171">
        <f>Q47</f>
        <v/>
      </c>
      <c r="R46" s="171">
        <f>R47</f>
        <v/>
      </c>
      <c r="S46" s="171">
        <f>S47</f>
        <v/>
      </c>
      <c r="T46" s="171">
        <f>T47</f>
        <v/>
      </c>
      <c r="U46" s="171">
        <f>U47</f>
        <v/>
      </c>
      <c r="V46" s="171">
        <f>V47</f>
        <v/>
      </c>
      <c r="W46" s="171">
        <f>W47</f>
        <v/>
      </c>
      <c r="X46" s="171">
        <f>X47</f>
        <v/>
      </c>
      <c r="Y46" s="171">
        <f>Y47</f>
        <v/>
      </c>
      <c r="Z46" s="171">
        <f>Z47</f>
        <v/>
      </c>
      <c r="AA46" s="171">
        <f>AA47</f>
        <v/>
      </c>
      <c r="AB46" s="171">
        <f>AB47</f>
        <v/>
      </c>
    </row>
    <row r="47">
      <c r="A47" s="7" t="inlineStr">
        <is>
          <t>3.2.1</t>
        </is>
      </c>
      <c r="B47" s="7" t="inlineStr">
        <is>
          <t>项目开办费</t>
        </is>
      </c>
      <c r="C47" s="169" t="inlineStr"/>
      <c r="D47" s="12" t="inlineStr"/>
      <c r="E47" s="177" t="inlineStr"/>
      <c r="F47" s="171">
        <f>IF(F3-$H$3&gt;0, IF(F24&lt;&gt;"",$E$24,0), 0)</f>
        <v/>
      </c>
      <c r="G47" s="171">
        <f>IF(G3-$H$3&gt;0, IF(G24&lt;&gt;"",$E$24,0), 0)</f>
        <v/>
      </c>
      <c r="H47" s="171">
        <f>IF(H3-$H$3&gt;0, IF(H24&lt;&gt;"",$E$24,0), 0)</f>
        <v/>
      </c>
      <c r="I47" s="171">
        <f>IF(I3-$H$3&gt;0, IF(I24&lt;&gt;"",$E$24,0), 0)</f>
        <v/>
      </c>
      <c r="J47" s="171">
        <f>IF(J3-$H$3&gt;0, IF(J24&lt;&gt;"",$E$24,0), 0)</f>
        <v/>
      </c>
      <c r="K47" s="171">
        <f>IF(K3-$H$3&gt;0, IF(K24&lt;&gt;"",$E$24,0), 0)</f>
        <v/>
      </c>
      <c r="L47" s="171">
        <f>IF(L3-$H$3&gt;0, IF(K24&lt;&gt;"",$E$24,0), 0)</f>
        <v/>
      </c>
      <c r="M47" s="171">
        <f>IF(M3-$H$3&gt;0, IF(K24&lt;&gt;"",$E$24,0), 0)</f>
        <v/>
      </c>
      <c r="N47" s="171">
        <f>IF(N3-$H$3&gt;0, IF(K24&lt;&gt;"",$E$24,0), 0)</f>
        <v/>
      </c>
      <c r="O47" s="171">
        <f>IF(O3-$H$3&gt;0, IF(K24&lt;&gt;"",$E$24,0), 0)</f>
        <v/>
      </c>
      <c r="P47" s="171">
        <f>IF(P3-$H$3&gt;0, IF(K24&lt;&gt;"",$E$24,0), 0)</f>
        <v/>
      </c>
      <c r="Q47" s="171">
        <f>IF(Q3-$H$3&gt;0, IF(K24&lt;&gt;"",$E$24,0), 0)</f>
        <v/>
      </c>
      <c r="R47" s="171">
        <f>IF(R3-$H$3&gt;0, IF(K24&lt;&gt;"",$E$24,0), 0)</f>
        <v/>
      </c>
      <c r="S47" s="171">
        <f>IF(S3-$H$3&gt;0, IF(K24&lt;&gt;"",$E$24,0), 0)</f>
        <v/>
      </c>
      <c r="T47" s="171">
        <f>IF(T3-$H$3&gt;0, IF(K24&lt;&gt;"",$E$24,0), 0)</f>
        <v/>
      </c>
      <c r="U47" s="171">
        <f>IF(U3-$H$3&gt;0, IF(K24&lt;&gt;"",$E$24,0), 0)</f>
        <v/>
      </c>
      <c r="V47" s="171">
        <f>IF(V3-$H$3&gt;0, IF(K24&lt;&gt;"",$E$24,0), 0)</f>
        <v/>
      </c>
      <c r="W47" s="171">
        <f>IF(W3-$H$3&gt;0, IF(K24&lt;&gt;"",$E$24,0), 0)</f>
        <v/>
      </c>
      <c r="X47" s="171">
        <f>IF(X3-$H$3&gt;0, IF(K24&lt;&gt;"",$E$24,0), 0)</f>
        <v/>
      </c>
      <c r="Y47" s="171">
        <f>IF(Y3-$H$3&gt;0, IF(K24&lt;&gt;"",$E$24,0), 0)</f>
        <v/>
      </c>
      <c r="Z47" s="171">
        <f>IF(Z3-$H$3&gt;0, IF(K24&lt;&gt;"",$E$24,0), 0)</f>
        <v/>
      </c>
      <c r="AA47" s="171">
        <f>IF(AA3-$H$3&gt;0, IF(K24&lt;&gt;"",$E$24,0), 0)</f>
        <v/>
      </c>
      <c r="AB47" s="171">
        <f>IF(AB3-$H$3&gt;0, IF(K24&lt;&gt;"",$E$24,0), 0)</f>
        <v/>
      </c>
    </row>
    <row r="48">
      <c r="A48" s="100" t="n"/>
      <c r="B48" s="101" t="inlineStr">
        <is>
          <t>折旧额合计</t>
        </is>
      </c>
      <c r="C48" s="177" t="inlineStr"/>
      <c r="D48" s="7" t="inlineStr"/>
      <c r="E48" s="177" t="inlineStr"/>
      <c r="F48" s="171">
        <f>F27+F34+F41</f>
        <v/>
      </c>
      <c r="G48" s="171">
        <f>G27+G34+G41</f>
        <v/>
      </c>
      <c r="H48" s="171">
        <f>H27+H34+H41</f>
        <v/>
      </c>
      <c r="I48" s="171">
        <f>I27+I34+I41</f>
        <v/>
      </c>
      <c r="J48" s="171">
        <f>J27+J34+J41</f>
        <v/>
      </c>
      <c r="K48" s="171">
        <f>K27+K34+K41</f>
        <v/>
      </c>
      <c r="L48" s="171">
        <f>L27+L34+L41</f>
        <v/>
      </c>
      <c r="M48" s="171">
        <f>M27+M34+M41</f>
        <v/>
      </c>
      <c r="N48" s="171">
        <f>N27+N34+N41</f>
        <v/>
      </c>
      <c r="O48" s="171">
        <f>O27+O34+O41</f>
        <v/>
      </c>
      <c r="P48" s="171">
        <f>P27+P34+P41</f>
        <v/>
      </c>
      <c r="Q48" s="171">
        <f>Q27+Q34+Q41</f>
        <v/>
      </c>
      <c r="R48" s="171">
        <f>R27+R34+R41</f>
        <v/>
      </c>
      <c r="S48" s="171">
        <f>S27+S34+S41</f>
        <v/>
      </c>
      <c r="T48" s="171">
        <f>T27+T34+T41</f>
        <v/>
      </c>
      <c r="U48" s="171">
        <f>U27+U34+U41</f>
        <v/>
      </c>
      <c r="V48" s="171">
        <f>V27+V34+V41</f>
        <v/>
      </c>
      <c r="W48" s="171">
        <f>W27+W34+W41</f>
        <v/>
      </c>
      <c r="X48" s="171">
        <f>X27+X34+X41</f>
        <v/>
      </c>
      <c r="Y48" s="171">
        <f>Y27+Y34+Y41</f>
        <v/>
      </c>
      <c r="Z48" s="171">
        <f>Z27+Z34+Z41</f>
        <v/>
      </c>
      <c r="AA48" s="171">
        <f>AA27+AA34+AA41</f>
        <v/>
      </c>
      <c r="AB48" s="171">
        <f>AB27+AB34+AB41</f>
        <v/>
      </c>
    </row>
    <row r="49">
      <c r="L49" s="45" t="n"/>
    </row>
    <row r="50">
      <c r="L50" s="45" t="n"/>
    </row>
  </sheetData>
  <mergeCells count="2">
    <mergeCell ref="F2:K2"/>
    <mergeCell ref="A1:K1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Sheet13">
    <tabColor rgb="FF0070C0"/>
    <outlinePr summaryBelow="1" summaryRight="1"/>
    <pageSetUpPr/>
  </sheetPr>
  <dimension ref="A1:K21"/>
  <sheetViews>
    <sheetView workbookViewId="0">
      <selection activeCell="B4" sqref="B4"/>
    </sheetView>
  </sheetViews>
  <sheetFormatPr baseColWidth="8" defaultColWidth="8.890909090909091" defaultRowHeight="14"/>
  <cols>
    <col width="18.3363636363636" customWidth="1" style="162" min="2" max="2"/>
    <col width="14.1090909090909" customWidth="1" style="162" min="3" max="3"/>
    <col width="9.554545454545449" customWidth="1" style="162" min="4" max="4"/>
    <col width="9.890909090909091" customWidth="1" style="162" min="7" max="7"/>
    <col width="10.3363636363636" customWidth="1" style="162" min="8" max="8"/>
    <col width="9.78181818181818" customWidth="1" style="162" min="9" max="9"/>
    <col width="10.4454545454545" customWidth="1" style="162" min="10" max="10"/>
  </cols>
  <sheetData>
    <row r="1" ht="20" customFormat="1" customHeight="1" s="53">
      <c r="A1" s="102" t="inlineStr">
        <is>
          <t>E.4建设投资税后金额表（万元）</t>
        </is>
      </c>
      <c r="K1" s="80" t="inlineStr">
        <is>
          <t>（此表不需要填写，复制D.3的对应列，如果D.3有修改，此表也要同步复制）</t>
        </is>
      </c>
    </row>
    <row r="2" ht="33" customFormat="1" customHeight="1" s="53">
      <c r="A2" s="17">
        <f>D.3建设投资分年计划表!A2</f>
        <v/>
      </c>
      <c r="B2" s="17">
        <f>D.3建设投资分年计划表!B2</f>
        <v/>
      </c>
      <c r="C2" s="17">
        <f>D.3建设投资分年计划表!D2</f>
        <v/>
      </c>
      <c r="D2" s="26">
        <f>D.3建设投资分年计划表!E2</f>
        <v/>
      </c>
      <c r="E2" s="26">
        <f>D.3建设投资分年计划表!F2</f>
        <v/>
      </c>
      <c r="F2" s="26">
        <f>D.3建设投资分年计划表!G2</f>
        <v/>
      </c>
      <c r="G2" s="17" t="inlineStr">
        <is>
          <t>增值税率</t>
        </is>
      </c>
      <c r="H2" s="104" t="inlineStr">
        <is>
          <t>2025
（税后）</t>
        </is>
      </c>
      <c r="I2" s="104" t="inlineStr">
        <is>
          <t>2026
（税后）</t>
        </is>
      </c>
      <c r="J2" s="104" t="inlineStr">
        <is>
          <t>2027
（税后）</t>
        </is>
      </c>
    </row>
    <row r="3" ht="16.5" customFormat="1" customHeight="1" s="53">
      <c r="A3" s="7">
        <f>D.3建设投资分年计划表!A3</f>
        <v/>
      </c>
      <c r="B3" s="7">
        <f>D.3建设投资分年计划表!B3</f>
        <v/>
      </c>
      <c r="C3" s="177">
        <f>D.3建设投资分年计划表!D3</f>
        <v/>
      </c>
      <c r="D3" s="177">
        <f>D.3建设投资分年计划表!E3</f>
        <v/>
      </c>
      <c r="E3" s="177">
        <f>D.3建设投资分年计划表!F3</f>
        <v/>
      </c>
      <c r="F3" s="177">
        <f>D.3建设投资分年计划表!G3</f>
        <v/>
      </c>
      <c r="G3" s="7">
        <f>'G.1进项增值税率-建设投资'!E3</f>
        <v/>
      </c>
      <c r="H3" s="179">
        <f>H4+H8</f>
        <v/>
      </c>
      <c r="I3" s="179">
        <f>I4+I8</f>
        <v/>
      </c>
      <c r="J3" s="179">
        <f>J4+J8</f>
        <v/>
      </c>
    </row>
    <row r="4" ht="16.5" customFormat="1" customHeight="1" s="53">
      <c r="A4" s="55">
        <f>D.3建设投资分年计划表!A4</f>
        <v/>
      </c>
      <c r="B4" s="55">
        <f>D.3建设投资分年计划表!B4</f>
        <v/>
      </c>
      <c r="C4" s="176">
        <f>D.3建设投资分年计划表!D4</f>
        <v/>
      </c>
      <c r="D4" s="176">
        <f>D.3建设投资分年计划表!E4</f>
        <v/>
      </c>
      <c r="E4" s="176">
        <f>D.3建设投资分年计划表!F4</f>
        <v/>
      </c>
      <c r="F4" s="176">
        <f>D.3建设投资分年计划表!G4</f>
        <v/>
      </c>
      <c r="G4" s="55">
        <f>'G.1进项增值税率-建设投资'!E4</f>
        <v/>
      </c>
      <c r="H4" s="195">
        <f>SUM(H5:H7)</f>
        <v/>
      </c>
      <c r="I4" s="195">
        <f>SUM(I5:I7)</f>
        <v/>
      </c>
      <c r="J4" s="195">
        <f>SUM(J5:J7)</f>
        <v/>
      </c>
    </row>
    <row r="5" ht="16.5" customFormat="1" customHeight="1" s="53">
      <c r="A5" s="7">
        <f>D.3建设投资分年计划表!A5</f>
        <v/>
      </c>
      <c r="B5" s="10">
        <f>D.3建设投资分年计划表!B5</f>
        <v/>
      </c>
      <c r="C5" s="177">
        <f>D.3建设投资分年计划表!D5</f>
        <v/>
      </c>
      <c r="D5" s="196">
        <f>D.3建设投资分年计划表!E5</f>
        <v/>
      </c>
      <c r="E5" s="196">
        <f>D.3建设投资分年计划表!F5</f>
        <v/>
      </c>
      <c r="F5" s="196">
        <f>D.3建设投资分年计划表!G5</f>
        <v/>
      </c>
      <c r="G5" s="107">
        <f>'G.1进项增值税率-建设投资'!$E$5</f>
        <v/>
      </c>
      <c r="H5" s="196">
        <f>D5/(1+'G.1进项增值税率-建设投资'!$E5)</f>
        <v/>
      </c>
      <c r="I5" s="196">
        <f>E5/(1+'G.1进项增值税率-建设投资'!$E5)</f>
        <v/>
      </c>
      <c r="J5" s="196">
        <f>F5/(1+'G.1进项增值税率-建设投资'!$E5)</f>
        <v/>
      </c>
      <c r="K5" s="80" t="inlineStr">
        <is>
          <t>H I J列税后计算的税率引用需对应</t>
        </is>
      </c>
    </row>
    <row r="6" ht="16.5" customFormat="1" customHeight="1" s="53">
      <c r="A6" s="7">
        <f>D.3建设投资分年计划表!A6</f>
        <v/>
      </c>
      <c r="B6" s="10">
        <f>D.3建设投资分年计划表!B6</f>
        <v/>
      </c>
      <c r="C6" s="177">
        <f>D.3建设投资分年计划表!D6</f>
        <v/>
      </c>
      <c r="D6" s="196">
        <f>D.3建设投资分年计划表!E6</f>
        <v/>
      </c>
      <c r="E6" s="196">
        <f>D.3建设投资分年计划表!F6</f>
        <v/>
      </c>
      <c r="F6" s="196">
        <f>D.3建设投资分年计划表!G6</f>
        <v/>
      </c>
      <c r="G6" s="107">
        <f>'G.1进项增值税率-建设投资'!$E$6</f>
        <v/>
      </c>
      <c r="H6" s="196">
        <f>D6/(1+'G.1进项增值税率-建设投资'!$E6)</f>
        <v/>
      </c>
      <c r="I6" s="196">
        <f>E6/(1+'G.1进项增值税率-建设投资'!$E6)</f>
        <v/>
      </c>
      <c r="J6" s="196">
        <f>F6/(1+'G.1进项增值税率-建设投资'!$E6)</f>
        <v/>
      </c>
    </row>
    <row r="7" ht="16.5" customFormat="1" customHeight="1" s="53">
      <c r="A7" s="7">
        <f>D.3建设投资分年计划表!A7</f>
        <v/>
      </c>
      <c r="B7" s="10">
        <f>D.3建设投资分年计划表!B7</f>
        <v/>
      </c>
      <c r="C7" s="177">
        <f>D.3建设投资分年计划表!D7</f>
        <v/>
      </c>
      <c r="D7" s="196">
        <f>D.3建设投资分年计划表!E7</f>
        <v/>
      </c>
      <c r="E7" s="196">
        <f>D.3建设投资分年计划表!F7</f>
        <v/>
      </c>
      <c r="F7" s="196">
        <f>D.3建设投资分年计划表!G7</f>
        <v/>
      </c>
      <c r="G7" s="107">
        <f>'G.1进项增值税率-建设投资'!$E$7</f>
        <v/>
      </c>
      <c r="H7" s="196">
        <f>D7/(1+'G.1进项增值税率-建设投资'!$E7)</f>
        <v/>
      </c>
      <c r="I7" s="196">
        <f>E7/(1+'G.1进项增值税率-建设投资'!$E7)</f>
        <v/>
      </c>
      <c r="J7" s="196">
        <f>F7/(1+'G.1进项增值税率-建设投资'!$E7)</f>
        <v/>
      </c>
    </row>
    <row r="8" ht="16.5" customFormat="1" customHeight="1" s="53">
      <c r="A8" s="55">
        <f>D.3建设投资分年计划表!A8</f>
        <v/>
      </c>
      <c r="B8" s="55">
        <f>D.3建设投资分年计划表!B8</f>
        <v/>
      </c>
      <c r="C8" s="176">
        <f>D.3建设投资分年计划表!D8</f>
        <v/>
      </c>
      <c r="D8" s="176">
        <f>D.3建设投资分年计划表!E8</f>
        <v/>
      </c>
      <c r="E8" s="176">
        <f>D.3建设投资分年计划表!F8</f>
        <v/>
      </c>
      <c r="F8" s="176">
        <f>D.3建设投资分年计划表!G8</f>
        <v/>
      </c>
      <c r="G8" s="55">
        <f>'G.1进项增值税率-建设投资'!E8</f>
        <v/>
      </c>
      <c r="H8" s="195">
        <f>SUM(H9:H12)</f>
        <v/>
      </c>
      <c r="I8" s="195">
        <f>SUM(I9:I12)</f>
        <v/>
      </c>
      <c r="J8" s="195">
        <f>SUM(J9:J12)</f>
        <v/>
      </c>
    </row>
    <row r="9" ht="16.5" customFormat="1" customHeight="1" s="53">
      <c r="A9" s="7">
        <f>D.3建设投资分年计划表!A9</f>
        <v/>
      </c>
      <c r="B9" s="10">
        <f>D.3建设投资分年计划表!B9</f>
        <v/>
      </c>
      <c r="C9" s="177">
        <f>D.3建设投资分年计划表!D9</f>
        <v/>
      </c>
      <c r="D9" s="196">
        <f>D.3建设投资分年计划表!E9</f>
        <v/>
      </c>
      <c r="E9" s="196">
        <f>D.3建设投资分年计划表!F9</f>
        <v/>
      </c>
      <c r="F9" s="196">
        <f>D.3建设投资分年计划表!G9</f>
        <v/>
      </c>
      <c r="G9" s="107">
        <f>'G.1进项增值税率-建设投资'!$E$9</f>
        <v/>
      </c>
      <c r="H9" s="196">
        <f>D9/(1+'G.1进项增值税率-建设投资'!$E9)</f>
        <v/>
      </c>
      <c r="I9" s="196">
        <f>E9/(1+'G.1进项增值税率-建设投资'!$E9)</f>
        <v/>
      </c>
      <c r="J9" s="196">
        <f>F9/(1+'G.1进项增值税率-建设投资'!$E9)</f>
        <v/>
      </c>
    </row>
    <row r="10" ht="16.5" customFormat="1" customHeight="1" s="53">
      <c r="A10" s="7">
        <f>D.3建设投资分年计划表!A10</f>
        <v/>
      </c>
      <c r="B10" s="10">
        <f>D.3建设投资分年计划表!B10</f>
        <v/>
      </c>
      <c r="C10" s="177">
        <f>D.3建设投资分年计划表!D10</f>
        <v/>
      </c>
      <c r="D10" s="196">
        <f>D.3建设投资分年计划表!E10</f>
        <v/>
      </c>
      <c r="E10" s="196">
        <f>D.3建设投资分年计划表!F10</f>
        <v/>
      </c>
      <c r="F10" s="196">
        <f>D.3建设投资分年计划表!G10</f>
        <v/>
      </c>
      <c r="G10" s="107">
        <f>'G.1进项增值税率-建设投资'!$E$10</f>
        <v/>
      </c>
      <c r="H10" s="196">
        <f>D10/(1+'G.1进项增值税率-建设投资'!$E10)</f>
        <v/>
      </c>
      <c r="I10" s="196">
        <f>E10/(1+'G.1进项增值税率-建设投资'!$E10)</f>
        <v/>
      </c>
      <c r="J10" s="196">
        <f>F10/(1+'G.1进项增值税率-建设投资'!$E10)</f>
        <v/>
      </c>
    </row>
    <row r="11" ht="16.5" customFormat="1" customHeight="1" s="53">
      <c r="A11" s="7">
        <f>D.3建设投资分年计划表!A11</f>
        <v/>
      </c>
      <c r="B11" s="10">
        <f>D.3建设投资分年计划表!B11</f>
        <v/>
      </c>
      <c r="C11" s="177">
        <f>D.3建设投资分年计划表!D11</f>
        <v/>
      </c>
      <c r="D11" s="196">
        <f>D.3建设投资分年计划表!E11</f>
        <v/>
      </c>
      <c r="E11" s="196">
        <f>D.3建设投资分年计划表!F11</f>
        <v/>
      </c>
      <c r="F11" s="196">
        <f>D.3建设投资分年计划表!G11</f>
        <v/>
      </c>
      <c r="G11" s="107">
        <f>'G.1进项增值税率-建设投资'!$E$11</f>
        <v/>
      </c>
      <c r="H11" s="196">
        <f>D11/(1+'G.1进项增值税率-建设投资'!$E11)</f>
        <v/>
      </c>
      <c r="I11" s="196">
        <f>E11/(1+'G.1进项增值税率-建设投资'!$E11)</f>
        <v/>
      </c>
      <c r="J11" s="196">
        <f>F11/(1+'G.1进项增值税率-建设投资'!$E11)</f>
        <v/>
      </c>
    </row>
    <row r="12" ht="16.5" customFormat="1" customHeight="1" s="53">
      <c r="A12" s="7">
        <f>D.3建设投资分年计划表!A12</f>
        <v/>
      </c>
      <c r="B12" s="10">
        <f>D.3建设投资分年计划表!B12</f>
        <v/>
      </c>
      <c r="C12" s="177">
        <f>D.3建设投资分年计划表!D12</f>
        <v/>
      </c>
      <c r="D12" s="196">
        <f>D.3建设投资分年计划表!E12</f>
        <v/>
      </c>
      <c r="E12" s="196">
        <f>D.3建设投资分年计划表!F12</f>
        <v/>
      </c>
      <c r="F12" s="196">
        <f>D.3建设投资分年计划表!G12</f>
        <v/>
      </c>
      <c r="G12" s="107">
        <f>'G.1进项增值税率-建设投资'!$E$12</f>
        <v/>
      </c>
      <c r="H12" s="196">
        <f>D12/(1+'G.1进项增值税率-建设投资'!$E12)</f>
        <v/>
      </c>
      <c r="I12" s="196">
        <f>E12/(1+'G.1进项增值税率-建设投资'!$E12)</f>
        <v/>
      </c>
      <c r="J12" s="196">
        <f>F12/(1+'G.1进项增值税率-建设投资'!$E12)</f>
        <v/>
      </c>
    </row>
    <row r="13" ht="16.5" customFormat="1" customHeight="1" s="53">
      <c r="A13" s="55">
        <f>D.3建设投资分年计划表!A13</f>
        <v/>
      </c>
      <c r="B13" s="55">
        <f>D.3建设投资分年计划表!B13</f>
        <v/>
      </c>
      <c r="C13" s="176">
        <f>D.3建设投资分年计划表!D13</f>
        <v/>
      </c>
      <c r="D13" s="176">
        <f>D.3建设投资分年计划表!E13</f>
        <v/>
      </c>
      <c r="E13" s="176">
        <f>D.3建设投资分年计划表!F13</f>
        <v/>
      </c>
      <c r="F13" s="176">
        <f>D.3建设投资分年计划表!G13</f>
        <v/>
      </c>
      <c r="G13" s="55">
        <f>'G.1进项增值税率-建设投资'!E13</f>
        <v/>
      </c>
      <c r="H13" s="195">
        <f>SUM(H14:H18)</f>
        <v/>
      </c>
      <c r="I13" s="195">
        <f>SUM(I14:I18)</f>
        <v/>
      </c>
      <c r="J13" s="195">
        <f>SUM(J14:J18)</f>
        <v/>
      </c>
    </row>
    <row r="14" ht="16.5" customFormat="1" customHeight="1" s="53">
      <c r="A14" s="7">
        <f>D.3建设投资分年计划表!A14</f>
        <v/>
      </c>
      <c r="B14" s="7">
        <f>D.3建设投资分年计划表!B14</f>
        <v/>
      </c>
      <c r="C14" s="177">
        <f>D.3建设投资分年计划表!D14</f>
        <v/>
      </c>
      <c r="D14" s="196">
        <f>D.3建设投资分年计划表!E14</f>
        <v/>
      </c>
      <c r="E14" s="196">
        <f>D.3建设投资分年计划表!F14</f>
        <v/>
      </c>
      <c r="F14" s="196">
        <f>D.3建设投资分年计划表!G14</f>
        <v/>
      </c>
      <c r="G14" s="107">
        <f>'G.1进项增值税率-建设投资'!$E$14</f>
        <v/>
      </c>
      <c r="H14" s="196">
        <f>D14/(1+'G.1进项增值税率-建设投资'!$E14)</f>
        <v/>
      </c>
      <c r="I14" s="196">
        <f>E14/(1+'G.1进项增值税率-建设投资'!$E14)</f>
        <v/>
      </c>
      <c r="J14" s="196">
        <f>F14/(1+'G.1进项增值税率-建设投资'!$E14)</f>
        <v/>
      </c>
    </row>
    <row r="15" ht="16.5" customFormat="1" customHeight="1" s="53">
      <c r="A15" s="7">
        <f>D.3建设投资分年计划表!A15</f>
        <v/>
      </c>
      <c r="B15" s="10">
        <f>D.3建设投资分年计划表!B15</f>
        <v/>
      </c>
      <c r="C15" s="177">
        <f>D.3建设投资分年计划表!D15</f>
        <v/>
      </c>
      <c r="D15" s="196">
        <f>D.3建设投资分年计划表!E15</f>
        <v/>
      </c>
      <c r="E15" s="196">
        <f>D.3建设投资分年计划表!F15</f>
        <v/>
      </c>
      <c r="F15" s="196">
        <f>D.3建设投资分年计划表!G15</f>
        <v/>
      </c>
      <c r="G15" s="107">
        <f>'G.1进项增值税率-建设投资'!$E$15</f>
        <v/>
      </c>
      <c r="H15" s="196">
        <f>D15/(1+'G.1进项增值税率-建设投资'!$E15)</f>
        <v/>
      </c>
      <c r="I15" s="196">
        <f>E15/(1+'G.1进项增值税率-建设投资'!$E15)</f>
        <v/>
      </c>
      <c r="J15" s="196">
        <f>F15/(1+'G.1进项增值税率-建设投资'!$E15)</f>
        <v/>
      </c>
    </row>
    <row r="16" ht="16.5" customFormat="1" customHeight="1" s="53">
      <c r="A16" s="7">
        <f>D.3建设投资分年计划表!A16</f>
        <v/>
      </c>
      <c r="B16" s="10">
        <f>D.3建设投资分年计划表!B16</f>
        <v/>
      </c>
      <c r="C16" s="177">
        <f>D.3建设投资分年计划表!D16</f>
        <v/>
      </c>
      <c r="D16" s="196">
        <f>D.3建设投资分年计划表!E16</f>
        <v/>
      </c>
      <c r="E16" s="196">
        <f>D.3建设投资分年计划表!F16</f>
        <v/>
      </c>
      <c r="F16" s="196">
        <f>D.3建设投资分年计划表!G16</f>
        <v/>
      </c>
      <c r="G16" s="107">
        <f>'G.1进项增值税率-建设投资'!$E$16</f>
        <v/>
      </c>
      <c r="H16" s="196">
        <f>D16/(1+'G.1进项增值税率-建设投资'!$E16)</f>
        <v/>
      </c>
      <c r="I16" s="196">
        <f>E16/(1+'G.1进项增值税率-建设投资'!$E16)</f>
        <v/>
      </c>
      <c r="J16" s="196">
        <f>F16/(1+'G.1进项增值税率-建设投资'!$E16)</f>
        <v/>
      </c>
    </row>
    <row r="17" ht="16.5" customFormat="1" customHeight="1" s="53">
      <c r="A17" s="7">
        <f>D.3建设投资分年计划表!A17</f>
        <v/>
      </c>
      <c r="B17" s="10">
        <f>D.3建设投资分年计划表!B17</f>
        <v/>
      </c>
      <c r="C17" s="177">
        <f>D.3建设投资分年计划表!D17</f>
        <v/>
      </c>
      <c r="D17" s="196">
        <f>D.3建设投资分年计划表!E17</f>
        <v/>
      </c>
      <c r="E17" s="196">
        <f>D.3建设投资分年计划表!F17</f>
        <v/>
      </c>
      <c r="F17" s="196">
        <f>D.3建设投资分年计划表!G17</f>
        <v/>
      </c>
      <c r="G17" s="107">
        <f>'G.1进项增值税率-建设投资'!$E$17</f>
        <v/>
      </c>
      <c r="H17" s="196">
        <f>D17/(1+'G.1进项增值税率-建设投资'!$E17)</f>
        <v/>
      </c>
      <c r="I17" s="196">
        <f>E17/(1+'G.1进项增值税率-建设投资'!$E17)</f>
        <v/>
      </c>
      <c r="J17" s="196">
        <f>F17/(1+'G.1进项增值税率-建设投资'!$E17)</f>
        <v/>
      </c>
    </row>
    <row r="18" ht="16.5" customFormat="1" customHeight="1" s="53">
      <c r="A18" s="7">
        <f>D.3建设投资分年计划表!A18</f>
        <v/>
      </c>
      <c r="B18" s="10">
        <f>D.3建设投资分年计划表!B18</f>
        <v/>
      </c>
      <c r="C18" s="177">
        <f>D.3建设投资分年计划表!D18</f>
        <v/>
      </c>
      <c r="D18" s="196">
        <f>D.3建设投资分年计划表!E18</f>
        <v/>
      </c>
      <c r="E18" s="196">
        <f>D.3建设投资分年计划表!F18</f>
        <v/>
      </c>
      <c r="F18" s="196">
        <f>D.3建设投资分年计划表!G18</f>
        <v/>
      </c>
      <c r="G18" s="107">
        <f>'G.1进项增值税率-建设投资'!$E$18</f>
        <v/>
      </c>
      <c r="H18" s="196">
        <f>D18/(1+'G.1进项增值税率-建设投资'!$E18)</f>
        <v/>
      </c>
      <c r="I18" s="196">
        <f>E18/(1+'G.1进项增值税率-建设投资'!$E18)</f>
        <v/>
      </c>
      <c r="J18" s="196">
        <f>F18/(1+'G.1进项增值税率-建设投资'!$E18)</f>
        <v/>
      </c>
    </row>
    <row r="19" ht="16.5" customFormat="1" customHeight="1" s="53">
      <c r="A19" s="55">
        <f>D.3建设投资分年计划表!A19</f>
        <v/>
      </c>
      <c r="B19" s="55">
        <f>D.3建设投资分年计划表!B19</f>
        <v/>
      </c>
      <c r="C19" s="176">
        <f>D.3建设投资分年计划表!D19</f>
        <v/>
      </c>
      <c r="D19" s="176">
        <f>D.3建设投资分年计划表!E19</f>
        <v/>
      </c>
      <c r="E19" s="176">
        <f>D.3建设投资分年计划表!F19</f>
        <v/>
      </c>
      <c r="F19" s="176">
        <f>D.3建设投资分年计划表!G19</f>
        <v/>
      </c>
      <c r="G19" s="55">
        <f>'G.1进项增值税率-建设投资'!E19</f>
        <v/>
      </c>
      <c r="H19" s="195">
        <f>H20</f>
        <v/>
      </c>
      <c r="I19" s="195">
        <f>I20</f>
        <v/>
      </c>
      <c r="J19" s="195">
        <f>J20</f>
        <v/>
      </c>
    </row>
    <row r="20" ht="16.5" customFormat="1" customHeight="1" s="53">
      <c r="A20" s="7">
        <f>D.3建设投资分年计划表!A20</f>
        <v/>
      </c>
      <c r="B20" s="10">
        <f>D.3建设投资分年计划表!B20</f>
        <v/>
      </c>
      <c r="C20" s="177">
        <f>D.3建设投资分年计划表!D20</f>
        <v/>
      </c>
      <c r="D20" s="196">
        <f>D.3建设投资分年计划表!E20</f>
        <v/>
      </c>
      <c r="E20" s="196">
        <f>D.3建设投资分年计划表!F20</f>
        <v/>
      </c>
      <c r="F20" s="196">
        <f>D.3建设投资分年计划表!G20</f>
        <v/>
      </c>
      <c r="G20" s="107">
        <f>'G.1进项增值税率-建设投资'!$E$20</f>
        <v/>
      </c>
      <c r="H20" s="196">
        <f>D20/(1+'G.1进项增值税率-建设投资'!$E20)</f>
        <v/>
      </c>
      <c r="I20" s="196">
        <f>E20/(1+'G.1进项增值税率-建设投资'!$E20)</f>
        <v/>
      </c>
      <c r="J20" s="196">
        <f>F20/(1+'G.1进项增值税率-建设投资'!$E20)</f>
        <v/>
      </c>
    </row>
    <row r="21" ht="16.5" customFormat="1" customHeight="1" s="53">
      <c r="A21" s="7" t="n"/>
      <c r="B21" s="7">
        <f>D.3建设投资分年计划表!B21</f>
        <v/>
      </c>
      <c r="C21" s="177">
        <f>D.3建设投资分年计划表!D21</f>
        <v/>
      </c>
      <c r="D21" s="177">
        <f>D.3建设投资分年计划表!E21</f>
        <v/>
      </c>
      <c r="E21" s="177">
        <f>D.3建设投资分年计划表!F21</f>
        <v/>
      </c>
      <c r="F21" s="177">
        <f>D.3建设投资分年计划表!G21</f>
        <v/>
      </c>
      <c r="G21" s="177" t="inlineStr">
        <is>
          <t>/</t>
        </is>
      </c>
      <c r="H21" s="177">
        <f>H3+H13+H19</f>
        <v/>
      </c>
      <c r="I21" s="177">
        <f>I3+I13+I19</f>
        <v/>
      </c>
      <c r="J21" s="177">
        <f>J3+J13+J19</f>
        <v/>
      </c>
    </row>
  </sheetData>
  <mergeCells count="1">
    <mergeCell ref="A1:J1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Sheet14">
    <tabColor rgb="FFFFFF00"/>
    <outlinePr summaryBelow="1" summaryRight="1"/>
    <pageSetUpPr/>
  </sheetPr>
  <dimension ref="A1:Z13"/>
  <sheetViews>
    <sheetView workbookViewId="0">
      <pane xSplit="3" ySplit="2" topLeftCell="D3" activePane="bottomRight" state="frozen"/>
      <selection activeCell="A1" sqref="A1"/>
      <selection pane="topRight" activeCell="A1" sqref="A1"/>
      <selection pane="bottomLeft" activeCell="A1" sqref="A1"/>
      <selection pane="bottomRight" activeCell="N7" sqref="N7"/>
    </sheetView>
  </sheetViews>
  <sheetFormatPr baseColWidth="8" defaultColWidth="8.890909090909091" defaultRowHeight="28.05" customHeight="1"/>
  <cols>
    <col width="8.890909090909091" customWidth="1" style="53" min="1" max="1"/>
    <col width="13" customWidth="1" style="53" min="2" max="2"/>
    <col width="12.8909090909091" customWidth="1" style="53" min="3" max="3"/>
    <col width="6.44545454545455" customWidth="1" style="53" min="4" max="4"/>
    <col width="9.890909090909091" customWidth="1" style="53" min="5" max="9"/>
    <col width="8.890909090909091" customWidth="1" style="53" min="10" max="16384"/>
  </cols>
  <sheetData>
    <row r="1" s="162">
      <c r="A1" s="40" t="inlineStr">
        <is>
          <t>F项目收入（万元）</t>
        </is>
      </c>
      <c r="B1" s="167" t="n"/>
      <c r="C1" s="167" t="n"/>
      <c r="D1" s="167" t="n"/>
      <c r="E1" s="167" t="n"/>
      <c r="F1" s="167" t="n"/>
      <c r="G1" s="167" t="n"/>
      <c r="H1" s="167" t="n"/>
      <c r="I1" s="168" t="n"/>
    </row>
    <row r="2" s="162">
      <c r="A2" s="2" t="inlineStr">
        <is>
          <t>序号</t>
        </is>
      </c>
      <c r="B2" s="2" t="inlineStr">
        <is>
          <t>收入类别</t>
        </is>
      </c>
      <c r="C2" s="2" t="inlineStr">
        <is>
          <t>含税/不含税</t>
        </is>
      </c>
      <c r="D2" s="36" t="n">
        <v>2025</v>
      </c>
      <c r="E2" s="36" t="n">
        <v>2026</v>
      </c>
      <c r="F2" s="36" t="n">
        <v>2027</v>
      </c>
      <c r="G2" s="36" t="n">
        <v>2028</v>
      </c>
      <c r="H2" s="36" t="n">
        <v>2029</v>
      </c>
      <c r="I2" s="36" t="n">
        <v>2030</v>
      </c>
      <c r="J2" s="210" t="n">
        <v>2031</v>
      </c>
      <c r="K2" s="210" t="n">
        <v>2032</v>
      </c>
      <c r="L2" s="210" t="n">
        <v>2033</v>
      </c>
      <c r="M2" s="210" t="n">
        <v>2034</v>
      </c>
      <c r="N2" s="210" t="n">
        <v>2035</v>
      </c>
      <c r="O2" s="210" t="n">
        <v>2036</v>
      </c>
      <c r="P2" s="210" t="n">
        <v>2037</v>
      </c>
      <c r="Q2" s="210" t="n">
        <v>2038</v>
      </c>
      <c r="R2" s="210" t="n">
        <v>2039</v>
      </c>
      <c r="S2" s="210" t="n">
        <v>2040</v>
      </c>
      <c r="T2" s="210" t="n">
        <v>2041</v>
      </c>
      <c r="U2" s="210" t="n">
        <v>2042</v>
      </c>
      <c r="V2" s="210" t="n">
        <v>2043</v>
      </c>
      <c r="W2" s="210" t="n">
        <v>2044</v>
      </c>
      <c r="X2" s="210" t="n">
        <v>2045</v>
      </c>
      <c r="Y2" s="210" t="n">
        <v>2046</v>
      </c>
      <c r="Z2" s="210" t="n">
        <v>2047</v>
      </c>
    </row>
    <row r="3" s="162">
      <c r="A3" s="10" t="n">
        <v>1</v>
      </c>
      <c r="B3" s="10">
        <f>F.1项目单项收入信息!B3</f>
        <v/>
      </c>
      <c r="C3" s="7" t="inlineStr">
        <is>
          <t>含税</t>
        </is>
      </c>
      <c r="D3" s="177">
        <f>F.1项目单项收入信息!H3</f>
        <v/>
      </c>
      <c r="E3" s="177">
        <f>F.1项目单项收入信息!I3</f>
        <v/>
      </c>
      <c r="F3" s="177">
        <f>F.1项目单项收入信息!J3</f>
        <v/>
      </c>
      <c r="G3" s="177">
        <f>F.1项目单项收入信息!K3</f>
        <v/>
      </c>
      <c r="H3" s="177">
        <f>F.1项目单项收入信息!L3</f>
        <v/>
      </c>
      <c r="I3" s="177">
        <f>F.1项目单项收入信息!M3</f>
        <v/>
      </c>
      <c r="J3" s="177">
        <f>'F.1项目单项收入信息'!N3</f>
        <v/>
      </c>
      <c r="K3" s="177">
        <f>'F.1项目单项收入信息'!O3</f>
        <v/>
      </c>
      <c r="L3" s="177">
        <f>'F.1项目单项收入信息'!P3</f>
        <v/>
      </c>
      <c r="M3" s="177">
        <f>'F.1项目单项收入信息'!Q3</f>
        <v/>
      </c>
      <c r="N3" s="177">
        <f>'F.1项目单项收入信息'!R3</f>
        <v/>
      </c>
      <c r="O3" s="177">
        <f>'F.1项目单项收入信息'!S3</f>
        <v/>
      </c>
      <c r="P3" s="177">
        <f>'F.1项目单项收入信息'!T3</f>
        <v/>
      </c>
      <c r="Q3" s="177">
        <f>'F.1项目单项收入信息'!U3</f>
        <v/>
      </c>
      <c r="R3" s="177">
        <f>'F.1项目单项收入信息'!V3</f>
        <v/>
      </c>
      <c r="S3" s="177">
        <f>'F.1项目单项收入信息'!W3</f>
        <v/>
      </c>
      <c r="T3" s="177">
        <f>'F.1项目单项收入信息'!X3</f>
        <v/>
      </c>
      <c r="U3" s="177">
        <f>'F.1项目单项收入信息'!Y3</f>
        <v/>
      </c>
      <c r="V3" s="177">
        <f>'F.1项目单项收入信息'!Z3</f>
        <v/>
      </c>
      <c r="W3" s="177">
        <f>'F.1项目单项收入信息'!AA3</f>
        <v/>
      </c>
      <c r="X3" s="177">
        <f>'F.1项目单项收入信息'!AB3</f>
        <v/>
      </c>
      <c r="Y3" s="177">
        <f>'F.1项目单项收入信息'!AC3</f>
        <v/>
      </c>
      <c r="Z3" s="177">
        <f>'F.1项目单项收入信息'!AD3</f>
        <v/>
      </c>
    </row>
    <row r="4" s="162">
      <c r="A4" s="164" t="n"/>
      <c r="B4" s="164" t="n"/>
      <c r="C4" s="7" t="inlineStr">
        <is>
          <t>不含税</t>
        </is>
      </c>
      <c r="D4" s="178">
        <f>D3/(1+G.3销项增值税率!$C$3)</f>
        <v/>
      </c>
      <c r="E4" s="178">
        <f>E3/(1+G.3销项增值税率!$C$3)</f>
        <v/>
      </c>
      <c r="F4" s="178">
        <f>F3/(1+G.3销项增值税率!$C$3)</f>
        <v/>
      </c>
      <c r="G4" s="178">
        <f>G3/(1+G.3销项增值税率!$C$3)</f>
        <v/>
      </c>
      <c r="H4" s="178">
        <f>H3/(1+G.3销项增值税率!$C$3)</f>
        <v/>
      </c>
      <c r="I4" s="178">
        <f>I3/(1+G.3销项增值税率!$C$3)</f>
        <v/>
      </c>
      <c r="J4" s="178">
        <f>J3/(1+'G.3销项增值税率'!$C$3)</f>
        <v/>
      </c>
      <c r="K4" s="178">
        <f>K3/(1+'G.3销项增值税率'!$C$3)</f>
        <v/>
      </c>
      <c r="L4" s="178">
        <f>L3/(1+'G.3销项增值税率'!$C$3)</f>
        <v/>
      </c>
      <c r="M4" s="178">
        <f>M3/(1+'G.3销项增值税率'!$C$3)</f>
        <v/>
      </c>
      <c r="N4" s="178">
        <f>N3/(1+'G.3销项增值税率'!$C$3)</f>
        <v/>
      </c>
      <c r="O4" s="178">
        <f>O3/(1+'G.3销项增值税率'!$C$3)</f>
        <v/>
      </c>
      <c r="P4" s="178">
        <f>P3/(1+'G.3销项增值税率'!$C$3)</f>
        <v/>
      </c>
      <c r="Q4" s="178">
        <f>Q3/(1+'G.3销项增值税率'!$C$3)</f>
        <v/>
      </c>
      <c r="R4" s="178">
        <f>R3/(1+'G.3销项增值税率'!$C$3)</f>
        <v/>
      </c>
      <c r="S4" s="178">
        <f>S3/(1+'G.3销项增值税率'!$C$3)</f>
        <v/>
      </c>
      <c r="T4" s="178">
        <f>T3/(1+'G.3销项增值税率'!$C$3)</f>
        <v/>
      </c>
      <c r="U4" s="178">
        <f>U3/(1+'G.3销项增值税率'!$C$3)</f>
        <v/>
      </c>
      <c r="V4" s="178">
        <f>V3/(1+'G.3销项增值税率'!$C$3)</f>
        <v/>
      </c>
      <c r="W4" s="178">
        <f>W3/(1+'G.3销项增值税率'!$C$3)</f>
        <v/>
      </c>
      <c r="X4" s="178">
        <f>X3/(1+'G.3销项增值税率'!$C$3)</f>
        <v/>
      </c>
      <c r="Y4" s="178">
        <f>Y3/(1+'G.3销项增值税率'!$C$3)</f>
        <v/>
      </c>
      <c r="Z4" s="178">
        <f>Z3/(1+'G.3销项增值税率'!$C$3)</f>
        <v/>
      </c>
    </row>
    <row r="5" s="162">
      <c r="A5" s="10" t="n">
        <v>2</v>
      </c>
      <c r="B5" s="10">
        <f>F.1项目单项收入信息!B5</f>
        <v/>
      </c>
      <c r="C5" s="7" t="inlineStr">
        <is>
          <t>含税</t>
        </is>
      </c>
      <c r="D5" s="177">
        <f>F.1项目单项收入信息!H5</f>
        <v/>
      </c>
      <c r="E5" s="177">
        <f>F.1项目单项收入信息!I5</f>
        <v/>
      </c>
      <c r="F5" s="177">
        <f>F.1项目单项收入信息!J5</f>
        <v/>
      </c>
      <c r="G5" s="177">
        <f>F.1项目单项收入信息!K5</f>
        <v/>
      </c>
      <c r="H5" s="177">
        <f>F.1项目单项收入信息!L5</f>
        <v/>
      </c>
      <c r="I5" s="177">
        <f>F.1项目单项收入信息!M5</f>
        <v/>
      </c>
      <c r="J5" s="177">
        <f>'F.1项目单项收入信息'!N5</f>
        <v/>
      </c>
      <c r="K5" s="177">
        <f>'F.1项目单项收入信息'!O5</f>
        <v/>
      </c>
      <c r="L5" s="177">
        <f>'F.1项目单项收入信息'!P5</f>
        <v/>
      </c>
      <c r="M5" s="177">
        <f>'F.1项目单项收入信息'!Q5</f>
        <v/>
      </c>
      <c r="N5" s="177">
        <f>'F.1项目单项收入信息'!R5</f>
        <v/>
      </c>
      <c r="O5" s="177">
        <f>'F.1项目单项收入信息'!S5</f>
        <v/>
      </c>
      <c r="P5" s="177">
        <f>'F.1项目单项收入信息'!T5</f>
        <v/>
      </c>
      <c r="Q5" s="177">
        <f>'F.1项目单项收入信息'!U5</f>
        <v/>
      </c>
      <c r="R5" s="177">
        <f>'F.1项目单项收入信息'!V5</f>
        <v/>
      </c>
      <c r="S5" s="177">
        <f>'F.1项目单项收入信息'!W5</f>
        <v/>
      </c>
      <c r="T5" s="177">
        <f>'F.1项目单项收入信息'!X5</f>
        <v/>
      </c>
      <c r="U5" s="177">
        <f>'F.1项目单项收入信息'!Y5</f>
        <v/>
      </c>
      <c r="V5" s="177">
        <f>'F.1项目单项收入信息'!Z5</f>
        <v/>
      </c>
      <c r="W5" s="177">
        <f>'F.1项目单项收入信息'!AA5</f>
        <v/>
      </c>
      <c r="X5" s="177">
        <f>'F.1项目单项收入信息'!AB5</f>
        <v/>
      </c>
      <c r="Y5" s="177">
        <f>'F.1项目单项收入信息'!AC5</f>
        <v/>
      </c>
      <c r="Z5" s="177">
        <f>'F.1项目单项收入信息'!AD5</f>
        <v/>
      </c>
    </row>
    <row r="6" s="162">
      <c r="A6" s="164" t="n"/>
      <c r="B6" s="164" t="n"/>
      <c r="C6" s="7" t="inlineStr">
        <is>
          <t>不含税</t>
        </is>
      </c>
      <c r="D6" s="177">
        <f>D5/(1+G.3销项增值税率!$C$4)</f>
        <v/>
      </c>
      <c r="E6" s="177">
        <f>E5/(1+G.3销项增值税率!$C$4)</f>
        <v/>
      </c>
      <c r="F6" s="177">
        <f>F5/(1+G.3销项增值税率!$C$4)</f>
        <v/>
      </c>
      <c r="G6" s="177">
        <f>G5/(1+G.3销项增值税率!$C$4)</f>
        <v/>
      </c>
      <c r="H6" s="177">
        <f>H5/(1+G.3销项增值税率!$C$4)</f>
        <v/>
      </c>
      <c r="I6" s="177">
        <f>I5/(1+G.3销项增值税率!$C$4)</f>
        <v/>
      </c>
      <c r="J6" s="177">
        <f>J5/(1+'G.3销项增值税率'!$C$4)</f>
        <v/>
      </c>
      <c r="K6" s="177">
        <f>K5/(1+'G.3销项增值税率'!$C$4)</f>
        <v/>
      </c>
      <c r="L6" s="177">
        <f>L5/(1+'G.3销项增值税率'!$C$4)</f>
        <v/>
      </c>
      <c r="M6" s="177">
        <f>M5/(1+'G.3销项增值税率'!$C$4)</f>
        <v/>
      </c>
      <c r="N6" s="177">
        <f>N5/(1+'G.3销项增值税率'!$C$4)</f>
        <v/>
      </c>
      <c r="O6" s="177">
        <f>O5/(1+'G.3销项增值税率'!$C$4)</f>
        <v/>
      </c>
      <c r="P6" s="177">
        <f>P5/(1+'G.3销项增值税率'!$C$4)</f>
        <v/>
      </c>
      <c r="Q6" s="177">
        <f>Q5/(1+'G.3销项增值税率'!$C$4)</f>
        <v/>
      </c>
      <c r="R6" s="177">
        <f>R5/(1+'G.3销项增值税率'!$C$4)</f>
        <v/>
      </c>
      <c r="S6" s="177">
        <f>S5/(1+'G.3销项增值税率'!$C$4)</f>
        <v/>
      </c>
      <c r="T6" s="177">
        <f>T5/(1+'G.3销项增值税率'!$C$4)</f>
        <v/>
      </c>
      <c r="U6" s="177">
        <f>U5/(1+'G.3销项增值税率'!$C$4)</f>
        <v/>
      </c>
      <c r="V6" s="177">
        <f>V5/(1+'G.3销项增值税率'!$C$4)</f>
        <v/>
      </c>
      <c r="W6" s="177">
        <f>W5/(1+'G.3销项增值税率'!$C$4)</f>
        <v/>
      </c>
      <c r="X6" s="177">
        <f>X5/(1+'G.3销项增值税率'!$C$4)</f>
        <v/>
      </c>
      <c r="Y6" s="177">
        <f>Y5/(1+'G.3销项增值税率'!$C$4)</f>
        <v/>
      </c>
      <c r="Z6" s="177">
        <f>Z5/(1+'G.3销项增值税率'!$C$4)</f>
        <v/>
      </c>
    </row>
    <row r="7" s="162">
      <c r="A7" s="10" t="n">
        <v>3</v>
      </c>
      <c r="B7" s="10">
        <f>F.1项目单项收入信息!B7</f>
        <v/>
      </c>
      <c r="C7" s="7" t="inlineStr">
        <is>
          <t>含税</t>
        </is>
      </c>
      <c r="D7" s="177">
        <f>F.1项目单项收入信息!H7</f>
        <v/>
      </c>
      <c r="E7" s="177">
        <f>F.1项目单项收入信息!I7</f>
        <v/>
      </c>
      <c r="F7" s="177">
        <f>F.1项目单项收入信息!J7</f>
        <v/>
      </c>
      <c r="G7" s="177">
        <f>F.1项目单项收入信息!K7</f>
        <v/>
      </c>
      <c r="H7" s="177">
        <f>F.1项目单项收入信息!L7</f>
        <v/>
      </c>
      <c r="I7" s="177">
        <f>F.1项目单项收入信息!M7</f>
        <v/>
      </c>
      <c r="J7" s="177">
        <f>'F.1项目单项收入信息'!N7</f>
        <v/>
      </c>
      <c r="K7" s="177">
        <f>'F.1项目单项收入信息'!O7</f>
        <v/>
      </c>
      <c r="L7" s="177">
        <f>'F.1项目单项收入信息'!P7</f>
        <v/>
      </c>
      <c r="M7" s="177">
        <f>'F.1项目单项收入信息'!Q7</f>
        <v/>
      </c>
      <c r="N7" s="177">
        <f>'F.1项目单项收入信息'!R7</f>
        <v/>
      </c>
      <c r="O7" s="177">
        <f>'F.1项目单项收入信息'!S7</f>
        <v/>
      </c>
      <c r="P7" s="177">
        <f>'F.1项目单项收入信息'!T7</f>
        <v/>
      </c>
      <c r="Q7" s="177">
        <f>'F.1项目单项收入信息'!U7</f>
        <v/>
      </c>
      <c r="R7" s="177">
        <f>'F.1项目单项收入信息'!V7</f>
        <v/>
      </c>
      <c r="S7" s="177">
        <f>'F.1项目单项收入信息'!W7</f>
        <v/>
      </c>
      <c r="T7" s="177">
        <f>'F.1项目单项收入信息'!X7</f>
        <v/>
      </c>
      <c r="U7" s="177">
        <f>'F.1项目单项收入信息'!Y7</f>
        <v/>
      </c>
      <c r="V7" s="177">
        <f>'F.1项目单项收入信息'!Z7</f>
        <v/>
      </c>
      <c r="W7" s="177">
        <f>'F.1项目单项收入信息'!AA7</f>
        <v/>
      </c>
      <c r="X7" s="177">
        <f>'F.1项目单项收入信息'!AB7</f>
        <v/>
      </c>
      <c r="Y7" s="177">
        <f>'F.1项目单项收入信息'!AC7</f>
        <v/>
      </c>
      <c r="Z7" s="177">
        <f>'F.1项目单项收入信息'!AD7</f>
        <v/>
      </c>
    </row>
    <row r="8" s="162">
      <c r="A8" s="164" t="n"/>
      <c r="B8" s="164" t="n"/>
      <c r="C8" s="7" t="inlineStr">
        <is>
          <t>不含税</t>
        </is>
      </c>
      <c r="D8" s="177">
        <f>D7/(1+G.3销项增值税率!$C$5)</f>
        <v/>
      </c>
      <c r="E8" s="177">
        <f>E7/(1+G.3销项增值税率!$C$5)</f>
        <v/>
      </c>
      <c r="F8" s="177">
        <f>F7/(1+G.3销项增值税率!$C$5)</f>
        <v/>
      </c>
      <c r="G8" s="177">
        <f>G7/(1+G.3销项增值税率!$C$5)</f>
        <v/>
      </c>
      <c r="H8" s="177">
        <f>H7/(1+G.3销项增值税率!$C$5)</f>
        <v/>
      </c>
      <c r="I8" s="177">
        <f>I7/(1+G.3销项增值税率!$C$5)</f>
        <v/>
      </c>
      <c r="J8" s="177">
        <f>J7/(1+'G.3销项增值税率'!$C$5)</f>
        <v/>
      </c>
      <c r="K8" s="177">
        <f>K7/(1+'G.3销项增值税率'!$C$5)</f>
        <v/>
      </c>
      <c r="L8" s="177">
        <f>L7/(1+'G.3销项增值税率'!$C$5)</f>
        <v/>
      </c>
      <c r="M8" s="177">
        <f>M7/(1+'G.3销项增值税率'!$C$5)</f>
        <v/>
      </c>
      <c r="N8" s="177">
        <f>N7/(1+'G.3销项增值税率'!$C$5)</f>
        <v/>
      </c>
      <c r="O8" s="177">
        <f>O7/(1+'G.3销项增值税率'!$C$5)</f>
        <v/>
      </c>
      <c r="P8" s="177">
        <f>P7/(1+'G.3销项增值税率'!$C$5)</f>
        <v/>
      </c>
      <c r="Q8" s="177">
        <f>Q7/(1+'G.3销项增值税率'!$C$5)</f>
        <v/>
      </c>
      <c r="R8" s="177">
        <f>R7/(1+'G.3销项增值税率'!$C$5)</f>
        <v/>
      </c>
      <c r="S8" s="177">
        <f>S7/(1+'G.3销项增值税率'!$C$5)</f>
        <v/>
      </c>
      <c r="T8" s="177">
        <f>T7/(1+'G.3销项增值税率'!$C$5)</f>
        <v/>
      </c>
      <c r="U8" s="177">
        <f>U7/(1+'G.3销项增值税率'!$C$5)</f>
        <v/>
      </c>
      <c r="V8" s="177">
        <f>V7/(1+'G.3销项增值税率'!$C$5)</f>
        <v/>
      </c>
      <c r="W8" s="177">
        <f>W7/(1+'G.3销项增值税率'!$C$5)</f>
        <v/>
      </c>
      <c r="X8" s="177">
        <f>X7/(1+'G.3销项增值税率'!$C$5)</f>
        <v/>
      </c>
      <c r="Y8" s="177">
        <f>Y7/(1+'G.3销项增值税率'!$C$5)</f>
        <v/>
      </c>
      <c r="Z8" s="177">
        <f>Z7/(1+'G.3销项增值税率'!$C$5)</f>
        <v/>
      </c>
    </row>
    <row r="9" s="162">
      <c r="A9" s="10" t="n"/>
      <c r="B9" s="97" t="inlineStr">
        <is>
          <t>……</t>
        </is>
      </c>
      <c r="C9" s="7" t="n"/>
      <c r="D9" s="7" t="n"/>
      <c r="E9" s="169" t="n"/>
      <c r="F9" s="169" t="n"/>
      <c r="G9" s="169" t="n"/>
      <c r="H9" s="169" t="n"/>
      <c r="I9" s="169" t="n"/>
      <c r="J9" s="169" t="n"/>
      <c r="K9" s="169" t="n"/>
      <c r="L9" s="169" t="n"/>
      <c r="M9" s="169" t="n"/>
      <c r="N9" s="169" t="n"/>
      <c r="O9" s="169" t="n"/>
      <c r="P9" s="169" t="n"/>
      <c r="Q9" s="169" t="n"/>
      <c r="R9" s="169" t="n"/>
      <c r="S9" s="169" t="n"/>
      <c r="T9" s="169" t="n"/>
      <c r="U9" s="169" t="n"/>
      <c r="V9" s="169" t="n"/>
      <c r="W9" s="169" t="n"/>
      <c r="X9" s="169" t="n"/>
      <c r="Y9" s="169" t="n"/>
      <c r="Z9" s="169" t="n"/>
    </row>
    <row r="10" s="162">
      <c r="A10" s="10" t="n">
        <v>4</v>
      </c>
      <c r="B10" s="10" t="inlineStr">
        <is>
          <t>补贴收入</t>
        </is>
      </c>
      <c r="C10" s="7" t="n"/>
      <c r="D10" s="7" t="n">
        <v>0</v>
      </c>
      <c r="E10" s="169" t="n">
        <v>0</v>
      </c>
      <c r="F10" s="169" t="n">
        <v>0</v>
      </c>
      <c r="G10" s="169" t="n">
        <v>0</v>
      </c>
      <c r="H10" s="169" t="n">
        <v>0</v>
      </c>
      <c r="I10" s="169" t="n">
        <v>0</v>
      </c>
      <c r="J10" s="169" t="n">
        <v>0</v>
      </c>
      <c r="K10" s="169" t="n">
        <v>0</v>
      </c>
      <c r="L10" s="169" t="n">
        <v>0</v>
      </c>
      <c r="M10" s="169" t="n">
        <v>0</v>
      </c>
      <c r="N10" s="169" t="n">
        <v>0</v>
      </c>
      <c r="O10" s="169" t="n">
        <v>0</v>
      </c>
      <c r="P10" s="169" t="n">
        <v>0</v>
      </c>
      <c r="Q10" s="169" t="n">
        <v>0</v>
      </c>
      <c r="R10" s="169" t="n">
        <v>0</v>
      </c>
      <c r="S10" s="169" t="n">
        <v>0</v>
      </c>
      <c r="T10" s="169" t="n">
        <v>0</v>
      </c>
      <c r="U10" s="169" t="n">
        <v>0</v>
      </c>
      <c r="V10" s="169" t="n">
        <v>0</v>
      </c>
      <c r="W10" s="169" t="n">
        <v>0</v>
      </c>
      <c r="X10" s="169" t="n">
        <v>0</v>
      </c>
      <c r="Y10" s="169" t="n">
        <v>0</v>
      </c>
      <c r="Z10" s="169" t="n">
        <v>0</v>
      </c>
    </row>
    <row r="11" s="162">
      <c r="A11" s="10" t="n">
        <v>5</v>
      </c>
      <c r="B11" s="98" t="inlineStr">
        <is>
          <t>年度合计（含税）</t>
        </is>
      </c>
      <c r="C11" s="99" t="n"/>
      <c r="D11" s="180">
        <f>(D3+D5+D7)</f>
        <v/>
      </c>
      <c r="E11" s="180">
        <f>(E3+E5+E7)</f>
        <v/>
      </c>
      <c r="F11" s="180">
        <f>(F3+F5+F7)</f>
        <v/>
      </c>
      <c r="G11" s="180">
        <f>(G3+G5+G7)</f>
        <v/>
      </c>
      <c r="H11" s="180">
        <f>(H3+H5+H7)</f>
        <v/>
      </c>
      <c r="I11" s="180">
        <f>I3+I5+I7+I10</f>
        <v/>
      </c>
      <c r="J11" s="180">
        <f>J3+J5+J7+J10</f>
        <v/>
      </c>
      <c r="K11" s="180">
        <f>K3+K5+K7+K10</f>
        <v/>
      </c>
      <c r="L11" s="180">
        <f>L3+L5+L7+L10</f>
        <v/>
      </c>
      <c r="M11" s="180">
        <f>M3+M5+M7+M10</f>
        <v/>
      </c>
      <c r="N11" s="180">
        <f>N3+N5+N7+N10</f>
        <v/>
      </c>
      <c r="O11" s="180">
        <f>O3+O5+O7+O10</f>
        <v/>
      </c>
      <c r="P11" s="180">
        <f>P3+P5+P7+P10</f>
        <v/>
      </c>
      <c r="Q11" s="180">
        <f>Q3+Q5+Q7+Q10</f>
        <v/>
      </c>
      <c r="R11" s="180">
        <f>R3+R5+R7+R10</f>
        <v/>
      </c>
      <c r="S11" s="180">
        <f>S3+S5+S7+S10</f>
        <v/>
      </c>
      <c r="T11" s="180">
        <f>T3+T5+T7+T10</f>
        <v/>
      </c>
      <c r="U11" s="180">
        <f>U3+U5+U7+U10</f>
        <v/>
      </c>
      <c r="V11" s="180">
        <f>V3+V5+V7+V10</f>
        <v/>
      </c>
      <c r="W11" s="180">
        <f>W3+W5+W7+W10</f>
        <v/>
      </c>
      <c r="X11" s="180">
        <f>X3+X5+X7+X10</f>
        <v/>
      </c>
      <c r="Y11" s="180">
        <f>Y3+Y5+Y7+Y10</f>
        <v/>
      </c>
      <c r="Z11" s="180">
        <f>Z3+Z5+Z7+Z10</f>
        <v/>
      </c>
    </row>
    <row r="12" s="162">
      <c r="A12" s="10" t="n">
        <v>6</v>
      </c>
      <c r="B12" s="100" t="inlineStr">
        <is>
          <t>年度合计（不含税）</t>
        </is>
      </c>
      <c r="C12" s="101" t="n"/>
      <c r="D12" s="180">
        <f>(D4+D6+D8)</f>
        <v/>
      </c>
      <c r="E12" s="180">
        <f>(E4+E6+E8)</f>
        <v/>
      </c>
      <c r="F12" s="180">
        <f>(F4+F6+F8)</f>
        <v/>
      </c>
      <c r="G12" s="180">
        <f>(G4+G6+G8)</f>
        <v/>
      </c>
      <c r="H12" s="180">
        <f>(H4+H6+H8)</f>
        <v/>
      </c>
      <c r="I12" s="180">
        <f>I4+I6+I8+I10</f>
        <v/>
      </c>
      <c r="J12" s="180">
        <f>J4+J6+J8+J10</f>
        <v/>
      </c>
      <c r="K12" s="180">
        <f>K4+K6+K8+K10</f>
        <v/>
      </c>
      <c r="L12" s="180">
        <f>L4+L6+L8+L10</f>
        <v/>
      </c>
      <c r="M12" s="180">
        <f>M4+M6+M8+M10</f>
        <v/>
      </c>
      <c r="N12" s="180">
        <f>N4+N6+N8+N10</f>
        <v/>
      </c>
      <c r="O12" s="180">
        <f>O4+O6+O8+O10</f>
        <v/>
      </c>
      <c r="P12" s="180">
        <f>P4+P6+P8+P10</f>
        <v/>
      </c>
      <c r="Q12" s="180">
        <f>Q4+Q6+Q8+Q10</f>
        <v/>
      </c>
      <c r="R12" s="180">
        <f>R4+R6+R8+R10</f>
        <v/>
      </c>
      <c r="S12" s="180">
        <f>S4+S6+S8+S10</f>
        <v/>
      </c>
      <c r="T12" s="180">
        <f>T4+T6+T8+T10</f>
        <v/>
      </c>
      <c r="U12" s="180">
        <f>U4+U6+U8+U10</f>
        <v/>
      </c>
      <c r="V12" s="180">
        <f>V4+V6+V8+V10</f>
        <v/>
      </c>
      <c r="W12" s="180">
        <f>W4+W6+W8+W10</f>
        <v/>
      </c>
      <c r="X12" s="180">
        <f>X4+X6+X8+X10</f>
        <v/>
      </c>
      <c r="Y12" s="180">
        <f>Y4+Y6+Y8+Y10</f>
        <v/>
      </c>
      <c r="Z12" s="180">
        <f>Z4+Z6+Z8+Z10</f>
        <v/>
      </c>
    </row>
    <row r="13" s="162">
      <c r="J13" s="45" t="n"/>
      <c r="K13" s="45" t="n"/>
      <c r="L13" s="45" t="n"/>
      <c r="M13" s="45" t="n"/>
    </row>
  </sheetData>
  <mergeCells count="7">
    <mergeCell ref="A5:A6"/>
    <mergeCell ref="B3:B4"/>
    <mergeCell ref="A3:A4"/>
    <mergeCell ref="A1:I1"/>
    <mergeCell ref="A7:A8"/>
    <mergeCell ref="B7:B8"/>
    <mergeCell ref="B5:B6"/>
  </mergeCells>
  <pageMargins left="0.75" right="0.75" top="1" bottom="1" header="0.5" footer="0.5"/>
</worksheet>
</file>

<file path=xl/worksheets/sheet16.xml><?xml version="1.0" encoding="utf-8"?>
<worksheet xmlns="http://schemas.openxmlformats.org/spreadsheetml/2006/main">
  <sheetPr codeName="Sheet15">
    <tabColor rgb="FFFFFF00"/>
    <outlinePr summaryBelow="1" summaryRight="1"/>
    <pageSetUpPr/>
  </sheetPr>
  <dimension ref="A1:AD11"/>
  <sheetViews>
    <sheetView workbookViewId="0">
      <pane xSplit="7" ySplit="2" topLeftCell="I3" activePane="bottomRight" state="frozen"/>
      <selection activeCell="A1" sqref="A1"/>
      <selection pane="topRight" activeCell="A1" sqref="A1"/>
      <selection pane="bottomLeft" activeCell="A1" sqref="A1"/>
      <selection pane="bottomRight" activeCell="N12" sqref="N12"/>
    </sheetView>
  </sheetViews>
  <sheetFormatPr baseColWidth="8" defaultColWidth="8.890909090909091" defaultRowHeight="28.05" customHeight="1"/>
  <cols>
    <col width="6" customWidth="1" style="162" min="1" max="1"/>
    <col width="12.3363636363636" customWidth="1" style="162" min="2" max="2"/>
    <col width="6" customWidth="1" style="162" min="3" max="3"/>
    <col width="18" customWidth="1" style="162" min="4" max="4"/>
    <col width="21.5545454545455" customWidth="1" style="162" min="5" max="5"/>
    <col width="16.8909090909091" customWidth="1" style="162" min="6" max="6"/>
    <col width="10.1090909090909" customWidth="1" style="162" min="7" max="7"/>
    <col width="6.89090909090909" customWidth="1" style="162" min="8" max="8"/>
    <col width="10.5545454545455" customWidth="1" style="162" min="9" max="13"/>
    <col width="67.8909090909091" customWidth="1" style="162" min="14" max="14"/>
  </cols>
  <sheetData>
    <row r="1" s="162">
      <c r="A1" s="77" t="inlineStr">
        <is>
          <t>F.1项目单项收入信息</t>
        </is>
      </c>
      <c r="B1" s="167" t="n"/>
      <c r="C1" s="167" t="n"/>
      <c r="D1" s="167" t="n"/>
      <c r="E1" s="167" t="n"/>
      <c r="F1" s="167" t="n"/>
      <c r="G1" s="167" t="n"/>
      <c r="H1" s="167" t="n"/>
      <c r="I1" s="167" t="n"/>
      <c r="J1" s="167" t="n"/>
      <c r="K1" s="167" t="n"/>
      <c r="L1" s="167" t="n"/>
      <c r="M1" s="167" t="n"/>
    </row>
    <row r="2" s="162">
      <c r="A2" s="2" t="inlineStr">
        <is>
          <t>序号</t>
        </is>
      </c>
      <c r="B2" s="2" t="inlineStr">
        <is>
          <t>收入类别</t>
        </is>
      </c>
      <c r="C2" s="2" t="inlineStr">
        <is>
          <t>数量</t>
        </is>
      </c>
      <c r="D2" s="2" t="inlineStr">
        <is>
          <t>单价（万元/年）</t>
        </is>
      </c>
      <c r="E2" s="2" t="inlineStr">
        <is>
          <t>浮动后单价（万元）</t>
        </is>
      </c>
      <c r="F2" s="2" t="inlineStr">
        <is>
          <t>单价年增长情况</t>
        </is>
      </c>
      <c r="G2" s="2" t="inlineStr">
        <is>
          <t>增长比例</t>
        </is>
      </c>
      <c r="H2" s="36" t="n">
        <v>2025</v>
      </c>
      <c r="I2" s="36" t="n">
        <v>2026</v>
      </c>
      <c r="J2" s="36" t="n">
        <v>2027</v>
      </c>
      <c r="K2" s="36" t="n">
        <v>2028</v>
      </c>
      <c r="L2" s="36" t="n">
        <v>2029</v>
      </c>
      <c r="M2" s="36" t="n">
        <v>2030</v>
      </c>
      <c r="N2" s="210" t="n">
        <v>2031</v>
      </c>
      <c r="O2" s="210" t="n">
        <v>2032</v>
      </c>
      <c r="P2" s="210" t="n">
        <v>2033</v>
      </c>
      <c r="Q2" s="210" t="n">
        <v>2034</v>
      </c>
      <c r="R2" s="210" t="n">
        <v>2035</v>
      </c>
      <c r="S2" s="210" t="n">
        <v>2036</v>
      </c>
      <c r="T2" s="210" t="n">
        <v>2037</v>
      </c>
      <c r="U2" s="210" t="n">
        <v>2038</v>
      </c>
      <c r="V2" s="210" t="n">
        <v>2039</v>
      </c>
      <c r="W2" s="210" t="n">
        <v>2040</v>
      </c>
      <c r="X2" s="210" t="n">
        <v>2041</v>
      </c>
      <c r="Y2" s="210" t="n">
        <v>2042</v>
      </c>
      <c r="Z2" s="210" t="n">
        <v>2043</v>
      </c>
      <c r="AA2" s="210" t="n">
        <v>2044</v>
      </c>
      <c r="AB2" s="210" t="n">
        <v>2045</v>
      </c>
      <c r="AC2" s="210" t="n">
        <v>2046</v>
      </c>
      <c r="AD2" s="210" t="n">
        <v>2047</v>
      </c>
    </row>
    <row r="3" s="162">
      <c r="A3" s="10" t="n">
        <v>1</v>
      </c>
      <c r="B3" s="10" t="inlineStr">
        <is>
          <t>租赁收入</t>
        </is>
      </c>
      <c r="C3" s="10" t="n">
        <v>2</v>
      </c>
      <c r="D3" s="169" t="n">
        <v>100</v>
      </c>
      <c r="E3" s="177">
        <f>D3*(1+A财务假设!$D$20)</f>
        <v/>
      </c>
      <c r="F3" s="91" t="inlineStr">
        <is>
          <t>不增长</t>
        </is>
      </c>
      <c r="G3" s="12" t="n">
        <v>0</v>
      </c>
      <c r="H3" s="92" t="n"/>
      <c r="I3" s="94">
        <f>$C3*$E3*I4</f>
        <v/>
      </c>
      <c r="J3" s="94">
        <f>$C3*$E3*J4</f>
        <v/>
      </c>
      <c r="K3" s="94">
        <f>$C3*$E3*K4</f>
        <v/>
      </c>
      <c r="L3" s="94">
        <f>$C3*$E3*L4</f>
        <v/>
      </c>
      <c r="M3" s="94">
        <f>$C3*$E3*M4</f>
        <v/>
      </c>
      <c r="N3" s="94">
        <f>$C3*$E3*N4</f>
        <v/>
      </c>
      <c r="O3" s="94">
        <f>$C3*$E3*O4</f>
        <v/>
      </c>
      <c r="P3" s="94">
        <f>$C3*$E3*P4</f>
        <v/>
      </c>
      <c r="Q3" s="94">
        <f>$C3*$E3*Q4</f>
        <v/>
      </c>
      <c r="R3" s="94">
        <f>$C3*$E3*R4</f>
        <v/>
      </c>
      <c r="S3" s="94">
        <f>$C3*$E3*S4</f>
        <v/>
      </c>
      <c r="T3" s="94">
        <f>$C3*$E3*T4</f>
        <v/>
      </c>
      <c r="U3" s="94">
        <f>$C3*$E3*U4</f>
        <v/>
      </c>
      <c r="V3" s="94">
        <f>$C3*$E3*V4</f>
        <v/>
      </c>
      <c r="W3" s="94">
        <f>$C3*$E3*W4</f>
        <v/>
      </c>
      <c r="X3" s="94">
        <f>$C3*$E3*X4</f>
        <v/>
      </c>
      <c r="Y3" s="94">
        <f>$C3*$E3*Y4</f>
        <v/>
      </c>
      <c r="Z3" s="94">
        <f>$C3*$E3*Z4</f>
        <v/>
      </c>
      <c r="AA3" s="94">
        <f>$C3*$E3*AA4</f>
        <v/>
      </c>
      <c r="AB3" s="94">
        <f>$C3*$E3*AB4</f>
        <v/>
      </c>
      <c r="AC3" s="94">
        <f>$C3*$E3*AC4</f>
        <v/>
      </c>
      <c r="AD3" s="94">
        <f>$C3*$E3*AD4</f>
        <v/>
      </c>
    </row>
    <row r="4" s="162">
      <c r="A4" s="164" t="n"/>
      <c r="B4" s="164" t="n"/>
      <c r="C4" s="7" t="inlineStr">
        <is>
          <t>年度负荷</t>
        </is>
      </c>
      <c r="D4" s="167" t="n"/>
      <c r="E4" s="167" t="n"/>
      <c r="F4" s="167" t="n"/>
      <c r="G4" s="168" t="n"/>
      <c r="H4" s="92" t="n"/>
      <c r="I4" s="95" t="n">
        <v>0.5</v>
      </c>
      <c r="J4" s="95" t="n">
        <v>0.8</v>
      </c>
      <c r="K4" s="95" t="n">
        <v>1</v>
      </c>
      <c r="L4" s="95" t="n">
        <v>1</v>
      </c>
      <c r="M4" s="95" t="n">
        <v>1</v>
      </c>
      <c r="N4" s="95" t="n">
        <v>1</v>
      </c>
      <c r="O4" s="95" t="n">
        <v>1</v>
      </c>
      <c r="P4" s="95" t="n">
        <v>1</v>
      </c>
      <c r="Q4" s="95" t="n">
        <v>1</v>
      </c>
      <c r="R4" s="95" t="n">
        <v>1</v>
      </c>
      <c r="S4" s="95" t="n">
        <v>1</v>
      </c>
      <c r="T4" s="95" t="n">
        <v>1</v>
      </c>
      <c r="U4" s="95" t="n">
        <v>1</v>
      </c>
      <c r="V4" s="95" t="n">
        <v>1</v>
      </c>
      <c r="W4" s="95" t="n">
        <v>1</v>
      </c>
      <c r="X4" s="95" t="n">
        <v>1</v>
      </c>
      <c r="Y4" s="95" t="n">
        <v>1</v>
      </c>
      <c r="Z4" s="95" t="n">
        <v>1</v>
      </c>
      <c r="AA4" s="95" t="n">
        <v>1</v>
      </c>
      <c r="AB4" s="95" t="n">
        <v>1</v>
      </c>
      <c r="AC4" s="95" t="n">
        <v>1</v>
      </c>
      <c r="AD4" s="95" t="n">
        <v>1</v>
      </c>
    </row>
    <row r="5" s="162">
      <c r="A5" s="10" t="n">
        <v>2</v>
      </c>
      <c r="B5" s="10" t="inlineStr">
        <is>
          <t>停车收入</t>
        </is>
      </c>
      <c r="C5" s="10" t="n">
        <v>2</v>
      </c>
      <c r="D5" s="169" t="n">
        <v>200</v>
      </c>
      <c r="E5" s="177">
        <f>D5*(1+A财务假设!$D$20)</f>
        <v/>
      </c>
      <c r="F5" s="91" t="inlineStr">
        <is>
          <t>每年增长</t>
        </is>
      </c>
      <c r="G5" s="12" t="n">
        <v>0.02</v>
      </c>
      <c r="H5" s="92" t="n"/>
      <c r="I5" s="182">
        <f>I6*$C5*$E5*POWER(1+$G5,I$2-$I$2)</f>
        <v/>
      </c>
      <c r="J5" s="182">
        <f>J6*$C5*$E5*POWER(1+$G5,J$2-$I$2)</f>
        <v/>
      </c>
      <c r="K5" s="182">
        <f>K6*$C5*$E5*POWER(1+$G5,K$2-$I$2)</f>
        <v/>
      </c>
      <c r="L5" s="182">
        <f>L6*$C5*$E5*POWER(1+$G5,L$2-$I$2)</f>
        <v/>
      </c>
      <c r="M5" s="182">
        <f>M6*$C5*$E5*POWER(1+$G5,M$2-$I$2)</f>
        <v/>
      </c>
      <c r="N5" s="182">
        <f>N6*$C5*$E5*POWER(1+$G5,N$2-$I$2)</f>
        <v/>
      </c>
      <c r="O5" s="182">
        <f>O6*$C5*$E5*POWER(1+$G5,O$2-$I$2)</f>
        <v/>
      </c>
      <c r="P5" s="182">
        <f>P6*$C5*$E5*POWER(1+$G5,P$2-$I$2)</f>
        <v/>
      </c>
      <c r="Q5" s="182">
        <f>Q6*$C5*$E5*POWER(1+$G5,Q$2-$I$2)</f>
        <v/>
      </c>
      <c r="R5" s="182">
        <f>R6*$C5*$E5*POWER(1+$G5,R$2-$I$2)</f>
        <v/>
      </c>
      <c r="S5" s="182">
        <f>S6*$C5*$E5*POWER(1+$G5,S$2-$I$2)</f>
        <v/>
      </c>
      <c r="T5" s="182">
        <f>T6*$C5*$E5*POWER(1+$G5,T$2-$I$2)</f>
        <v/>
      </c>
      <c r="U5" s="182">
        <f>U6*$C5*$E5*POWER(1+$G5,U$2-$I$2)</f>
        <v/>
      </c>
      <c r="V5" s="182">
        <f>V6*$C5*$E5*POWER(1+$G5,V$2-$I$2)</f>
        <v/>
      </c>
      <c r="W5" s="182">
        <f>W6*$C5*$E5*POWER(1+$G5,W$2-$I$2)</f>
        <v/>
      </c>
      <c r="X5" s="182">
        <f>X6*$C5*$E5*POWER(1+$G5,X$2-$I$2)</f>
        <v/>
      </c>
      <c r="Y5" s="182">
        <f>Y6*$C5*$E5*POWER(1+$G5,Y$2-$I$2)</f>
        <v/>
      </c>
      <c r="Z5" s="182">
        <f>Z6*$C5*$E5*POWER(1+$G5,Z$2-$I$2)</f>
        <v/>
      </c>
      <c r="AA5" s="182">
        <f>AA6*$C5*$E5*POWER(1+$G5,AA$2-$I$2)</f>
        <v/>
      </c>
      <c r="AB5" s="182">
        <f>AB6*$C5*$E5*POWER(1+$G5,AB$2-$I$2)</f>
        <v/>
      </c>
      <c r="AC5" s="182">
        <f>AC6*$C5*$E5*POWER(1+$G5,AC$2-$I$2)</f>
        <v/>
      </c>
      <c r="AD5" s="182">
        <f>AD6*$C5*$E5*POWER(1+$G5,AD$2-$I$2)</f>
        <v/>
      </c>
    </row>
    <row r="6" s="162">
      <c r="A6" s="164" t="n"/>
      <c r="B6" s="164" t="n"/>
      <c r="C6" s="7" t="inlineStr">
        <is>
          <t>年度负荷</t>
        </is>
      </c>
      <c r="D6" s="167" t="n"/>
      <c r="E6" s="167" t="n"/>
      <c r="F6" s="167" t="n"/>
      <c r="G6" s="168" t="n"/>
      <c r="H6" s="92" t="n"/>
      <c r="I6" s="95" t="n">
        <v>0.5</v>
      </c>
      <c r="J6" s="95" t="n">
        <v>0.8</v>
      </c>
      <c r="K6" s="95" t="n">
        <v>1</v>
      </c>
      <c r="L6" s="95" t="n">
        <v>1</v>
      </c>
      <c r="M6" s="95" t="n">
        <v>1</v>
      </c>
      <c r="N6" s="95" t="n">
        <v>1</v>
      </c>
      <c r="O6" s="95" t="n">
        <v>1</v>
      </c>
      <c r="P6" s="95" t="n">
        <v>1</v>
      </c>
      <c r="Q6" s="95" t="n">
        <v>1</v>
      </c>
      <c r="R6" s="95" t="n">
        <v>1</v>
      </c>
      <c r="S6" s="95" t="n">
        <v>1</v>
      </c>
      <c r="T6" s="95" t="n">
        <v>1</v>
      </c>
      <c r="U6" s="95" t="n">
        <v>1</v>
      </c>
      <c r="V6" s="95" t="n">
        <v>1</v>
      </c>
      <c r="W6" s="95" t="n">
        <v>1</v>
      </c>
      <c r="X6" s="95" t="n">
        <v>1</v>
      </c>
      <c r="Y6" s="95" t="n">
        <v>1</v>
      </c>
      <c r="Z6" s="95" t="n">
        <v>1</v>
      </c>
      <c r="AA6" s="95" t="n">
        <v>1</v>
      </c>
      <c r="AB6" s="95" t="n">
        <v>1</v>
      </c>
      <c r="AC6" s="95" t="n">
        <v>1</v>
      </c>
      <c r="AD6" s="95" t="n">
        <v>1</v>
      </c>
    </row>
    <row r="7" s="162">
      <c r="A7" s="10" t="n">
        <v>3</v>
      </c>
      <c r="B7" s="10" t="inlineStr">
        <is>
          <t>充电桩收入</t>
        </is>
      </c>
      <c r="C7" s="10" t="n">
        <v>1</v>
      </c>
      <c r="D7" s="169" t="n">
        <v>50</v>
      </c>
      <c r="E7" s="177">
        <f>D7*(1+A财务假设!$D$20)</f>
        <v/>
      </c>
      <c r="F7" s="91" t="inlineStr">
        <is>
          <t>每3年增长</t>
        </is>
      </c>
      <c r="G7" s="72" t="n">
        <v>0.05</v>
      </c>
      <c r="H7" s="92" t="n"/>
      <c r="I7" s="182">
        <f>I8*$C7*$E7*POWER(1+$G7,ROUNDUP((I$2-$H$2)/3,0)-1)</f>
        <v/>
      </c>
      <c r="J7" s="182">
        <f>J8*$C7*$E7*POWER(1+$G7,ROUNDUP((J$2-$H$2)/3,0)-1)</f>
        <v/>
      </c>
      <c r="K7" s="182">
        <f>K8*$C7*$E7*POWER(1+$G7,ROUNDUP((K$2-$H$2)/3,0)-1)</f>
        <v/>
      </c>
      <c r="L7" s="182">
        <f>L8*$C7*$E7*POWER(1+$G7,ROUNDUP((L$2-$H$2)/3,0)-1)</f>
        <v/>
      </c>
      <c r="M7" s="182">
        <f>M8*$C7*$E7*POWER(1+$G7,ROUNDUP((M$2-$H$2)/3,0)-1)</f>
        <v/>
      </c>
      <c r="N7" s="182">
        <f>N8*$C7*$E7*POWER(1+$G7,ROUNDUP((N$2-$H$2)/3,0)-1)</f>
        <v/>
      </c>
      <c r="O7" s="182">
        <f>O8*$C7*$E7*POWER(1+$G7,ROUNDUP((O$2-$H$2)/3,0)-1)</f>
        <v/>
      </c>
      <c r="P7" s="182">
        <f>P8*$C7*$E7*POWER(1+$G7,ROUNDUP((P$2-$H$2)/3,0)-1)</f>
        <v/>
      </c>
      <c r="Q7" s="182">
        <f>Q8*$C7*$E7*POWER(1+$G7,ROUNDUP((Q$2-$H$2)/3,0)-1)</f>
        <v/>
      </c>
      <c r="R7" s="182">
        <f>R8*$C7*$E7*POWER(1+$G7,ROUNDUP((R$2-$H$2)/3,0)-1)</f>
        <v/>
      </c>
      <c r="S7" s="182">
        <f>S8*$C7*$E7*POWER(1+$G7,ROUNDUP((S$2-$H$2)/3,0)-1)</f>
        <v/>
      </c>
      <c r="T7" s="182">
        <f>T8*$C7*$E7*POWER(1+$G7,ROUNDUP((T$2-$H$2)/3,0)-1)</f>
        <v/>
      </c>
      <c r="U7" s="182">
        <f>U8*$C7*$E7*POWER(1+$G7,ROUNDUP((U$2-$H$2)/3,0)-1)</f>
        <v/>
      </c>
      <c r="V7" s="182">
        <f>V8*$C7*$E7*POWER(1+$G7,ROUNDUP((V$2-$H$2)/3,0)-1)</f>
        <v/>
      </c>
      <c r="W7" s="182">
        <f>W8*$C7*$E7*POWER(1+$G7,ROUNDUP((W$2-$H$2)/3,0)-1)</f>
        <v/>
      </c>
      <c r="X7" s="182">
        <f>X8*$C7*$E7*POWER(1+$G7,ROUNDUP((X$2-$H$2)/3,0)-1)</f>
        <v/>
      </c>
      <c r="Y7" s="182">
        <f>Y8*$C7*$E7*POWER(1+$G7,ROUNDUP((Y$2-$H$2)/3,0)-1)</f>
        <v/>
      </c>
      <c r="Z7" s="182">
        <f>Z8*$C7*$E7*POWER(1+$G7,ROUNDUP((Z$2-$H$2)/3,0)-1)</f>
        <v/>
      </c>
      <c r="AA7" s="182">
        <f>AA8*$C7*$E7*POWER(1+$G7,ROUNDUP((AA$2-$H$2)/3,0)-1)</f>
        <v/>
      </c>
      <c r="AB7" s="182">
        <f>AB8*$C7*$E7*POWER(1+$G7,ROUNDUP((AB$2-$H$2)/3,0)-1)</f>
        <v/>
      </c>
      <c r="AC7" s="182">
        <f>AC8*$C7*$E7*POWER(1+$G7,ROUNDUP((AC$2-$H$2)/3,0)-1)</f>
        <v/>
      </c>
      <c r="AD7" s="182">
        <f>AD8*$C7*$E7*POWER(1+$G7,ROUNDUP((AD$2-$H$2)/3,0)-1)</f>
        <v/>
      </c>
    </row>
    <row r="8" s="162">
      <c r="A8" s="164" t="n"/>
      <c r="B8" s="164" t="n"/>
      <c r="C8" s="7" t="inlineStr">
        <is>
          <t>年度负荷</t>
        </is>
      </c>
      <c r="D8" s="167" t="n"/>
      <c r="E8" s="167" t="n"/>
      <c r="F8" s="167" t="n"/>
      <c r="G8" s="168" t="n"/>
      <c r="H8" s="92" t="n"/>
      <c r="I8" s="95" t="n">
        <v>1</v>
      </c>
      <c r="J8" s="95" t="n">
        <v>1</v>
      </c>
      <c r="K8" s="95" t="n">
        <v>1</v>
      </c>
      <c r="L8" s="95" t="n">
        <v>1</v>
      </c>
      <c r="M8" s="95" t="n">
        <v>1</v>
      </c>
      <c r="N8" s="95" t="n">
        <v>1</v>
      </c>
      <c r="O8" s="95" t="n">
        <v>1</v>
      </c>
      <c r="P8" s="95" t="n">
        <v>1</v>
      </c>
      <c r="Q8" s="95" t="n">
        <v>1</v>
      </c>
      <c r="R8" s="95" t="n">
        <v>1</v>
      </c>
      <c r="S8" s="95" t="n">
        <v>1</v>
      </c>
      <c r="T8" s="95" t="n">
        <v>1</v>
      </c>
      <c r="U8" s="95" t="n">
        <v>1</v>
      </c>
      <c r="V8" s="95" t="n">
        <v>1</v>
      </c>
      <c r="W8" s="95" t="n">
        <v>1</v>
      </c>
      <c r="X8" s="95" t="n">
        <v>1</v>
      </c>
      <c r="Y8" s="95" t="n">
        <v>1</v>
      </c>
      <c r="Z8" s="95" t="n">
        <v>1</v>
      </c>
      <c r="AA8" s="95" t="n">
        <v>1</v>
      </c>
      <c r="AB8" s="95" t="n">
        <v>1</v>
      </c>
      <c r="AC8" s="95" t="n">
        <v>1</v>
      </c>
      <c r="AD8" s="95" t="n">
        <v>1</v>
      </c>
    </row>
    <row r="9" s="162">
      <c r="A9" s="10" t="n">
        <v>4</v>
      </c>
      <c r="B9" s="10" t="inlineStr">
        <is>
          <t>广告收入</t>
        </is>
      </c>
      <c r="C9" s="10" t="n">
        <v>5</v>
      </c>
      <c r="D9" s="169" t="n">
        <v>20</v>
      </c>
      <c r="E9" s="177">
        <f>D9*(1+A财务假设!$D$20)</f>
        <v/>
      </c>
      <c r="F9" s="91" t="inlineStr">
        <is>
          <t>每5年增长</t>
        </is>
      </c>
      <c r="G9" s="72" t="n">
        <v>0.05</v>
      </c>
      <c r="H9" s="92" t="n"/>
      <c r="I9" s="182">
        <f>I10*$C9*$E9*POWER(1+$G9,ROUNDUP((I$2-$H$2)/5,0)-1)</f>
        <v/>
      </c>
      <c r="J9" s="182">
        <f>J10*$C9*$E9*POWER(1+$G9,ROUNDUP((J$2-$H$2)/5,0)-1)</f>
        <v/>
      </c>
      <c r="K9" s="182">
        <f>K10*$C9*$E9*POWER(1+$G9,ROUNDUP((K$2-$H$2)/5,0)-1)</f>
        <v/>
      </c>
      <c r="L9" s="182">
        <f>L10*$C9*$E9*POWER(1+$G9,ROUNDUP((L$2-$H$2)/5,0)-1)</f>
        <v/>
      </c>
      <c r="M9" s="182">
        <f>M10*$C9*$E9*POWER(1+$G9,ROUNDUP((M$2-$H$2)/5,0)-1)</f>
        <v/>
      </c>
      <c r="N9" s="182">
        <f>N10*$C9*$E9*POWER(1+$G9,ROUNDUP((N$2-$H$2)/5,0)-1)</f>
        <v/>
      </c>
      <c r="O9" s="182">
        <f>O10*$C9*$E9*POWER(1+$G9,ROUNDUP((O$2-$H$2)/5,0)-1)</f>
        <v/>
      </c>
      <c r="P9" s="182">
        <f>P10*$C9*$E9*POWER(1+$G9,ROUNDUP((P$2-$H$2)/5,0)-1)</f>
        <v/>
      </c>
      <c r="Q9" s="182">
        <f>Q10*$C9*$E9*POWER(1+$G9,ROUNDUP((Q$2-$H$2)/5,0)-1)</f>
        <v/>
      </c>
      <c r="R9" s="182">
        <f>R10*$C9*$E9*POWER(1+$G9,ROUNDUP((R$2-$H$2)/5,0)-1)</f>
        <v/>
      </c>
      <c r="S9" s="182">
        <f>S10*$C9*$E9*POWER(1+$G9,ROUNDUP((S$2-$H$2)/5,0)-1)</f>
        <v/>
      </c>
      <c r="T9" s="182">
        <f>T10*$C9*$E9*POWER(1+$G9,ROUNDUP((T$2-$H$2)/5,0)-1)</f>
        <v/>
      </c>
      <c r="U9" s="182">
        <f>U10*$C9*$E9*POWER(1+$G9,ROUNDUP((U$2-$H$2)/5,0)-1)</f>
        <v/>
      </c>
      <c r="V9" s="182">
        <f>V10*$C9*$E9*POWER(1+$G9,ROUNDUP((V$2-$H$2)/5,0)-1)</f>
        <v/>
      </c>
      <c r="W9" s="182">
        <f>W10*$C9*$E9*POWER(1+$G9,ROUNDUP((W$2-$H$2)/5,0)-1)</f>
        <v/>
      </c>
      <c r="X9" s="182">
        <f>X10*$C9*$E9*POWER(1+$G9,ROUNDUP((X$2-$H$2)/5,0)-1)</f>
        <v/>
      </c>
      <c r="Y9" s="182">
        <f>Y10*$C9*$E9*POWER(1+$G9,ROUNDUP((Y$2-$H$2)/5,0)-1)</f>
        <v/>
      </c>
      <c r="Z9" s="182">
        <f>Z10*$C9*$E9*POWER(1+$G9,ROUNDUP((Z$2-$H$2)/5,0)-1)</f>
        <v/>
      </c>
      <c r="AA9" s="182">
        <f>AA10*$C9*$E9*POWER(1+$G9,ROUNDUP((AA$2-$H$2)/5,0)-1)</f>
        <v/>
      </c>
      <c r="AB9" s="182">
        <f>AB10*$C9*$E9*POWER(1+$G9,ROUNDUP((AB$2-$H$2)/5,0)-1)</f>
        <v/>
      </c>
      <c r="AC9" s="182">
        <f>AC10*$C9*$E9*POWER(1+$G9,ROUNDUP((AC$2-$H$2)/5,0)-1)</f>
        <v/>
      </c>
      <c r="AD9" s="182">
        <f>AD10*$C9*$E9*POWER(1+$G9,ROUNDUP((AD$2-$H$2)/5,0)-1)</f>
        <v/>
      </c>
    </row>
    <row r="10" s="162">
      <c r="A10" s="164" t="n"/>
      <c r="B10" s="164" t="n"/>
      <c r="C10" s="7" t="inlineStr">
        <is>
          <t>年度负荷</t>
        </is>
      </c>
      <c r="D10" s="167" t="n"/>
      <c r="E10" s="167" t="n"/>
      <c r="F10" s="167" t="n"/>
      <c r="G10" s="168" t="n"/>
      <c r="H10" s="92" t="n"/>
      <c r="I10" s="95" t="n">
        <v>1</v>
      </c>
      <c r="J10" s="95" t="n">
        <v>1</v>
      </c>
      <c r="K10" s="95" t="n">
        <v>1</v>
      </c>
      <c r="L10" s="95" t="n">
        <v>1</v>
      </c>
      <c r="M10" s="95" t="n">
        <v>1</v>
      </c>
      <c r="N10" s="95" t="n">
        <v>1</v>
      </c>
      <c r="O10" s="95" t="n">
        <v>1</v>
      </c>
      <c r="P10" s="95" t="n">
        <v>1</v>
      </c>
      <c r="Q10" s="95" t="n">
        <v>1</v>
      </c>
      <c r="R10" s="95" t="n">
        <v>1</v>
      </c>
      <c r="S10" s="95" t="n">
        <v>1</v>
      </c>
      <c r="T10" s="95" t="n">
        <v>1</v>
      </c>
      <c r="U10" s="95" t="n">
        <v>1</v>
      </c>
      <c r="V10" s="95" t="n">
        <v>1</v>
      </c>
      <c r="W10" s="95" t="n">
        <v>1</v>
      </c>
      <c r="X10" s="95" t="n">
        <v>1</v>
      </c>
      <c r="Y10" s="95" t="n">
        <v>1</v>
      </c>
      <c r="Z10" s="95" t="n">
        <v>1</v>
      </c>
      <c r="AA10" s="95" t="n">
        <v>1</v>
      </c>
      <c r="AB10" s="95" t="n">
        <v>1</v>
      </c>
      <c r="AC10" s="95" t="n">
        <v>1</v>
      </c>
      <c r="AD10" s="95" t="n">
        <v>1</v>
      </c>
    </row>
    <row r="11" s="162">
      <c r="A11" s="7" t="inlineStr">
        <is>
          <t>...</t>
        </is>
      </c>
      <c r="B11" s="7" t="n"/>
      <c r="C11" s="7" t="n"/>
      <c r="D11" s="7" t="n"/>
      <c r="E11" s="7" t="n"/>
      <c r="F11" s="7" t="n"/>
      <c r="G11" s="7" t="n"/>
      <c r="H11" s="7" t="n"/>
      <c r="I11" s="43" t="n"/>
      <c r="J11" s="43" t="n"/>
      <c r="K11" s="7" t="n"/>
      <c r="L11" s="43" t="n"/>
      <c r="M11" s="43" t="n"/>
      <c r="N11" s="43" t="n"/>
      <c r="O11" s="43" t="n"/>
      <c r="P11" s="43" t="n"/>
      <c r="Q11" s="43" t="n"/>
      <c r="R11" s="43" t="n"/>
      <c r="S11" s="43" t="n"/>
      <c r="T11" s="43" t="n"/>
      <c r="U11" s="43" t="n"/>
      <c r="V11" s="43" t="n"/>
      <c r="W11" s="43" t="n"/>
      <c r="X11" s="43" t="n"/>
      <c r="Y11" s="43" t="n"/>
      <c r="Z11" s="43" t="n"/>
      <c r="AA11" s="43" t="n"/>
      <c r="AB11" s="43" t="n"/>
      <c r="AC11" s="43" t="n"/>
      <c r="AD11" s="43" t="n"/>
    </row>
  </sheetData>
  <mergeCells count="13">
    <mergeCell ref="A5:A6"/>
    <mergeCell ref="B9:B10"/>
    <mergeCell ref="C4:G4"/>
    <mergeCell ref="A1:M1"/>
    <mergeCell ref="C6:G6"/>
    <mergeCell ref="C10:G10"/>
    <mergeCell ref="A9:A10"/>
    <mergeCell ref="A3:A4"/>
    <mergeCell ref="B3:B4"/>
    <mergeCell ref="A7:A8"/>
    <mergeCell ref="B7:B8"/>
    <mergeCell ref="C8:G8"/>
    <mergeCell ref="B5:B6"/>
  </mergeCells>
  <dataValidations count="2">
    <dataValidation sqref="F3" showDropDown="0" showInputMessage="1" showErrorMessage="1" allowBlank="1" type="list">
      <formula1>"不增长,每2年增长,每3年增长,每5年增长,自定义增长"</formula1>
    </dataValidation>
    <dataValidation sqref="F5 F7 F9" showDropDown="0" showInputMessage="1" showErrorMessage="1" allowBlank="1" type="list">
      <formula1>"不增长,每年增长,每2年增长,每3年增长,每5年增长,自定义增长"</formula1>
    </dataValidation>
  </dataValidations>
  <pageMargins left="0.75" right="0.75" top="1" bottom="1" header="0.5" footer="0.5"/>
</worksheet>
</file>

<file path=xl/worksheets/sheet17.xml><?xml version="1.0" encoding="utf-8"?>
<worksheet xmlns="http://schemas.openxmlformats.org/spreadsheetml/2006/main">
  <sheetPr codeName="Sheet19">
    <tabColor rgb="FFFFFF00"/>
    <outlinePr summaryBelow="1" summaryRight="1"/>
    <pageSetUpPr/>
  </sheetPr>
  <dimension ref="A1:Z32"/>
  <sheetViews>
    <sheetView zoomScale="85" zoomScaleNormal="85" workbookViewId="0">
      <pane xSplit="3" ySplit="2" topLeftCell="D3" activePane="bottomRight" state="frozen"/>
      <selection activeCell="A1" sqref="A1"/>
      <selection pane="topRight" activeCell="A1" sqref="A1"/>
      <selection pane="bottomLeft" activeCell="A1" sqref="A1"/>
      <selection pane="bottomRight" activeCell="I3" sqref="I3"/>
    </sheetView>
  </sheetViews>
  <sheetFormatPr baseColWidth="8" defaultColWidth="8.890909090909091" defaultRowHeight="14"/>
  <cols>
    <col width="13.1090909090909" customWidth="1" style="162" min="1" max="1"/>
    <col width="33.2181818181818" customWidth="1" style="162" min="2" max="2"/>
    <col width="25.7818181818182" customWidth="1" style="162" min="3" max="3"/>
    <col width="14.7818181818182" customWidth="1" style="162" min="4" max="4"/>
    <col width="13.8909090909091" customWidth="1" style="162" min="5" max="5"/>
    <col width="14.7818181818182" customWidth="1" style="162" min="6" max="6"/>
    <col width="17.1090909090909" customWidth="1" style="162" min="7" max="7"/>
    <col width="14.7818181818182" customWidth="1" style="162" min="8" max="8"/>
    <col width="13.8909090909091" customWidth="1" style="162" min="9" max="9"/>
    <col width="8.890909090909091" customWidth="1" style="45" min="10" max="10"/>
  </cols>
  <sheetData>
    <row r="1" ht="20" customHeight="1" s="162">
      <c r="A1" s="40" t="inlineStr">
        <is>
          <t>G.税金及附加测算表（万元）</t>
        </is>
      </c>
      <c r="B1" s="167" t="n"/>
      <c r="C1" s="167" t="n"/>
      <c r="D1" s="167" t="n"/>
      <c r="E1" s="167" t="n"/>
      <c r="F1" s="167" t="n"/>
      <c r="G1" s="167" t="n"/>
      <c r="H1" s="167" t="n"/>
      <c r="I1" s="168" t="n"/>
      <c r="J1" s="45" t="n"/>
    </row>
    <row r="2" ht="16.5" customHeight="1" s="162">
      <c r="A2" s="2" t="inlineStr">
        <is>
          <t>序号</t>
        </is>
      </c>
      <c r="B2" s="2" t="inlineStr">
        <is>
          <t>科目</t>
        </is>
      </c>
      <c r="C2" s="2" t="inlineStr">
        <is>
          <t>建设投资进项税</t>
        </is>
      </c>
      <c r="D2" s="36" t="inlineStr">
        <is>
          <t xml:space="preserve">2025
</t>
        </is>
      </c>
      <c r="E2" s="36" t="inlineStr">
        <is>
          <t xml:space="preserve">2026
</t>
        </is>
      </c>
      <c r="F2" s="36" t="inlineStr">
        <is>
          <t xml:space="preserve">2027
</t>
        </is>
      </c>
      <c r="G2" s="36" t="inlineStr">
        <is>
          <t xml:space="preserve">2028
</t>
        </is>
      </c>
      <c r="H2" s="36" t="inlineStr">
        <is>
          <t xml:space="preserve">2029
</t>
        </is>
      </c>
      <c r="I2" s="36" t="inlineStr">
        <is>
          <t xml:space="preserve">2030
</t>
        </is>
      </c>
      <c r="J2" s="210" t="n">
        <v>2031</v>
      </c>
      <c r="K2" s="210" t="n">
        <v>2032</v>
      </c>
      <c r="L2" s="210" t="n">
        <v>2033</v>
      </c>
      <c r="M2" s="210" t="n">
        <v>2034</v>
      </c>
      <c r="N2" s="210" t="n">
        <v>2035</v>
      </c>
      <c r="O2" s="210" t="n">
        <v>2036</v>
      </c>
      <c r="P2" s="210" t="n">
        <v>2037</v>
      </c>
      <c r="Q2" s="210" t="n">
        <v>2038</v>
      </c>
      <c r="R2" s="210" t="n">
        <v>2039</v>
      </c>
      <c r="S2" s="210" t="n">
        <v>2040</v>
      </c>
      <c r="T2" s="210" t="n">
        <v>2041</v>
      </c>
      <c r="U2" s="210" t="n">
        <v>2042</v>
      </c>
      <c r="V2" s="210" t="n">
        <v>2043</v>
      </c>
      <c r="W2" s="210" t="n">
        <v>2044</v>
      </c>
      <c r="X2" s="210" t="n">
        <v>2045</v>
      </c>
      <c r="Y2" s="210" t="n">
        <v>2046</v>
      </c>
      <c r="Z2" s="210" t="n">
        <v>2047</v>
      </c>
    </row>
    <row r="3" ht="33" customHeight="1" s="162">
      <c r="A3" s="7" t="n"/>
      <c r="B3" s="7" t="n"/>
      <c r="C3" s="92" t="inlineStr">
        <is>
          <t>G.1 进项税总计-建设投资
可一直累进抵扣，直至为0</t>
        </is>
      </c>
      <c r="D3" s="66">
        <f>('G.1进项增值税率-建设投资'!F21)</f>
        <v/>
      </c>
      <c r="E3" s="83">
        <f>(IF(D29=0,ABS(D25-D4-D3),0))</f>
        <v/>
      </c>
      <c r="F3" s="83">
        <f>(IF(E29=0,ABS(E25-E4-E3),0))</f>
        <v/>
      </c>
      <c r="G3" s="83">
        <f>(IF(F29=0,ABS(F25-F4-F3),0))</f>
        <v/>
      </c>
      <c r="H3" s="66">
        <f>(IF(G29=0,ABS(G25-G4-G3),0))</f>
        <v/>
      </c>
      <c r="I3" s="66">
        <f>IF(H29=0,ABS(H25-H4-H3),0)</f>
        <v/>
      </c>
      <c r="J3" s="66">
        <f>IF(H29=0,ABS(I25-I4-I3),0)</f>
        <v/>
      </c>
      <c r="K3" s="66">
        <f>IF(H29=0,ABS(J25-J4-J3),0)</f>
        <v/>
      </c>
      <c r="L3" s="66">
        <f>IF(H29=0,ABS(K25-K4-K3),0)</f>
        <v/>
      </c>
      <c r="M3" s="66">
        <f>IF(H29=0,ABS(L25-L4-L3),0)</f>
        <v/>
      </c>
      <c r="N3" s="66">
        <f>IF(H29=0,ABS(M25-M4-M3),0)</f>
        <v/>
      </c>
      <c r="O3" s="66">
        <f>IF(H29=0,ABS(N25-N4-N3),0)</f>
        <v/>
      </c>
      <c r="P3" s="66">
        <f>IF(H29=0,ABS(O25-O4-O3),0)</f>
        <v/>
      </c>
      <c r="Q3" s="66">
        <f>IF(H29=0,ABS(P25-P4-P3),0)</f>
        <v/>
      </c>
      <c r="R3" s="66">
        <f>IF(H29=0,ABS(Q25-Q4-Q3),0)</f>
        <v/>
      </c>
      <c r="S3" s="66">
        <f>IF(H29=0,ABS(R25-R4-R3),0)</f>
        <v/>
      </c>
      <c r="T3" s="66">
        <f>IF(H29=0,ABS(S25-S4-S3),0)</f>
        <v/>
      </c>
      <c r="U3" s="66">
        <f>IF(H29=0,ABS(T25-T4-T3),0)</f>
        <v/>
      </c>
      <c r="V3" s="66">
        <f>IF(H29=0,ABS(U25-U4-U3),0)</f>
        <v/>
      </c>
      <c r="W3" s="66">
        <f>IF(H29=0,ABS(V25-V4-V3),0)</f>
        <v/>
      </c>
      <c r="X3" s="66">
        <f>IF(H29=0,ABS(W25-W4-W3),0)</f>
        <v/>
      </c>
      <c r="Y3" s="66">
        <f>IF(H29=0,ABS(X25-X4-X3),0)</f>
        <v/>
      </c>
      <c r="Z3" s="66">
        <f>IF(H29=0,ABS(Y25-Y4-Y3),0)</f>
        <v/>
      </c>
    </row>
    <row r="4" ht="16.5" customHeight="1" s="162">
      <c r="A4" s="7" t="n">
        <v>1</v>
      </c>
      <c r="B4" s="7" t="inlineStr">
        <is>
          <t>当期进项税额</t>
        </is>
      </c>
      <c r="C4" s="7" t="n"/>
      <c r="D4" s="177">
        <f>(SUM(D5:D24))</f>
        <v/>
      </c>
      <c r="E4" s="177">
        <f>(SUM(E5:E24))</f>
        <v/>
      </c>
      <c r="F4" s="177">
        <f>(SUM(F5:F24))</f>
        <v/>
      </c>
      <c r="G4" s="177">
        <f>(SUM(G5:G24))</f>
        <v/>
      </c>
      <c r="H4" s="177">
        <f>(SUM(H5:H24))</f>
        <v/>
      </c>
      <c r="I4" s="177">
        <f>SUM(I5:I24)</f>
        <v/>
      </c>
      <c r="J4" s="177">
        <f>SUM(J5:J24)</f>
        <v/>
      </c>
      <c r="K4" s="177">
        <f>SUM(K5:K24)</f>
        <v/>
      </c>
      <c r="L4" s="177">
        <f>SUM(L5:L24)</f>
        <v/>
      </c>
      <c r="M4" s="177">
        <f>SUM(M5:M24)</f>
        <v/>
      </c>
      <c r="N4" s="177">
        <f>SUM(N5:N24)</f>
        <v/>
      </c>
      <c r="O4" s="177">
        <f>SUM(O5:O24)</f>
        <v/>
      </c>
      <c r="P4" s="177">
        <f>SUM(P5:P24)</f>
        <v/>
      </c>
      <c r="Q4" s="177">
        <f>SUM(Q5:Q24)</f>
        <v/>
      </c>
      <c r="R4" s="177">
        <f>SUM(R5:R24)</f>
        <v/>
      </c>
      <c r="S4" s="177">
        <f>SUM(S5:S24)</f>
        <v/>
      </c>
      <c r="T4" s="177">
        <f>SUM(T5:T24)</f>
        <v/>
      </c>
      <c r="U4" s="177">
        <f>SUM(U5:U24)</f>
        <v/>
      </c>
      <c r="V4" s="177">
        <f>SUM(V5:V24)</f>
        <v/>
      </c>
      <c r="W4" s="177">
        <f>SUM(W5:W24)</f>
        <v/>
      </c>
      <c r="X4" s="177">
        <f>SUM(X5:X24)</f>
        <v/>
      </c>
      <c r="Y4" s="177">
        <f>SUM(Y5:Y24)</f>
        <v/>
      </c>
      <c r="Z4" s="177">
        <f>SUM(Z5:Z24)</f>
        <v/>
      </c>
    </row>
    <row r="5" ht="16.5" customHeight="1" s="162">
      <c r="A5" s="7" t="n"/>
      <c r="B5" s="84">
        <f>E.1项目运营期费用!C4</f>
        <v/>
      </c>
      <c r="C5" s="7" t="n"/>
      <c r="D5" s="194">
        <f>E.1项目运营期费用!H4*'G.2进项增值税率-运营成本'!$C3/(1+'G.2进项增值税率-运营成本'!$C3)</f>
        <v/>
      </c>
      <c r="E5" s="194">
        <f>E.1项目运营期费用!I4*'G.2进项增值税率-运营成本'!$C3/(1+'G.2进项增值税率-运营成本'!$C3)</f>
        <v/>
      </c>
      <c r="F5" s="194">
        <f>E.1项目运营期费用!J4*'G.2进项增值税率-运营成本'!$C3/(1+'G.2进项增值税率-运营成本'!$C3)</f>
        <v/>
      </c>
      <c r="G5" s="194">
        <f>E.1项目运营期费用!K4*'G.2进项增值税率-运营成本'!$C3/(1+'G.2进项增值税率-运营成本'!$C3)</f>
        <v/>
      </c>
      <c r="H5" s="194">
        <f>E.1项目运营期费用!L4*'G.2进项增值税率-运营成本'!$C3/(1+'G.2进项增值税率-运营成本'!$C3)</f>
        <v/>
      </c>
      <c r="I5" s="194">
        <f>E.1项目运营期费用!M4*'G.2进项增值税率-运营成本'!$C3/(1+'G.2进项增值税率-运营成本'!$C3)</f>
        <v/>
      </c>
      <c r="J5" s="194">
        <f>'E.1项目运营期费用'!N4*'G.2进项增值税率-运营成本'!$C3/(1+'G.2进项增值税率-运营成本'!$C3)</f>
        <v/>
      </c>
      <c r="K5" s="194">
        <f>'E.1项目运营期费用'!O4*'G.2进项增值税率-运营成本'!$C3/(1+'G.2进项增值税率-运营成本'!$C3)</f>
        <v/>
      </c>
      <c r="L5" s="194">
        <f>'E.1项目运营期费用'!P4*'G.2进项增值税率-运营成本'!$C3/(1+'G.2进项增值税率-运营成本'!$C3)</f>
        <v/>
      </c>
      <c r="M5" s="194">
        <f>'E.1项目运营期费用'!Q4*'G.2进项增值税率-运营成本'!$C3/(1+'G.2进项增值税率-运营成本'!$C3)</f>
        <v/>
      </c>
      <c r="N5" s="194">
        <f>'E.1项目运营期费用'!R4*'G.2进项增值税率-运营成本'!$C3/(1+'G.2进项增值税率-运营成本'!$C3)</f>
        <v/>
      </c>
      <c r="O5" s="194">
        <f>'E.1项目运营期费用'!S4*'G.2进项增值税率-运营成本'!$C3/(1+'G.2进项增值税率-运营成本'!$C3)</f>
        <v/>
      </c>
      <c r="P5" s="194">
        <f>'E.1项目运营期费用'!T4*'G.2进项增值税率-运营成本'!$C3/(1+'G.2进项增值税率-运营成本'!$C3)</f>
        <v/>
      </c>
      <c r="Q5" s="194">
        <f>'E.1项目运营期费用'!U4*'G.2进项增值税率-运营成本'!$C3/(1+'G.2进项增值税率-运营成本'!$C3)</f>
        <v/>
      </c>
      <c r="R5" s="194">
        <f>'E.1项目运营期费用'!V4*'G.2进项增值税率-运营成本'!$C3/(1+'G.2进项增值税率-运营成本'!$C3)</f>
        <v/>
      </c>
      <c r="S5" s="194">
        <f>'E.1项目运营期费用'!W4*'G.2进项增值税率-运营成本'!$C3/(1+'G.2进项增值税率-运营成本'!$C3)</f>
        <v/>
      </c>
      <c r="T5" s="194">
        <f>'E.1项目运营期费用'!X4*'G.2进项增值税率-运营成本'!$C3/(1+'G.2进项增值税率-运营成本'!$C3)</f>
        <v/>
      </c>
      <c r="U5" s="194">
        <f>'E.1项目运营期费用'!Y4*'G.2进项增值税率-运营成本'!$C3/(1+'G.2进项增值税率-运营成本'!$C3)</f>
        <v/>
      </c>
      <c r="V5" s="194">
        <f>'E.1项目运营期费用'!Z4*'G.2进项增值税率-运营成本'!$C3/(1+'G.2进项增值税率-运营成本'!$C3)</f>
        <v/>
      </c>
      <c r="W5" s="194">
        <f>'E.1项目运营期费用'!AA4*'G.2进项增值税率-运营成本'!$C3/(1+'G.2进项增值税率-运营成本'!$C3)</f>
        <v/>
      </c>
      <c r="X5" s="194">
        <f>'E.1项目运营期费用'!AB4*'G.2进项增值税率-运营成本'!$C3/(1+'G.2进项增值税率-运营成本'!$C3)</f>
        <v/>
      </c>
      <c r="Y5" s="194">
        <f>'E.1项目运营期费用'!AC4*'G.2进项增值税率-运营成本'!$C3/(1+'G.2进项增值税率-运营成本'!$C3)</f>
        <v/>
      </c>
      <c r="Z5" s="194">
        <f>'E.1项目运营期费用'!AD4*'G.2进项增值税率-运营成本'!$C3/(1+'G.2进项增值税率-运营成本'!$C3)</f>
        <v/>
      </c>
    </row>
    <row r="6" ht="29" customHeight="1" s="162">
      <c r="A6" s="7" t="n"/>
      <c r="B6" s="87">
        <f>E.1项目运营期费用!C5</f>
        <v/>
      </c>
      <c r="C6" s="7" t="n"/>
      <c r="D6" s="194">
        <f>E.1项目运营期费用!H5*'G.2进项增值税率-运营成本'!$C4/(1+'G.2进项增值税率-运营成本'!$C4)</f>
        <v/>
      </c>
      <c r="E6" s="194">
        <f>E.1项目运营期费用!I5*'G.2进项增值税率-运营成本'!$C4/(1+'G.2进项增值税率-运营成本'!$C4)</f>
        <v/>
      </c>
      <c r="F6" s="194">
        <f>E.1项目运营期费用!J5*'G.2进项增值税率-运营成本'!$C4/(1+'G.2进项增值税率-运营成本'!$C4)</f>
        <v/>
      </c>
      <c r="G6" s="194">
        <f>E.1项目运营期费用!K5*'G.2进项增值税率-运营成本'!$C4/(1+'G.2进项增值税率-运营成本'!$C4)</f>
        <v/>
      </c>
      <c r="H6" s="194">
        <f>E.1项目运营期费用!L5*'G.2进项增值税率-运营成本'!$C4/(1+'G.2进项增值税率-运营成本'!$C4)</f>
        <v/>
      </c>
      <c r="I6" s="194">
        <f>E.1项目运营期费用!M5*'G.2进项增值税率-运营成本'!$C4/(1+'G.2进项增值税率-运营成本'!$C4)</f>
        <v/>
      </c>
      <c r="J6" s="194">
        <f>'E.1项目运营期费用'!N5*'G.2进项增值税率-运营成本'!$C4/(1+'G.2进项增值税率-运营成本'!$C4)</f>
        <v/>
      </c>
      <c r="K6" s="194">
        <f>'E.1项目运营期费用'!O5*'G.2进项增值税率-运营成本'!$C4/(1+'G.2进项增值税率-运营成本'!$C4)</f>
        <v/>
      </c>
      <c r="L6" s="194">
        <f>'E.1项目运营期费用'!P5*'G.2进项增值税率-运营成本'!$C4/(1+'G.2进项增值税率-运营成本'!$C4)</f>
        <v/>
      </c>
      <c r="M6" s="194">
        <f>'E.1项目运营期费用'!Q5*'G.2进项增值税率-运营成本'!$C4/(1+'G.2进项增值税率-运营成本'!$C4)</f>
        <v/>
      </c>
      <c r="N6" s="194">
        <f>'E.1项目运营期费用'!R5*'G.2进项增值税率-运营成本'!$C4/(1+'G.2进项增值税率-运营成本'!$C4)</f>
        <v/>
      </c>
      <c r="O6" s="194">
        <f>'E.1项目运营期费用'!S5*'G.2进项增值税率-运营成本'!$C4/(1+'G.2进项增值税率-运营成本'!$C4)</f>
        <v/>
      </c>
      <c r="P6" s="194">
        <f>'E.1项目运营期费用'!T5*'G.2进项增值税率-运营成本'!$C4/(1+'G.2进项增值税率-运营成本'!$C4)</f>
        <v/>
      </c>
      <c r="Q6" s="194">
        <f>'E.1项目运营期费用'!U5*'G.2进项增值税率-运营成本'!$C4/(1+'G.2进项增值税率-运营成本'!$C4)</f>
        <v/>
      </c>
      <c r="R6" s="194">
        <f>'E.1项目运营期费用'!V5*'G.2进项增值税率-运营成本'!$C4/(1+'G.2进项增值税率-运营成本'!$C4)</f>
        <v/>
      </c>
      <c r="S6" s="194">
        <f>'E.1项目运营期费用'!W5*'G.2进项增值税率-运营成本'!$C4/(1+'G.2进项增值税率-运营成本'!$C4)</f>
        <v/>
      </c>
      <c r="T6" s="194">
        <f>'E.1项目运营期费用'!X5*'G.2进项增值税率-运营成本'!$C4/(1+'G.2进项增值税率-运营成本'!$C4)</f>
        <v/>
      </c>
      <c r="U6" s="194">
        <f>'E.1项目运营期费用'!Y5*'G.2进项增值税率-运营成本'!$C4/(1+'G.2进项增值税率-运营成本'!$C4)</f>
        <v/>
      </c>
      <c r="V6" s="194">
        <f>'E.1项目运营期费用'!Z5*'G.2进项增值税率-运营成本'!$C4/(1+'G.2进项增值税率-运营成本'!$C4)</f>
        <v/>
      </c>
      <c r="W6" s="194">
        <f>'E.1项目运营期费用'!AA5*'G.2进项增值税率-运营成本'!$C4/(1+'G.2进项增值税率-运营成本'!$C4)</f>
        <v/>
      </c>
      <c r="X6" s="194">
        <f>'E.1项目运营期费用'!AB5*'G.2进项增值税率-运营成本'!$C4/(1+'G.2进项增值税率-运营成本'!$C4)</f>
        <v/>
      </c>
      <c r="Y6" s="194">
        <f>'E.1项目运营期费用'!AC5*'G.2进项增值税率-运营成本'!$C4/(1+'G.2进项增值税率-运营成本'!$C4)</f>
        <v/>
      </c>
      <c r="Z6" s="194">
        <f>'E.1项目运营期费用'!AD5*'G.2进项增值税率-运营成本'!$C4/(1+'G.2进项增值税率-运营成本'!$C4)</f>
        <v/>
      </c>
    </row>
    <row r="7" ht="16.5" customHeight="1" s="162">
      <c r="A7" s="7" t="n"/>
      <c r="B7" s="84">
        <f>E.1项目运营期费用!C6</f>
        <v/>
      </c>
      <c r="C7" s="7" t="n"/>
      <c r="D7" s="194">
        <f>E.1项目运营期费用!H6*'G.2进项增值税率-运营成本'!$C5/(1+'G.2进项增值税率-运营成本'!$C5)</f>
        <v/>
      </c>
      <c r="E7" s="194">
        <f>E.1项目运营期费用!I6*'G.2进项增值税率-运营成本'!$C5/(1+'G.2进项增值税率-运营成本'!$C5)</f>
        <v/>
      </c>
      <c r="F7" s="194">
        <f>E.1项目运营期费用!J6*'G.2进项增值税率-运营成本'!$C5/(1+'G.2进项增值税率-运营成本'!$C5)</f>
        <v/>
      </c>
      <c r="G7" s="194">
        <f>E.1项目运营期费用!K6*'G.2进项增值税率-运营成本'!$C5/(1+'G.2进项增值税率-运营成本'!$C5)</f>
        <v/>
      </c>
      <c r="H7" s="194">
        <f>E.1项目运营期费用!L6*'G.2进项增值税率-运营成本'!$C5/(1+'G.2进项增值税率-运营成本'!$C5)</f>
        <v/>
      </c>
      <c r="I7" s="194">
        <f>E.1项目运营期费用!M6*'G.2进项增值税率-运营成本'!$C5/(1+'G.2进项增值税率-运营成本'!$C5)</f>
        <v/>
      </c>
      <c r="J7" s="194">
        <f>'E.1项目运营期费用'!N6*'G.2进项增值税率-运营成本'!$C5/(1+'G.2进项增值税率-运营成本'!$C5)</f>
        <v/>
      </c>
      <c r="K7" s="194">
        <f>'E.1项目运营期费用'!O6*'G.2进项增值税率-运营成本'!$C5/(1+'G.2进项增值税率-运营成本'!$C5)</f>
        <v/>
      </c>
      <c r="L7" s="194">
        <f>'E.1项目运营期费用'!P6*'G.2进项增值税率-运营成本'!$C5/(1+'G.2进项增值税率-运营成本'!$C5)</f>
        <v/>
      </c>
      <c r="M7" s="194">
        <f>'E.1项目运营期费用'!Q6*'G.2进项增值税率-运营成本'!$C5/(1+'G.2进项增值税率-运营成本'!$C5)</f>
        <v/>
      </c>
      <c r="N7" s="194">
        <f>'E.1项目运营期费用'!R6*'G.2进项增值税率-运营成本'!$C5/(1+'G.2进项增值税率-运营成本'!$C5)</f>
        <v/>
      </c>
      <c r="O7" s="194">
        <f>'E.1项目运营期费用'!S6*'G.2进项增值税率-运营成本'!$C5/(1+'G.2进项增值税率-运营成本'!$C5)</f>
        <v/>
      </c>
      <c r="P7" s="194">
        <f>'E.1项目运营期费用'!T6*'G.2进项增值税率-运营成本'!$C5/(1+'G.2进项增值税率-运营成本'!$C5)</f>
        <v/>
      </c>
      <c r="Q7" s="194">
        <f>'E.1项目运营期费用'!U6*'G.2进项增值税率-运营成本'!$C5/(1+'G.2进项增值税率-运营成本'!$C5)</f>
        <v/>
      </c>
      <c r="R7" s="194">
        <f>'E.1项目运营期费用'!V6*'G.2进项增值税率-运营成本'!$C5/(1+'G.2进项增值税率-运营成本'!$C5)</f>
        <v/>
      </c>
      <c r="S7" s="194">
        <f>'E.1项目运营期费用'!W6*'G.2进项增值税率-运营成本'!$C5/(1+'G.2进项增值税率-运营成本'!$C5)</f>
        <v/>
      </c>
      <c r="T7" s="194">
        <f>'E.1项目运营期费用'!X6*'G.2进项增值税率-运营成本'!$C5/(1+'G.2进项增值税率-运营成本'!$C5)</f>
        <v/>
      </c>
      <c r="U7" s="194">
        <f>'E.1项目运营期费用'!Y6*'G.2进项增值税率-运营成本'!$C5/(1+'G.2进项增值税率-运营成本'!$C5)</f>
        <v/>
      </c>
      <c r="V7" s="194">
        <f>'E.1项目运营期费用'!Z6*'G.2进项增值税率-运营成本'!$C5/(1+'G.2进项增值税率-运营成本'!$C5)</f>
        <v/>
      </c>
      <c r="W7" s="194">
        <f>'E.1项目运营期费用'!AA6*'G.2进项增值税率-运营成本'!$C5/(1+'G.2进项增值税率-运营成本'!$C5)</f>
        <v/>
      </c>
      <c r="X7" s="194">
        <f>'E.1项目运营期费用'!AB6*'G.2进项增值税率-运营成本'!$C5/(1+'G.2进项增值税率-运营成本'!$C5)</f>
        <v/>
      </c>
      <c r="Y7" s="194">
        <f>'E.1项目运营期费用'!AC6*'G.2进项增值税率-运营成本'!$C5/(1+'G.2进项增值税率-运营成本'!$C5)</f>
        <v/>
      </c>
      <c r="Z7" s="194">
        <f>'E.1项目运营期费用'!AD6*'G.2进项增值税率-运营成本'!$C5/(1+'G.2进项增值税率-运营成本'!$C5)</f>
        <v/>
      </c>
    </row>
    <row r="8" ht="16.5" customHeight="1" s="162">
      <c r="A8" s="7" t="n"/>
      <c r="B8" s="84">
        <f>E.1项目运营期费用!C7</f>
        <v/>
      </c>
      <c r="C8" s="7" t="n"/>
      <c r="D8" s="194">
        <f>E.1项目运营期费用!H7*'G.2进项增值税率-运营成本'!$C6/(1+'G.2进项增值税率-运营成本'!$C6)</f>
        <v/>
      </c>
      <c r="E8" s="194">
        <f>E.1项目运营期费用!I7*'G.2进项增值税率-运营成本'!$C6/(1+'G.2进项增值税率-运营成本'!$C6)</f>
        <v/>
      </c>
      <c r="F8" s="194">
        <f>E.1项目运营期费用!J7*'G.2进项增值税率-运营成本'!$C6/(1+'G.2进项增值税率-运营成本'!$C6)</f>
        <v/>
      </c>
      <c r="G8" s="194">
        <f>E.1项目运营期费用!K7*'G.2进项增值税率-运营成本'!$C6/(1+'G.2进项增值税率-运营成本'!$C6)</f>
        <v/>
      </c>
      <c r="H8" s="194">
        <f>E.1项目运营期费用!L7*'G.2进项增值税率-运营成本'!$C6/(1+'G.2进项增值税率-运营成本'!$C6)</f>
        <v/>
      </c>
      <c r="I8" s="194">
        <f>E.1项目运营期费用!M7*'G.2进项增值税率-运营成本'!$C6/(1+'G.2进项增值税率-运营成本'!$C6)</f>
        <v/>
      </c>
      <c r="J8" s="194">
        <f>'E.1项目运营期费用'!N7*'G.2进项增值税率-运营成本'!$C6/(1+'G.2进项增值税率-运营成本'!$C6)</f>
        <v/>
      </c>
      <c r="K8" s="194">
        <f>'E.1项目运营期费用'!O7*'G.2进项增值税率-运营成本'!$C6/(1+'G.2进项增值税率-运营成本'!$C6)</f>
        <v/>
      </c>
      <c r="L8" s="194">
        <f>'E.1项目运营期费用'!P7*'G.2进项增值税率-运营成本'!$C6/(1+'G.2进项增值税率-运营成本'!$C6)</f>
        <v/>
      </c>
      <c r="M8" s="194">
        <f>'E.1项目运营期费用'!Q7*'G.2进项增值税率-运营成本'!$C6/(1+'G.2进项增值税率-运营成本'!$C6)</f>
        <v/>
      </c>
      <c r="N8" s="194">
        <f>'E.1项目运营期费用'!R7*'G.2进项增值税率-运营成本'!$C6/(1+'G.2进项增值税率-运营成本'!$C6)</f>
        <v/>
      </c>
      <c r="O8" s="194">
        <f>'E.1项目运营期费用'!S7*'G.2进项增值税率-运营成本'!$C6/(1+'G.2进项增值税率-运营成本'!$C6)</f>
        <v/>
      </c>
      <c r="P8" s="194">
        <f>'E.1项目运营期费用'!T7*'G.2进项增值税率-运营成本'!$C6/(1+'G.2进项增值税率-运营成本'!$C6)</f>
        <v/>
      </c>
      <c r="Q8" s="194">
        <f>'E.1项目运营期费用'!U7*'G.2进项增值税率-运营成本'!$C6/(1+'G.2进项增值税率-运营成本'!$C6)</f>
        <v/>
      </c>
      <c r="R8" s="194">
        <f>'E.1项目运营期费用'!V7*'G.2进项增值税率-运营成本'!$C6/(1+'G.2进项增值税率-运营成本'!$C6)</f>
        <v/>
      </c>
      <c r="S8" s="194">
        <f>'E.1项目运营期费用'!W7*'G.2进项增值税率-运营成本'!$C6/(1+'G.2进项增值税率-运营成本'!$C6)</f>
        <v/>
      </c>
      <c r="T8" s="194">
        <f>'E.1项目运营期费用'!X7*'G.2进项增值税率-运营成本'!$C6/(1+'G.2进项增值税率-运营成本'!$C6)</f>
        <v/>
      </c>
      <c r="U8" s="194">
        <f>'E.1项目运营期费用'!Y7*'G.2进项增值税率-运营成本'!$C6/(1+'G.2进项增值税率-运营成本'!$C6)</f>
        <v/>
      </c>
      <c r="V8" s="194">
        <f>'E.1项目运营期费用'!Z7*'G.2进项增值税率-运营成本'!$C6/(1+'G.2进项增值税率-运营成本'!$C6)</f>
        <v/>
      </c>
      <c r="W8" s="194">
        <f>'E.1项目运营期费用'!AA7*'G.2进项增值税率-运营成本'!$C6/(1+'G.2进项增值税率-运营成本'!$C6)</f>
        <v/>
      </c>
      <c r="X8" s="194">
        <f>'E.1项目运营期费用'!AB7*'G.2进项增值税率-运营成本'!$C6/(1+'G.2进项增值税率-运营成本'!$C6)</f>
        <v/>
      </c>
      <c r="Y8" s="194">
        <f>'E.1项目运营期费用'!AC7*'G.2进项增值税率-运营成本'!$C6/(1+'G.2进项增值税率-运营成本'!$C6)</f>
        <v/>
      </c>
      <c r="Z8" s="194">
        <f>'E.1项目运营期费用'!AD7*'G.2进项增值税率-运营成本'!$C6/(1+'G.2进项增值税率-运营成本'!$C6)</f>
        <v/>
      </c>
    </row>
    <row r="9" ht="16.5" customHeight="1" s="162">
      <c r="A9" s="7" t="n"/>
      <c r="B9" s="84">
        <f>E.1项目运营期费用!C8</f>
        <v/>
      </c>
      <c r="C9" s="7" t="n"/>
      <c r="D9" s="194">
        <f>E.1项目运营期费用!H8*'G.2进项增值税率-运营成本'!$C7/(1+'G.2进项增值税率-运营成本'!$C7)</f>
        <v/>
      </c>
      <c r="E9" s="194">
        <f>E.1项目运营期费用!I8*'G.2进项增值税率-运营成本'!$C7/(1+'G.2进项增值税率-运营成本'!$C7)</f>
        <v/>
      </c>
      <c r="F9" s="194">
        <f>E.1项目运营期费用!J8*'G.2进项增值税率-运营成本'!$C7/(1+'G.2进项增值税率-运营成本'!$C7)</f>
        <v/>
      </c>
      <c r="G9" s="194">
        <f>E.1项目运营期费用!K8*'G.2进项增值税率-运营成本'!$C7/(1+'G.2进项增值税率-运营成本'!$C7)</f>
        <v/>
      </c>
      <c r="H9" s="194">
        <f>E.1项目运营期费用!L8*'G.2进项增值税率-运营成本'!$C7/(1+'G.2进项增值税率-运营成本'!$C7)</f>
        <v/>
      </c>
      <c r="I9" s="194">
        <f>E.1项目运营期费用!M8*'G.2进项增值税率-运营成本'!$C7/(1+'G.2进项增值税率-运营成本'!$C7)</f>
        <v/>
      </c>
      <c r="J9" s="194">
        <f>'E.1项目运营期费用'!N8*'G.2进项增值税率-运营成本'!$C7/(1+'G.2进项增值税率-运营成本'!$C7)</f>
        <v/>
      </c>
      <c r="K9" s="194">
        <f>'E.1项目运营期费用'!O8*'G.2进项增值税率-运营成本'!$C7/(1+'G.2进项增值税率-运营成本'!$C7)</f>
        <v/>
      </c>
      <c r="L9" s="194">
        <f>'E.1项目运营期费用'!P8*'G.2进项增值税率-运营成本'!$C7/(1+'G.2进项增值税率-运营成本'!$C7)</f>
        <v/>
      </c>
      <c r="M9" s="194">
        <f>'E.1项目运营期费用'!Q8*'G.2进项增值税率-运营成本'!$C7/(1+'G.2进项增值税率-运营成本'!$C7)</f>
        <v/>
      </c>
      <c r="N9" s="194">
        <f>'E.1项目运营期费用'!R8*'G.2进项增值税率-运营成本'!$C7/(1+'G.2进项增值税率-运营成本'!$C7)</f>
        <v/>
      </c>
      <c r="O9" s="194">
        <f>'E.1项目运营期费用'!S8*'G.2进项增值税率-运营成本'!$C7/(1+'G.2进项增值税率-运营成本'!$C7)</f>
        <v/>
      </c>
      <c r="P9" s="194">
        <f>'E.1项目运营期费用'!T8*'G.2进项增值税率-运营成本'!$C7/(1+'G.2进项增值税率-运营成本'!$C7)</f>
        <v/>
      </c>
      <c r="Q9" s="194">
        <f>'E.1项目运营期费用'!U8*'G.2进项增值税率-运营成本'!$C7/(1+'G.2进项增值税率-运营成本'!$C7)</f>
        <v/>
      </c>
      <c r="R9" s="194">
        <f>'E.1项目运营期费用'!V8*'G.2进项增值税率-运营成本'!$C7/(1+'G.2进项增值税率-运营成本'!$C7)</f>
        <v/>
      </c>
      <c r="S9" s="194">
        <f>'E.1项目运营期费用'!W8*'G.2进项增值税率-运营成本'!$C7/(1+'G.2进项增值税率-运营成本'!$C7)</f>
        <v/>
      </c>
      <c r="T9" s="194">
        <f>'E.1项目运营期费用'!X8*'G.2进项增值税率-运营成本'!$C7/(1+'G.2进项增值税率-运营成本'!$C7)</f>
        <v/>
      </c>
      <c r="U9" s="194">
        <f>'E.1项目运营期费用'!Y8*'G.2进项增值税率-运营成本'!$C7/(1+'G.2进项增值税率-运营成本'!$C7)</f>
        <v/>
      </c>
      <c r="V9" s="194">
        <f>'E.1项目运营期费用'!Z8*'G.2进项增值税率-运营成本'!$C7/(1+'G.2进项增值税率-运营成本'!$C7)</f>
        <v/>
      </c>
      <c r="W9" s="194">
        <f>'E.1项目运营期费用'!AA8*'G.2进项增值税率-运营成本'!$C7/(1+'G.2进项增值税率-运营成本'!$C7)</f>
        <v/>
      </c>
      <c r="X9" s="194">
        <f>'E.1项目运营期费用'!AB8*'G.2进项增值税率-运营成本'!$C7/(1+'G.2进项增值税率-运营成本'!$C7)</f>
        <v/>
      </c>
      <c r="Y9" s="194">
        <f>'E.1项目运营期费用'!AC8*'G.2进项增值税率-运营成本'!$C7/(1+'G.2进项增值税率-运营成本'!$C7)</f>
        <v/>
      </c>
      <c r="Z9" s="194">
        <f>'E.1项目运营期费用'!AD8*'G.2进项增值税率-运营成本'!$C7/(1+'G.2进项增值税率-运营成本'!$C7)</f>
        <v/>
      </c>
    </row>
    <row r="10" ht="16.5" customHeight="1" s="162">
      <c r="A10" s="7" t="n"/>
      <c r="B10" s="84">
        <f>E.1项目运营期费用!C9</f>
        <v/>
      </c>
      <c r="C10" s="7" t="n"/>
      <c r="D10" s="194">
        <f>E.1项目运营期费用!H9*'G.2进项增值税率-运营成本'!$C8/(1+'G.2进项增值税率-运营成本'!$C8)</f>
        <v/>
      </c>
      <c r="E10" s="194">
        <f>E.1项目运营期费用!I9*'G.2进项增值税率-运营成本'!$C8/(1+'G.2进项增值税率-运营成本'!$C8)</f>
        <v/>
      </c>
      <c r="F10" s="194">
        <f>E.1项目运营期费用!J9*'G.2进项增值税率-运营成本'!$C8/(1+'G.2进项增值税率-运营成本'!$C8)</f>
        <v/>
      </c>
      <c r="G10" s="194">
        <f>E.1项目运营期费用!K9*'G.2进项增值税率-运营成本'!$C8/(1+'G.2进项增值税率-运营成本'!$C8)</f>
        <v/>
      </c>
      <c r="H10" s="194">
        <f>E.1项目运营期费用!L9*'G.2进项增值税率-运营成本'!$C8/(1+'G.2进项增值税率-运营成本'!$C8)</f>
        <v/>
      </c>
      <c r="I10" s="194">
        <f>E.1项目运营期费用!M9*'G.2进项增值税率-运营成本'!$C8/(1+'G.2进项增值税率-运营成本'!$C8)</f>
        <v/>
      </c>
      <c r="J10" s="194">
        <f>'E.1项目运营期费用'!N9*'G.2进项增值税率-运营成本'!$C8/(1+'G.2进项增值税率-运营成本'!$C8)</f>
        <v/>
      </c>
      <c r="K10" s="194">
        <f>'E.1项目运营期费用'!O9*'G.2进项增值税率-运营成本'!$C8/(1+'G.2进项增值税率-运营成本'!$C8)</f>
        <v/>
      </c>
      <c r="L10" s="194">
        <f>'E.1项目运营期费用'!P9*'G.2进项增值税率-运营成本'!$C8/(1+'G.2进项增值税率-运营成本'!$C8)</f>
        <v/>
      </c>
      <c r="M10" s="194">
        <f>'E.1项目运营期费用'!Q9*'G.2进项增值税率-运营成本'!$C8/(1+'G.2进项增值税率-运营成本'!$C8)</f>
        <v/>
      </c>
      <c r="N10" s="194">
        <f>'E.1项目运营期费用'!R9*'G.2进项增值税率-运营成本'!$C8/(1+'G.2进项增值税率-运营成本'!$C8)</f>
        <v/>
      </c>
      <c r="O10" s="194">
        <f>'E.1项目运营期费用'!S9*'G.2进项增值税率-运营成本'!$C8/(1+'G.2进项增值税率-运营成本'!$C8)</f>
        <v/>
      </c>
      <c r="P10" s="194">
        <f>'E.1项目运营期费用'!T9*'G.2进项增值税率-运营成本'!$C8/(1+'G.2进项增值税率-运营成本'!$C8)</f>
        <v/>
      </c>
      <c r="Q10" s="194">
        <f>'E.1项目运营期费用'!U9*'G.2进项增值税率-运营成本'!$C8/(1+'G.2进项增值税率-运营成本'!$C8)</f>
        <v/>
      </c>
      <c r="R10" s="194">
        <f>'E.1项目运营期费用'!V9*'G.2进项增值税率-运营成本'!$C8/(1+'G.2进项增值税率-运营成本'!$C8)</f>
        <v/>
      </c>
      <c r="S10" s="194">
        <f>'E.1项目运营期费用'!W9*'G.2进项增值税率-运营成本'!$C8/(1+'G.2进项增值税率-运营成本'!$C8)</f>
        <v/>
      </c>
      <c r="T10" s="194">
        <f>'E.1项目运营期费用'!X9*'G.2进项增值税率-运营成本'!$C8/(1+'G.2进项增值税率-运营成本'!$C8)</f>
        <v/>
      </c>
      <c r="U10" s="194">
        <f>'E.1项目运营期费用'!Y9*'G.2进项增值税率-运营成本'!$C8/(1+'G.2进项增值税率-运营成本'!$C8)</f>
        <v/>
      </c>
      <c r="V10" s="194">
        <f>'E.1项目运营期费用'!Z9*'G.2进项增值税率-运营成本'!$C8/(1+'G.2进项增值税率-运营成本'!$C8)</f>
        <v/>
      </c>
      <c r="W10" s="194">
        <f>'E.1项目运营期费用'!AA9*'G.2进项增值税率-运营成本'!$C8/(1+'G.2进项增值税率-运营成本'!$C8)</f>
        <v/>
      </c>
      <c r="X10" s="194">
        <f>'E.1项目运营期费用'!AB9*'G.2进项增值税率-运营成本'!$C8/(1+'G.2进项增值税率-运营成本'!$C8)</f>
        <v/>
      </c>
      <c r="Y10" s="194">
        <f>'E.1项目运营期费用'!AC9*'G.2进项增值税率-运营成本'!$C8/(1+'G.2进项增值税率-运营成本'!$C8)</f>
        <v/>
      </c>
      <c r="Z10" s="194">
        <f>'E.1项目运营期费用'!AD9*'G.2进项增值税率-运营成本'!$C8/(1+'G.2进项增值税率-运营成本'!$C8)</f>
        <v/>
      </c>
    </row>
    <row r="11" ht="16.5" customHeight="1" s="162">
      <c r="A11" s="7" t="n"/>
      <c r="B11" s="84">
        <f>E.1项目运营期费用!C10</f>
        <v/>
      </c>
      <c r="C11" s="7" t="n"/>
      <c r="D11" s="194">
        <f>E.1项目运营期费用!H10*'G.2进项增值税率-运营成本'!$C9/(1+'G.2进项增值税率-运营成本'!$C9)</f>
        <v/>
      </c>
      <c r="E11" s="194">
        <f>E.1项目运营期费用!I10*'G.2进项增值税率-运营成本'!$C9/(1+'G.2进项增值税率-运营成本'!$C9)</f>
        <v/>
      </c>
      <c r="F11" s="194">
        <f>E.1项目运营期费用!J10*'G.2进项增值税率-运营成本'!$C9/(1+'G.2进项增值税率-运营成本'!$C9)</f>
        <v/>
      </c>
      <c r="G11" s="194">
        <f>E.1项目运营期费用!K10*'G.2进项增值税率-运营成本'!$C9/(1+'G.2进项增值税率-运营成本'!$C9)</f>
        <v/>
      </c>
      <c r="H11" s="194">
        <f>E.1项目运营期费用!L10*'G.2进项增值税率-运营成本'!$C9/(1+'G.2进项增值税率-运营成本'!$C9)</f>
        <v/>
      </c>
      <c r="I11" s="194">
        <f>E.1项目运营期费用!M10*'G.2进项增值税率-运营成本'!$C9/(1+'G.2进项增值税率-运营成本'!$C9)</f>
        <v/>
      </c>
      <c r="J11" s="194">
        <f>'E.1项目运营期费用'!N10*'G.2进项增值税率-运营成本'!$C9/(1+'G.2进项增值税率-运营成本'!$C9)</f>
        <v/>
      </c>
      <c r="K11" s="194">
        <f>'E.1项目运营期费用'!O10*'G.2进项增值税率-运营成本'!$C9/(1+'G.2进项增值税率-运营成本'!$C9)</f>
        <v/>
      </c>
      <c r="L11" s="194">
        <f>'E.1项目运营期费用'!P10*'G.2进项增值税率-运营成本'!$C9/(1+'G.2进项增值税率-运营成本'!$C9)</f>
        <v/>
      </c>
      <c r="M11" s="194">
        <f>'E.1项目运营期费用'!Q10*'G.2进项增值税率-运营成本'!$C9/(1+'G.2进项增值税率-运营成本'!$C9)</f>
        <v/>
      </c>
      <c r="N11" s="194">
        <f>'E.1项目运营期费用'!R10*'G.2进项增值税率-运营成本'!$C9/(1+'G.2进项增值税率-运营成本'!$C9)</f>
        <v/>
      </c>
      <c r="O11" s="194">
        <f>'E.1项目运营期费用'!S10*'G.2进项增值税率-运营成本'!$C9/(1+'G.2进项增值税率-运营成本'!$C9)</f>
        <v/>
      </c>
      <c r="P11" s="194">
        <f>'E.1项目运营期费用'!T10*'G.2进项增值税率-运营成本'!$C9/(1+'G.2进项增值税率-运营成本'!$C9)</f>
        <v/>
      </c>
      <c r="Q11" s="194">
        <f>'E.1项目运营期费用'!U10*'G.2进项增值税率-运营成本'!$C9/(1+'G.2进项增值税率-运营成本'!$C9)</f>
        <v/>
      </c>
      <c r="R11" s="194">
        <f>'E.1项目运营期费用'!V10*'G.2进项增值税率-运营成本'!$C9/(1+'G.2进项增值税率-运营成本'!$C9)</f>
        <v/>
      </c>
      <c r="S11" s="194">
        <f>'E.1项目运营期费用'!W10*'G.2进项增值税率-运营成本'!$C9/(1+'G.2进项增值税率-运营成本'!$C9)</f>
        <v/>
      </c>
      <c r="T11" s="194">
        <f>'E.1项目运营期费用'!X10*'G.2进项增值税率-运营成本'!$C9/(1+'G.2进项增值税率-运营成本'!$C9)</f>
        <v/>
      </c>
      <c r="U11" s="194">
        <f>'E.1项目运营期费用'!Y10*'G.2进项增值税率-运营成本'!$C9/(1+'G.2进项增值税率-运营成本'!$C9)</f>
        <v/>
      </c>
      <c r="V11" s="194">
        <f>'E.1项目运营期费用'!Z10*'G.2进项增值税率-运营成本'!$C9/(1+'G.2进项增值税率-运营成本'!$C9)</f>
        <v/>
      </c>
      <c r="W11" s="194">
        <f>'E.1项目运营期费用'!AA10*'G.2进项增值税率-运营成本'!$C9/(1+'G.2进项增值税率-运营成本'!$C9)</f>
        <v/>
      </c>
      <c r="X11" s="194">
        <f>'E.1项目运营期费用'!AB10*'G.2进项增值税率-运营成本'!$C9/(1+'G.2进项增值税率-运营成本'!$C9)</f>
        <v/>
      </c>
      <c r="Y11" s="194">
        <f>'E.1项目运营期费用'!AC10*'G.2进项增值税率-运营成本'!$C9/(1+'G.2进项增值税率-运营成本'!$C9)</f>
        <v/>
      </c>
      <c r="Z11" s="194">
        <f>'E.1项目运营期费用'!AD10*'G.2进项增值税率-运营成本'!$C9/(1+'G.2进项增值税率-运营成本'!$C9)</f>
        <v/>
      </c>
    </row>
    <row r="12" ht="16.5" customHeight="1" s="162">
      <c r="A12" s="7" t="n"/>
      <c r="B12" s="84">
        <f>E.1项目运营期费用!C11</f>
        <v/>
      </c>
      <c r="C12" s="7" t="n"/>
      <c r="D12" s="194">
        <f>E.1项目运营期费用!H11*'G.2进项增值税率-运营成本'!$C10/(1+'G.2进项增值税率-运营成本'!$C10)</f>
        <v/>
      </c>
      <c r="E12" s="194">
        <f>E.1项目运营期费用!I11*'G.2进项增值税率-运营成本'!$C10/(1+'G.2进项增值税率-运营成本'!$C10)</f>
        <v/>
      </c>
      <c r="F12" s="194">
        <f>E.1项目运营期费用!J11*'G.2进项增值税率-运营成本'!$C10/(1+'G.2进项增值税率-运营成本'!$C10)</f>
        <v/>
      </c>
      <c r="G12" s="194">
        <f>E.1项目运营期费用!K11*'G.2进项增值税率-运营成本'!$C10/(1+'G.2进项增值税率-运营成本'!$C10)</f>
        <v/>
      </c>
      <c r="H12" s="194">
        <f>E.1项目运营期费用!L11*'G.2进项增值税率-运营成本'!$C10/(1+'G.2进项增值税率-运营成本'!$C10)</f>
        <v/>
      </c>
      <c r="I12" s="194">
        <f>E.1项目运营期费用!M11*'G.2进项增值税率-运营成本'!$C10/(1+'G.2进项增值税率-运营成本'!$C10)</f>
        <v/>
      </c>
      <c r="J12" s="194">
        <f>'E.1项目运营期费用'!N11*'G.2进项增值税率-运营成本'!$C10/(1+'G.2进项增值税率-运营成本'!$C10)</f>
        <v/>
      </c>
      <c r="K12" s="194">
        <f>'E.1项目运营期费用'!O11*'G.2进项增值税率-运营成本'!$C10/(1+'G.2进项增值税率-运营成本'!$C10)</f>
        <v/>
      </c>
      <c r="L12" s="194">
        <f>'E.1项目运营期费用'!P11*'G.2进项增值税率-运营成本'!$C10/(1+'G.2进项增值税率-运营成本'!$C10)</f>
        <v/>
      </c>
      <c r="M12" s="194">
        <f>'E.1项目运营期费用'!Q11*'G.2进项增值税率-运营成本'!$C10/(1+'G.2进项增值税率-运营成本'!$C10)</f>
        <v/>
      </c>
      <c r="N12" s="194">
        <f>'E.1项目运营期费用'!R11*'G.2进项增值税率-运营成本'!$C10/(1+'G.2进项增值税率-运营成本'!$C10)</f>
        <v/>
      </c>
      <c r="O12" s="194">
        <f>'E.1项目运营期费用'!S11*'G.2进项增值税率-运营成本'!$C10/(1+'G.2进项增值税率-运营成本'!$C10)</f>
        <v/>
      </c>
      <c r="P12" s="194">
        <f>'E.1项目运营期费用'!T11*'G.2进项增值税率-运营成本'!$C10/(1+'G.2进项增值税率-运营成本'!$C10)</f>
        <v/>
      </c>
      <c r="Q12" s="194">
        <f>'E.1项目运营期费用'!U11*'G.2进项增值税率-运营成本'!$C10/(1+'G.2进项增值税率-运营成本'!$C10)</f>
        <v/>
      </c>
      <c r="R12" s="194">
        <f>'E.1项目运营期费用'!V11*'G.2进项增值税率-运营成本'!$C10/(1+'G.2进项增值税率-运营成本'!$C10)</f>
        <v/>
      </c>
      <c r="S12" s="194">
        <f>'E.1项目运营期费用'!W11*'G.2进项增值税率-运营成本'!$C10/(1+'G.2进项增值税率-运营成本'!$C10)</f>
        <v/>
      </c>
      <c r="T12" s="194">
        <f>'E.1项目运营期费用'!X11*'G.2进项增值税率-运营成本'!$C10/(1+'G.2进项增值税率-运营成本'!$C10)</f>
        <v/>
      </c>
      <c r="U12" s="194">
        <f>'E.1项目运营期费用'!Y11*'G.2进项增值税率-运营成本'!$C10/(1+'G.2进项增值税率-运营成本'!$C10)</f>
        <v/>
      </c>
      <c r="V12" s="194">
        <f>'E.1项目运营期费用'!Z11*'G.2进项增值税率-运营成本'!$C10/(1+'G.2进项增值税率-运营成本'!$C10)</f>
        <v/>
      </c>
      <c r="W12" s="194">
        <f>'E.1项目运营期费用'!AA11*'G.2进项增值税率-运营成本'!$C10/(1+'G.2进项增值税率-运营成本'!$C10)</f>
        <v/>
      </c>
      <c r="X12" s="194">
        <f>'E.1项目运营期费用'!AB11*'G.2进项增值税率-运营成本'!$C10/(1+'G.2进项增值税率-运营成本'!$C10)</f>
        <v/>
      </c>
      <c r="Y12" s="194">
        <f>'E.1项目运营期费用'!AC11*'G.2进项增值税率-运营成本'!$C10/(1+'G.2进项增值税率-运营成本'!$C10)</f>
        <v/>
      </c>
      <c r="Z12" s="194">
        <f>'E.1项目运营期费用'!AD11*'G.2进项增值税率-运营成本'!$C10/(1+'G.2进项增值税率-运营成本'!$C10)</f>
        <v/>
      </c>
    </row>
    <row r="13" ht="16.5" customHeight="1" s="162">
      <c r="A13" s="7" t="n"/>
      <c r="B13" s="84">
        <f>E.1项目运营期费用!C12</f>
        <v/>
      </c>
      <c r="C13" s="7" t="n"/>
      <c r="D13" s="194">
        <f>E.1项目运营期费用!H12*'G.2进项增值税率-运营成本'!$C11/(1+'G.2进项增值税率-运营成本'!$C11)</f>
        <v/>
      </c>
      <c r="E13" s="194">
        <f>E.1项目运营期费用!I12*'G.2进项增值税率-运营成本'!$C11/(1+'G.2进项增值税率-运营成本'!$C11)</f>
        <v/>
      </c>
      <c r="F13" s="194">
        <f>E.1项目运营期费用!J12*'G.2进项增值税率-运营成本'!$C11/(1+'G.2进项增值税率-运营成本'!$C11)</f>
        <v/>
      </c>
      <c r="G13" s="194">
        <f>E.1项目运营期费用!K12*'G.2进项增值税率-运营成本'!$C11/(1+'G.2进项增值税率-运营成本'!$C11)</f>
        <v/>
      </c>
      <c r="H13" s="194">
        <f>E.1项目运营期费用!L12*'G.2进项增值税率-运营成本'!$C11/(1+'G.2进项增值税率-运营成本'!$C11)</f>
        <v/>
      </c>
      <c r="I13" s="194">
        <f>E.1项目运营期费用!M12*'G.2进项增值税率-运营成本'!$C11/(1+'G.2进项增值税率-运营成本'!$C11)</f>
        <v/>
      </c>
      <c r="J13" s="194">
        <f>'E.1项目运营期费用'!N12*'G.2进项增值税率-运营成本'!$C11/(1+'G.2进项增值税率-运营成本'!$C11)</f>
        <v/>
      </c>
      <c r="K13" s="194">
        <f>'E.1项目运营期费用'!O12*'G.2进项增值税率-运营成本'!$C11/(1+'G.2进项增值税率-运营成本'!$C11)</f>
        <v/>
      </c>
      <c r="L13" s="194">
        <f>'E.1项目运营期费用'!P12*'G.2进项增值税率-运营成本'!$C11/(1+'G.2进项增值税率-运营成本'!$C11)</f>
        <v/>
      </c>
      <c r="M13" s="194">
        <f>'E.1项目运营期费用'!Q12*'G.2进项增值税率-运营成本'!$C11/(1+'G.2进项增值税率-运营成本'!$C11)</f>
        <v/>
      </c>
      <c r="N13" s="194">
        <f>'E.1项目运营期费用'!R12*'G.2进项增值税率-运营成本'!$C11/(1+'G.2进项增值税率-运营成本'!$C11)</f>
        <v/>
      </c>
      <c r="O13" s="194">
        <f>'E.1项目运营期费用'!S12*'G.2进项增值税率-运营成本'!$C11/(1+'G.2进项增值税率-运营成本'!$C11)</f>
        <v/>
      </c>
      <c r="P13" s="194">
        <f>'E.1项目运营期费用'!T12*'G.2进项增值税率-运营成本'!$C11/(1+'G.2进项增值税率-运营成本'!$C11)</f>
        <v/>
      </c>
      <c r="Q13" s="194">
        <f>'E.1项目运营期费用'!U12*'G.2进项增值税率-运营成本'!$C11/(1+'G.2进项增值税率-运营成本'!$C11)</f>
        <v/>
      </c>
      <c r="R13" s="194">
        <f>'E.1项目运营期费用'!V12*'G.2进项增值税率-运营成本'!$C11/(1+'G.2进项增值税率-运营成本'!$C11)</f>
        <v/>
      </c>
      <c r="S13" s="194">
        <f>'E.1项目运营期费用'!W12*'G.2进项增值税率-运营成本'!$C11/(1+'G.2进项增值税率-运营成本'!$C11)</f>
        <v/>
      </c>
      <c r="T13" s="194">
        <f>'E.1项目运营期费用'!X12*'G.2进项增值税率-运营成本'!$C11/(1+'G.2进项增值税率-运营成本'!$C11)</f>
        <v/>
      </c>
      <c r="U13" s="194">
        <f>'E.1项目运营期费用'!Y12*'G.2进项增值税率-运营成本'!$C11/(1+'G.2进项增值税率-运营成本'!$C11)</f>
        <v/>
      </c>
      <c r="V13" s="194">
        <f>'E.1项目运营期费用'!Z12*'G.2进项增值税率-运营成本'!$C11/(1+'G.2进项增值税率-运营成本'!$C11)</f>
        <v/>
      </c>
      <c r="W13" s="194">
        <f>'E.1项目运营期费用'!AA12*'G.2进项增值税率-运营成本'!$C11/(1+'G.2进项增值税率-运营成本'!$C11)</f>
        <v/>
      </c>
      <c r="X13" s="194">
        <f>'E.1项目运营期费用'!AB12*'G.2进项增值税率-运营成本'!$C11/(1+'G.2进项增值税率-运营成本'!$C11)</f>
        <v/>
      </c>
      <c r="Y13" s="194">
        <f>'E.1项目运营期费用'!AC12*'G.2进项增值税率-运营成本'!$C11/(1+'G.2进项增值税率-运营成本'!$C11)</f>
        <v/>
      </c>
      <c r="Z13" s="194">
        <f>'E.1项目运营期费用'!AD12*'G.2进项增值税率-运营成本'!$C11/(1+'G.2进项增值税率-运营成本'!$C11)</f>
        <v/>
      </c>
    </row>
    <row r="14" ht="16.5" customHeight="1" s="162">
      <c r="A14" s="7" t="n"/>
      <c r="B14" s="84">
        <f>E.1项目运营期费用!C13</f>
        <v/>
      </c>
      <c r="C14" s="7" t="n"/>
      <c r="D14" s="194">
        <f>E.1项目运营期费用!H13*'G.2进项增值税率-运营成本'!$C12/(1+'G.2进项增值税率-运营成本'!$C12)</f>
        <v/>
      </c>
      <c r="E14" s="194">
        <f>E.1项目运营期费用!I13*'G.2进项增值税率-运营成本'!$C12/(1+'G.2进项增值税率-运营成本'!$C12)</f>
        <v/>
      </c>
      <c r="F14" s="194">
        <f>E.1项目运营期费用!J13*'G.2进项增值税率-运营成本'!$C12/(1+'G.2进项增值税率-运营成本'!$C12)</f>
        <v/>
      </c>
      <c r="G14" s="194">
        <f>E.1项目运营期费用!K13*'G.2进项增值税率-运营成本'!$C12/(1+'G.2进项增值税率-运营成本'!$C12)</f>
        <v/>
      </c>
      <c r="H14" s="194">
        <f>E.1项目运营期费用!L13*'G.2进项增值税率-运营成本'!$C12/(1+'G.2进项增值税率-运营成本'!$C12)</f>
        <v/>
      </c>
      <c r="I14" s="194">
        <f>E.1项目运营期费用!M13*'G.2进项增值税率-运营成本'!$C12/(1+'G.2进项增值税率-运营成本'!$C12)</f>
        <v/>
      </c>
      <c r="J14" s="194">
        <f>'E.1项目运营期费用'!N13*'G.2进项增值税率-运营成本'!$C12/(1+'G.2进项增值税率-运营成本'!$C12)</f>
        <v/>
      </c>
      <c r="K14" s="194">
        <f>'E.1项目运营期费用'!O13*'G.2进项增值税率-运营成本'!$C12/(1+'G.2进项增值税率-运营成本'!$C12)</f>
        <v/>
      </c>
      <c r="L14" s="194">
        <f>'E.1项目运营期费用'!P13*'G.2进项增值税率-运营成本'!$C12/(1+'G.2进项增值税率-运营成本'!$C12)</f>
        <v/>
      </c>
      <c r="M14" s="194">
        <f>'E.1项目运营期费用'!Q13*'G.2进项增值税率-运营成本'!$C12/(1+'G.2进项增值税率-运营成本'!$C12)</f>
        <v/>
      </c>
      <c r="N14" s="194">
        <f>'E.1项目运营期费用'!R13*'G.2进项增值税率-运营成本'!$C12/(1+'G.2进项增值税率-运营成本'!$C12)</f>
        <v/>
      </c>
      <c r="O14" s="194">
        <f>'E.1项目运营期费用'!S13*'G.2进项增值税率-运营成本'!$C12/(1+'G.2进项增值税率-运营成本'!$C12)</f>
        <v/>
      </c>
      <c r="P14" s="194">
        <f>'E.1项目运营期费用'!T13*'G.2进项增值税率-运营成本'!$C12/(1+'G.2进项增值税率-运营成本'!$C12)</f>
        <v/>
      </c>
      <c r="Q14" s="194">
        <f>'E.1项目运营期费用'!U13*'G.2进项增值税率-运营成本'!$C12/(1+'G.2进项增值税率-运营成本'!$C12)</f>
        <v/>
      </c>
      <c r="R14" s="194">
        <f>'E.1项目运营期费用'!V13*'G.2进项增值税率-运营成本'!$C12/(1+'G.2进项增值税率-运营成本'!$C12)</f>
        <v/>
      </c>
      <c r="S14" s="194">
        <f>'E.1项目运营期费用'!W13*'G.2进项增值税率-运营成本'!$C12/(1+'G.2进项增值税率-运营成本'!$C12)</f>
        <v/>
      </c>
      <c r="T14" s="194">
        <f>'E.1项目运营期费用'!X13*'G.2进项增值税率-运营成本'!$C12/(1+'G.2进项增值税率-运营成本'!$C12)</f>
        <v/>
      </c>
      <c r="U14" s="194">
        <f>'E.1项目运营期费用'!Y13*'G.2进项增值税率-运营成本'!$C12/(1+'G.2进项增值税率-运营成本'!$C12)</f>
        <v/>
      </c>
      <c r="V14" s="194">
        <f>'E.1项目运营期费用'!Z13*'G.2进项增值税率-运营成本'!$C12/(1+'G.2进项增值税率-运营成本'!$C12)</f>
        <v/>
      </c>
      <c r="W14" s="194">
        <f>'E.1项目运营期费用'!AA13*'G.2进项增值税率-运营成本'!$C12/(1+'G.2进项增值税率-运营成本'!$C12)</f>
        <v/>
      </c>
      <c r="X14" s="194">
        <f>'E.1项目运营期费用'!AB13*'G.2进项增值税率-运营成本'!$C12/(1+'G.2进项增值税率-运营成本'!$C12)</f>
        <v/>
      </c>
      <c r="Y14" s="194">
        <f>'E.1项目运营期费用'!AC13*'G.2进项增值税率-运营成本'!$C12/(1+'G.2进项增值税率-运营成本'!$C12)</f>
        <v/>
      </c>
      <c r="Z14" s="194">
        <f>'E.1项目运营期费用'!AD13*'G.2进项增值税率-运营成本'!$C12/(1+'G.2进项增值税率-运营成本'!$C12)</f>
        <v/>
      </c>
    </row>
    <row r="15" ht="16.5" customHeight="1" s="162">
      <c r="A15" s="7" t="n"/>
      <c r="B15" s="84">
        <f>E.1项目运营期费用!C14</f>
        <v/>
      </c>
      <c r="C15" s="7" t="n"/>
      <c r="D15" s="194">
        <f>E.1项目运营期费用!H14*'G.2进项增值税率-运营成本'!$C13/(1+'G.2进项增值税率-运营成本'!$C13)</f>
        <v/>
      </c>
      <c r="E15" s="194">
        <f>E.1项目运营期费用!I14*'G.2进项增值税率-运营成本'!$C13/(1+'G.2进项增值税率-运营成本'!$C13)</f>
        <v/>
      </c>
      <c r="F15" s="194">
        <f>E.1项目运营期费用!J14*'G.2进项增值税率-运营成本'!$C13/(1+'G.2进项增值税率-运营成本'!$C13)</f>
        <v/>
      </c>
      <c r="G15" s="194">
        <f>E.1项目运营期费用!K14*'G.2进项增值税率-运营成本'!$C13/(1+'G.2进项增值税率-运营成本'!$C13)</f>
        <v/>
      </c>
      <c r="H15" s="194">
        <f>E.1项目运营期费用!L14*'G.2进项增值税率-运营成本'!$C13/(1+'G.2进项增值税率-运营成本'!$C13)</f>
        <v/>
      </c>
      <c r="I15" s="194">
        <f>E.1项目运营期费用!M14*'G.2进项增值税率-运营成本'!$C13/(1+'G.2进项增值税率-运营成本'!$C13)</f>
        <v/>
      </c>
      <c r="J15" s="194">
        <f>'E.1项目运营期费用'!N14*'G.2进项增值税率-运营成本'!$C13/(1+'G.2进项增值税率-运营成本'!$C13)</f>
        <v/>
      </c>
      <c r="K15" s="194">
        <f>'E.1项目运营期费用'!O14*'G.2进项增值税率-运营成本'!$C13/(1+'G.2进项增值税率-运营成本'!$C13)</f>
        <v/>
      </c>
      <c r="L15" s="194">
        <f>'E.1项目运营期费用'!P14*'G.2进项增值税率-运营成本'!$C13/(1+'G.2进项增值税率-运营成本'!$C13)</f>
        <v/>
      </c>
      <c r="M15" s="194">
        <f>'E.1项目运营期费用'!Q14*'G.2进项增值税率-运营成本'!$C13/(1+'G.2进项增值税率-运营成本'!$C13)</f>
        <v/>
      </c>
      <c r="N15" s="194">
        <f>'E.1项目运营期费用'!R14*'G.2进项增值税率-运营成本'!$C13/(1+'G.2进项增值税率-运营成本'!$C13)</f>
        <v/>
      </c>
      <c r="O15" s="194">
        <f>'E.1项目运营期费用'!S14*'G.2进项增值税率-运营成本'!$C13/(1+'G.2进项增值税率-运营成本'!$C13)</f>
        <v/>
      </c>
      <c r="P15" s="194">
        <f>'E.1项目运营期费用'!T14*'G.2进项增值税率-运营成本'!$C13/(1+'G.2进项增值税率-运营成本'!$C13)</f>
        <v/>
      </c>
      <c r="Q15" s="194">
        <f>'E.1项目运营期费用'!U14*'G.2进项增值税率-运营成本'!$C13/(1+'G.2进项增值税率-运营成本'!$C13)</f>
        <v/>
      </c>
      <c r="R15" s="194">
        <f>'E.1项目运营期费用'!V14*'G.2进项增值税率-运营成本'!$C13/(1+'G.2进项增值税率-运营成本'!$C13)</f>
        <v/>
      </c>
      <c r="S15" s="194">
        <f>'E.1项目运营期费用'!W14*'G.2进项增值税率-运营成本'!$C13/(1+'G.2进项增值税率-运营成本'!$C13)</f>
        <v/>
      </c>
      <c r="T15" s="194">
        <f>'E.1项目运营期费用'!X14*'G.2进项增值税率-运营成本'!$C13/(1+'G.2进项增值税率-运营成本'!$C13)</f>
        <v/>
      </c>
      <c r="U15" s="194">
        <f>'E.1项目运营期费用'!Y14*'G.2进项增值税率-运营成本'!$C13/(1+'G.2进项增值税率-运营成本'!$C13)</f>
        <v/>
      </c>
      <c r="V15" s="194">
        <f>'E.1项目运营期费用'!Z14*'G.2进项增值税率-运营成本'!$C13/(1+'G.2进项增值税率-运营成本'!$C13)</f>
        <v/>
      </c>
      <c r="W15" s="194">
        <f>'E.1项目运营期费用'!AA14*'G.2进项增值税率-运营成本'!$C13/(1+'G.2进项增值税率-运营成本'!$C13)</f>
        <v/>
      </c>
      <c r="X15" s="194">
        <f>'E.1项目运营期费用'!AB14*'G.2进项增值税率-运营成本'!$C13/(1+'G.2进项增值税率-运营成本'!$C13)</f>
        <v/>
      </c>
      <c r="Y15" s="194">
        <f>'E.1项目运营期费用'!AC14*'G.2进项增值税率-运营成本'!$C13/(1+'G.2进项增值税率-运营成本'!$C13)</f>
        <v/>
      </c>
      <c r="Z15" s="194">
        <f>'E.1项目运营期费用'!AD14*'G.2进项增值税率-运营成本'!$C13/(1+'G.2进项增值税率-运营成本'!$C13)</f>
        <v/>
      </c>
    </row>
    <row r="16" ht="16.5" customHeight="1" s="162">
      <c r="A16" s="7" t="n"/>
      <c r="B16" s="84">
        <f>E.1项目运营期费用!C15</f>
        <v/>
      </c>
      <c r="C16" s="7" t="n"/>
      <c r="D16" s="194">
        <f>E.1项目运营期费用!H15*'G.2进项增值税率-运营成本'!$C14/(1+'G.2进项增值税率-运营成本'!$C14)</f>
        <v/>
      </c>
      <c r="E16" s="194">
        <f>E.1项目运营期费用!I15*'G.2进项增值税率-运营成本'!$C14/(1+'G.2进项增值税率-运营成本'!$C14)</f>
        <v/>
      </c>
      <c r="F16" s="194">
        <f>E.1项目运营期费用!J15*'G.2进项增值税率-运营成本'!$C14/(1+'G.2进项增值税率-运营成本'!$C14)</f>
        <v/>
      </c>
      <c r="G16" s="194">
        <f>E.1项目运营期费用!K15*'G.2进项增值税率-运营成本'!$C14/(1+'G.2进项增值税率-运营成本'!$C14)</f>
        <v/>
      </c>
      <c r="H16" s="194">
        <f>E.1项目运营期费用!L15*'G.2进项增值税率-运营成本'!$C14/(1+'G.2进项增值税率-运营成本'!$C14)</f>
        <v/>
      </c>
      <c r="I16" s="194">
        <f>E.1项目运营期费用!M15*'G.2进项增值税率-运营成本'!$C14/(1+'G.2进项增值税率-运营成本'!$C14)</f>
        <v/>
      </c>
      <c r="J16" s="194">
        <f>'E.1项目运营期费用'!N15*'G.2进项增值税率-运营成本'!$C14/(1+'G.2进项增值税率-运营成本'!$C14)</f>
        <v/>
      </c>
      <c r="K16" s="194">
        <f>'E.1项目运营期费用'!O15*'G.2进项增值税率-运营成本'!$C14/(1+'G.2进项增值税率-运营成本'!$C14)</f>
        <v/>
      </c>
      <c r="L16" s="194">
        <f>'E.1项目运营期费用'!P15*'G.2进项增值税率-运营成本'!$C14/(1+'G.2进项增值税率-运营成本'!$C14)</f>
        <v/>
      </c>
      <c r="M16" s="194">
        <f>'E.1项目运营期费用'!Q15*'G.2进项增值税率-运营成本'!$C14/(1+'G.2进项增值税率-运营成本'!$C14)</f>
        <v/>
      </c>
      <c r="N16" s="194">
        <f>'E.1项目运营期费用'!R15*'G.2进项增值税率-运营成本'!$C14/(1+'G.2进项增值税率-运营成本'!$C14)</f>
        <v/>
      </c>
      <c r="O16" s="194">
        <f>'E.1项目运营期费用'!S15*'G.2进项增值税率-运营成本'!$C14/(1+'G.2进项增值税率-运营成本'!$C14)</f>
        <v/>
      </c>
      <c r="P16" s="194">
        <f>'E.1项目运营期费用'!T15*'G.2进项增值税率-运营成本'!$C14/(1+'G.2进项增值税率-运营成本'!$C14)</f>
        <v/>
      </c>
      <c r="Q16" s="194">
        <f>'E.1项目运营期费用'!U15*'G.2进项增值税率-运营成本'!$C14/(1+'G.2进项增值税率-运营成本'!$C14)</f>
        <v/>
      </c>
      <c r="R16" s="194">
        <f>'E.1项目运营期费用'!V15*'G.2进项增值税率-运营成本'!$C14/(1+'G.2进项增值税率-运营成本'!$C14)</f>
        <v/>
      </c>
      <c r="S16" s="194">
        <f>'E.1项目运营期费用'!W15*'G.2进项增值税率-运营成本'!$C14/(1+'G.2进项增值税率-运营成本'!$C14)</f>
        <v/>
      </c>
      <c r="T16" s="194">
        <f>'E.1项目运营期费用'!X15*'G.2进项增值税率-运营成本'!$C14/(1+'G.2进项增值税率-运营成本'!$C14)</f>
        <v/>
      </c>
      <c r="U16" s="194">
        <f>'E.1项目运营期费用'!Y15*'G.2进项增值税率-运营成本'!$C14/(1+'G.2进项增值税率-运营成本'!$C14)</f>
        <v/>
      </c>
      <c r="V16" s="194">
        <f>'E.1项目运营期费用'!Z15*'G.2进项增值税率-运营成本'!$C14/(1+'G.2进项增值税率-运营成本'!$C14)</f>
        <v/>
      </c>
      <c r="W16" s="194">
        <f>'E.1项目运营期费用'!AA15*'G.2进项增值税率-运营成本'!$C14/(1+'G.2进项增值税率-运营成本'!$C14)</f>
        <v/>
      </c>
      <c r="X16" s="194">
        <f>'E.1项目运营期费用'!AB15*'G.2进项增值税率-运营成本'!$C14/(1+'G.2进项增值税率-运营成本'!$C14)</f>
        <v/>
      </c>
      <c r="Y16" s="194">
        <f>'E.1项目运营期费用'!AC15*'G.2进项增值税率-运营成本'!$C14/(1+'G.2进项增值税率-运营成本'!$C14)</f>
        <v/>
      </c>
      <c r="Z16" s="194">
        <f>'E.1项目运营期费用'!AD15*'G.2进项增值税率-运营成本'!$C14/(1+'G.2进项增值税率-运营成本'!$C14)</f>
        <v/>
      </c>
    </row>
    <row r="17" ht="16.5" customHeight="1" s="162">
      <c r="A17" s="7" t="n"/>
      <c r="B17" s="84">
        <f>E.1项目运营期费用!C16</f>
        <v/>
      </c>
      <c r="C17" s="7" t="n"/>
      <c r="D17" s="194">
        <f>E.1项目运营期费用!H16*'G.2进项增值税率-运营成本'!$C15/(1+'G.2进项增值税率-运营成本'!$C15)</f>
        <v/>
      </c>
      <c r="E17" s="194">
        <f>E.1项目运营期费用!I16*'G.2进项增值税率-运营成本'!$C15/(1+'G.2进项增值税率-运营成本'!$C15)</f>
        <v/>
      </c>
      <c r="F17" s="194">
        <f>E.1项目运营期费用!J16*'G.2进项增值税率-运营成本'!$C15/(1+'G.2进项增值税率-运营成本'!$C15)</f>
        <v/>
      </c>
      <c r="G17" s="194">
        <f>E.1项目运营期费用!K16*'G.2进项增值税率-运营成本'!$C15/(1+'G.2进项增值税率-运营成本'!$C15)</f>
        <v/>
      </c>
      <c r="H17" s="194">
        <f>E.1项目运营期费用!L16*'G.2进项增值税率-运营成本'!$C15/(1+'G.2进项增值税率-运营成本'!$C15)</f>
        <v/>
      </c>
      <c r="I17" s="194">
        <f>E.1项目运营期费用!M16*'G.2进项增值税率-运营成本'!$C15/(1+'G.2进项增值税率-运营成本'!$C15)</f>
        <v/>
      </c>
      <c r="J17" s="194">
        <f>'E.1项目运营期费用'!N16*'G.2进项增值税率-运营成本'!$C15/(1+'G.2进项增值税率-运营成本'!$C15)</f>
        <v/>
      </c>
      <c r="K17" s="194">
        <f>'E.1项目运营期费用'!O16*'G.2进项增值税率-运营成本'!$C15/(1+'G.2进项增值税率-运营成本'!$C15)</f>
        <v/>
      </c>
      <c r="L17" s="194">
        <f>'E.1项目运营期费用'!P16*'G.2进项增值税率-运营成本'!$C15/(1+'G.2进项增值税率-运营成本'!$C15)</f>
        <v/>
      </c>
      <c r="M17" s="194">
        <f>'E.1项目运营期费用'!Q16*'G.2进项增值税率-运营成本'!$C15/(1+'G.2进项增值税率-运营成本'!$C15)</f>
        <v/>
      </c>
      <c r="N17" s="194">
        <f>'E.1项目运营期费用'!R16*'G.2进项增值税率-运营成本'!$C15/(1+'G.2进项增值税率-运营成本'!$C15)</f>
        <v/>
      </c>
      <c r="O17" s="194">
        <f>'E.1项目运营期费用'!S16*'G.2进项增值税率-运营成本'!$C15/(1+'G.2进项增值税率-运营成本'!$C15)</f>
        <v/>
      </c>
      <c r="P17" s="194">
        <f>'E.1项目运营期费用'!T16*'G.2进项增值税率-运营成本'!$C15/(1+'G.2进项增值税率-运营成本'!$C15)</f>
        <v/>
      </c>
      <c r="Q17" s="194">
        <f>'E.1项目运营期费用'!U16*'G.2进项增值税率-运营成本'!$C15/(1+'G.2进项增值税率-运营成本'!$C15)</f>
        <v/>
      </c>
      <c r="R17" s="194">
        <f>'E.1项目运营期费用'!V16*'G.2进项增值税率-运营成本'!$C15/(1+'G.2进项增值税率-运营成本'!$C15)</f>
        <v/>
      </c>
      <c r="S17" s="194">
        <f>'E.1项目运营期费用'!W16*'G.2进项增值税率-运营成本'!$C15/(1+'G.2进项增值税率-运营成本'!$C15)</f>
        <v/>
      </c>
      <c r="T17" s="194">
        <f>'E.1项目运营期费用'!X16*'G.2进项增值税率-运营成本'!$C15/(1+'G.2进项增值税率-运营成本'!$C15)</f>
        <v/>
      </c>
      <c r="U17" s="194">
        <f>'E.1项目运营期费用'!Y16*'G.2进项增值税率-运营成本'!$C15/(1+'G.2进项增值税率-运营成本'!$C15)</f>
        <v/>
      </c>
      <c r="V17" s="194">
        <f>'E.1项目运营期费用'!Z16*'G.2进项增值税率-运营成本'!$C15/(1+'G.2进项增值税率-运营成本'!$C15)</f>
        <v/>
      </c>
      <c r="W17" s="194">
        <f>'E.1项目运营期费用'!AA16*'G.2进项增值税率-运营成本'!$C15/(1+'G.2进项增值税率-运营成本'!$C15)</f>
        <v/>
      </c>
      <c r="X17" s="194">
        <f>'E.1项目运营期费用'!AB16*'G.2进项增值税率-运营成本'!$C15/(1+'G.2进项增值税率-运营成本'!$C15)</f>
        <v/>
      </c>
      <c r="Y17" s="194">
        <f>'E.1项目运营期费用'!AC16*'G.2进项增值税率-运营成本'!$C15/(1+'G.2进项增值税率-运营成本'!$C15)</f>
        <v/>
      </c>
      <c r="Z17" s="194">
        <f>'E.1项目运营期费用'!AD16*'G.2进项增值税率-运营成本'!$C15/(1+'G.2进项增值税率-运营成本'!$C15)</f>
        <v/>
      </c>
    </row>
    <row r="18" ht="16.5" customHeight="1" s="162">
      <c r="A18" s="7" t="n"/>
      <c r="B18" s="84">
        <f>E.1项目运营期费用!C17</f>
        <v/>
      </c>
      <c r="C18" s="7" t="n"/>
      <c r="D18" s="194">
        <f>E.1项目运营期费用!H17*'G.2进项增值税率-运营成本'!$C16/(1+'G.2进项增值税率-运营成本'!$C16)</f>
        <v/>
      </c>
      <c r="E18" s="194">
        <f>E.1项目运营期费用!I17*'G.2进项增值税率-运营成本'!$C16/(1+'G.2进项增值税率-运营成本'!$C16)</f>
        <v/>
      </c>
      <c r="F18" s="194">
        <f>E.1项目运营期费用!J17*'G.2进项增值税率-运营成本'!$C16/(1+'G.2进项增值税率-运营成本'!$C16)</f>
        <v/>
      </c>
      <c r="G18" s="194">
        <f>E.1项目运营期费用!K17*'G.2进项增值税率-运营成本'!$C16/(1+'G.2进项增值税率-运营成本'!$C16)</f>
        <v/>
      </c>
      <c r="H18" s="194">
        <f>E.1项目运营期费用!L17*'G.2进项增值税率-运营成本'!$C16/(1+'G.2进项增值税率-运营成本'!$C16)</f>
        <v/>
      </c>
      <c r="I18" s="194">
        <f>E.1项目运营期费用!M17*'G.2进项增值税率-运营成本'!$C16/(1+'G.2进项增值税率-运营成本'!$C16)</f>
        <v/>
      </c>
      <c r="J18" s="194">
        <f>'E.1项目运营期费用'!N17*'G.2进项增值税率-运营成本'!$C16/(1+'G.2进项增值税率-运营成本'!$C16)</f>
        <v/>
      </c>
      <c r="K18" s="194">
        <f>'E.1项目运营期费用'!O17*'G.2进项增值税率-运营成本'!$C16/(1+'G.2进项增值税率-运营成本'!$C16)</f>
        <v/>
      </c>
      <c r="L18" s="194">
        <f>'E.1项目运营期费用'!P17*'G.2进项增值税率-运营成本'!$C16/(1+'G.2进项增值税率-运营成本'!$C16)</f>
        <v/>
      </c>
      <c r="M18" s="194">
        <f>'E.1项目运营期费用'!Q17*'G.2进项增值税率-运营成本'!$C16/(1+'G.2进项增值税率-运营成本'!$C16)</f>
        <v/>
      </c>
      <c r="N18" s="194">
        <f>'E.1项目运营期费用'!R17*'G.2进项增值税率-运营成本'!$C16/(1+'G.2进项增值税率-运营成本'!$C16)</f>
        <v/>
      </c>
      <c r="O18" s="194">
        <f>'E.1项目运营期费用'!S17*'G.2进项增值税率-运营成本'!$C16/(1+'G.2进项增值税率-运营成本'!$C16)</f>
        <v/>
      </c>
      <c r="P18" s="194">
        <f>'E.1项目运营期费用'!T17*'G.2进项增值税率-运营成本'!$C16/(1+'G.2进项增值税率-运营成本'!$C16)</f>
        <v/>
      </c>
      <c r="Q18" s="194">
        <f>'E.1项目运营期费用'!U17*'G.2进项增值税率-运营成本'!$C16/(1+'G.2进项增值税率-运营成本'!$C16)</f>
        <v/>
      </c>
      <c r="R18" s="194">
        <f>'E.1项目运营期费用'!V17*'G.2进项增值税率-运营成本'!$C16/(1+'G.2进项增值税率-运营成本'!$C16)</f>
        <v/>
      </c>
      <c r="S18" s="194">
        <f>'E.1项目运营期费用'!W17*'G.2进项增值税率-运营成本'!$C16/(1+'G.2进项增值税率-运营成本'!$C16)</f>
        <v/>
      </c>
      <c r="T18" s="194">
        <f>'E.1项目运营期费用'!X17*'G.2进项增值税率-运营成本'!$C16/(1+'G.2进项增值税率-运营成本'!$C16)</f>
        <v/>
      </c>
      <c r="U18" s="194">
        <f>'E.1项目运营期费用'!Y17*'G.2进项增值税率-运营成本'!$C16/(1+'G.2进项增值税率-运营成本'!$C16)</f>
        <v/>
      </c>
      <c r="V18" s="194">
        <f>'E.1项目运营期费用'!Z17*'G.2进项增值税率-运营成本'!$C16/(1+'G.2进项增值税率-运营成本'!$C16)</f>
        <v/>
      </c>
      <c r="W18" s="194">
        <f>'E.1项目运营期费用'!AA17*'G.2进项增值税率-运营成本'!$C16/(1+'G.2进项增值税率-运营成本'!$C16)</f>
        <v/>
      </c>
      <c r="X18" s="194">
        <f>'E.1项目运营期费用'!AB17*'G.2进项增值税率-运营成本'!$C16/(1+'G.2进项增值税率-运营成本'!$C16)</f>
        <v/>
      </c>
      <c r="Y18" s="194">
        <f>'E.1项目运营期费用'!AC17*'G.2进项增值税率-运营成本'!$C16/(1+'G.2进项增值税率-运营成本'!$C16)</f>
        <v/>
      </c>
      <c r="Z18" s="194">
        <f>'E.1项目运营期费用'!AD17*'G.2进项增值税率-运营成本'!$C16/(1+'G.2进项增值税率-运营成本'!$C16)</f>
        <v/>
      </c>
    </row>
    <row r="19" ht="16.5" customHeight="1" s="162">
      <c r="A19" s="7" t="n"/>
      <c r="B19" s="84">
        <f>E.1项目运营期费用!C18</f>
        <v/>
      </c>
      <c r="C19" s="7" t="n"/>
      <c r="D19" s="194">
        <f>E.1项目运营期费用!H18*'G.2进项增值税率-运营成本'!$C17/(1+'G.2进项增值税率-运营成本'!$C17)</f>
        <v/>
      </c>
      <c r="E19" s="194">
        <f>E.1项目运营期费用!I18*'G.2进项增值税率-运营成本'!$C17/(1+'G.2进项增值税率-运营成本'!$C17)</f>
        <v/>
      </c>
      <c r="F19" s="194">
        <f>E.1项目运营期费用!J18*'G.2进项增值税率-运营成本'!$C17/(1+'G.2进项增值税率-运营成本'!$C17)</f>
        <v/>
      </c>
      <c r="G19" s="194">
        <f>E.1项目运营期费用!K18*'G.2进项增值税率-运营成本'!$C17/(1+'G.2进项增值税率-运营成本'!$C17)</f>
        <v/>
      </c>
      <c r="H19" s="194">
        <f>E.1项目运营期费用!L18*'G.2进项增值税率-运营成本'!$C17/(1+'G.2进项增值税率-运营成本'!$C17)</f>
        <v/>
      </c>
      <c r="I19" s="194">
        <f>E.1项目运营期费用!M18*'G.2进项增值税率-运营成本'!$C17/(1+'G.2进项增值税率-运营成本'!$C17)</f>
        <v/>
      </c>
      <c r="J19" s="194">
        <f>'E.1项目运营期费用'!N18*'G.2进项增值税率-运营成本'!$C17/(1+'G.2进项增值税率-运营成本'!$C17)</f>
        <v/>
      </c>
      <c r="K19" s="194">
        <f>'E.1项目运营期费用'!O18*'G.2进项增值税率-运营成本'!$C17/(1+'G.2进项增值税率-运营成本'!$C17)</f>
        <v/>
      </c>
      <c r="L19" s="194">
        <f>'E.1项目运营期费用'!P18*'G.2进项增值税率-运营成本'!$C17/(1+'G.2进项增值税率-运营成本'!$C17)</f>
        <v/>
      </c>
      <c r="M19" s="194">
        <f>'E.1项目运营期费用'!Q18*'G.2进项增值税率-运营成本'!$C17/(1+'G.2进项增值税率-运营成本'!$C17)</f>
        <v/>
      </c>
      <c r="N19" s="194">
        <f>'E.1项目运营期费用'!R18*'G.2进项增值税率-运营成本'!$C17/(1+'G.2进项增值税率-运营成本'!$C17)</f>
        <v/>
      </c>
      <c r="O19" s="194">
        <f>'E.1项目运营期费用'!S18*'G.2进项增值税率-运营成本'!$C17/(1+'G.2进项增值税率-运营成本'!$C17)</f>
        <v/>
      </c>
      <c r="P19" s="194">
        <f>'E.1项目运营期费用'!T18*'G.2进项增值税率-运营成本'!$C17/(1+'G.2进项增值税率-运营成本'!$C17)</f>
        <v/>
      </c>
      <c r="Q19" s="194">
        <f>'E.1项目运营期费用'!U18*'G.2进项增值税率-运营成本'!$C17/(1+'G.2进项增值税率-运营成本'!$C17)</f>
        <v/>
      </c>
      <c r="R19" s="194">
        <f>'E.1项目运营期费用'!V18*'G.2进项增值税率-运营成本'!$C17/(1+'G.2进项增值税率-运营成本'!$C17)</f>
        <v/>
      </c>
      <c r="S19" s="194">
        <f>'E.1项目运营期费用'!W18*'G.2进项增值税率-运营成本'!$C17/(1+'G.2进项增值税率-运营成本'!$C17)</f>
        <v/>
      </c>
      <c r="T19" s="194">
        <f>'E.1项目运营期费用'!X18*'G.2进项增值税率-运营成本'!$C17/(1+'G.2进项增值税率-运营成本'!$C17)</f>
        <v/>
      </c>
      <c r="U19" s="194">
        <f>'E.1项目运营期费用'!Y18*'G.2进项增值税率-运营成本'!$C17/(1+'G.2进项增值税率-运营成本'!$C17)</f>
        <v/>
      </c>
      <c r="V19" s="194">
        <f>'E.1项目运营期费用'!Z18*'G.2进项增值税率-运营成本'!$C17/(1+'G.2进项增值税率-运营成本'!$C17)</f>
        <v/>
      </c>
      <c r="W19" s="194">
        <f>'E.1项目运营期费用'!AA18*'G.2进项增值税率-运营成本'!$C17/(1+'G.2进项增值税率-运营成本'!$C17)</f>
        <v/>
      </c>
      <c r="X19" s="194">
        <f>'E.1项目运营期费用'!AB18*'G.2进项增值税率-运营成本'!$C17/(1+'G.2进项增值税率-运营成本'!$C17)</f>
        <v/>
      </c>
      <c r="Y19" s="194">
        <f>'E.1项目运营期费用'!AC18*'G.2进项增值税率-运营成本'!$C17/(1+'G.2进项增值税率-运营成本'!$C17)</f>
        <v/>
      </c>
      <c r="Z19" s="194">
        <f>'E.1项目运营期费用'!AD18*'G.2进项增值税率-运营成本'!$C17/(1+'G.2进项增值税率-运营成本'!$C17)</f>
        <v/>
      </c>
    </row>
    <row r="20" ht="16.5" customHeight="1" s="162">
      <c r="A20" s="7" t="n"/>
      <c r="B20" s="84">
        <f>E.1项目运营期费用!C19</f>
        <v/>
      </c>
      <c r="C20" s="7" t="n"/>
      <c r="D20" s="194">
        <f>E.1项目运营期费用!H19*'G.2进项增值税率-运营成本'!$C18/(1+'G.2进项增值税率-运营成本'!$C18)</f>
        <v/>
      </c>
      <c r="E20" s="194">
        <f>E.1项目运营期费用!I19*'G.2进项增值税率-运营成本'!$C18/(1+'G.2进项增值税率-运营成本'!$C18)</f>
        <v/>
      </c>
      <c r="F20" s="194">
        <f>E.1项目运营期费用!J19*'G.2进项增值税率-运营成本'!$C18/(1+'G.2进项增值税率-运营成本'!$C18)</f>
        <v/>
      </c>
      <c r="G20" s="194">
        <f>E.1项目运营期费用!K19*'G.2进项增值税率-运营成本'!$C18/(1+'G.2进项增值税率-运营成本'!$C18)</f>
        <v/>
      </c>
      <c r="H20" s="194">
        <f>E.1项目运营期费用!L19*'G.2进项增值税率-运营成本'!$C18/(1+'G.2进项增值税率-运营成本'!$C18)</f>
        <v/>
      </c>
      <c r="I20" s="194">
        <f>E.1项目运营期费用!M19*'G.2进项增值税率-运营成本'!$C18/(1+'G.2进项增值税率-运营成本'!$C18)</f>
        <v/>
      </c>
      <c r="J20" s="194">
        <f>'E.1项目运营期费用'!N19*'G.2进项增值税率-运营成本'!$C18/(1+'G.2进项增值税率-运营成本'!$C18)</f>
        <v/>
      </c>
      <c r="K20" s="194">
        <f>'E.1项目运营期费用'!O19*'G.2进项增值税率-运营成本'!$C18/(1+'G.2进项增值税率-运营成本'!$C18)</f>
        <v/>
      </c>
      <c r="L20" s="194">
        <f>'E.1项目运营期费用'!P19*'G.2进项增值税率-运营成本'!$C18/(1+'G.2进项增值税率-运营成本'!$C18)</f>
        <v/>
      </c>
      <c r="M20" s="194">
        <f>'E.1项目运营期费用'!Q19*'G.2进项增值税率-运营成本'!$C18/(1+'G.2进项增值税率-运营成本'!$C18)</f>
        <v/>
      </c>
      <c r="N20" s="194">
        <f>'E.1项目运营期费用'!R19*'G.2进项增值税率-运营成本'!$C18/(1+'G.2进项增值税率-运营成本'!$C18)</f>
        <v/>
      </c>
      <c r="O20" s="194">
        <f>'E.1项目运营期费用'!S19*'G.2进项增值税率-运营成本'!$C18/(1+'G.2进项增值税率-运营成本'!$C18)</f>
        <v/>
      </c>
      <c r="P20" s="194">
        <f>'E.1项目运营期费用'!T19*'G.2进项增值税率-运营成本'!$C18/(1+'G.2进项增值税率-运营成本'!$C18)</f>
        <v/>
      </c>
      <c r="Q20" s="194">
        <f>'E.1项目运营期费用'!U19*'G.2进项增值税率-运营成本'!$C18/(1+'G.2进项增值税率-运营成本'!$C18)</f>
        <v/>
      </c>
      <c r="R20" s="194">
        <f>'E.1项目运营期费用'!V19*'G.2进项增值税率-运营成本'!$C18/(1+'G.2进项增值税率-运营成本'!$C18)</f>
        <v/>
      </c>
      <c r="S20" s="194">
        <f>'E.1项目运营期费用'!W19*'G.2进项增值税率-运营成本'!$C18/(1+'G.2进项增值税率-运营成本'!$C18)</f>
        <v/>
      </c>
      <c r="T20" s="194">
        <f>'E.1项目运营期费用'!X19*'G.2进项增值税率-运营成本'!$C18/(1+'G.2进项增值税率-运营成本'!$C18)</f>
        <v/>
      </c>
      <c r="U20" s="194">
        <f>'E.1项目运营期费用'!Y19*'G.2进项增值税率-运营成本'!$C18/(1+'G.2进项增值税率-运营成本'!$C18)</f>
        <v/>
      </c>
      <c r="V20" s="194">
        <f>'E.1项目运营期费用'!Z19*'G.2进项增值税率-运营成本'!$C18/(1+'G.2进项增值税率-运营成本'!$C18)</f>
        <v/>
      </c>
      <c r="W20" s="194">
        <f>'E.1项目运营期费用'!AA19*'G.2进项增值税率-运营成本'!$C18/(1+'G.2进项增值税率-运营成本'!$C18)</f>
        <v/>
      </c>
      <c r="X20" s="194">
        <f>'E.1项目运营期费用'!AB19*'G.2进项增值税率-运营成本'!$C18/(1+'G.2进项增值税率-运营成本'!$C18)</f>
        <v/>
      </c>
      <c r="Y20" s="194">
        <f>'E.1项目运营期费用'!AC19*'G.2进项增值税率-运营成本'!$C18/(1+'G.2进项增值税率-运营成本'!$C18)</f>
        <v/>
      </c>
      <c r="Z20" s="194">
        <f>'E.1项目运营期费用'!AD19*'G.2进项增值税率-运营成本'!$C18/(1+'G.2进项增值税率-运营成本'!$C18)</f>
        <v/>
      </c>
    </row>
    <row r="21" ht="16.5" customHeight="1" s="162">
      <c r="A21" s="7" t="n"/>
      <c r="B21" s="84">
        <f>E.1项目运营期费用!C20</f>
        <v/>
      </c>
      <c r="C21" s="7" t="n"/>
      <c r="D21" s="194">
        <f>E.1项目运营期费用!H20*'G.2进项增值税率-运营成本'!$C19/(1+'G.2进项增值税率-运营成本'!$C19)</f>
        <v/>
      </c>
      <c r="E21" s="194">
        <f>E.1项目运营期费用!I20*'G.2进项增值税率-运营成本'!$C19/(1+'G.2进项增值税率-运营成本'!$C19)</f>
        <v/>
      </c>
      <c r="F21" s="194">
        <f>E.1项目运营期费用!J20*'G.2进项增值税率-运营成本'!$C19/(1+'G.2进项增值税率-运营成本'!$C19)</f>
        <v/>
      </c>
      <c r="G21" s="194">
        <f>E.1项目运营期费用!K20*'G.2进项增值税率-运营成本'!$C19/(1+'G.2进项增值税率-运营成本'!$C19)</f>
        <v/>
      </c>
      <c r="H21" s="194">
        <f>E.1项目运营期费用!L20*'G.2进项增值税率-运营成本'!$C19/(1+'G.2进项增值税率-运营成本'!$C19)</f>
        <v/>
      </c>
      <c r="I21" s="194">
        <f>E.1项目运营期费用!M20*'G.2进项增值税率-运营成本'!$C19/(1+'G.2进项增值税率-运营成本'!$C19)</f>
        <v/>
      </c>
      <c r="J21" s="194">
        <f>'E.1项目运营期费用'!N20*'G.2进项增值税率-运营成本'!$C19/(1+'G.2进项增值税率-运营成本'!$C19)</f>
        <v/>
      </c>
      <c r="K21" s="194">
        <f>'E.1项目运营期费用'!O20*'G.2进项增值税率-运营成本'!$C19/(1+'G.2进项增值税率-运营成本'!$C19)</f>
        <v/>
      </c>
      <c r="L21" s="194">
        <f>'E.1项目运营期费用'!P20*'G.2进项增值税率-运营成本'!$C19/(1+'G.2进项增值税率-运营成本'!$C19)</f>
        <v/>
      </c>
      <c r="M21" s="194">
        <f>'E.1项目运营期费用'!Q20*'G.2进项增值税率-运营成本'!$C19/(1+'G.2进项增值税率-运营成本'!$C19)</f>
        <v/>
      </c>
      <c r="N21" s="194">
        <f>'E.1项目运营期费用'!R20*'G.2进项增值税率-运营成本'!$C19/(1+'G.2进项增值税率-运营成本'!$C19)</f>
        <v/>
      </c>
      <c r="O21" s="194">
        <f>'E.1项目运营期费用'!S20*'G.2进项增值税率-运营成本'!$C19/(1+'G.2进项增值税率-运营成本'!$C19)</f>
        <v/>
      </c>
      <c r="P21" s="194">
        <f>'E.1项目运营期费用'!T20*'G.2进项增值税率-运营成本'!$C19/(1+'G.2进项增值税率-运营成本'!$C19)</f>
        <v/>
      </c>
      <c r="Q21" s="194">
        <f>'E.1项目运营期费用'!U20*'G.2进项增值税率-运营成本'!$C19/(1+'G.2进项增值税率-运营成本'!$C19)</f>
        <v/>
      </c>
      <c r="R21" s="194">
        <f>'E.1项目运营期费用'!V20*'G.2进项增值税率-运营成本'!$C19/(1+'G.2进项增值税率-运营成本'!$C19)</f>
        <v/>
      </c>
      <c r="S21" s="194">
        <f>'E.1项目运营期费用'!W20*'G.2进项增值税率-运营成本'!$C19/(1+'G.2进项增值税率-运营成本'!$C19)</f>
        <v/>
      </c>
      <c r="T21" s="194">
        <f>'E.1项目运营期费用'!X20*'G.2进项增值税率-运营成本'!$C19/(1+'G.2进项增值税率-运营成本'!$C19)</f>
        <v/>
      </c>
      <c r="U21" s="194">
        <f>'E.1项目运营期费用'!Y20*'G.2进项增值税率-运营成本'!$C19/(1+'G.2进项增值税率-运营成本'!$C19)</f>
        <v/>
      </c>
      <c r="V21" s="194">
        <f>'E.1项目运营期费用'!Z20*'G.2进项增值税率-运营成本'!$C19/(1+'G.2进项增值税率-运营成本'!$C19)</f>
        <v/>
      </c>
      <c r="W21" s="194">
        <f>'E.1项目运营期费用'!AA20*'G.2进项增值税率-运营成本'!$C19/(1+'G.2进项增值税率-运营成本'!$C19)</f>
        <v/>
      </c>
      <c r="X21" s="194">
        <f>'E.1项目运营期费用'!AB20*'G.2进项增值税率-运营成本'!$C19/(1+'G.2进项增值税率-运营成本'!$C19)</f>
        <v/>
      </c>
      <c r="Y21" s="194">
        <f>'E.1项目运营期费用'!AC20*'G.2进项增值税率-运营成本'!$C19/(1+'G.2进项增值税率-运营成本'!$C19)</f>
        <v/>
      </c>
      <c r="Z21" s="194">
        <f>'E.1项目运营期费用'!AD20*'G.2进项增值税率-运营成本'!$C19/(1+'G.2进项增值税率-运营成本'!$C19)</f>
        <v/>
      </c>
    </row>
    <row r="22" ht="16.5" customHeight="1" s="162">
      <c r="A22" s="7" t="n"/>
      <c r="B22" s="84">
        <f>E.1项目运营期费用!C21</f>
        <v/>
      </c>
      <c r="C22" s="7" t="n"/>
      <c r="D22" s="194">
        <f>E.1项目运营期费用!H21*'G.2进项增值税率-运营成本'!$C20/(1+'G.2进项增值税率-运营成本'!$C20)</f>
        <v/>
      </c>
      <c r="E22" s="194">
        <f>E.1项目运营期费用!I21*'G.2进项增值税率-运营成本'!$C20/(1+'G.2进项增值税率-运营成本'!$C20)</f>
        <v/>
      </c>
      <c r="F22" s="194">
        <f>E.1项目运营期费用!J21*'G.2进项增值税率-运营成本'!$C20/(1+'G.2进项增值税率-运营成本'!$C20)</f>
        <v/>
      </c>
      <c r="G22" s="194">
        <f>E.1项目运营期费用!K21*'G.2进项增值税率-运营成本'!$C20/(1+'G.2进项增值税率-运营成本'!$C20)</f>
        <v/>
      </c>
      <c r="H22" s="194">
        <f>E.1项目运营期费用!L21*'G.2进项增值税率-运营成本'!$C20/(1+'G.2进项增值税率-运营成本'!$C20)</f>
        <v/>
      </c>
      <c r="I22" s="194">
        <f>E.1项目运营期费用!M21*'G.2进项增值税率-运营成本'!$C20/(1+'G.2进项增值税率-运营成本'!$C20)</f>
        <v/>
      </c>
      <c r="J22" s="194">
        <f>'E.1项目运营期费用'!N21*'G.2进项增值税率-运营成本'!$C20/(1+'G.2进项增值税率-运营成本'!$C20)</f>
        <v/>
      </c>
      <c r="K22" s="194">
        <f>'E.1项目运营期费用'!O21*'G.2进项增值税率-运营成本'!$C20/(1+'G.2进项增值税率-运营成本'!$C20)</f>
        <v/>
      </c>
      <c r="L22" s="194">
        <f>'E.1项目运营期费用'!P21*'G.2进项增值税率-运营成本'!$C20/(1+'G.2进项增值税率-运营成本'!$C20)</f>
        <v/>
      </c>
      <c r="M22" s="194">
        <f>'E.1项目运营期费用'!Q21*'G.2进项增值税率-运营成本'!$C20/(1+'G.2进项增值税率-运营成本'!$C20)</f>
        <v/>
      </c>
      <c r="N22" s="194">
        <f>'E.1项目运营期费用'!R21*'G.2进项增值税率-运营成本'!$C20/(1+'G.2进项增值税率-运营成本'!$C20)</f>
        <v/>
      </c>
      <c r="O22" s="194">
        <f>'E.1项目运营期费用'!S21*'G.2进项增值税率-运营成本'!$C20/(1+'G.2进项增值税率-运营成本'!$C20)</f>
        <v/>
      </c>
      <c r="P22" s="194">
        <f>'E.1项目运营期费用'!T21*'G.2进项增值税率-运营成本'!$C20/(1+'G.2进项增值税率-运营成本'!$C20)</f>
        <v/>
      </c>
      <c r="Q22" s="194">
        <f>'E.1项目运营期费用'!U21*'G.2进项增值税率-运营成本'!$C20/(1+'G.2进项增值税率-运营成本'!$C20)</f>
        <v/>
      </c>
      <c r="R22" s="194">
        <f>'E.1项目运营期费用'!V21*'G.2进项增值税率-运营成本'!$C20/(1+'G.2进项增值税率-运营成本'!$C20)</f>
        <v/>
      </c>
      <c r="S22" s="194">
        <f>'E.1项目运营期费用'!W21*'G.2进项增值税率-运营成本'!$C20/(1+'G.2进项增值税率-运营成本'!$C20)</f>
        <v/>
      </c>
      <c r="T22" s="194">
        <f>'E.1项目运营期费用'!X21*'G.2进项增值税率-运营成本'!$C20/(1+'G.2进项增值税率-运营成本'!$C20)</f>
        <v/>
      </c>
      <c r="U22" s="194">
        <f>'E.1项目运营期费用'!Y21*'G.2进项增值税率-运营成本'!$C20/(1+'G.2进项增值税率-运营成本'!$C20)</f>
        <v/>
      </c>
      <c r="V22" s="194">
        <f>'E.1项目运营期费用'!Z21*'G.2进项增值税率-运营成本'!$C20/(1+'G.2进项增值税率-运营成本'!$C20)</f>
        <v/>
      </c>
      <c r="W22" s="194">
        <f>'E.1项目运营期费用'!AA21*'G.2进项增值税率-运营成本'!$C20/(1+'G.2进项增值税率-运营成本'!$C20)</f>
        <v/>
      </c>
      <c r="X22" s="194">
        <f>'E.1项目运营期费用'!AB21*'G.2进项增值税率-运营成本'!$C20/(1+'G.2进项增值税率-运营成本'!$C20)</f>
        <v/>
      </c>
      <c r="Y22" s="194">
        <f>'E.1项目运营期费用'!AC21*'G.2进项增值税率-运营成本'!$C20/(1+'G.2进项增值税率-运营成本'!$C20)</f>
        <v/>
      </c>
      <c r="Z22" s="194">
        <f>'E.1项目运营期费用'!AD21*'G.2进项增值税率-运营成本'!$C20/(1+'G.2进项增值税率-运营成本'!$C20)</f>
        <v/>
      </c>
    </row>
    <row r="23" ht="16.5" customHeight="1" s="162">
      <c r="A23" s="7" t="n"/>
      <c r="B23" s="84">
        <f>E.1项目运营期费用!C22</f>
        <v/>
      </c>
      <c r="C23" s="7" t="n"/>
      <c r="D23" s="194">
        <f>E.1项目运营期费用!H22*'G.2进项增值税率-运营成本'!$C21/(1+'G.2进项增值税率-运营成本'!$C21)</f>
        <v/>
      </c>
      <c r="E23" s="194">
        <f>E.1项目运营期费用!I22*'G.2进项增值税率-运营成本'!$C21/(1+'G.2进项增值税率-运营成本'!$C21)</f>
        <v/>
      </c>
      <c r="F23" s="194">
        <f>E.1项目运营期费用!J22*'G.2进项增值税率-运营成本'!$C21/(1+'G.2进项增值税率-运营成本'!$C21)</f>
        <v/>
      </c>
      <c r="G23" s="194">
        <f>E.1项目运营期费用!K22*'G.2进项增值税率-运营成本'!$C21/(1+'G.2进项增值税率-运营成本'!$C21)</f>
        <v/>
      </c>
      <c r="H23" s="194">
        <f>E.1项目运营期费用!L22*'G.2进项增值税率-运营成本'!$C21/(1+'G.2进项增值税率-运营成本'!$C21)</f>
        <v/>
      </c>
      <c r="I23" s="194">
        <f>E.1项目运营期费用!M22*'G.2进项增值税率-运营成本'!$C21/(1+'G.2进项增值税率-运营成本'!$C21)</f>
        <v/>
      </c>
      <c r="J23" s="194">
        <f>'E.1项目运营期费用'!N22*'G.2进项增值税率-运营成本'!$C21/(1+'G.2进项增值税率-运营成本'!$C21)</f>
        <v/>
      </c>
      <c r="K23" s="194">
        <f>'E.1项目运营期费用'!O22*'G.2进项增值税率-运营成本'!$C21/(1+'G.2进项增值税率-运营成本'!$C21)</f>
        <v/>
      </c>
      <c r="L23" s="194">
        <f>'E.1项目运营期费用'!P22*'G.2进项增值税率-运营成本'!$C21/(1+'G.2进项增值税率-运营成本'!$C21)</f>
        <v/>
      </c>
      <c r="M23" s="194">
        <f>'E.1项目运营期费用'!Q22*'G.2进项增值税率-运营成本'!$C21/(1+'G.2进项增值税率-运营成本'!$C21)</f>
        <v/>
      </c>
      <c r="N23" s="194">
        <f>'E.1项目运营期费用'!R22*'G.2进项增值税率-运营成本'!$C21/(1+'G.2进项增值税率-运营成本'!$C21)</f>
        <v/>
      </c>
      <c r="O23" s="194">
        <f>'E.1项目运营期费用'!S22*'G.2进项增值税率-运营成本'!$C21/(1+'G.2进项增值税率-运营成本'!$C21)</f>
        <v/>
      </c>
      <c r="P23" s="194">
        <f>'E.1项目运营期费用'!T22*'G.2进项增值税率-运营成本'!$C21/(1+'G.2进项增值税率-运营成本'!$C21)</f>
        <v/>
      </c>
      <c r="Q23" s="194">
        <f>'E.1项目运营期费用'!U22*'G.2进项增值税率-运营成本'!$C21/(1+'G.2进项增值税率-运营成本'!$C21)</f>
        <v/>
      </c>
      <c r="R23" s="194">
        <f>'E.1项目运营期费用'!V22*'G.2进项增值税率-运营成本'!$C21/(1+'G.2进项增值税率-运营成本'!$C21)</f>
        <v/>
      </c>
      <c r="S23" s="194">
        <f>'E.1项目运营期费用'!W22*'G.2进项增值税率-运营成本'!$C21/(1+'G.2进项增值税率-运营成本'!$C21)</f>
        <v/>
      </c>
      <c r="T23" s="194">
        <f>'E.1项目运营期费用'!X22*'G.2进项增值税率-运营成本'!$C21/(1+'G.2进项增值税率-运营成本'!$C21)</f>
        <v/>
      </c>
      <c r="U23" s="194">
        <f>'E.1项目运营期费用'!Y22*'G.2进项增值税率-运营成本'!$C21/(1+'G.2进项增值税率-运营成本'!$C21)</f>
        <v/>
      </c>
      <c r="V23" s="194">
        <f>'E.1项目运营期费用'!Z22*'G.2进项增值税率-运营成本'!$C21/(1+'G.2进项增值税率-运营成本'!$C21)</f>
        <v/>
      </c>
      <c r="W23" s="194">
        <f>'E.1项目运营期费用'!AA22*'G.2进项增值税率-运营成本'!$C21/(1+'G.2进项增值税率-运营成本'!$C21)</f>
        <v/>
      </c>
      <c r="X23" s="194">
        <f>'E.1项目运营期费用'!AB22*'G.2进项增值税率-运营成本'!$C21/(1+'G.2进项增值税率-运营成本'!$C21)</f>
        <v/>
      </c>
      <c r="Y23" s="194">
        <f>'E.1项目运营期费用'!AC22*'G.2进项增值税率-运营成本'!$C21/(1+'G.2进项增值税率-运营成本'!$C21)</f>
        <v/>
      </c>
      <c r="Z23" s="194">
        <f>'E.1项目运营期费用'!AD22*'G.2进项增值税率-运营成本'!$C21/(1+'G.2进项增值税率-运营成本'!$C21)</f>
        <v/>
      </c>
    </row>
    <row r="24" ht="16.5" customHeight="1" s="162">
      <c r="A24" s="7" t="n"/>
      <c r="B24" s="84">
        <f>E.1项目运营期费用!C23</f>
        <v/>
      </c>
      <c r="C24" s="7" t="n"/>
      <c r="D24" s="194">
        <f>E.1项目运营期费用!H23*'G.2进项增值税率-运营成本'!$C22/(1+'G.2进项增值税率-运营成本'!$C22)</f>
        <v/>
      </c>
      <c r="E24" s="194">
        <f>E.1项目运营期费用!I23*'G.2进项增值税率-运营成本'!$C22/(1+'G.2进项增值税率-运营成本'!$C22)</f>
        <v/>
      </c>
      <c r="F24" s="194">
        <f>E.1项目运营期费用!J23*'G.2进项增值税率-运营成本'!$C22/(1+'G.2进项增值税率-运营成本'!$C22)</f>
        <v/>
      </c>
      <c r="G24" s="194">
        <f>E.1项目运营期费用!K23*'G.2进项增值税率-运营成本'!$C22/(1+'G.2进项增值税率-运营成本'!$C22)</f>
        <v/>
      </c>
      <c r="H24" s="194">
        <f>E.1项目运营期费用!L23*'G.2进项增值税率-运营成本'!$C22/(1+'G.2进项增值税率-运营成本'!$C22)</f>
        <v/>
      </c>
      <c r="I24" s="194">
        <f>E.1项目运营期费用!M23*'G.2进项增值税率-运营成本'!$C22/(1+'G.2进项增值税率-运营成本'!$C22)</f>
        <v/>
      </c>
      <c r="J24" s="194">
        <f>'E.1项目运营期费用'!N23*'G.2进项增值税率-运营成本'!$C22/(1+'G.2进项增值税率-运营成本'!$C22)</f>
        <v/>
      </c>
      <c r="K24" s="194">
        <f>'E.1项目运营期费用'!O23*'G.2进项增值税率-运营成本'!$C22/(1+'G.2进项增值税率-运营成本'!$C22)</f>
        <v/>
      </c>
      <c r="L24" s="194">
        <f>'E.1项目运营期费用'!P23*'G.2进项增值税率-运营成本'!$C22/(1+'G.2进项增值税率-运营成本'!$C22)</f>
        <v/>
      </c>
      <c r="M24" s="194">
        <f>'E.1项目运营期费用'!Q23*'G.2进项增值税率-运营成本'!$C22/(1+'G.2进项增值税率-运营成本'!$C22)</f>
        <v/>
      </c>
      <c r="N24" s="194">
        <f>'E.1项目运营期费用'!R23*'G.2进项增值税率-运营成本'!$C22/(1+'G.2进项增值税率-运营成本'!$C22)</f>
        <v/>
      </c>
      <c r="O24" s="194">
        <f>'E.1项目运营期费用'!S23*'G.2进项增值税率-运营成本'!$C22/(1+'G.2进项增值税率-运营成本'!$C22)</f>
        <v/>
      </c>
      <c r="P24" s="194">
        <f>'E.1项目运营期费用'!T23*'G.2进项增值税率-运营成本'!$C22/(1+'G.2进项增值税率-运营成本'!$C22)</f>
        <v/>
      </c>
      <c r="Q24" s="194">
        <f>'E.1项目运营期费用'!U23*'G.2进项增值税率-运营成本'!$C22/(1+'G.2进项增值税率-运营成本'!$C22)</f>
        <v/>
      </c>
      <c r="R24" s="194">
        <f>'E.1项目运营期费用'!V23*'G.2进项增值税率-运营成本'!$C22/(1+'G.2进项增值税率-运营成本'!$C22)</f>
        <v/>
      </c>
      <c r="S24" s="194">
        <f>'E.1项目运营期费用'!W23*'G.2进项增值税率-运营成本'!$C22/(1+'G.2进项增值税率-运营成本'!$C22)</f>
        <v/>
      </c>
      <c r="T24" s="194">
        <f>'E.1项目运营期费用'!X23*'G.2进项增值税率-运营成本'!$C22/(1+'G.2进项增值税率-运营成本'!$C22)</f>
        <v/>
      </c>
      <c r="U24" s="194">
        <f>'E.1项目运营期费用'!Y23*'G.2进项增值税率-运营成本'!$C22/(1+'G.2进项增值税率-运营成本'!$C22)</f>
        <v/>
      </c>
      <c r="V24" s="194">
        <f>'E.1项目运营期费用'!Z23*'G.2进项增值税率-运营成本'!$C22/(1+'G.2进项增值税率-运营成本'!$C22)</f>
        <v/>
      </c>
      <c r="W24" s="194">
        <f>'E.1项目运营期费用'!AA23*'G.2进项增值税率-运营成本'!$C22/(1+'G.2进项增值税率-运营成本'!$C22)</f>
        <v/>
      </c>
      <c r="X24" s="194">
        <f>'E.1项目运营期费用'!AB23*'G.2进项增值税率-运营成本'!$C22/(1+'G.2进项增值税率-运营成本'!$C22)</f>
        <v/>
      </c>
      <c r="Y24" s="194">
        <f>'E.1项目运营期费用'!AC23*'G.2进项增值税率-运营成本'!$C22/(1+'G.2进项增值税率-运营成本'!$C22)</f>
        <v/>
      </c>
      <c r="Z24" s="194">
        <f>'E.1项目运营期费用'!AD23*'G.2进项增值税率-运营成本'!$C22/(1+'G.2进项增值税率-运营成本'!$C22)</f>
        <v/>
      </c>
    </row>
    <row r="25" ht="16.5" customHeight="1" s="162">
      <c r="A25" s="7" t="n">
        <v>2</v>
      </c>
      <c r="B25" s="7" t="inlineStr">
        <is>
          <t>当期销项税额</t>
        </is>
      </c>
      <c r="C25" s="7" t="n"/>
      <c r="D25" s="177">
        <f>(SUM(D26:D28))</f>
        <v/>
      </c>
      <c r="E25" s="178">
        <f>(SUM(E26:E28))</f>
        <v/>
      </c>
      <c r="F25" s="178">
        <f>(SUM(F26:F28))</f>
        <v/>
      </c>
      <c r="G25" s="178">
        <f>(SUM(G26:G28))</f>
        <v/>
      </c>
      <c r="H25" s="178">
        <f>(SUM(H26:H28))</f>
        <v/>
      </c>
      <c r="I25" s="178">
        <f>SUM(I26:I28)</f>
        <v/>
      </c>
      <c r="J25" s="178">
        <f>SUM(J26:J28)</f>
        <v/>
      </c>
      <c r="K25" s="178">
        <f>SUM(K26:K28)</f>
        <v/>
      </c>
      <c r="L25" s="178">
        <f>SUM(L26:L28)</f>
        <v/>
      </c>
      <c r="M25" s="178">
        <f>SUM(M26:M28)</f>
        <v/>
      </c>
      <c r="N25" s="178">
        <f>SUM(N26:N28)</f>
        <v/>
      </c>
      <c r="O25" s="178">
        <f>SUM(O26:O28)</f>
        <v/>
      </c>
      <c r="P25" s="178">
        <f>SUM(P26:P28)</f>
        <v/>
      </c>
      <c r="Q25" s="178">
        <f>SUM(Q26:Q28)</f>
        <v/>
      </c>
      <c r="R25" s="178">
        <f>SUM(R26:R28)</f>
        <v/>
      </c>
      <c r="S25" s="178">
        <f>SUM(S26:S28)</f>
        <v/>
      </c>
      <c r="T25" s="178">
        <f>SUM(T26:T28)</f>
        <v/>
      </c>
      <c r="U25" s="178">
        <f>SUM(U26:U28)</f>
        <v/>
      </c>
      <c r="V25" s="178">
        <f>SUM(V26:V28)</f>
        <v/>
      </c>
      <c r="W25" s="178">
        <f>SUM(W26:W28)</f>
        <v/>
      </c>
      <c r="X25" s="178">
        <f>SUM(X26:X28)</f>
        <v/>
      </c>
      <c r="Y25" s="178">
        <f>SUM(Y26:Y28)</f>
        <v/>
      </c>
      <c r="Z25" s="178">
        <f>SUM(Z26:Z28)</f>
        <v/>
      </c>
    </row>
    <row r="26" ht="16.5" customHeight="1" s="162">
      <c r="A26" s="7" t="n"/>
      <c r="B26" s="84">
        <f>F项目收入!B3</f>
        <v/>
      </c>
      <c r="C26" s="7" t="n"/>
      <c r="D26" s="169">
        <f>F项目收入!D3*G.3销项增值税率!$C3/(1+G.3销项增值税率!$C3)</f>
        <v/>
      </c>
      <c r="E26" s="169">
        <f>F项目收入!E3*G.3销项增值税率!$C3/(1+G.3销项增值税率!$C3)</f>
        <v/>
      </c>
      <c r="F26" s="169">
        <f>F项目收入!F3*G.3销项增值税率!$C3/(1+G.3销项增值税率!$C3)</f>
        <v/>
      </c>
      <c r="G26" s="169">
        <f>F项目收入!G3*G.3销项增值税率!$C3/(1+G.3销项增值税率!$C3)</f>
        <v/>
      </c>
      <c r="H26" s="169">
        <f>F项目收入!H3*G.3销项增值税率!$C3/(1+G.3销项增值税率!$C3)</f>
        <v/>
      </c>
      <c r="I26" s="169">
        <f>F项目收入!I3*G.3销项增值税率!$C3/(1+G.3销项增值税率!$C3)</f>
        <v/>
      </c>
      <c r="J26" s="169">
        <f>'F项目收入'!J3*'G.3销项增值税率'!$C3/(1+'G.3销项增值税率'!$C3)</f>
        <v/>
      </c>
      <c r="K26" s="169">
        <f>'F项目收入'!K3*'G.3销项增值税率'!$C3/(1+'G.3销项增值税率'!$C3)</f>
        <v/>
      </c>
      <c r="L26" s="169">
        <f>'F项目收入'!L3*'G.3销项增值税率'!$C3/(1+'G.3销项增值税率'!$C3)</f>
        <v/>
      </c>
      <c r="M26" s="169">
        <f>'F项目收入'!M3*'G.3销项增值税率'!$C3/(1+'G.3销项增值税率'!$C3)</f>
        <v/>
      </c>
      <c r="N26" s="169">
        <f>'F项目收入'!N3*'G.3销项增值税率'!$C3/(1+'G.3销项增值税率'!$C3)</f>
        <v/>
      </c>
      <c r="O26" s="169">
        <f>'F项目收入'!O3*'G.3销项增值税率'!$C3/(1+'G.3销项增值税率'!$C3)</f>
        <v/>
      </c>
      <c r="P26" s="169">
        <f>'F项目收入'!P3*'G.3销项增值税率'!$C3/(1+'G.3销项增值税率'!$C3)</f>
        <v/>
      </c>
      <c r="Q26" s="169">
        <f>'F项目收入'!Q3*'G.3销项增值税率'!$C3/(1+'G.3销项增值税率'!$C3)</f>
        <v/>
      </c>
      <c r="R26" s="169">
        <f>'F项目收入'!R3*'G.3销项增值税率'!$C3/(1+'G.3销项增值税率'!$C3)</f>
        <v/>
      </c>
      <c r="S26" s="169">
        <f>'F项目收入'!S3*'G.3销项增值税率'!$C3/(1+'G.3销项增值税率'!$C3)</f>
        <v/>
      </c>
      <c r="T26" s="169">
        <f>'F项目收入'!T3*'G.3销项增值税率'!$C3/(1+'G.3销项增值税率'!$C3)</f>
        <v/>
      </c>
      <c r="U26" s="169">
        <f>'F项目收入'!U3*'G.3销项增值税率'!$C3/(1+'G.3销项增值税率'!$C3)</f>
        <v/>
      </c>
      <c r="V26" s="169">
        <f>'F项目收入'!V3*'G.3销项增值税率'!$C3/(1+'G.3销项增值税率'!$C3)</f>
        <v/>
      </c>
      <c r="W26" s="169">
        <f>'F项目收入'!W3*'G.3销项增值税率'!$C3/(1+'G.3销项增值税率'!$C3)</f>
        <v/>
      </c>
      <c r="X26" s="169">
        <f>'F项目收入'!X3*'G.3销项增值税率'!$C3/(1+'G.3销项增值税率'!$C3)</f>
        <v/>
      </c>
      <c r="Y26" s="169">
        <f>'F项目收入'!Y3*'G.3销项增值税率'!$C3/(1+'G.3销项增值税率'!$C3)</f>
        <v/>
      </c>
      <c r="Z26" s="169">
        <f>'F项目收入'!Z3*'G.3销项增值税率'!$C3/(1+'G.3销项增值税率'!$C3)</f>
        <v/>
      </c>
    </row>
    <row r="27" ht="16.5" customHeight="1" s="162">
      <c r="A27" s="7" t="n"/>
      <c r="B27" s="84">
        <f>F项目收入!B5</f>
        <v/>
      </c>
      <c r="C27" s="7" t="n"/>
      <c r="D27" s="169">
        <f>F项目收入!D5*G.3销项增值税率!$C4/(1+G.3销项增值税率!$C4)</f>
        <v/>
      </c>
      <c r="E27" s="169">
        <f>F项目收入!E5*G.3销项增值税率!$C4/(1+G.3销项增值税率!$C4)</f>
        <v/>
      </c>
      <c r="F27" s="169">
        <f>F项目收入!F5*G.3销项增值税率!$C4/(1+G.3销项增值税率!$C4)</f>
        <v/>
      </c>
      <c r="G27" s="169">
        <f>F项目收入!G5*G.3销项增值税率!$C4/(1+G.3销项增值税率!$C4)</f>
        <v/>
      </c>
      <c r="H27" s="169">
        <f>F项目收入!H5*G.3销项增值税率!$C4/(1+G.3销项增值税率!$C4)</f>
        <v/>
      </c>
      <c r="I27" s="169">
        <f>F项目收入!I5*G.3销项增值税率!$C4/(1+G.3销项增值税率!$C4)</f>
        <v/>
      </c>
      <c r="J27" s="169">
        <f>'F项目收入'!J5*'G.3销项增值税率'!$C4/(1+'G.3销项增值税率'!$C4)</f>
        <v/>
      </c>
      <c r="K27" s="169">
        <f>'F项目收入'!K5*'G.3销项增值税率'!$C4/(1+'G.3销项增值税率'!$C4)</f>
        <v/>
      </c>
      <c r="L27" s="169">
        <f>'F项目收入'!L5*'G.3销项增值税率'!$C4/(1+'G.3销项增值税率'!$C4)</f>
        <v/>
      </c>
      <c r="M27" s="169">
        <f>'F项目收入'!M5*'G.3销项增值税率'!$C4/(1+'G.3销项增值税率'!$C4)</f>
        <v/>
      </c>
      <c r="N27" s="169">
        <f>'F项目收入'!N5*'G.3销项增值税率'!$C4/(1+'G.3销项增值税率'!$C4)</f>
        <v/>
      </c>
      <c r="O27" s="169">
        <f>'F项目收入'!O5*'G.3销项增值税率'!$C4/(1+'G.3销项增值税率'!$C4)</f>
        <v/>
      </c>
      <c r="P27" s="169">
        <f>'F项目收入'!P5*'G.3销项增值税率'!$C4/(1+'G.3销项增值税率'!$C4)</f>
        <v/>
      </c>
      <c r="Q27" s="169">
        <f>'F项目收入'!Q5*'G.3销项增值税率'!$C4/(1+'G.3销项增值税率'!$C4)</f>
        <v/>
      </c>
      <c r="R27" s="169">
        <f>'F项目收入'!R5*'G.3销项增值税率'!$C4/(1+'G.3销项增值税率'!$C4)</f>
        <v/>
      </c>
      <c r="S27" s="169">
        <f>'F项目收入'!S5*'G.3销项增值税率'!$C4/(1+'G.3销项增值税率'!$C4)</f>
        <v/>
      </c>
      <c r="T27" s="169">
        <f>'F项目收入'!T5*'G.3销项增值税率'!$C4/(1+'G.3销项增值税率'!$C4)</f>
        <v/>
      </c>
      <c r="U27" s="169">
        <f>'F项目收入'!U5*'G.3销项增值税率'!$C4/(1+'G.3销项增值税率'!$C4)</f>
        <v/>
      </c>
      <c r="V27" s="169">
        <f>'F项目收入'!V5*'G.3销项增值税率'!$C4/(1+'G.3销项增值税率'!$C4)</f>
        <v/>
      </c>
      <c r="W27" s="169">
        <f>'F项目收入'!W5*'G.3销项增值税率'!$C4/(1+'G.3销项增值税率'!$C4)</f>
        <v/>
      </c>
      <c r="X27" s="169">
        <f>'F项目收入'!X5*'G.3销项增值税率'!$C4/(1+'G.3销项增值税率'!$C4)</f>
        <v/>
      </c>
      <c r="Y27" s="169">
        <f>'F项目收入'!Y5*'G.3销项增值税率'!$C4/(1+'G.3销项增值税率'!$C4)</f>
        <v/>
      </c>
      <c r="Z27" s="169">
        <f>'F项目收入'!Z5*'G.3销项增值税率'!$C4/(1+'G.3销项增值税率'!$C4)</f>
        <v/>
      </c>
    </row>
    <row r="28" ht="16.5" customHeight="1" s="162">
      <c r="A28" s="7" t="n"/>
      <c r="B28" s="84">
        <f>F项目收入!B7</f>
        <v/>
      </c>
      <c r="C28" s="7" t="n"/>
      <c r="D28" s="169">
        <f>F项目收入!D7*G.3销项增值税率!$C5/(1+G.3销项增值税率!$C5)</f>
        <v/>
      </c>
      <c r="E28" s="169">
        <f>F项目收入!E7*G.3销项增值税率!$C5/(1+G.3销项增值税率!$C5)</f>
        <v/>
      </c>
      <c r="F28" s="169">
        <f>F项目收入!F7*G.3销项增值税率!$C5/(1+G.3销项增值税率!$C5)</f>
        <v/>
      </c>
      <c r="G28" s="169">
        <f>F项目收入!G7*G.3销项增值税率!$C5/(1+G.3销项增值税率!$C5)</f>
        <v/>
      </c>
      <c r="H28" s="169">
        <f>F项目收入!H7*G.3销项增值税率!$C5/(1+G.3销项增值税率!$C5)</f>
        <v/>
      </c>
      <c r="I28" s="169">
        <f>F项目收入!I7*G.3销项增值税率!$C5/(1+G.3销项增值税率!$C5)</f>
        <v/>
      </c>
      <c r="J28" s="169">
        <f>'F项目收入'!J7*'G.3销项增值税率'!$C5/(1+'G.3销项增值税率'!$C5)</f>
        <v/>
      </c>
      <c r="K28" s="169">
        <f>'F项目收入'!K7*'G.3销项增值税率'!$C5/(1+'G.3销项增值税率'!$C5)</f>
        <v/>
      </c>
      <c r="L28" s="169">
        <f>'F项目收入'!L7*'G.3销项增值税率'!$C5/(1+'G.3销项增值税率'!$C5)</f>
        <v/>
      </c>
      <c r="M28" s="169">
        <f>'F项目收入'!M7*'G.3销项增值税率'!$C5/(1+'G.3销项增值税率'!$C5)</f>
        <v/>
      </c>
      <c r="N28" s="169">
        <f>'F项目收入'!N7*'G.3销项增值税率'!$C5/(1+'G.3销项增值税率'!$C5)</f>
        <v/>
      </c>
      <c r="O28" s="169">
        <f>'F项目收入'!O7*'G.3销项增值税率'!$C5/(1+'G.3销项增值税率'!$C5)</f>
        <v/>
      </c>
      <c r="P28" s="169">
        <f>'F项目收入'!P7*'G.3销项增值税率'!$C5/(1+'G.3销项增值税率'!$C5)</f>
        <v/>
      </c>
      <c r="Q28" s="169">
        <f>'F项目收入'!Q7*'G.3销项增值税率'!$C5/(1+'G.3销项增值税率'!$C5)</f>
        <v/>
      </c>
      <c r="R28" s="169">
        <f>'F项目收入'!R7*'G.3销项增值税率'!$C5/(1+'G.3销项增值税率'!$C5)</f>
        <v/>
      </c>
      <c r="S28" s="169">
        <f>'F项目收入'!S7*'G.3销项增值税率'!$C5/(1+'G.3销项增值税率'!$C5)</f>
        <v/>
      </c>
      <c r="T28" s="169">
        <f>'F项目收入'!T7*'G.3销项增值税率'!$C5/(1+'G.3销项增值税率'!$C5)</f>
        <v/>
      </c>
      <c r="U28" s="169">
        <f>'F项目收入'!U7*'G.3销项增值税率'!$C5/(1+'G.3销项增值税率'!$C5)</f>
        <v/>
      </c>
      <c r="V28" s="169">
        <f>'F项目收入'!V7*'G.3销项增值税率'!$C5/(1+'G.3销项增值税率'!$C5)</f>
        <v/>
      </c>
      <c r="W28" s="169">
        <f>'F项目收入'!W7*'G.3销项增值税率'!$C5/(1+'G.3销项增值税率'!$C5)</f>
        <v/>
      </c>
      <c r="X28" s="169">
        <f>'F项目收入'!X7*'G.3销项增值税率'!$C5/(1+'G.3销项增值税率'!$C5)</f>
        <v/>
      </c>
      <c r="Y28" s="169">
        <f>'F项目收入'!Y7*'G.3销项增值税率'!$C5/(1+'G.3销项增值税率'!$C5)</f>
        <v/>
      </c>
      <c r="Z28" s="169">
        <f>'F项目收入'!Z7*'G.3销项增值税率'!$C5/(1+'G.3销项增值税率'!$C5)</f>
        <v/>
      </c>
    </row>
    <row r="29" ht="16.5" customHeight="1" s="162">
      <c r="A29" s="7" t="n">
        <v>3</v>
      </c>
      <c r="B29" s="92" t="inlineStr">
        <is>
          <t>当期应缴增值税</t>
        </is>
      </c>
      <c r="C29" s="7" t="n"/>
      <c r="D29" s="92" t="n">
        <v>0</v>
      </c>
      <c r="E29" s="178">
        <f>(MAX(E25-E4-E3,0))</f>
        <v/>
      </c>
      <c r="F29" s="178">
        <f>(MAX(F25-F4-F3,0))</f>
        <v/>
      </c>
      <c r="G29" s="178">
        <f>(MAX(G25-G4-G3,0))</f>
        <v/>
      </c>
      <c r="H29" s="178">
        <f>(MAX(H25-H4-H3,0))</f>
        <v/>
      </c>
      <c r="I29" s="178">
        <f>MAX(I25-I4-I3,0)</f>
        <v/>
      </c>
      <c r="J29" s="178">
        <f>MAX(J25-J4-J3,0)</f>
        <v/>
      </c>
      <c r="K29" s="178">
        <f>MAX(K25-K4-K3,0)</f>
        <v/>
      </c>
      <c r="L29" s="178">
        <f>MAX(L25-L4-L3,0)</f>
        <v/>
      </c>
      <c r="M29" s="178">
        <f>MAX(M25-M4-M3,0)</f>
        <v/>
      </c>
      <c r="N29" s="178">
        <f>MAX(N25-N4-N3,0)</f>
        <v/>
      </c>
      <c r="O29" s="178">
        <f>MAX(O25-O4-O3,0)</f>
        <v/>
      </c>
      <c r="P29" s="178">
        <f>MAX(P25-P4-P3,0)</f>
        <v/>
      </c>
      <c r="Q29" s="178">
        <f>MAX(Q25-Q4-Q3,0)</f>
        <v/>
      </c>
      <c r="R29" s="178">
        <f>MAX(R25-R4-R3,0)</f>
        <v/>
      </c>
      <c r="S29" s="178">
        <f>MAX(S25-S4-S3,0)</f>
        <v/>
      </c>
      <c r="T29" s="178">
        <f>MAX(T25-T4-T3,0)</f>
        <v/>
      </c>
      <c r="U29" s="178">
        <f>MAX(U25-U4-U3,0)</f>
        <v/>
      </c>
      <c r="V29" s="178">
        <f>MAX(V25-V4-V3,0)</f>
        <v/>
      </c>
      <c r="W29" s="178">
        <f>MAX(W25-W4-W3,0)</f>
        <v/>
      </c>
      <c r="X29" s="178">
        <f>MAX(X25-X4-X3,0)</f>
        <v/>
      </c>
      <c r="Y29" s="178">
        <f>MAX(Y25-Y4-Y3,0)</f>
        <v/>
      </c>
      <c r="Z29" s="178">
        <f>MAX(Z25-Z4-Z3,0)</f>
        <v/>
      </c>
    </row>
    <row r="30" ht="16.5" customHeight="1" s="162">
      <c r="A30" s="7" t="n">
        <v>4</v>
      </c>
      <c r="B30" s="92" t="inlineStr">
        <is>
          <t>城建税及教育费附加</t>
        </is>
      </c>
      <c r="C30" s="7" t="n"/>
      <c r="D30" s="92" t="n">
        <v>0</v>
      </c>
      <c r="E30" s="178">
        <f>(E29*(A财务假设!$D$6+A财务假设!$D$7+A财务假设!$D$8))</f>
        <v/>
      </c>
      <c r="F30" s="178">
        <f>(F29*(A财务假设!$D$6+A财务假设!$D$7+A财务假设!$D$8))</f>
        <v/>
      </c>
      <c r="G30" s="178">
        <f>(G29*(A财务假设!$D$6+A财务假设!$D$7+A财务假设!$D$8))</f>
        <v/>
      </c>
      <c r="H30" s="178">
        <f>(H29*(A财务假设!$D$6+A财务假设!$D$7+A财务假设!$D$8))</f>
        <v/>
      </c>
      <c r="I30" s="178">
        <f>I29*(A财务假设!$D$6+A财务假设!$D$7+A财务假设!$D$8)</f>
        <v/>
      </c>
      <c r="J30" s="178">
        <f>J29*('A财务假设'!$D$6+'A财务假设'!$D$7+'A财务假设'!$D$8)</f>
        <v/>
      </c>
      <c r="K30" s="178">
        <f>K29*('A财务假设'!$D$6+'A财务假设'!$D$7+'A财务假设'!$D$8)</f>
        <v/>
      </c>
      <c r="L30" s="178">
        <f>L29*('A财务假设'!$D$6+'A财务假设'!$D$7+'A财务假设'!$D$8)</f>
        <v/>
      </c>
      <c r="M30" s="178">
        <f>M29*('A财务假设'!$D$6+'A财务假设'!$D$7+'A财务假设'!$D$8)</f>
        <v/>
      </c>
      <c r="N30" s="178">
        <f>N29*('A财务假设'!$D$6+'A财务假设'!$D$7+'A财务假设'!$D$8)</f>
        <v/>
      </c>
      <c r="O30" s="178">
        <f>O29*('A财务假设'!$D$6+'A财务假设'!$D$7+'A财务假设'!$D$8)</f>
        <v/>
      </c>
      <c r="P30" s="178">
        <f>P29*('A财务假设'!$D$6+'A财务假设'!$D$7+'A财务假设'!$D$8)</f>
        <v/>
      </c>
      <c r="Q30" s="178">
        <f>Q29*('A财务假设'!$D$6+'A财务假设'!$D$7+'A财务假设'!$D$8)</f>
        <v/>
      </c>
      <c r="R30" s="178">
        <f>R29*('A财务假设'!$D$6+'A财务假设'!$D$7+'A财务假设'!$D$8)</f>
        <v/>
      </c>
      <c r="S30" s="178">
        <f>S29*('A财务假设'!$D$6+'A财务假设'!$D$7+'A财务假设'!$D$8)</f>
        <v/>
      </c>
      <c r="T30" s="178">
        <f>T29*('A财务假设'!$D$6+'A财务假设'!$D$7+'A财务假设'!$D$8)</f>
        <v/>
      </c>
      <c r="U30" s="178">
        <f>U29*('A财务假设'!$D$6+'A财务假设'!$D$7+'A财务假设'!$D$8)</f>
        <v/>
      </c>
      <c r="V30" s="178">
        <f>V29*('A财务假设'!$D$6+'A财务假设'!$D$7+'A财务假设'!$D$8)</f>
        <v/>
      </c>
      <c r="W30" s="178">
        <f>W29*('A财务假设'!$D$6+'A财务假设'!$D$7+'A财务假设'!$D$8)</f>
        <v/>
      </c>
      <c r="X30" s="178">
        <f>X29*('A财务假设'!$D$6+'A财务假设'!$D$7+'A财务假设'!$D$8)</f>
        <v/>
      </c>
      <c r="Y30" s="178">
        <f>Y29*('A财务假设'!$D$6+'A财务假设'!$D$7+'A财务假设'!$D$8)</f>
        <v/>
      </c>
      <c r="Z30" s="178">
        <f>Z29*('A财务假设'!$D$6+'A财务假设'!$D$7+'A财务假设'!$D$8)</f>
        <v/>
      </c>
    </row>
    <row r="31" ht="16.5" customHeight="1" s="162">
      <c r="A31" s="7" t="n"/>
      <c r="B31" s="7" t="inlineStr">
        <is>
          <t>合计</t>
        </is>
      </c>
      <c r="C31" s="7" t="n"/>
      <c r="D31" s="92">
        <f>(D29+D29)</f>
        <v/>
      </c>
      <c r="E31" s="171">
        <f>(E29+E29)</f>
        <v/>
      </c>
      <c r="F31" s="171">
        <f>(F29+F29)</f>
        <v/>
      </c>
      <c r="G31" s="171">
        <f>(G29+G29)</f>
        <v/>
      </c>
      <c r="H31" s="171">
        <f>(H29+H29)</f>
        <v/>
      </c>
      <c r="I31" s="171">
        <f>I30+I29</f>
        <v/>
      </c>
      <c r="J31" s="171">
        <f>J30+J29</f>
        <v/>
      </c>
      <c r="K31" s="171">
        <f>K30+K29</f>
        <v/>
      </c>
      <c r="L31" s="171">
        <f>L30+L29</f>
        <v/>
      </c>
      <c r="M31" s="171">
        <f>M30+M29</f>
        <v/>
      </c>
      <c r="N31" s="171">
        <f>N30+N29</f>
        <v/>
      </c>
      <c r="O31" s="171">
        <f>O30+O29</f>
        <v/>
      </c>
      <c r="P31" s="171">
        <f>P30+P29</f>
        <v/>
      </c>
      <c r="Q31" s="171">
        <f>Q30+Q29</f>
        <v/>
      </c>
      <c r="R31" s="171">
        <f>R30+R29</f>
        <v/>
      </c>
      <c r="S31" s="171">
        <f>S30+S29</f>
        <v/>
      </c>
      <c r="T31" s="171">
        <f>T30+T29</f>
        <v/>
      </c>
      <c r="U31" s="171">
        <f>U30+U29</f>
        <v/>
      </c>
      <c r="V31" s="171">
        <f>V30+V29</f>
        <v/>
      </c>
      <c r="W31" s="171">
        <f>W30+W29</f>
        <v/>
      </c>
      <c r="X31" s="171">
        <f>X30+X29</f>
        <v/>
      </c>
      <c r="Y31" s="171">
        <f>Y30+Y29</f>
        <v/>
      </c>
      <c r="Z31" s="171">
        <f>Z30+Z29</f>
        <v/>
      </c>
    </row>
    <row r="32">
      <c r="J32" s="45" t="n"/>
    </row>
  </sheetData>
  <mergeCells count="1">
    <mergeCell ref="A1:I1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>
  <sheetPr codeName="Sheet16">
    <tabColor rgb="FFFFFF00"/>
    <outlinePr summaryBelow="1" summaryRight="1"/>
    <pageSetUpPr/>
  </sheetPr>
  <dimension ref="A1:G21"/>
  <sheetViews>
    <sheetView zoomScale="70" zoomScaleNormal="70" workbookViewId="0">
      <selection activeCell="H22" sqref="H22"/>
    </sheetView>
  </sheetViews>
  <sheetFormatPr baseColWidth="8" defaultColWidth="8.890909090909091" defaultRowHeight="28.05" customHeight="1"/>
  <cols>
    <col width="8.890909090909091" customWidth="1" style="53" min="1" max="1"/>
    <col width="17.6636363636364" customWidth="1" style="53" min="2" max="2"/>
    <col width="37.5545454545455" customWidth="1" style="53" min="3" max="3"/>
    <col width="15.1090909090909" customWidth="1" style="53" min="4" max="4"/>
    <col width="10.4454545454545" customWidth="1" style="53" min="5" max="5"/>
    <col width="14.8909090909091" customWidth="1" style="53" min="6" max="6"/>
    <col width="8.890909090909091" customWidth="1" style="53" min="7" max="16384"/>
  </cols>
  <sheetData>
    <row r="1" s="162">
      <c r="A1" s="40" t="inlineStr">
        <is>
          <t>G.1进项增值税率-建设投资</t>
        </is>
      </c>
      <c r="B1" s="167" t="n"/>
      <c r="C1" s="167" t="n"/>
      <c r="D1" s="167" t="n"/>
      <c r="E1" s="167" t="n"/>
      <c r="F1" s="168" t="n"/>
      <c r="G1" s="80" t="inlineStr">
        <is>
          <t>行分项跟随D.3修改</t>
        </is>
      </c>
    </row>
    <row r="2" s="162">
      <c r="A2" s="2">
        <f>D.3建设投资分年计划表!A2</f>
        <v/>
      </c>
      <c r="B2" s="2">
        <f>D.3建设投资分年计划表!B2</f>
        <v/>
      </c>
      <c r="C2" s="2">
        <f>D.3建设投资分年计划表!C2</f>
        <v/>
      </c>
      <c r="D2" s="2">
        <f>D.3建设投资分年计划表!D2</f>
        <v/>
      </c>
      <c r="E2" s="2" t="inlineStr">
        <is>
          <t>增值税率</t>
        </is>
      </c>
      <c r="F2" s="2" t="inlineStr">
        <is>
          <t>增值税（万元）</t>
        </is>
      </c>
    </row>
    <row r="3" s="162">
      <c r="A3" s="7">
        <f>D.3建设投资分年计划表!A3</f>
        <v/>
      </c>
      <c r="B3" s="7">
        <f>D.3建设投资分年计划表!B3</f>
        <v/>
      </c>
      <c r="C3" s="7">
        <f>IF(D.3建设投资分年计划表!C3=0,"",D.3建设投资分年计划表!C3)</f>
        <v/>
      </c>
      <c r="D3" s="169">
        <f>D.3建设投资分年计划表!D3</f>
        <v/>
      </c>
      <c r="E3" s="7" t="inlineStr">
        <is>
          <t>/</t>
        </is>
      </c>
      <c r="F3" s="177">
        <f>F4+F8</f>
        <v/>
      </c>
    </row>
    <row r="4" s="162">
      <c r="A4" s="7">
        <f>D.3建设投资分年计划表!A4</f>
        <v/>
      </c>
      <c r="B4" s="7">
        <f>D.3建设投资分年计划表!B4</f>
        <v/>
      </c>
      <c r="C4" s="7">
        <f>IF(D.3建设投资分年计划表!C4=0,"",D.3建设投资分年计划表!C4)</f>
        <v/>
      </c>
      <c r="D4" s="169">
        <f>D.3建设投资分年计划表!D4</f>
        <v/>
      </c>
      <c r="E4" s="7" t="inlineStr">
        <is>
          <t>/</t>
        </is>
      </c>
      <c r="F4" s="177">
        <f>SUM(F5:F7)</f>
        <v/>
      </c>
    </row>
    <row r="5" ht="112.95" customHeight="1" s="162">
      <c r="A5" s="7">
        <f>D.3建设投资分年计划表!A5</f>
        <v/>
      </c>
      <c r="B5" s="10">
        <f>D.3建设投资分年计划表!B5</f>
        <v/>
      </c>
      <c r="C5" s="81">
        <f>IF(D.3建设投资分年计划表!C5=0,"",D.3建设投资分年计划表!C5)</f>
        <v/>
      </c>
      <c r="D5" s="169">
        <f>D.3建设投资分年计划表!D5</f>
        <v/>
      </c>
      <c r="E5" s="72" t="n">
        <v>0.09</v>
      </c>
      <c r="F5" s="188">
        <f>D5*E5</f>
        <v/>
      </c>
    </row>
    <row r="6" s="162">
      <c r="A6" s="7">
        <f>D.3建设投资分年计划表!A6</f>
        <v/>
      </c>
      <c r="B6" s="10">
        <f>D.3建设投资分年计划表!B6</f>
        <v/>
      </c>
      <c r="C6" s="7">
        <f>IF(D.3建设投资分年计划表!C6=0,"",D.3建设投资分年计划表!C6)</f>
        <v/>
      </c>
      <c r="D6" s="169">
        <f>D.3建设投资分年计划表!D6</f>
        <v/>
      </c>
      <c r="E6" s="72" t="n">
        <v>0.13</v>
      </c>
      <c r="F6" s="177">
        <f>D6*E6</f>
        <v/>
      </c>
    </row>
    <row r="7" ht="64.05" customHeight="1" s="162">
      <c r="A7" s="7">
        <f>D.3建设投资分年计划表!A7</f>
        <v/>
      </c>
      <c r="B7" s="10">
        <f>D.3建设投资分年计划表!B7</f>
        <v/>
      </c>
      <c r="C7" s="81">
        <f>IF(D.3建设投资分年计划表!C7=0,"",D.3建设投资分年计划表!C7)</f>
        <v/>
      </c>
      <c r="D7" s="169">
        <f>D.3建设投资分年计划表!D7</f>
        <v/>
      </c>
      <c r="E7" s="72" t="n">
        <v>0.09</v>
      </c>
      <c r="F7" s="177">
        <f>D7*E7</f>
        <v/>
      </c>
    </row>
    <row r="8" s="162">
      <c r="A8" s="7">
        <f>D.3建设投资分年计划表!A8</f>
        <v/>
      </c>
      <c r="B8" s="7">
        <f>D.3建设投资分年计划表!B8</f>
        <v/>
      </c>
      <c r="C8" s="7">
        <f>IF(D.3建设投资分年计划表!C8=0,"",D.3建设投资分年计划表!C8)</f>
        <v/>
      </c>
      <c r="D8" s="169">
        <f>D.3建设投资分年计划表!D8</f>
        <v/>
      </c>
      <c r="E8" s="7" t="inlineStr">
        <is>
          <t>/</t>
        </is>
      </c>
      <c r="F8" s="177">
        <f>SUM(F9:F12)</f>
        <v/>
      </c>
    </row>
    <row r="9" s="162">
      <c r="A9" s="7">
        <f>D.3建设投资分年计划表!A9</f>
        <v/>
      </c>
      <c r="B9" s="10">
        <f>D.3建设投资分年计划表!B9</f>
        <v/>
      </c>
      <c r="C9" s="7">
        <f>IF(D.3建设投资分年计划表!C9=0,"",D.3建设投资分年计划表!C9)</f>
        <v/>
      </c>
      <c r="D9" s="169">
        <f>D.3建设投资分年计划表!D9</f>
        <v/>
      </c>
      <c r="E9" s="72" t="n">
        <v>0.13</v>
      </c>
      <c r="F9" s="177">
        <f>D9*E9</f>
        <v/>
      </c>
    </row>
    <row r="10" s="162">
      <c r="A10" s="7">
        <f>D.3建设投资分年计划表!A10</f>
        <v/>
      </c>
      <c r="B10" s="10">
        <f>D.3建设投资分年计划表!B10</f>
        <v/>
      </c>
      <c r="C10" s="7">
        <f>IF(D.3建设投资分年计划表!C10=0,"",D.3建设投资分年计划表!C10)</f>
        <v/>
      </c>
      <c r="D10" s="169">
        <f>D.3建设投资分年计划表!D10</f>
        <v/>
      </c>
      <c r="E10" s="72" t="n">
        <v>0.06</v>
      </c>
      <c r="F10" s="177">
        <f>D10*E10</f>
        <v/>
      </c>
    </row>
    <row r="11" s="162">
      <c r="A11" s="7">
        <f>D.3建设投资分年计划表!A11</f>
        <v/>
      </c>
      <c r="B11" s="10">
        <f>D.3建设投资分年计划表!B11</f>
        <v/>
      </c>
      <c r="C11" s="7">
        <f>IF(D.3建设投资分年计划表!C11=0,"",D.3建设投资分年计划表!C11)</f>
        <v/>
      </c>
      <c r="D11" s="169">
        <f>D.3建设投资分年计划表!D11</f>
        <v/>
      </c>
      <c r="E11" s="72" t="n">
        <v>0.13</v>
      </c>
      <c r="F11" s="177">
        <f>D11*E11</f>
        <v/>
      </c>
    </row>
    <row r="12" s="162">
      <c r="A12" s="7">
        <f>D.3建设投资分年计划表!A12</f>
        <v/>
      </c>
      <c r="B12" s="10">
        <f>D.3建设投资分年计划表!B12</f>
        <v/>
      </c>
      <c r="C12" s="7">
        <f>IF(D.3建设投资分年计划表!C12=0,"",D.3建设投资分年计划表!C12)</f>
        <v/>
      </c>
      <c r="D12" s="169">
        <f>D.3建设投资分年计划表!D12</f>
        <v/>
      </c>
      <c r="E12" s="72" t="n">
        <v>0.06</v>
      </c>
      <c r="F12" s="177">
        <f>D12*E12</f>
        <v/>
      </c>
    </row>
    <row r="13" s="162">
      <c r="A13" s="7">
        <f>D.3建设投资分年计划表!A13</f>
        <v/>
      </c>
      <c r="B13" s="7">
        <f>D.3建设投资分年计划表!B13</f>
        <v/>
      </c>
      <c r="C13" s="7">
        <f>IF(D.3建设投资分年计划表!C13=0,"",D.3建设投资分年计划表!C13)</f>
        <v/>
      </c>
      <c r="D13" s="169">
        <f>D.3建设投资分年计划表!D13</f>
        <v/>
      </c>
      <c r="E13" s="7" t="inlineStr">
        <is>
          <t>/</t>
        </is>
      </c>
      <c r="F13" s="177">
        <f>SUM(F14:F18)</f>
        <v/>
      </c>
    </row>
    <row r="14" s="162">
      <c r="A14" s="7">
        <f>D.3建设投资分年计划表!A14</f>
        <v/>
      </c>
      <c r="B14" s="10">
        <f>D.3建设投资分年计划表!B14</f>
        <v/>
      </c>
      <c r="C14" s="7">
        <f>IF(D.3建设投资分年计划表!C14=0,"",D.3建设投资分年计划表!C14)</f>
        <v/>
      </c>
      <c r="D14" s="169">
        <f>D.3建设投资分年计划表!D14</f>
        <v/>
      </c>
      <c r="E14" s="72" t="n">
        <v>0.06</v>
      </c>
      <c r="F14" s="177">
        <f>D14*E14</f>
        <v/>
      </c>
    </row>
    <row r="15" s="162">
      <c r="A15" s="7">
        <f>D.3建设投资分年计划表!A15</f>
        <v/>
      </c>
      <c r="B15" s="10">
        <f>D.3建设投资分年计划表!B15</f>
        <v/>
      </c>
      <c r="C15" s="7">
        <f>IF(D.3建设投资分年计划表!C15=0,"",D.3建设投资分年计划表!C15)</f>
        <v/>
      </c>
      <c r="D15" s="169">
        <f>D.3建设投资分年计划表!D15</f>
        <v/>
      </c>
      <c r="E15" s="72" t="n">
        <v>0.06</v>
      </c>
      <c r="F15" s="177">
        <f>D15*E15</f>
        <v/>
      </c>
    </row>
    <row r="16" s="162">
      <c r="A16" s="7">
        <f>D.3建设投资分年计划表!A16</f>
        <v/>
      </c>
      <c r="B16" s="10">
        <f>D.3建设投资分年计划表!B16</f>
        <v/>
      </c>
      <c r="C16" s="7">
        <f>IF(D.3建设投资分年计划表!C16=0,"",D.3建设投资分年计划表!C16)</f>
        <v/>
      </c>
      <c r="D16" s="169">
        <f>D.3建设投资分年计划表!D16</f>
        <v/>
      </c>
      <c r="E16" s="72" t="n">
        <v>0.06</v>
      </c>
      <c r="F16" s="177">
        <f>D16*E16</f>
        <v/>
      </c>
    </row>
    <row r="17" s="162">
      <c r="A17" s="7">
        <f>D.3建设投资分年计划表!A17</f>
        <v/>
      </c>
      <c r="B17" s="10">
        <f>D.3建设投资分年计划表!B17</f>
        <v/>
      </c>
      <c r="C17" s="7">
        <f>IF(D.3建设投资分年计划表!C17=0,"",D.3建设投资分年计划表!C17)</f>
        <v/>
      </c>
      <c r="D17" s="169">
        <f>D.3建设投资分年计划表!D17</f>
        <v/>
      </c>
      <c r="E17" s="72" t="n">
        <v>0.06</v>
      </c>
      <c r="F17" s="177">
        <f>D17*E17</f>
        <v/>
      </c>
    </row>
    <row r="18" s="162">
      <c r="A18" s="7">
        <f>D.3建设投资分年计划表!A18</f>
        <v/>
      </c>
      <c r="B18" s="10">
        <f>D.3建设投资分年计划表!B18</f>
        <v/>
      </c>
      <c r="C18" s="7">
        <f>IF(D.3建设投资分年计划表!C18=0,"",D.3建设投资分年计划表!C18)</f>
        <v/>
      </c>
      <c r="D18" s="169">
        <f>D.3建设投资分年计划表!D18</f>
        <v/>
      </c>
      <c r="E18" s="72" t="n">
        <v>0.06</v>
      </c>
      <c r="F18" s="177">
        <f>D18*E18</f>
        <v/>
      </c>
    </row>
    <row r="19" s="162">
      <c r="A19" s="7">
        <f>D.3建设投资分年计划表!A19</f>
        <v/>
      </c>
      <c r="B19" s="7">
        <f>D.3建设投资分年计划表!B19</f>
        <v/>
      </c>
      <c r="C19" s="7">
        <f>IF(D.3建设投资分年计划表!C19=0,"",D.3建设投资分年计划表!C19)</f>
        <v/>
      </c>
      <c r="D19" s="169">
        <f>D.3建设投资分年计划表!D19</f>
        <v/>
      </c>
      <c r="E19" s="7" t="inlineStr">
        <is>
          <t>/</t>
        </is>
      </c>
      <c r="F19" s="177">
        <f>F20</f>
        <v/>
      </c>
    </row>
    <row r="20" s="162">
      <c r="A20" s="7">
        <f>D.3建设投资分年计划表!A20</f>
        <v/>
      </c>
      <c r="B20" s="7">
        <f>D.3建设投资分年计划表!B20</f>
        <v/>
      </c>
      <c r="C20" s="7">
        <f>IF(D.3建设投资分年计划表!C20=0,"",D.3建设投资分年计划表!C20)</f>
        <v/>
      </c>
      <c r="D20" s="169">
        <f>D.3建设投资分年计划表!D20</f>
        <v/>
      </c>
      <c r="E20" s="72" t="n">
        <v>0</v>
      </c>
      <c r="F20" s="177">
        <f>D20*E20</f>
        <v/>
      </c>
    </row>
    <row r="21" s="162">
      <c r="A21" s="7" t="n"/>
      <c r="B21" s="7" t="inlineStr">
        <is>
          <t>进项税总计-建设投资</t>
        </is>
      </c>
      <c r="C21" s="168" t="n"/>
      <c r="D21" s="7" t="n"/>
      <c r="E21" s="7" t="n"/>
      <c r="F21" s="177">
        <f>F3+F13+F19</f>
        <v/>
      </c>
    </row>
  </sheetData>
  <mergeCells count="2">
    <mergeCell ref="B21:C21"/>
    <mergeCell ref="A1:F1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>
  <sheetPr codeName="Sheet17">
    <tabColor rgb="FFFFFF00"/>
    <outlinePr summaryBelow="1" summaryRight="1"/>
    <pageSetUpPr/>
  </sheetPr>
  <dimension ref="A1:D22"/>
  <sheetViews>
    <sheetView zoomScale="70" zoomScaleNormal="70" workbookViewId="0">
      <selection activeCell="E11" sqref="E11"/>
    </sheetView>
  </sheetViews>
  <sheetFormatPr baseColWidth="8" defaultColWidth="8.890909090909091" defaultRowHeight="28.05" customHeight="1"/>
  <cols>
    <col width="67.5545454545454" customWidth="1" style="162" min="2" max="2"/>
    <col width="20.3363636363636" customWidth="1" style="162" min="3" max="3"/>
    <col width="14.3363636363636" customWidth="1" style="162" min="4" max="4"/>
  </cols>
  <sheetData>
    <row r="1" ht="31.8" customHeight="1" s="162">
      <c r="A1" s="71" t="inlineStr">
        <is>
          <t>G.2进项增值税率-运营成本</t>
        </is>
      </c>
      <c r="B1" s="167" t="n"/>
      <c r="C1" s="168" t="n"/>
      <c r="D1" s="28" t="inlineStr">
        <is>
          <t>行分项跟随E.1修改</t>
        </is>
      </c>
    </row>
    <row r="2" s="162">
      <c r="A2" s="2">
        <f>E.1项目运营期费用!B2</f>
        <v/>
      </c>
      <c r="B2" s="2">
        <f>E.1项目运营期费用!C2</f>
        <v/>
      </c>
      <c r="C2" s="2" t="inlineStr">
        <is>
          <t>增值税率</t>
        </is>
      </c>
    </row>
    <row r="3" s="162">
      <c r="A3" s="10">
        <f>E.1项目运营期费用!B4</f>
        <v/>
      </c>
      <c r="B3" s="10">
        <f>E.1项目运营期费用!C4</f>
        <v/>
      </c>
      <c r="C3" s="72" t="n">
        <v>0.09</v>
      </c>
    </row>
    <row r="4" ht="27.6" customHeight="1" s="162">
      <c r="A4" s="10">
        <f>E.1项目运营期费用!B5</f>
        <v/>
      </c>
      <c r="B4" s="10">
        <f>E.1项目运营期费用!C5</f>
        <v/>
      </c>
      <c r="C4" s="72" t="n">
        <v>0.06</v>
      </c>
    </row>
    <row r="5" s="162">
      <c r="A5" s="10">
        <f>E.1项目运营期费用!B6</f>
        <v/>
      </c>
      <c r="B5" s="10">
        <f>E.1项目运营期费用!C6</f>
        <v/>
      </c>
      <c r="C5" s="72" t="n">
        <v>0.06</v>
      </c>
    </row>
    <row r="6" s="162">
      <c r="A6" s="10">
        <f>E.1项目运营期费用!B7</f>
        <v/>
      </c>
      <c r="B6" s="10">
        <f>E.1项目运营期费用!C7</f>
        <v/>
      </c>
      <c r="C6" s="72" t="n">
        <v>0.06</v>
      </c>
    </row>
    <row r="7" s="162">
      <c r="A7" s="10">
        <f>E.1项目运营期费用!B8</f>
        <v/>
      </c>
      <c r="B7" s="10">
        <f>E.1项目运营期费用!C8</f>
        <v/>
      </c>
      <c r="C7" s="72" t="n">
        <v>0.13</v>
      </c>
    </row>
    <row r="8" s="162">
      <c r="A8" s="10">
        <f>E.1项目运营期费用!B9</f>
        <v/>
      </c>
      <c r="B8" s="10">
        <f>E.1项目运营期费用!C9</f>
        <v/>
      </c>
      <c r="C8" s="72" t="n">
        <v>0.13</v>
      </c>
    </row>
    <row r="9" s="162">
      <c r="A9" s="10">
        <f>E.1项目运营期费用!B10</f>
        <v/>
      </c>
      <c r="B9" s="10">
        <f>E.1项目运营期费用!C10</f>
        <v/>
      </c>
      <c r="C9" s="72" t="n">
        <v>0.09</v>
      </c>
      <c r="D9" s="76" t="n"/>
    </row>
    <row r="10" s="162">
      <c r="A10" s="10">
        <f>E.1项目运营期费用!B11</f>
        <v/>
      </c>
      <c r="B10" s="10">
        <f>E.1项目运营期费用!C11</f>
        <v/>
      </c>
      <c r="C10" s="72" t="n">
        <v>0.09</v>
      </c>
    </row>
    <row r="11" s="162">
      <c r="A11" s="10">
        <f>E.1项目运营期费用!B12</f>
        <v/>
      </c>
      <c r="B11" s="10">
        <f>E.1项目运营期费用!C12</f>
        <v/>
      </c>
      <c r="C11" s="72" t="n">
        <v>0.13</v>
      </c>
    </row>
    <row r="12" s="162">
      <c r="A12" s="10">
        <f>E.1项目运营期费用!B13</f>
        <v/>
      </c>
      <c r="B12" s="10">
        <f>E.1项目运营期费用!C13</f>
        <v/>
      </c>
      <c r="C12" s="72" t="n">
        <v>0.13</v>
      </c>
    </row>
    <row r="13" s="162">
      <c r="A13" s="10">
        <f>E.1项目运营期费用!B14</f>
        <v/>
      </c>
      <c r="B13" s="10">
        <f>E.1项目运营期费用!C14</f>
        <v/>
      </c>
      <c r="C13" s="72" t="n">
        <v>0.06</v>
      </c>
    </row>
    <row r="14" s="162">
      <c r="A14" s="10">
        <f>E.1项目运营期费用!B15</f>
        <v/>
      </c>
      <c r="B14" s="10">
        <f>E.1项目运营期费用!C15</f>
        <v/>
      </c>
      <c r="C14" s="72" t="n">
        <v>0.06</v>
      </c>
    </row>
    <row r="15" s="162">
      <c r="A15" s="10">
        <f>E.1项目运营期费用!B16</f>
        <v/>
      </c>
      <c r="B15" s="10">
        <f>E.1项目运营期费用!C16</f>
        <v/>
      </c>
      <c r="C15" s="72" t="n">
        <v>0</v>
      </c>
    </row>
    <row r="16" s="162">
      <c r="A16" s="10">
        <f>E.1项目运营期费用!B17</f>
        <v/>
      </c>
      <c r="B16" s="10">
        <f>E.1项目运营期费用!C17</f>
        <v/>
      </c>
      <c r="C16" s="72" t="n">
        <v>0.06</v>
      </c>
    </row>
    <row r="17" s="162">
      <c r="A17" s="10">
        <f>E.1项目运营期费用!B18</f>
        <v/>
      </c>
      <c r="B17" s="10">
        <f>E.1项目运营期费用!C18</f>
        <v/>
      </c>
      <c r="C17" s="72" t="n">
        <v>0.13</v>
      </c>
    </row>
    <row r="18" s="162">
      <c r="A18" s="10">
        <f>E.1项目运营期费用!B19</f>
        <v/>
      </c>
      <c r="B18" s="10">
        <f>E.1项目运营期费用!C19</f>
        <v/>
      </c>
      <c r="C18" s="72" t="n">
        <v>0</v>
      </c>
    </row>
    <row r="19" s="162">
      <c r="A19" s="10">
        <f>E.1项目运营期费用!B20</f>
        <v/>
      </c>
      <c r="B19" s="10">
        <f>E.1项目运营期费用!C20</f>
        <v/>
      </c>
      <c r="C19" s="72" t="n">
        <v>0.06</v>
      </c>
    </row>
    <row r="20" s="162">
      <c r="A20" s="10">
        <f>E.1项目运营期费用!B21</f>
        <v/>
      </c>
      <c r="B20" s="10">
        <f>E.1项目运营期费用!C21</f>
        <v/>
      </c>
      <c r="C20" s="72" t="n">
        <v>0.06</v>
      </c>
    </row>
    <row r="21" s="162">
      <c r="A21" s="10">
        <f>E.1项目运营期费用!B22</f>
        <v/>
      </c>
      <c r="B21" s="10">
        <f>E.1项目运营期费用!C22</f>
        <v/>
      </c>
      <c r="C21" s="72" t="n">
        <v>0.06</v>
      </c>
    </row>
    <row r="22" s="162">
      <c r="A22" s="10">
        <f>E.1项目运营期费用!B23</f>
        <v/>
      </c>
      <c r="B22" s="10">
        <f>E.1项目运营期费用!C23</f>
        <v/>
      </c>
      <c r="C22" s="72" t="n">
        <v>0</v>
      </c>
    </row>
  </sheetData>
  <mergeCells count="1">
    <mergeCell ref="A1:C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>
  <sheetPr codeName="Sheet18">
    <tabColor rgb="FFFFFF00"/>
    <outlinePr summaryBelow="1" summaryRight="1"/>
    <pageSetUpPr/>
  </sheetPr>
  <dimension ref="A1:D12"/>
  <sheetViews>
    <sheetView workbookViewId="0">
      <selection activeCell="M13" sqref="M13"/>
    </sheetView>
  </sheetViews>
  <sheetFormatPr baseColWidth="8" defaultColWidth="8.890909090909091" defaultRowHeight="28.05" customHeight="1"/>
  <cols>
    <col width="27.4454545454545" customWidth="1" style="162" min="2" max="2"/>
    <col width="14.7818181818182" customWidth="1" style="162" min="3" max="3"/>
  </cols>
  <sheetData>
    <row r="1" ht="20" customHeight="1" s="162">
      <c r="A1" s="71" t="inlineStr">
        <is>
          <t>G.3销项增值税率</t>
        </is>
      </c>
      <c r="B1" s="167" t="n"/>
      <c r="C1" s="168" t="n"/>
      <c r="D1" s="28" t="inlineStr">
        <is>
          <t>行分项跟随F修改</t>
        </is>
      </c>
    </row>
    <row r="2" s="162">
      <c r="A2" s="2" t="inlineStr">
        <is>
          <t>序号</t>
        </is>
      </c>
      <c r="B2" s="2" t="inlineStr">
        <is>
          <t>收入类别</t>
        </is>
      </c>
      <c r="C2" s="2" t="inlineStr">
        <is>
          <t>增值税率</t>
        </is>
      </c>
    </row>
    <row r="3" s="162">
      <c r="A3" s="10" t="n">
        <v>1</v>
      </c>
      <c r="B3" s="10" t="inlineStr">
        <is>
          <t>租赁收入</t>
        </is>
      </c>
      <c r="C3" s="72" t="n">
        <v>0.09</v>
      </c>
    </row>
    <row r="4" s="162">
      <c r="A4" s="10" t="n">
        <v>2</v>
      </c>
      <c r="B4" s="10" t="inlineStr">
        <is>
          <t>停车收入</t>
        </is>
      </c>
      <c r="C4" s="72" t="n">
        <v>0.09</v>
      </c>
    </row>
    <row r="5" s="162">
      <c r="A5" s="10" t="n">
        <v>3</v>
      </c>
      <c r="B5" s="10" t="inlineStr">
        <is>
          <t>充电桩收入</t>
        </is>
      </c>
      <c r="C5" s="72" t="n">
        <v>0.06</v>
      </c>
    </row>
    <row r="6" s="162">
      <c r="A6" s="10" t="n">
        <v>4</v>
      </c>
      <c r="B6" s="10" t="inlineStr">
        <is>
          <t>广告收入</t>
        </is>
      </c>
      <c r="C6" s="72" t="n">
        <v>0.06</v>
      </c>
    </row>
    <row r="7" s="162">
      <c r="A7" s="10" t="n">
        <v>5</v>
      </c>
      <c r="B7" s="10" t="inlineStr">
        <is>
          <t>政务服务收入</t>
        </is>
      </c>
      <c r="C7" s="72" t="n">
        <v>0.06</v>
      </c>
    </row>
    <row r="8" s="162">
      <c r="A8" s="10" t="n">
        <v>6</v>
      </c>
      <c r="B8" s="10" t="inlineStr">
        <is>
          <t>企业服务收入</t>
        </is>
      </c>
      <c r="C8" s="72" t="n">
        <v>0.06</v>
      </c>
    </row>
    <row r="9" s="162">
      <c r="A9" s="10" t="n">
        <v>7</v>
      </c>
      <c r="B9" s="10" t="inlineStr">
        <is>
          <t>文旅服务收入</t>
        </is>
      </c>
      <c r="C9" s="72" t="n">
        <v>0.06</v>
      </c>
    </row>
    <row r="10" s="162">
      <c r="A10" s="10" t="n">
        <v>8</v>
      </c>
      <c r="B10" s="10" t="inlineStr">
        <is>
          <t>飞行服务收入</t>
        </is>
      </c>
      <c r="C10" s="72" t="n">
        <v>0.06</v>
      </c>
    </row>
    <row r="11" s="162">
      <c r="A11" s="10" t="n">
        <v>9</v>
      </c>
      <c r="B11" s="10" t="inlineStr">
        <is>
          <t>数据收入</t>
        </is>
      </c>
      <c r="C11" s="72" t="n">
        <v>0.06</v>
      </c>
    </row>
    <row r="12" s="162">
      <c r="A12" s="10" t="n">
        <v>10</v>
      </c>
      <c r="B12" s="10" t="inlineStr">
        <is>
          <t>产学研成果转化及输入收入</t>
        </is>
      </c>
      <c r="C12" s="72" t="n">
        <v>0.06</v>
      </c>
    </row>
  </sheetData>
  <mergeCells count="1">
    <mergeCell ref="A1:C1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>
  <sheetPr codeName="Sheet20">
    <tabColor rgb="FFFFC000"/>
    <outlinePr summaryBelow="1" summaryRight="1"/>
    <pageSetUpPr/>
  </sheetPr>
  <dimension ref="A1:Z31"/>
  <sheetViews>
    <sheetView zoomScale="75" zoomScaleNormal="75" workbookViewId="0">
      <pane xSplit="3" ySplit="2" topLeftCell="D3" activePane="bottomRight" state="frozen"/>
      <selection activeCell="A1" sqref="A1"/>
      <selection pane="topRight" activeCell="A1" sqref="A1"/>
      <selection pane="bottomLeft" activeCell="A1" sqref="A1"/>
      <selection pane="bottomRight" activeCell="C31" sqref="C31"/>
    </sheetView>
  </sheetViews>
  <sheetFormatPr baseColWidth="8" defaultColWidth="8.890909090909091" defaultRowHeight="14"/>
  <cols>
    <col width="6" customWidth="1" style="162" min="1" max="1"/>
    <col width="35.5545454545455" customWidth="1" style="162" min="2" max="2"/>
    <col width="11.5545454545455" customWidth="1" style="162" min="3" max="3"/>
    <col width="10.2181818181818" customWidth="1" style="162" min="4" max="5"/>
    <col width="11.5545454545455" customWidth="1" style="162" min="6" max="6"/>
    <col width="10.2181818181818" customWidth="1" style="162" min="7" max="9"/>
    <col width="23.8909090909091" customWidth="1" style="162" min="10" max="10"/>
  </cols>
  <sheetData>
    <row r="1" ht="22.5" customHeight="1" s="162">
      <c r="A1" s="62" t="inlineStr">
        <is>
          <t>a.1财务现金流量表（万元）</t>
        </is>
      </c>
      <c r="B1" s="167" t="n"/>
      <c r="C1" s="167" t="n"/>
      <c r="D1" s="167" t="n"/>
      <c r="E1" s="167" t="n"/>
      <c r="F1" s="167" t="n"/>
      <c r="G1" s="167" t="n"/>
      <c r="H1" s="167" t="n"/>
      <c r="I1" s="168" t="n"/>
    </row>
    <row r="2" ht="16.5" customHeight="1" s="162">
      <c r="A2" s="2" t="inlineStr">
        <is>
          <t>序号</t>
        </is>
      </c>
      <c r="B2" s="2" t="inlineStr">
        <is>
          <t>项目</t>
        </is>
      </c>
      <c r="C2" s="2" t="inlineStr">
        <is>
          <t>合计</t>
        </is>
      </c>
      <c r="D2" s="36" t="n">
        <v>2025</v>
      </c>
      <c r="E2" s="36" t="n">
        <v>2026</v>
      </c>
      <c r="F2" s="36" t="n">
        <v>2027</v>
      </c>
      <c r="G2" s="36" t="n">
        <v>2028</v>
      </c>
      <c r="H2" s="36" t="n">
        <v>2029</v>
      </c>
      <c r="I2" s="210" t="n">
        <v>2030</v>
      </c>
      <c r="J2" s="210" t="n">
        <v>2031</v>
      </c>
      <c r="K2" s="210" t="n">
        <v>2032</v>
      </c>
      <c r="L2" s="210" t="n">
        <v>2033</v>
      </c>
      <c r="M2" s="210" t="n">
        <v>2034</v>
      </c>
      <c r="N2" s="210" t="n">
        <v>2035</v>
      </c>
      <c r="O2" s="210" t="n">
        <v>2036</v>
      </c>
      <c r="P2" s="210" t="n">
        <v>2037</v>
      </c>
      <c r="Q2" s="210" t="n">
        <v>2038</v>
      </c>
      <c r="R2" s="210" t="n">
        <v>2039</v>
      </c>
      <c r="S2" s="210" t="n">
        <v>2040</v>
      </c>
      <c r="T2" s="210" t="n">
        <v>2041</v>
      </c>
      <c r="U2" s="210" t="n">
        <v>2042</v>
      </c>
      <c r="V2" s="210" t="n">
        <v>2043</v>
      </c>
      <c r="W2" s="210" t="n">
        <v>2044</v>
      </c>
      <c r="X2" s="210" t="n">
        <v>2045</v>
      </c>
      <c r="Y2" s="210" t="n">
        <v>2046</v>
      </c>
      <c r="Z2" s="210" t="n">
        <v>2047</v>
      </c>
    </row>
    <row r="3" ht="16.5" customHeight="1" s="162">
      <c r="A3" s="7" t="n">
        <v>1</v>
      </c>
      <c r="B3" s="7" t="inlineStr">
        <is>
          <t>现金流入</t>
        </is>
      </c>
      <c r="C3" s="171">
        <f>(SUM(D3:Z3))</f>
        <v/>
      </c>
      <c r="D3" s="177">
        <f>SUM(D4:D7)</f>
        <v/>
      </c>
      <c r="E3" s="177">
        <f>SUM(E4:E7)</f>
        <v/>
      </c>
      <c r="F3" s="177">
        <f>SUM(F4:F7)</f>
        <v/>
      </c>
      <c r="G3" s="177">
        <f>SUM(G4:G7)</f>
        <v/>
      </c>
      <c r="H3" s="177">
        <f>SUM(H4:H7)</f>
        <v/>
      </c>
      <c r="I3" s="177">
        <f>SUM(I4:I7)</f>
        <v/>
      </c>
      <c r="J3" s="177">
        <f>SUM(J4:J7)</f>
        <v/>
      </c>
      <c r="K3" s="177">
        <f>SUM(K4:K7)</f>
        <v/>
      </c>
      <c r="L3" s="177">
        <f>SUM(L4:L7)</f>
        <v/>
      </c>
      <c r="M3" s="177">
        <f>SUM(M4:M7)</f>
        <v/>
      </c>
      <c r="N3" s="177">
        <f>SUM(N4:N7)</f>
        <v/>
      </c>
      <c r="O3" s="177">
        <f>SUM(O4:O7)</f>
        <v/>
      </c>
      <c r="P3" s="177">
        <f>SUM(P4:P7)</f>
        <v/>
      </c>
      <c r="Q3" s="177">
        <f>SUM(Q4:Q7)</f>
        <v/>
      </c>
      <c r="R3" s="177">
        <f>SUM(R4:R7)</f>
        <v/>
      </c>
      <c r="S3" s="177">
        <f>SUM(S4:S7)</f>
        <v/>
      </c>
      <c r="T3" s="177">
        <f>SUM(T4:T7)</f>
        <v/>
      </c>
      <c r="U3" s="177">
        <f>SUM(U4:U7)</f>
        <v/>
      </c>
      <c r="V3" s="177">
        <f>SUM(V4:V7)</f>
        <v/>
      </c>
      <c r="W3" s="177">
        <f>SUM(W4:W7)</f>
        <v/>
      </c>
      <c r="X3" s="177">
        <f>SUM(X4:X7)</f>
        <v/>
      </c>
      <c r="Y3" s="177">
        <f>SUM(Y4:Y7)</f>
        <v/>
      </c>
      <c r="Z3" s="177">
        <f>SUM(Z4:Z7)</f>
        <v/>
      </c>
    </row>
    <row r="4" ht="16.5" customHeight="1" s="162">
      <c r="A4" s="7" t="n">
        <v>1.1</v>
      </c>
      <c r="B4" s="7" t="inlineStr">
        <is>
          <t>营业收入</t>
        </is>
      </c>
      <c r="C4" s="171">
        <f>(SUM(D4:Z4))</f>
        <v/>
      </c>
      <c r="D4" s="171">
        <f>('F项目收入'!D12)</f>
        <v/>
      </c>
      <c r="E4" s="171">
        <f>('F项目收入'!E12)</f>
        <v/>
      </c>
      <c r="F4" s="171">
        <f>('F项目收入'!F12)</f>
        <v/>
      </c>
      <c r="G4" s="171">
        <f>('F项目收入'!G12)</f>
        <v/>
      </c>
      <c r="H4" s="171">
        <f>('F项目收入'!H12)</f>
        <v/>
      </c>
      <c r="I4" s="171">
        <f>('F项目收入'!I12)</f>
        <v/>
      </c>
      <c r="J4" s="171">
        <f>('F项目收入'!J12)</f>
        <v/>
      </c>
      <c r="K4" s="171">
        <f>('F项目收入'!K12)</f>
        <v/>
      </c>
      <c r="L4" s="171">
        <f>('F项目收入'!L12)</f>
        <v/>
      </c>
      <c r="M4" s="171">
        <f>('F项目收入'!M12)</f>
        <v/>
      </c>
      <c r="N4" s="171">
        <f>('F项目收入'!N12)</f>
        <v/>
      </c>
      <c r="O4" s="171">
        <f>('F项目收入'!O12)</f>
        <v/>
      </c>
      <c r="P4" s="171">
        <f>('F项目收入'!P12)</f>
        <v/>
      </c>
      <c r="Q4" s="171">
        <f>('F项目收入'!Q12)</f>
        <v/>
      </c>
      <c r="R4" s="171">
        <f>('F项目收入'!R12)</f>
        <v/>
      </c>
      <c r="S4" s="171">
        <f>('F项目收入'!S12)</f>
        <v/>
      </c>
      <c r="T4" s="171">
        <f>('F项目收入'!T12)</f>
        <v/>
      </c>
      <c r="U4" s="171">
        <f>('F项目收入'!U12)</f>
        <v/>
      </c>
      <c r="V4" s="171">
        <f>('F项目收入'!V12)</f>
        <v/>
      </c>
      <c r="W4" s="171">
        <f>('F项目收入'!W12)</f>
        <v/>
      </c>
      <c r="X4" s="171">
        <f>('F项目收入'!X12)</f>
        <v/>
      </c>
      <c r="Y4" s="171">
        <f>('F项目收入'!Y12)</f>
        <v/>
      </c>
      <c r="Z4" s="171">
        <f>'F项目收入'!Z12-'F项目收入'!Z10</f>
        <v/>
      </c>
    </row>
    <row r="5" ht="16.5" customHeight="1" s="162">
      <c r="A5" s="7" t="n">
        <v>1.2</v>
      </c>
      <c r="B5" s="7" t="inlineStr">
        <is>
          <t>补贴收入</t>
        </is>
      </c>
      <c r="C5" s="171">
        <f>(SUM(D5:Z5))</f>
        <v/>
      </c>
      <c r="D5" s="178">
        <f>('F项目收入'!D10)</f>
        <v/>
      </c>
      <c r="E5" s="178">
        <f>('F项目收入'!E10)</f>
        <v/>
      </c>
      <c r="F5" s="178">
        <f>('F项目收入'!F10)</f>
        <v/>
      </c>
      <c r="G5" s="178">
        <f>('F项目收入'!G10)</f>
        <v/>
      </c>
      <c r="H5" s="178">
        <f>('F项目收入'!H10)</f>
        <v/>
      </c>
      <c r="I5" s="178">
        <f>('F项目收入'!I10)</f>
        <v/>
      </c>
      <c r="J5" s="178">
        <f>('F项目收入'!J10)</f>
        <v/>
      </c>
      <c r="K5" s="178">
        <f>('F项目收入'!K10)</f>
        <v/>
      </c>
      <c r="L5" s="178">
        <f>('F项目收入'!L10)</f>
        <v/>
      </c>
      <c r="M5" s="178">
        <f>('F项目收入'!M10)</f>
        <v/>
      </c>
      <c r="N5" s="178">
        <f>('F项目收入'!N10)</f>
        <v/>
      </c>
      <c r="O5" s="178">
        <f>('F项目收入'!O10)</f>
        <v/>
      </c>
      <c r="P5" s="178">
        <f>('F项目收入'!P10)</f>
        <v/>
      </c>
      <c r="Q5" s="178">
        <f>('F项目收入'!Q10)</f>
        <v/>
      </c>
      <c r="R5" s="178">
        <f>('F项目收入'!R10)</f>
        <v/>
      </c>
      <c r="S5" s="178">
        <f>('F项目收入'!S10)</f>
        <v/>
      </c>
      <c r="T5" s="178">
        <f>('F项目收入'!T10)</f>
        <v/>
      </c>
      <c r="U5" s="178">
        <f>('F项目收入'!U10)</f>
        <v/>
      </c>
      <c r="V5" s="178">
        <f>('F项目收入'!V10)</f>
        <v/>
      </c>
      <c r="W5" s="178">
        <f>('F项目收入'!W10)</f>
        <v/>
      </c>
      <c r="X5" s="178">
        <f>('F项目收入'!X10)</f>
        <v/>
      </c>
      <c r="Y5" s="178">
        <f>('F项目收入'!Y10)</f>
        <v/>
      </c>
      <c r="Z5" s="178">
        <f>'F项目收入'!Z10</f>
        <v/>
      </c>
    </row>
    <row r="6" ht="16.5" customHeight="1" s="162">
      <c r="A6" s="7" t="n">
        <v>1.3</v>
      </c>
      <c r="B6" s="7" t="inlineStr">
        <is>
          <t>回收固定资产余值</t>
        </is>
      </c>
      <c r="C6" s="171">
        <f>(SUM(D6:Z6))</f>
        <v/>
      </c>
      <c r="D6" s="177" t="inlineStr">
        <is>
          <t>/</t>
        </is>
      </c>
      <c r="E6" s="177" t="inlineStr">
        <is>
          <t>/</t>
        </is>
      </c>
      <c r="F6" s="177" t="inlineStr">
        <is>
          <t>/</t>
        </is>
      </c>
      <c r="G6" s="177" t="inlineStr">
        <is>
          <t>/</t>
        </is>
      </c>
      <c r="H6" s="177" t="inlineStr">
        <is>
          <t>/</t>
        </is>
      </c>
      <c r="I6" s="177" t="inlineStr">
        <is>
          <t>/</t>
        </is>
      </c>
      <c r="J6" s="177" t="inlineStr">
        <is>
          <t>/</t>
        </is>
      </c>
      <c r="K6" s="177" t="inlineStr">
        <is>
          <t>/</t>
        </is>
      </c>
      <c r="L6" s="177" t="inlineStr">
        <is>
          <t>/</t>
        </is>
      </c>
      <c r="M6" s="177" t="inlineStr">
        <is>
          <t>/</t>
        </is>
      </c>
      <c r="N6" s="177" t="inlineStr">
        <is>
          <t>/</t>
        </is>
      </c>
      <c r="O6" s="177" t="inlineStr">
        <is>
          <t>/</t>
        </is>
      </c>
      <c r="P6" s="177" t="inlineStr">
        <is>
          <t>/</t>
        </is>
      </c>
      <c r="Q6" s="177" t="inlineStr">
        <is>
          <t>/</t>
        </is>
      </c>
      <c r="R6" s="177" t="inlineStr">
        <is>
          <t>/</t>
        </is>
      </c>
      <c r="S6" s="177" t="inlineStr">
        <is>
          <t>/</t>
        </is>
      </c>
      <c r="T6" s="177" t="inlineStr">
        <is>
          <t>/</t>
        </is>
      </c>
      <c r="U6" s="177" t="inlineStr">
        <is>
          <t>/</t>
        </is>
      </c>
      <c r="V6" s="177" t="inlineStr">
        <is>
          <t>/</t>
        </is>
      </c>
      <c r="W6" s="177" t="inlineStr">
        <is>
          <t>/</t>
        </is>
      </c>
      <c r="X6" s="177" t="inlineStr">
        <is>
          <t>/</t>
        </is>
      </c>
      <c r="Y6" s="177" t="inlineStr">
        <is>
          <t>/</t>
        </is>
      </c>
      <c r="Z6" s="177">
        <f>E.2固定资产折旧费估算表!C7*A财务假设!$D$12</f>
        <v/>
      </c>
    </row>
    <row r="7" ht="16.5" customHeight="1" s="162">
      <c r="A7" s="7" t="n">
        <v>1.4</v>
      </c>
      <c r="B7" s="7" t="inlineStr">
        <is>
          <t>回收流动资金</t>
        </is>
      </c>
      <c r="C7" s="171">
        <f>(SUM(D7:Z7))</f>
        <v/>
      </c>
      <c r="D7" s="177" t="inlineStr">
        <is>
          <t>/</t>
        </is>
      </c>
      <c r="E7" s="177" t="inlineStr">
        <is>
          <t>/</t>
        </is>
      </c>
      <c r="F7" s="177" t="inlineStr">
        <is>
          <t>/</t>
        </is>
      </c>
      <c r="G7" s="177" t="inlineStr">
        <is>
          <t>/</t>
        </is>
      </c>
      <c r="H7" s="177" t="inlineStr">
        <is>
          <t>/</t>
        </is>
      </c>
      <c r="I7" s="177" t="inlineStr">
        <is>
          <t>/</t>
        </is>
      </c>
      <c r="J7" s="177" t="inlineStr">
        <is>
          <t>/</t>
        </is>
      </c>
      <c r="K7" s="177" t="inlineStr">
        <is>
          <t>/</t>
        </is>
      </c>
      <c r="L7" s="177" t="inlineStr">
        <is>
          <t>/</t>
        </is>
      </c>
      <c r="M7" s="177" t="inlineStr">
        <is>
          <t>/</t>
        </is>
      </c>
      <c r="N7" s="177" t="inlineStr">
        <is>
          <t>/</t>
        </is>
      </c>
      <c r="O7" s="177" t="inlineStr">
        <is>
          <t>/</t>
        </is>
      </c>
      <c r="P7" s="177" t="inlineStr">
        <is>
          <t>/</t>
        </is>
      </c>
      <c r="Q7" s="177" t="inlineStr">
        <is>
          <t>/</t>
        </is>
      </c>
      <c r="R7" s="177" t="inlineStr">
        <is>
          <t>/</t>
        </is>
      </c>
      <c r="S7" s="177" t="inlineStr">
        <is>
          <t>/</t>
        </is>
      </c>
      <c r="T7" s="177" t="inlineStr">
        <is>
          <t>/</t>
        </is>
      </c>
      <c r="U7" s="177" t="inlineStr">
        <is>
          <t>/</t>
        </is>
      </c>
      <c r="V7" s="177" t="inlineStr">
        <is>
          <t>/</t>
        </is>
      </c>
      <c r="W7" s="177" t="inlineStr">
        <is>
          <t>/</t>
        </is>
      </c>
      <c r="X7" s="177" t="inlineStr">
        <is>
          <t>/</t>
        </is>
      </c>
      <c r="Y7" s="177" t="inlineStr">
        <is>
          <t>/</t>
        </is>
      </c>
      <c r="Z7" s="177">
        <f>D.4流动资金估算表!AA13</f>
        <v/>
      </c>
    </row>
    <row r="8" ht="16.5" customHeight="1" s="162">
      <c r="A8" s="7" t="n">
        <v>2</v>
      </c>
      <c r="B8" s="7" t="inlineStr">
        <is>
          <t>现金流出</t>
        </is>
      </c>
      <c r="C8" s="171">
        <f>(SUM(D8:Z8))</f>
        <v/>
      </c>
      <c r="D8" s="177">
        <f>SUM(D9:D14)</f>
        <v/>
      </c>
      <c r="E8" s="177">
        <f>SUM(E9:E14)</f>
        <v/>
      </c>
      <c r="F8" s="177">
        <f>SUM(F9:F14)</f>
        <v/>
      </c>
      <c r="G8" s="177">
        <f>SUM(G9:G14)</f>
        <v/>
      </c>
      <c r="H8" s="177">
        <f>SUM(H9:H14)</f>
        <v/>
      </c>
      <c r="I8" s="177">
        <f>SUM(I9:I14)</f>
        <v/>
      </c>
      <c r="J8" s="177">
        <f>SUM(J9:J14)</f>
        <v/>
      </c>
      <c r="K8" s="177">
        <f>SUM(K9:K14)</f>
        <v/>
      </c>
      <c r="L8" s="177">
        <f>SUM(L9:L14)</f>
        <v/>
      </c>
      <c r="M8" s="177">
        <f>SUM(M9:M14)</f>
        <v/>
      </c>
      <c r="N8" s="177">
        <f>SUM(N9:N14)</f>
        <v/>
      </c>
      <c r="O8" s="177">
        <f>SUM(O9:O14)</f>
        <v/>
      </c>
      <c r="P8" s="177">
        <f>SUM(P9:P14)</f>
        <v/>
      </c>
      <c r="Q8" s="177">
        <f>SUM(Q9:Q14)</f>
        <v/>
      </c>
      <c r="R8" s="177">
        <f>SUM(R9:R14)</f>
        <v/>
      </c>
      <c r="S8" s="177">
        <f>SUM(S9:S14)</f>
        <v/>
      </c>
      <c r="T8" s="177">
        <f>SUM(T9:T14)</f>
        <v/>
      </c>
      <c r="U8" s="177">
        <f>SUM(U9:U14)</f>
        <v/>
      </c>
      <c r="V8" s="177">
        <f>SUM(V9:V14)</f>
        <v/>
      </c>
      <c r="W8" s="177">
        <f>SUM(W9:W14)</f>
        <v/>
      </c>
      <c r="X8" s="177">
        <f>SUM(X9:X14)</f>
        <v/>
      </c>
      <c r="Y8" s="177">
        <f>SUM(Y9:Y14)</f>
        <v/>
      </c>
      <c r="Z8" s="177">
        <f>SUM(Z9:Z14)</f>
        <v/>
      </c>
    </row>
    <row r="9" ht="16.5" customHeight="1" s="162">
      <c r="A9" s="7" t="n">
        <v>2.1</v>
      </c>
      <c r="B9" s="7" t="inlineStr">
        <is>
          <t>建设投资</t>
        </is>
      </c>
      <c r="C9" s="171">
        <f>(SUM(D9:Z9))</f>
        <v/>
      </c>
      <c r="D9" s="177">
        <f>('E.4建设投资税后金额表'!H21)</f>
        <v/>
      </c>
      <c r="E9" s="177">
        <f>('E.4建设投资税后金额表'!I21)</f>
        <v/>
      </c>
      <c r="F9" s="177">
        <f>('E.4建设投资税后金额表'!J21)</f>
        <v/>
      </c>
      <c r="G9" s="177">
        <f>('E.4建设投资税后金额表'!K21)</f>
        <v/>
      </c>
      <c r="H9" s="177">
        <f>('E.4建设投资税后金额表'!L21)</f>
        <v/>
      </c>
      <c r="I9" s="177">
        <f>('E.4建设投资税后金额表'!M21)</f>
        <v/>
      </c>
      <c r="J9" s="177">
        <f>('E.4建设投资税后金额表'!N21)</f>
        <v/>
      </c>
      <c r="K9" s="177">
        <f>('E.4建设投资税后金额表'!O21)</f>
        <v/>
      </c>
      <c r="L9" s="177">
        <f>('E.4建设投资税后金额表'!P21)</f>
        <v/>
      </c>
      <c r="M9" s="177">
        <f>('E.4建设投资税后金额表'!Q21)</f>
        <v/>
      </c>
      <c r="N9" s="177">
        <f>('E.4建设投资税后金额表'!R21)</f>
        <v/>
      </c>
      <c r="O9" s="177">
        <f>('E.4建设投资税后金额表'!S21)</f>
        <v/>
      </c>
      <c r="P9" s="177">
        <f>('E.4建设投资税后金额表'!T21)</f>
        <v/>
      </c>
      <c r="Q9" s="177">
        <f>('E.4建设投资税后金额表'!U21)</f>
        <v/>
      </c>
      <c r="R9" s="177">
        <f>('E.4建设投资税后金额表'!V21)</f>
        <v/>
      </c>
      <c r="S9" s="177">
        <f>('E.4建设投资税后金额表'!W21)</f>
        <v/>
      </c>
      <c r="T9" s="177">
        <f>('E.4建设投资税后金额表'!X21)</f>
        <v/>
      </c>
      <c r="U9" s="177">
        <f>('E.4建设投资税后金额表'!Y21)</f>
        <v/>
      </c>
      <c r="V9" s="177">
        <f>('E.4建设投资税后金额表'!Z21)</f>
        <v/>
      </c>
      <c r="W9" s="177">
        <f>('E.4建设投资税后金额表'!AA21)</f>
        <v/>
      </c>
      <c r="X9" s="177">
        <f>('E.4建设投资税后金额表'!AB21)</f>
        <v/>
      </c>
      <c r="Y9" s="177">
        <f>('E.4建设投资税后金额表'!AC21)</f>
        <v/>
      </c>
      <c r="Z9" s="177">
        <f>'E.4建设投资税后金额表'!AD21</f>
        <v/>
      </c>
    </row>
    <row r="10" ht="16.5" customHeight="1" s="162">
      <c r="A10" s="7" t="n">
        <v>2.2</v>
      </c>
      <c r="B10" s="7" t="inlineStr">
        <is>
          <t>流动资金</t>
        </is>
      </c>
      <c r="C10" s="171">
        <f>(SUM(D10:Z10))</f>
        <v/>
      </c>
      <c r="D10" s="177">
        <f>D.2项目总投资使用计划与资金筹措表!D6</f>
        <v/>
      </c>
      <c r="E10" s="177">
        <f>D.2项目总投资使用计划与资金筹措表!E6</f>
        <v/>
      </c>
      <c r="F10" s="177">
        <f>D.2项目总投资使用计划与资金筹措表!F6</f>
        <v/>
      </c>
      <c r="G10" s="177">
        <f>D.2项目总投资使用计划与资金筹措表!G6</f>
        <v/>
      </c>
      <c r="H10" s="177">
        <f>D.2项目总投资使用计划与资金筹措表!H6</f>
        <v/>
      </c>
      <c r="I10" s="177">
        <f>'D.2项目总投资使用计划与资金筹措表'!I6</f>
        <v/>
      </c>
      <c r="J10" s="177">
        <f>'D.2项目总投资使用计划与资金筹措表'!J6</f>
        <v/>
      </c>
      <c r="K10" s="177">
        <f>'D.2项目总投资使用计划与资金筹措表'!K6</f>
        <v/>
      </c>
      <c r="L10" s="177">
        <f>'D.2项目总投资使用计划与资金筹措表'!L6</f>
        <v/>
      </c>
      <c r="M10" s="177">
        <f>'D.2项目总投资使用计划与资金筹措表'!M6</f>
        <v/>
      </c>
      <c r="N10" s="177">
        <f>'D.2项目总投资使用计划与资金筹措表'!N6</f>
        <v/>
      </c>
      <c r="O10" s="177">
        <f>'D.2项目总投资使用计划与资金筹措表'!O6</f>
        <v/>
      </c>
      <c r="P10" s="177">
        <f>'D.2项目总投资使用计划与资金筹措表'!P6</f>
        <v/>
      </c>
      <c r="Q10" s="177">
        <f>'D.2项目总投资使用计划与资金筹措表'!Q6</f>
        <v/>
      </c>
      <c r="R10" s="177">
        <f>'D.2项目总投资使用计划与资金筹措表'!R6</f>
        <v/>
      </c>
      <c r="S10" s="177">
        <f>'D.2项目总投资使用计划与资金筹措表'!S6</f>
        <v/>
      </c>
      <c r="T10" s="177">
        <f>'D.2项目总投资使用计划与资金筹措表'!T6</f>
        <v/>
      </c>
      <c r="U10" s="177">
        <f>'D.2项目总投资使用计划与资金筹措表'!U6</f>
        <v/>
      </c>
      <c r="V10" s="177">
        <f>'D.2项目总投资使用计划与资金筹措表'!V6</f>
        <v/>
      </c>
      <c r="W10" s="177">
        <f>'D.2项目总投资使用计划与资金筹措表'!W6</f>
        <v/>
      </c>
      <c r="X10" s="177">
        <f>'D.2项目总投资使用计划与资金筹措表'!X6</f>
        <v/>
      </c>
      <c r="Y10" s="177">
        <f>'D.2项目总投资使用计划与资金筹措表'!Y6</f>
        <v/>
      </c>
      <c r="Z10" s="177">
        <f>'D.2项目总投资使用计划与资金筹措表'!Z6</f>
        <v/>
      </c>
    </row>
    <row r="11" ht="16.5" customHeight="1" s="162">
      <c r="A11" s="7" t="n">
        <v>2.3</v>
      </c>
      <c r="B11" s="7" t="inlineStr">
        <is>
          <t>经营成本</t>
        </is>
      </c>
      <c r="C11" s="171">
        <f>(SUM(D11:Z11))</f>
        <v/>
      </c>
      <c r="D11" s="177">
        <f>E总成本费用估算表!C11</f>
        <v/>
      </c>
      <c r="E11" s="177">
        <f>E总成本费用估算表!D11</f>
        <v/>
      </c>
      <c r="F11" s="177">
        <f>E总成本费用估算表!E11</f>
        <v/>
      </c>
      <c r="G11" s="177">
        <f>E总成本费用估算表!F11</f>
        <v/>
      </c>
      <c r="H11" s="177">
        <f>E总成本费用估算表!G11</f>
        <v/>
      </c>
      <c r="I11" s="177">
        <f>'E总成本费用估算表'!H11</f>
        <v/>
      </c>
      <c r="J11" s="177">
        <f>'E总成本费用估算表'!I11</f>
        <v/>
      </c>
      <c r="K11" s="177">
        <f>'E总成本费用估算表'!J11</f>
        <v/>
      </c>
      <c r="L11" s="177">
        <f>'E总成本费用估算表'!K11</f>
        <v/>
      </c>
      <c r="M11" s="177">
        <f>'E总成本费用估算表'!L11</f>
        <v/>
      </c>
      <c r="N11" s="177">
        <f>'E总成本费用估算表'!M11</f>
        <v/>
      </c>
      <c r="O11" s="177">
        <f>'E总成本费用估算表'!N11</f>
        <v/>
      </c>
      <c r="P11" s="177">
        <f>'E总成本费用估算表'!O11</f>
        <v/>
      </c>
      <c r="Q11" s="177">
        <f>'E总成本费用估算表'!P11</f>
        <v/>
      </c>
      <c r="R11" s="177">
        <f>'E总成本费用估算表'!Q11</f>
        <v/>
      </c>
      <c r="S11" s="177">
        <f>'E总成本费用估算表'!R11</f>
        <v/>
      </c>
      <c r="T11" s="177">
        <f>'E总成本费用估算表'!S11</f>
        <v/>
      </c>
      <c r="U11" s="177">
        <f>'E总成本费用估算表'!T11</f>
        <v/>
      </c>
      <c r="V11" s="177">
        <f>'E总成本费用估算表'!U11</f>
        <v/>
      </c>
      <c r="W11" s="177">
        <f>'E总成本费用估算表'!V11</f>
        <v/>
      </c>
      <c r="X11" s="177">
        <f>'E总成本费用估算表'!W11</f>
        <v/>
      </c>
      <c r="Y11" s="177">
        <f>'E总成本费用估算表'!X11</f>
        <v/>
      </c>
      <c r="Z11" s="177">
        <f>'E总成本费用估算表'!Y11</f>
        <v/>
      </c>
    </row>
    <row r="12" ht="16.5" customHeight="1" s="162">
      <c r="A12" s="7" t="n">
        <v>2.4</v>
      </c>
      <c r="B12" s="7" t="inlineStr">
        <is>
          <t>营业税金及附加</t>
        </is>
      </c>
      <c r="C12" s="171">
        <f>(SUM(D12:Z12))</f>
        <v/>
      </c>
      <c r="D12" s="178">
        <f>('G.税金及附加测算表'!D30)</f>
        <v/>
      </c>
      <c r="E12" s="178">
        <f>('G.税金及附加测算表'!E30)</f>
        <v/>
      </c>
      <c r="F12" s="178">
        <f>('G.税金及附加测算表'!F30)</f>
        <v/>
      </c>
      <c r="G12" s="178">
        <f>('G.税金及附加测算表'!G30)</f>
        <v/>
      </c>
      <c r="H12" s="178">
        <f>('G.税金及附加测算表'!H30)</f>
        <v/>
      </c>
      <c r="I12" s="178">
        <f>('G.税金及附加测算表'!I30)</f>
        <v/>
      </c>
      <c r="J12" s="178">
        <f>('G.税金及附加测算表'!J30)</f>
        <v/>
      </c>
      <c r="K12" s="178">
        <f>('G.税金及附加测算表'!K30)</f>
        <v/>
      </c>
      <c r="L12" s="178">
        <f>('G.税金及附加测算表'!L30)</f>
        <v/>
      </c>
      <c r="M12" s="178">
        <f>('G.税金及附加测算表'!M30)</f>
        <v/>
      </c>
      <c r="N12" s="178">
        <f>('G.税金及附加测算表'!N30)</f>
        <v/>
      </c>
      <c r="O12" s="178">
        <f>('G.税金及附加测算表'!O30)</f>
        <v/>
      </c>
      <c r="P12" s="178">
        <f>('G.税金及附加测算表'!P30)</f>
        <v/>
      </c>
      <c r="Q12" s="178">
        <f>('G.税金及附加测算表'!Q30)</f>
        <v/>
      </c>
      <c r="R12" s="178">
        <f>('G.税金及附加测算表'!R30)</f>
        <v/>
      </c>
      <c r="S12" s="178">
        <f>('G.税金及附加测算表'!S30)</f>
        <v/>
      </c>
      <c r="T12" s="178">
        <f>('G.税金及附加测算表'!T30)</f>
        <v/>
      </c>
      <c r="U12" s="178">
        <f>('G.税金及附加测算表'!U30)</f>
        <v/>
      </c>
      <c r="V12" s="178">
        <f>('G.税金及附加测算表'!V30)</f>
        <v/>
      </c>
      <c r="W12" s="178">
        <f>('G.税金及附加测算表'!W30)</f>
        <v/>
      </c>
      <c r="X12" s="178">
        <f>('G.税金及附加测算表'!X30)</f>
        <v/>
      </c>
      <c r="Y12" s="178">
        <f>('G.税金及附加测算表'!Y30)</f>
        <v/>
      </c>
      <c r="Z12" s="178">
        <f>'G.税金及附加测算表'!Z30</f>
        <v/>
      </c>
    </row>
    <row r="13" ht="16.5" customHeight="1" s="162">
      <c r="A13" s="7" t="n">
        <v>2.5</v>
      </c>
      <c r="B13" s="7" t="inlineStr">
        <is>
          <t>增值税</t>
        </is>
      </c>
      <c r="C13" s="171">
        <f>(SUM(D13:Z13))</f>
        <v/>
      </c>
      <c r="D13" s="178">
        <f>('G.税金及附加测算表'!D29)</f>
        <v/>
      </c>
      <c r="E13" s="178">
        <f>('G.税金及附加测算表'!E29)</f>
        <v/>
      </c>
      <c r="F13" s="178">
        <f>('G.税金及附加测算表'!F29)</f>
        <v/>
      </c>
      <c r="G13" s="178">
        <f>('G.税金及附加测算表'!G29)</f>
        <v/>
      </c>
      <c r="H13" s="178">
        <f>('G.税金及附加测算表'!H29)</f>
        <v/>
      </c>
      <c r="I13" s="178">
        <f>('G.税金及附加测算表'!I29)</f>
        <v/>
      </c>
      <c r="J13" s="178">
        <f>('G.税金及附加测算表'!J29)</f>
        <v/>
      </c>
      <c r="K13" s="178">
        <f>('G.税金及附加测算表'!K29)</f>
        <v/>
      </c>
      <c r="L13" s="178">
        <f>('G.税金及附加测算表'!L29)</f>
        <v/>
      </c>
      <c r="M13" s="178">
        <f>('G.税金及附加测算表'!M29)</f>
        <v/>
      </c>
      <c r="N13" s="178">
        <f>('G.税金及附加测算表'!N29)</f>
        <v/>
      </c>
      <c r="O13" s="178">
        <f>('G.税金及附加测算表'!O29)</f>
        <v/>
      </c>
      <c r="P13" s="178">
        <f>('G.税金及附加测算表'!P29)</f>
        <v/>
      </c>
      <c r="Q13" s="178">
        <f>('G.税金及附加测算表'!Q29)</f>
        <v/>
      </c>
      <c r="R13" s="178">
        <f>('G.税金及附加测算表'!R29)</f>
        <v/>
      </c>
      <c r="S13" s="178">
        <f>('G.税金及附加测算表'!S29)</f>
        <v/>
      </c>
      <c r="T13" s="178">
        <f>('G.税金及附加测算表'!T29)</f>
        <v/>
      </c>
      <c r="U13" s="178">
        <f>('G.税金及附加测算表'!U29)</f>
        <v/>
      </c>
      <c r="V13" s="178">
        <f>('G.税金及附加测算表'!V29)</f>
        <v/>
      </c>
      <c r="W13" s="178">
        <f>('G.税金及附加测算表'!W29)</f>
        <v/>
      </c>
      <c r="X13" s="178">
        <f>('G.税金及附加测算表'!X29)</f>
        <v/>
      </c>
      <c r="Y13" s="178">
        <f>('G.税金及附加测算表'!Y29)</f>
        <v/>
      </c>
      <c r="Z13" s="178">
        <f>'G.税金及附加测算表'!Z29</f>
        <v/>
      </c>
    </row>
    <row r="14" ht="16.5" customHeight="1" s="162">
      <c r="A14" s="7" t="n">
        <v>2.6</v>
      </c>
      <c r="B14" s="7" t="inlineStr">
        <is>
          <t>维持运营投资</t>
        </is>
      </c>
      <c r="C14" s="171">
        <f>(SUM(D14:Z14))</f>
        <v/>
      </c>
      <c r="D14" s="169" t="n">
        <v>0</v>
      </c>
      <c r="E14" s="169" t="n">
        <v>0</v>
      </c>
      <c r="F14" s="169" t="n">
        <v>0</v>
      </c>
      <c r="G14" s="169" t="n">
        <v>0</v>
      </c>
      <c r="H14" s="169" t="n">
        <v>0</v>
      </c>
      <c r="I14" s="169" t="n">
        <v>0</v>
      </c>
      <c r="J14" s="169" t="n">
        <v>0</v>
      </c>
      <c r="K14" s="169" t="n">
        <v>0</v>
      </c>
      <c r="L14" s="169" t="n">
        <v>0</v>
      </c>
      <c r="M14" s="169" t="n">
        <v>0</v>
      </c>
      <c r="N14" s="169" t="n">
        <v>0</v>
      </c>
      <c r="O14" s="169" t="n">
        <v>0</v>
      </c>
      <c r="P14" s="169" t="n">
        <v>0</v>
      </c>
      <c r="Q14" s="169" t="n">
        <v>0</v>
      </c>
      <c r="R14" s="169" t="n">
        <v>0</v>
      </c>
      <c r="S14" s="169" t="n">
        <v>0</v>
      </c>
      <c r="T14" s="169" t="n">
        <v>0</v>
      </c>
      <c r="U14" s="169" t="n">
        <v>0</v>
      </c>
      <c r="V14" s="169" t="n">
        <v>0</v>
      </c>
      <c r="W14" s="169" t="n">
        <v>0</v>
      </c>
      <c r="X14" s="169" t="n">
        <v>0</v>
      </c>
      <c r="Y14" s="169" t="n">
        <v>0</v>
      </c>
      <c r="Z14" s="169" t="n">
        <v>0</v>
      </c>
    </row>
    <row r="15" ht="16.5" customHeight="1" s="162">
      <c r="A15" s="7" t="n">
        <v>3</v>
      </c>
      <c r="B15" s="7" t="inlineStr">
        <is>
          <t>所得税前净现金流量（1-2）</t>
        </is>
      </c>
      <c r="C15" s="171">
        <f>(SUM(D15:Z15))</f>
        <v/>
      </c>
      <c r="D15" s="177">
        <f>D3-D8</f>
        <v/>
      </c>
      <c r="E15" s="177">
        <f>E3-E8</f>
        <v/>
      </c>
      <c r="F15" s="177">
        <f>F3-F8</f>
        <v/>
      </c>
      <c r="G15" s="177">
        <f>G3-G8</f>
        <v/>
      </c>
      <c r="H15" s="177">
        <f>H3-H8</f>
        <v/>
      </c>
      <c r="I15" s="177">
        <f>I3-I8</f>
        <v/>
      </c>
      <c r="J15" s="177">
        <f>J3-J8</f>
        <v/>
      </c>
      <c r="K15" s="177">
        <f>K3-K8</f>
        <v/>
      </c>
      <c r="L15" s="177">
        <f>L3-L8</f>
        <v/>
      </c>
      <c r="M15" s="177">
        <f>M3-M8</f>
        <v/>
      </c>
      <c r="N15" s="177">
        <f>N3-N8</f>
        <v/>
      </c>
      <c r="O15" s="177">
        <f>O3-O8</f>
        <v/>
      </c>
      <c r="P15" s="177">
        <f>P3-P8</f>
        <v/>
      </c>
      <c r="Q15" s="177">
        <f>Q3-Q8</f>
        <v/>
      </c>
      <c r="R15" s="177">
        <f>R3-R8</f>
        <v/>
      </c>
      <c r="S15" s="177">
        <f>S3-S8</f>
        <v/>
      </c>
      <c r="T15" s="177">
        <f>T3-T8</f>
        <v/>
      </c>
      <c r="U15" s="177">
        <f>U3-U8</f>
        <v/>
      </c>
      <c r="V15" s="177">
        <f>V3-V8</f>
        <v/>
      </c>
      <c r="W15" s="177">
        <f>W3-W8</f>
        <v/>
      </c>
      <c r="X15" s="177">
        <f>X3-X8</f>
        <v/>
      </c>
      <c r="Y15" s="177">
        <f>Y3-Y8</f>
        <v/>
      </c>
      <c r="Z15" s="177">
        <f>Z3-Z8</f>
        <v/>
      </c>
    </row>
    <row r="16" ht="16.5" customHeight="1" s="162">
      <c r="A16" s="7" t="n">
        <v>4</v>
      </c>
      <c r="B16" s="7" t="inlineStr">
        <is>
          <t>累计所得税前净现金流量</t>
        </is>
      </c>
      <c r="C16" s="171">
        <f>(SUM(D16:Z16))</f>
        <v/>
      </c>
      <c r="D16" s="177">
        <f>D15</f>
        <v/>
      </c>
      <c r="E16" s="177">
        <f>E15+D16</f>
        <v/>
      </c>
      <c r="F16" s="177">
        <f>F15+E16</f>
        <v/>
      </c>
      <c r="G16" s="177">
        <f>G15+F16</f>
        <v/>
      </c>
      <c r="H16" s="177">
        <f>H15+G16</f>
        <v/>
      </c>
      <c r="I16" s="177">
        <f>I15+H16</f>
        <v/>
      </c>
      <c r="J16" s="177">
        <f>J15+I16</f>
        <v/>
      </c>
      <c r="K16" s="177">
        <f>K15+J16</f>
        <v/>
      </c>
      <c r="L16" s="177">
        <f>L15+K16</f>
        <v/>
      </c>
      <c r="M16" s="177">
        <f>M15+L16</f>
        <v/>
      </c>
      <c r="N16" s="177">
        <f>N15+M16</f>
        <v/>
      </c>
      <c r="O16" s="177">
        <f>O15+N16</f>
        <v/>
      </c>
      <c r="P16" s="177">
        <f>P15+O16</f>
        <v/>
      </c>
      <c r="Q16" s="177">
        <f>Q15+P16</f>
        <v/>
      </c>
      <c r="R16" s="177">
        <f>R15+Q16</f>
        <v/>
      </c>
      <c r="S16" s="177">
        <f>S15+R16</f>
        <v/>
      </c>
      <c r="T16" s="177">
        <f>T15+S16</f>
        <v/>
      </c>
      <c r="U16" s="177">
        <f>U15+T16</f>
        <v/>
      </c>
      <c r="V16" s="177">
        <f>V15+U16</f>
        <v/>
      </c>
      <c r="W16" s="177">
        <f>W15+V16</f>
        <v/>
      </c>
      <c r="X16" s="177">
        <f>X15+W16</f>
        <v/>
      </c>
      <c r="Y16" s="177">
        <f>Y15+X16</f>
        <v/>
      </c>
      <c r="Z16" s="177">
        <f>Z15+Y16</f>
        <v/>
      </c>
    </row>
    <row r="17" ht="16.5" customFormat="1" customHeight="1" s="39">
      <c r="A17" s="43" t="n">
        <v>5</v>
      </c>
      <c r="B17" s="43" t="inlineStr">
        <is>
          <t>调整所得税</t>
        </is>
      </c>
      <c r="C17" s="171">
        <f>(SUM(D17:Z17))</f>
        <v/>
      </c>
      <c r="D17" s="178">
        <f>'b利润与利润分配表（损益和利润分配表）'!D25*A财务假设!$D$9</f>
        <v/>
      </c>
      <c r="E17" s="178">
        <f>'b利润与利润分配表（损益和利润分配表）'!E25*A财务假设!$D$9</f>
        <v/>
      </c>
      <c r="F17" s="178">
        <f>'b利润与利润分配表（损益和利润分配表）'!F25*A财务假设!$D$9</f>
        <v/>
      </c>
      <c r="G17" s="178">
        <f>'b利润与利润分配表（损益和利润分配表）'!G25*A财务假设!$D$9</f>
        <v/>
      </c>
      <c r="H17" s="178">
        <f>'b利润与利润分配表（损益和利润分配表）'!H25*A财务假设!$D$9</f>
        <v/>
      </c>
      <c r="I17" s="178">
        <f>'b利润与利润分配表（损益和利润分配表）'!I25*'A财务假设'!$D$9</f>
        <v/>
      </c>
      <c r="J17" s="178">
        <f>'b利润与利润分配表（损益和利润分配表）'!J25*'A财务假设'!$D$9</f>
        <v/>
      </c>
      <c r="K17" s="178">
        <f>'b利润与利润分配表（损益和利润分配表）'!K25*'A财务假设'!$D$9</f>
        <v/>
      </c>
      <c r="L17" s="178">
        <f>'b利润与利润分配表（损益和利润分配表）'!L25*'A财务假设'!$D$9</f>
        <v/>
      </c>
      <c r="M17" s="178">
        <f>'b利润与利润分配表（损益和利润分配表）'!M25*'A财务假设'!$D$9</f>
        <v/>
      </c>
      <c r="N17" s="178">
        <f>'b利润与利润分配表（损益和利润分配表）'!N25*'A财务假设'!$D$9</f>
        <v/>
      </c>
      <c r="O17" s="178">
        <f>'b利润与利润分配表（损益和利润分配表）'!O25*'A财务假设'!$D$9</f>
        <v/>
      </c>
      <c r="P17" s="178">
        <f>'b利润与利润分配表（损益和利润分配表）'!P25*'A财务假设'!$D$9</f>
        <v/>
      </c>
      <c r="Q17" s="178">
        <f>'b利润与利润分配表（损益和利润分配表）'!Q25*'A财务假设'!$D$9</f>
        <v/>
      </c>
      <c r="R17" s="178">
        <f>'b利润与利润分配表（损益和利润分配表）'!R25*'A财务假设'!$D$9</f>
        <v/>
      </c>
      <c r="S17" s="178">
        <f>'b利润与利润分配表（损益和利润分配表）'!S25*'A财务假设'!$D$9</f>
        <v/>
      </c>
      <c r="T17" s="178">
        <f>'b利润与利润分配表（损益和利润分配表）'!T25*'A财务假设'!$D$9</f>
        <v/>
      </c>
      <c r="U17" s="178">
        <f>'b利润与利润分配表（损益和利润分配表）'!U25*'A财务假设'!$D$9</f>
        <v/>
      </c>
      <c r="V17" s="178">
        <f>'b利润与利润分配表（损益和利润分配表）'!V25*'A财务假设'!$D$9</f>
        <v/>
      </c>
      <c r="W17" s="178">
        <f>'b利润与利润分配表（损益和利润分配表）'!W25*'A财务假设'!$D$9</f>
        <v/>
      </c>
      <c r="X17" s="178">
        <f>'b利润与利润分配表（损益和利润分配表）'!X25*'A财务假设'!$D$9</f>
        <v/>
      </c>
      <c r="Y17" s="178">
        <f>'b利润与利润分配表（损益和利润分配表）'!Y25*'A财务假设'!$D$9</f>
        <v/>
      </c>
      <c r="Z17" s="178">
        <f>'b利润与利润分配表（损益和利润分配表）'!Z25*'A财务假设'!$D$9</f>
        <v/>
      </c>
    </row>
    <row r="18" ht="16.5" customHeight="1" s="162">
      <c r="A18" s="7" t="n">
        <v>6</v>
      </c>
      <c r="B18" s="7" t="inlineStr">
        <is>
          <t>所得税后净现金流量（3-5）</t>
        </is>
      </c>
      <c r="C18" s="171">
        <f>(SUM(D18:Z18))</f>
        <v/>
      </c>
      <c r="D18" s="177">
        <f>D15-D17</f>
        <v/>
      </c>
      <c r="E18" s="177">
        <f>E15-E17</f>
        <v/>
      </c>
      <c r="F18" s="177">
        <f>F15-F17</f>
        <v/>
      </c>
      <c r="G18" s="177">
        <f>G15-G17</f>
        <v/>
      </c>
      <c r="H18" s="177">
        <f>H15-H17</f>
        <v/>
      </c>
      <c r="I18" s="177">
        <f>I15-I17</f>
        <v/>
      </c>
      <c r="J18" s="177">
        <f>J15-J17</f>
        <v/>
      </c>
      <c r="K18" s="177">
        <f>K15-K17</f>
        <v/>
      </c>
      <c r="L18" s="177">
        <f>L15-L17</f>
        <v/>
      </c>
      <c r="M18" s="177">
        <f>M15-M17</f>
        <v/>
      </c>
      <c r="N18" s="177">
        <f>N15-N17</f>
        <v/>
      </c>
      <c r="O18" s="177">
        <f>O15-O17</f>
        <v/>
      </c>
      <c r="P18" s="177">
        <f>P15-P17</f>
        <v/>
      </c>
      <c r="Q18" s="177">
        <f>Q15-Q17</f>
        <v/>
      </c>
      <c r="R18" s="177">
        <f>R15-R17</f>
        <v/>
      </c>
      <c r="S18" s="177">
        <f>S15-S17</f>
        <v/>
      </c>
      <c r="T18" s="177">
        <f>T15-T17</f>
        <v/>
      </c>
      <c r="U18" s="177">
        <f>U15-U17</f>
        <v/>
      </c>
      <c r="V18" s="177">
        <f>V15-V17</f>
        <v/>
      </c>
      <c r="W18" s="177">
        <f>W15-W17</f>
        <v/>
      </c>
      <c r="X18" s="177">
        <f>X15-X17</f>
        <v/>
      </c>
      <c r="Y18" s="177">
        <f>Y15-Y17</f>
        <v/>
      </c>
      <c r="Z18" s="177">
        <f>Z15-Z17</f>
        <v/>
      </c>
    </row>
    <row r="19" ht="16.5" customHeight="1" s="162">
      <c r="A19" s="7" t="n">
        <v>7</v>
      </c>
      <c r="B19" s="7" t="inlineStr">
        <is>
          <t>累计所得税后净现金流量</t>
        </is>
      </c>
      <c r="C19" s="171">
        <f>(SUM(D19:Z19))</f>
        <v/>
      </c>
      <c r="D19" s="177">
        <f>D18</f>
        <v/>
      </c>
      <c r="E19" s="177">
        <f>E18+D19</f>
        <v/>
      </c>
      <c r="F19" s="177">
        <f>F18+E19</f>
        <v/>
      </c>
      <c r="G19" s="177">
        <f>G18+F19</f>
        <v/>
      </c>
      <c r="H19" s="177">
        <f>H18+G19</f>
        <v/>
      </c>
      <c r="I19" s="177">
        <f>I18+H19</f>
        <v/>
      </c>
      <c r="J19" s="177">
        <f>J18+I19</f>
        <v/>
      </c>
      <c r="K19" s="177">
        <f>K18+J19</f>
        <v/>
      </c>
      <c r="L19" s="177">
        <f>L18+K19</f>
        <v/>
      </c>
      <c r="M19" s="177">
        <f>M18+L19</f>
        <v/>
      </c>
      <c r="N19" s="177">
        <f>N18+M19</f>
        <v/>
      </c>
      <c r="O19" s="177">
        <f>O18+N19</f>
        <v/>
      </c>
      <c r="P19" s="177">
        <f>P18+O19</f>
        <v/>
      </c>
      <c r="Q19" s="177">
        <f>Q18+P19</f>
        <v/>
      </c>
      <c r="R19" s="177">
        <f>R18+Q19</f>
        <v/>
      </c>
      <c r="S19" s="177">
        <f>S18+R19</f>
        <v/>
      </c>
      <c r="T19" s="177">
        <f>T18+S19</f>
        <v/>
      </c>
      <c r="U19" s="177">
        <f>U18+T19</f>
        <v/>
      </c>
      <c r="V19" s="177">
        <f>V18+U19</f>
        <v/>
      </c>
      <c r="W19" s="177">
        <f>W18+V19</f>
        <v/>
      </c>
      <c r="X19" s="177">
        <f>X18+W19</f>
        <v/>
      </c>
      <c r="Y19" s="177">
        <f>Y18+X19</f>
        <v/>
      </c>
      <c r="Z19" s="177">
        <f>Z18+Y19</f>
        <v/>
      </c>
    </row>
    <row r="20" ht="16.5" customHeight="1" s="162">
      <c r="A20" s="7" t="n">
        <v>8</v>
      </c>
      <c r="B20" s="7" t="inlineStr">
        <is>
          <t>折现值-所得税前净现金流量</t>
        </is>
      </c>
      <c r="C20" s="171">
        <f>(SUM(D20:Z20))</f>
        <v/>
      </c>
      <c r="D20" s="177">
        <f>D15/(1+A财务假设!$D$14)^(D2-$D$2)</f>
        <v/>
      </c>
      <c r="E20" s="177">
        <f>E15/(1+A财务假设!$D$14)^(E2-$D$2)</f>
        <v/>
      </c>
      <c r="F20" s="177">
        <f>F15/(1+A财务假设!$D$14)^(F2-$D$2)</f>
        <v/>
      </c>
      <c r="G20" s="177">
        <f>G15/(1+A财务假设!$D$14)^(G2-$D$2)</f>
        <v/>
      </c>
      <c r="H20" s="177">
        <f>H15/(1+A财务假设!$D$14)^(H2-$D$2)</f>
        <v/>
      </c>
      <c r="I20" s="177">
        <f>I15/(1+'A财务假设'!$D$14)^(I2-$D$2)</f>
        <v/>
      </c>
      <c r="J20" s="177">
        <f>J15/(1+'A财务假设'!$D$14)^(J2-$D$2)</f>
        <v/>
      </c>
      <c r="K20" s="177">
        <f>K15/(1+'A财务假设'!$D$14)^(K2-$D$2)</f>
        <v/>
      </c>
      <c r="L20" s="177">
        <f>L15/(1+'A财务假设'!$D$14)^(L2-$D$2)</f>
        <v/>
      </c>
      <c r="M20" s="177">
        <f>M15/(1+'A财务假设'!$D$14)^(M2-$D$2)</f>
        <v/>
      </c>
      <c r="N20" s="177">
        <f>N15/(1+'A财务假设'!$D$14)^(N2-$D$2)</f>
        <v/>
      </c>
      <c r="O20" s="177">
        <f>O15/(1+'A财务假设'!$D$14)^(O2-$D$2)</f>
        <v/>
      </c>
      <c r="P20" s="177">
        <f>P15/(1+'A财务假设'!$D$14)^(P2-$D$2)</f>
        <v/>
      </c>
      <c r="Q20" s="177">
        <f>Q15/(1+'A财务假设'!$D$14)^(Q2-$D$2)</f>
        <v/>
      </c>
      <c r="R20" s="177">
        <f>R15/(1+'A财务假设'!$D$14)^(R2-$D$2)</f>
        <v/>
      </c>
      <c r="S20" s="177">
        <f>S15/(1+'A财务假设'!$D$14)^(S2-$D$2)</f>
        <v/>
      </c>
      <c r="T20" s="177">
        <f>T15/(1+'A财务假设'!$D$14)^(T2-$D$2)</f>
        <v/>
      </c>
      <c r="U20" s="177">
        <f>U15/(1+'A财务假设'!$D$14)^(U2-$D$2)</f>
        <v/>
      </c>
      <c r="V20" s="177">
        <f>V15/(1+'A财务假设'!$D$14)^(V2-$D$2)</f>
        <v/>
      </c>
      <c r="W20" s="177">
        <f>W15/(1+'A财务假设'!$D$14)^(W2-$D$2)</f>
        <v/>
      </c>
      <c r="X20" s="177">
        <f>X15/(1+'A财务假设'!$D$14)^(X2-$D$2)</f>
        <v/>
      </c>
      <c r="Y20" s="177">
        <f>Y15/(1+'A财务假设'!$D$14)^(Y2-$D$2)</f>
        <v/>
      </c>
      <c r="Z20" s="177">
        <f>Z15/(1+'A财务假设'!$D$14)^(Z2-$D$2)</f>
        <v/>
      </c>
    </row>
    <row r="21" ht="16.5" customHeight="1" s="162">
      <c r="A21" s="7" t="n">
        <v>9</v>
      </c>
      <c r="B21" s="7" t="inlineStr">
        <is>
          <t>折现值-累计所得税前净现金流量</t>
        </is>
      </c>
      <c r="C21" s="171">
        <f>(SUM(D21:Z21))</f>
        <v/>
      </c>
      <c r="D21" s="177">
        <f>D20</f>
        <v/>
      </c>
      <c r="E21" s="177">
        <f>E20+D21</f>
        <v/>
      </c>
      <c r="F21" s="177">
        <f>F20+E21</f>
        <v/>
      </c>
      <c r="G21" s="177">
        <f>G20+F21</f>
        <v/>
      </c>
      <c r="H21" s="177">
        <f>H20+G21</f>
        <v/>
      </c>
      <c r="I21" s="177">
        <f>I20+H21</f>
        <v/>
      </c>
      <c r="J21" s="177">
        <f>J20+I21</f>
        <v/>
      </c>
      <c r="K21" s="177">
        <f>K20+J21</f>
        <v/>
      </c>
      <c r="L21" s="177">
        <f>L20+K21</f>
        <v/>
      </c>
      <c r="M21" s="177">
        <f>M20+L21</f>
        <v/>
      </c>
      <c r="N21" s="177">
        <f>N20+M21</f>
        <v/>
      </c>
      <c r="O21" s="177">
        <f>O20+N21</f>
        <v/>
      </c>
      <c r="P21" s="177">
        <f>P20+O21</f>
        <v/>
      </c>
      <c r="Q21" s="177">
        <f>Q20+P21</f>
        <v/>
      </c>
      <c r="R21" s="177">
        <f>R20+Q21</f>
        <v/>
      </c>
      <c r="S21" s="177">
        <f>S20+R21</f>
        <v/>
      </c>
      <c r="T21" s="177">
        <f>T20+S21</f>
        <v/>
      </c>
      <c r="U21" s="177">
        <f>U20+T21</f>
        <v/>
      </c>
      <c r="V21" s="177">
        <f>V20+U21</f>
        <v/>
      </c>
      <c r="W21" s="177">
        <f>W20+V21</f>
        <v/>
      </c>
      <c r="X21" s="177">
        <f>X20+W21</f>
        <v/>
      </c>
      <c r="Y21" s="177">
        <f>Y20+X21</f>
        <v/>
      </c>
      <c r="Z21" s="177">
        <f>Z20+Y21</f>
        <v/>
      </c>
    </row>
    <row r="22" ht="16.5" customHeight="1" s="162">
      <c r="A22" s="7" t="n">
        <v>10</v>
      </c>
      <c r="B22" s="7" t="inlineStr">
        <is>
          <t>折现值-所得税后净现金流量</t>
        </is>
      </c>
      <c r="C22" s="171">
        <f>(SUM(D22:Z22))</f>
        <v/>
      </c>
      <c r="D22" s="177">
        <f>D18/(1+A财务假设!$D$14)^(D2-$D$2)</f>
        <v/>
      </c>
      <c r="E22" s="177">
        <f>E18/(1+A财务假设!$D$14)^(E2-$D$2)</f>
        <v/>
      </c>
      <c r="F22" s="177">
        <f>F18/(1+A财务假设!$D$14)^(F2-$D$2)</f>
        <v/>
      </c>
      <c r="G22" s="177">
        <f>G18/(1+A财务假设!$D$14)^(G2-$D$2)</f>
        <v/>
      </c>
      <c r="H22" s="177">
        <f>H18/(1+A财务假设!$D$14)^(H2-$D$2)</f>
        <v/>
      </c>
      <c r="I22" s="177">
        <f>I18/(1+'A财务假设'!$D$14)^(I2-$D$2)</f>
        <v/>
      </c>
      <c r="J22" s="177">
        <f>J18/(1+'A财务假设'!$D$14)^(J2-$D$2)</f>
        <v/>
      </c>
      <c r="K22" s="177">
        <f>K18/(1+'A财务假设'!$D$14)^(K2-$D$2)</f>
        <v/>
      </c>
      <c r="L22" s="177">
        <f>L18/(1+'A财务假设'!$D$14)^(L2-$D$2)</f>
        <v/>
      </c>
      <c r="M22" s="177">
        <f>M18/(1+'A财务假设'!$D$14)^(M2-$D$2)</f>
        <v/>
      </c>
      <c r="N22" s="177">
        <f>N18/(1+'A财务假设'!$D$14)^(N2-$D$2)</f>
        <v/>
      </c>
      <c r="O22" s="177">
        <f>O18/(1+'A财务假设'!$D$14)^(O2-$D$2)</f>
        <v/>
      </c>
      <c r="P22" s="177">
        <f>P18/(1+'A财务假设'!$D$14)^(P2-$D$2)</f>
        <v/>
      </c>
      <c r="Q22" s="177">
        <f>Q18/(1+'A财务假设'!$D$14)^(Q2-$D$2)</f>
        <v/>
      </c>
      <c r="R22" s="177">
        <f>R18/(1+'A财务假设'!$D$14)^(R2-$D$2)</f>
        <v/>
      </c>
      <c r="S22" s="177">
        <f>S18/(1+'A财务假设'!$D$14)^(S2-$D$2)</f>
        <v/>
      </c>
      <c r="T22" s="177">
        <f>T18/(1+'A财务假设'!$D$14)^(T2-$D$2)</f>
        <v/>
      </c>
      <c r="U22" s="177">
        <f>U18/(1+'A财务假设'!$D$14)^(U2-$D$2)</f>
        <v/>
      </c>
      <c r="V22" s="177">
        <f>V18/(1+'A财务假设'!$D$14)^(V2-$D$2)</f>
        <v/>
      </c>
      <c r="W22" s="177">
        <f>W18/(1+'A财务假设'!$D$14)^(W2-$D$2)</f>
        <v/>
      </c>
      <c r="X22" s="177">
        <f>X18/(1+'A财务假设'!$D$14)^(X2-$D$2)</f>
        <v/>
      </c>
      <c r="Y22" s="177">
        <f>Y18/(1+'A财务假设'!$D$14)^(Y2-$D$2)</f>
        <v/>
      </c>
      <c r="Z22" s="177">
        <f>Z18/(1+'A财务假设'!$D$14)^(Z2-$D$2)</f>
        <v/>
      </c>
    </row>
    <row r="23" ht="16.5" customHeight="1" s="162">
      <c r="A23" s="7" t="n">
        <v>11</v>
      </c>
      <c r="B23" s="7" t="inlineStr">
        <is>
          <t>折现值-累计所得税后净现金流量</t>
        </is>
      </c>
      <c r="C23" s="171">
        <f>(SUM(D23:Z23))</f>
        <v/>
      </c>
      <c r="D23" s="177">
        <f>D22</f>
        <v/>
      </c>
      <c r="E23" s="177">
        <f>E22+D23</f>
        <v/>
      </c>
      <c r="F23" s="177">
        <f>F22+E23</f>
        <v/>
      </c>
      <c r="G23" s="177">
        <f>G22+F23</f>
        <v/>
      </c>
      <c r="H23" s="177">
        <f>H22+G23</f>
        <v/>
      </c>
      <c r="I23" s="177">
        <f>I22+H23</f>
        <v/>
      </c>
      <c r="J23" s="177">
        <f>J22+I23</f>
        <v/>
      </c>
      <c r="K23" s="177">
        <f>K22+J23</f>
        <v/>
      </c>
      <c r="L23" s="177">
        <f>L22+K23</f>
        <v/>
      </c>
      <c r="M23" s="177">
        <f>M22+L23</f>
        <v/>
      </c>
      <c r="N23" s="177">
        <f>N22+M23</f>
        <v/>
      </c>
      <c r="O23" s="177">
        <f>O22+N23</f>
        <v/>
      </c>
      <c r="P23" s="177">
        <f>P22+O23</f>
        <v/>
      </c>
      <c r="Q23" s="177">
        <f>Q22+P23</f>
        <v/>
      </c>
      <c r="R23" s="177">
        <f>R22+Q23</f>
        <v/>
      </c>
      <c r="S23" s="177">
        <f>S22+R23</f>
        <v/>
      </c>
      <c r="T23" s="177">
        <f>T22+S23</f>
        <v/>
      </c>
      <c r="U23" s="177">
        <f>U22+T23</f>
        <v/>
      </c>
      <c r="V23" s="177">
        <f>V22+U23</f>
        <v/>
      </c>
      <c r="W23" s="177">
        <f>W22+V23</f>
        <v/>
      </c>
      <c r="X23" s="177">
        <f>X22+W23</f>
        <v/>
      </c>
      <c r="Y23" s="177">
        <f>Y22+X23</f>
        <v/>
      </c>
      <c r="Z23" s="177">
        <f>Z22+Y23</f>
        <v/>
      </c>
    </row>
    <row r="24" ht="33" customHeight="1" s="162">
      <c r="A24" s="7" t="inlineStr">
        <is>
          <t>Ⅰ</t>
        </is>
      </c>
      <c r="B24" s="63" t="inlineStr">
        <is>
          <t>项目投资财务内部收益率（%）
（所得税前）</t>
        </is>
      </c>
      <c r="C24" s="7" t="n"/>
      <c r="D24" s="215">
        <f>(IRR(D15:Z15))</f>
        <v/>
      </c>
      <c r="E24" s="213" t="n"/>
      <c r="F24" s="213" t="n"/>
      <c r="G24" s="213" t="n"/>
      <c r="H24" s="213" t="n"/>
      <c r="I24" s="213" t="n"/>
      <c r="J24" s="213" t="n"/>
      <c r="K24" s="213" t="n"/>
      <c r="L24" s="213" t="n"/>
      <c r="M24" s="213" t="n"/>
      <c r="N24" s="213" t="n"/>
      <c r="O24" s="213" t="n"/>
      <c r="P24" s="213" t="n"/>
      <c r="Q24" s="213" t="n"/>
      <c r="R24" s="213" t="n"/>
      <c r="S24" s="213" t="n"/>
      <c r="T24" s="213" t="n"/>
      <c r="U24" s="213" t="n"/>
      <c r="V24" s="213" t="n"/>
      <c r="W24" s="213" t="n"/>
      <c r="X24" s="213" t="n"/>
      <c r="Y24" s="213" t="n"/>
      <c r="Z24" s="214" t="n"/>
    </row>
    <row r="25" ht="33" customHeight="1" s="162">
      <c r="A25" s="7" t="inlineStr">
        <is>
          <t>Ⅱ</t>
        </is>
      </c>
      <c r="B25" s="63" t="inlineStr">
        <is>
          <t>项目投资财务内部收益率（%）
（所得税后）</t>
        </is>
      </c>
      <c r="C25" s="7" t="n"/>
      <c r="D25" s="215">
        <f>(IRR(D18:Z18))</f>
        <v/>
      </c>
      <c r="E25" s="213" t="n"/>
      <c r="F25" s="213" t="n"/>
      <c r="G25" s="213" t="n"/>
      <c r="H25" s="213" t="n"/>
      <c r="I25" s="213" t="n"/>
      <c r="J25" s="213" t="n"/>
      <c r="K25" s="213" t="n"/>
      <c r="L25" s="213" t="n"/>
      <c r="M25" s="213" t="n"/>
      <c r="N25" s="213" t="n"/>
      <c r="O25" s="213" t="n"/>
      <c r="P25" s="213" t="n"/>
      <c r="Q25" s="213" t="n"/>
      <c r="R25" s="213" t="n"/>
      <c r="S25" s="213" t="n"/>
      <c r="T25" s="213" t="n"/>
      <c r="U25" s="213" t="n"/>
      <c r="V25" s="213" t="n"/>
      <c r="W25" s="213" t="n"/>
      <c r="X25" s="213" t="n"/>
      <c r="Y25" s="213" t="n"/>
      <c r="Z25" s="214" t="n"/>
    </row>
    <row r="26" ht="33" customHeight="1" s="162">
      <c r="A26" s="7" t="inlineStr">
        <is>
          <t>Ⅲ</t>
        </is>
      </c>
      <c r="B26" s="63" t="inlineStr">
        <is>
          <t>项目投资财务净现值（所得税前）
（ic = %）</t>
        </is>
      </c>
      <c r="C26" s="64" t="inlineStr">
        <is>
          <t>ic参考表A</t>
        </is>
      </c>
      <c r="D26" s="216">
        <f>(NPV(A财务假设!$D$3,D15:Z15))</f>
        <v/>
      </c>
      <c r="E26" s="213" t="n"/>
      <c r="F26" s="213" t="n"/>
      <c r="G26" s="213" t="n"/>
      <c r="H26" s="213" t="n"/>
      <c r="I26" s="213" t="n"/>
      <c r="J26" s="213" t="n"/>
      <c r="K26" s="213" t="n"/>
      <c r="L26" s="213" t="n"/>
      <c r="M26" s="213" t="n"/>
      <c r="N26" s="213" t="n"/>
      <c r="O26" s="213" t="n"/>
      <c r="P26" s="213" t="n"/>
      <c r="Q26" s="213" t="n"/>
      <c r="R26" s="213" t="n"/>
      <c r="S26" s="213" t="n"/>
      <c r="T26" s="213" t="n"/>
      <c r="U26" s="213" t="n"/>
      <c r="V26" s="213" t="n"/>
      <c r="W26" s="213" t="n"/>
      <c r="X26" s="213" t="n"/>
      <c r="Y26" s="213" t="n"/>
      <c r="Z26" s="214" t="n"/>
    </row>
    <row r="27" ht="33" customHeight="1" s="162">
      <c r="A27" s="7" t="inlineStr">
        <is>
          <t>Ⅳ</t>
        </is>
      </c>
      <c r="B27" s="63" t="inlineStr">
        <is>
          <t>项目投资财务净现值（所得税后）
（ic = %）</t>
        </is>
      </c>
      <c r="C27" s="64" t="inlineStr">
        <is>
          <t>ic参考表A</t>
        </is>
      </c>
      <c r="D27" s="216">
        <f>(NPV(A财务假设!$D$4,D18:Z18))</f>
        <v/>
      </c>
      <c r="E27" s="213" t="n"/>
      <c r="F27" s="213" t="n"/>
      <c r="G27" s="213" t="n"/>
      <c r="H27" s="213" t="n"/>
      <c r="I27" s="213" t="n"/>
      <c r="J27" s="213" t="n"/>
      <c r="K27" s="213" t="n"/>
      <c r="L27" s="213" t="n"/>
      <c r="M27" s="213" t="n"/>
      <c r="N27" s="213" t="n"/>
      <c r="O27" s="213" t="n"/>
      <c r="P27" s="213" t="n"/>
      <c r="Q27" s="213" t="n"/>
      <c r="R27" s="213" t="n"/>
      <c r="S27" s="213" t="n"/>
      <c r="T27" s="213" t="n"/>
      <c r="U27" s="213" t="n"/>
      <c r="V27" s="213" t="n"/>
      <c r="W27" s="213" t="n"/>
      <c r="X27" s="213" t="n"/>
      <c r="Y27" s="213" t="n"/>
      <c r="Z27" s="214" t="n"/>
    </row>
    <row r="28" ht="33" customHeight="1" s="162">
      <c r="A28" s="7" t="inlineStr">
        <is>
          <t>Ⅴ</t>
        </is>
      </c>
      <c r="B28" s="63" t="inlineStr">
        <is>
          <t>项目静态投资回收期（年）
（所得税前）</t>
        </is>
      </c>
      <c r="C28" s="66">
        <f>#REF!+H16/#REF!-$D$2</f>
        <v/>
      </c>
      <c r="D28" s="67" t="inlineStr">
        <is>
          <t>看A列序号：行4转正年份 - 2025 + 行4[行4转正年份-1] / 行3[行4转正年份]</t>
        </is>
      </c>
      <c r="E28" s="167" t="n"/>
      <c r="F28" s="167" t="n"/>
      <c r="G28" s="167" t="n"/>
      <c r="H28" s="167" t="n"/>
      <c r="I28" s="43" t="n"/>
      <c r="K28" s="45" t="n"/>
    </row>
    <row r="29" ht="33" customHeight="1" s="162">
      <c r="A29" s="7" t="inlineStr">
        <is>
          <t>Ⅵ</t>
        </is>
      </c>
      <c r="B29" s="63" t="inlineStr">
        <is>
          <t>项目动态投资回收期（年）
（所得税前）</t>
        </is>
      </c>
      <c r="C29" s="66">
        <f>#REF!+H21/#REF!-$D$2</f>
        <v/>
      </c>
      <c r="D29" s="69" t="inlineStr">
        <is>
          <t>看A列序号：行9转正年份 - 2025 + 行9[行9转正年份-1] / 行8[行9转正年份]</t>
        </is>
      </c>
      <c r="E29" s="167" t="n"/>
      <c r="F29" s="167" t="n"/>
      <c r="G29" s="167" t="n"/>
      <c r="H29" s="167" t="n"/>
      <c r="I29" s="7" t="n"/>
      <c r="K29" s="45" t="n"/>
    </row>
    <row r="30" ht="33" customHeight="1" s="162">
      <c r="A30" s="7" t="inlineStr">
        <is>
          <t>Ⅶ</t>
        </is>
      </c>
      <c r="B30" s="63" t="inlineStr">
        <is>
          <t>★项目静态投资回收期（年）
（所得税后）</t>
        </is>
      </c>
      <c r="C30" s="66">
        <f>#REF!+#REF!/#REF!-$D$2</f>
        <v/>
      </c>
      <c r="D30" s="69" t="inlineStr">
        <is>
          <t>看A列序号：行7转正年份 - 2025 + 行7[行7转正年份-1] / 行6[行7转正年份]</t>
        </is>
      </c>
      <c r="E30" s="167" t="n"/>
      <c r="F30" s="167" t="n"/>
      <c r="G30" s="167" t="n"/>
      <c r="H30" s="167" t="n"/>
      <c r="I30" s="7" t="n"/>
      <c r="K30" s="45" t="n"/>
    </row>
    <row r="31" ht="33" customHeight="1" s="162">
      <c r="A31" s="7" t="inlineStr">
        <is>
          <t>Ⅷ</t>
        </is>
      </c>
      <c r="B31" s="63" t="inlineStr">
        <is>
          <t>★项目动态投资回收期（年）
（所得税后）</t>
        </is>
      </c>
      <c r="C31" s="66">
        <f>#REF!+#REF!/#REF!-$D$2</f>
        <v/>
      </c>
      <c r="D31" s="69" t="inlineStr">
        <is>
          <t>看A列序号：行11转正年份 - 2025 + 行11[行11转正年份-1] / 行10[行11转正年份]</t>
        </is>
      </c>
      <c r="E31" s="167" t="n"/>
      <c r="F31" s="167" t="n"/>
      <c r="G31" s="167" t="n"/>
      <c r="H31" s="167" t="n"/>
      <c r="I31" s="7" t="n"/>
      <c r="K31" s="45" t="n"/>
    </row>
  </sheetData>
  <mergeCells count="9">
    <mergeCell ref="D30:H30"/>
    <mergeCell ref="D26:Z26"/>
    <mergeCell ref="D25:Z25"/>
    <mergeCell ref="D28:H28"/>
    <mergeCell ref="A1:I1"/>
    <mergeCell ref="D29:H29"/>
    <mergeCell ref="D24:Z24"/>
    <mergeCell ref="D31:H31"/>
    <mergeCell ref="D27:Z27"/>
  </mergeCells>
  <pageMargins left="0.75" right="0.75" top="1" bottom="1" header="0.5" footer="0.5"/>
</worksheet>
</file>

<file path=xl/worksheets/sheet22.xml><?xml version="1.0" encoding="utf-8"?>
<worksheet xmlns="http://schemas.openxmlformats.org/spreadsheetml/2006/main">
  <sheetPr codeName="Sheet22">
    <tabColor rgb="FFFFC000"/>
    <outlinePr summaryBelow="1" summaryRight="1"/>
    <pageSetUpPr/>
  </sheetPr>
  <dimension ref="A1:Z19"/>
  <sheetViews>
    <sheetView zoomScale="85" zoomScaleNormal="85" workbookViewId="0">
      <pane xSplit="3" ySplit="2" topLeftCell="D3" activePane="bottomRight" state="frozen"/>
      <selection activeCell="A1" sqref="A1"/>
      <selection pane="topRight" activeCell="A1" sqref="A1"/>
      <selection pane="bottomLeft" activeCell="A1" sqref="A1"/>
      <selection pane="bottomRight" activeCell="F23" sqref="F23"/>
    </sheetView>
  </sheetViews>
  <sheetFormatPr baseColWidth="8" defaultColWidth="8.890909090909091" defaultRowHeight="28.05" customHeight="1"/>
  <cols>
    <col width="29.6636363636364" customWidth="1" style="162" min="2" max="2"/>
    <col width="17.1090909090909" customWidth="1" style="162" min="3" max="3"/>
    <col width="11.5545454545455" customWidth="1" style="162" min="4" max="6"/>
    <col width="10.5545454545455" customWidth="1" style="162" min="7" max="8"/>
    <col width="11.8909090909091" customWidth="1" style="162" min="9" max="9"/>
    <col width="8.890909090909091" customWidth="1" style="45" min="10" max="10"/>
  </cols>
  <sheetData>
    <row r="1" s="162">
      <c r="A1" s="58" t="inlineStr">
        <is>
          <t>a.2项目资本金现金流量表（万元）</t>
        </is>
      </c>
      <c r="B1" s="175" t="n"/>
      <c r="C1" s="175" t="n"/>
      <c r="D1" s="175" t="n"/>
      <c r="E1" s="175" t="n"/>
      <c r="F1" s="175" t="n"/>
      <c r="G1" s="175" t="n"/>
      <c r="H1" s="175" t="n"/>
      <c r="I1" s="175" t="n"/>
      <c r="J1" s="45" t="n"/>
    </row>
    <row r="2" s="162">
      <c r="A2" s="2" t="inlineStr">
        <is>
          <t>序号</t>
        </is>
      </c>
      <c r="B2" s="2" t="inlineStr">
        <is>
          <t>项目</t>
        </is>
      </c>
      <c r="C2" s="2" t="inlineStr">
        <is>
          <t>合计</t>
        </is>
      </c>
      <c r="D2" s="36" t="n">
        <v>2025</v>
      </c>
      <c r="E2" s="36" t="n">
        <v>2026</v>
      </c>
      <c r="F2" s="36" t="n">
        <v>2027</v>
      </c>
      <c r="G2" s="36" t="n">
        <v>2028</v>
      </c>
      <c r="H2" s="36" t="n">
        <v>2029</v>
      </c>
      <c r="I2" s="210" t="n">
        <v>2030</v>
      </c>
      <c r="J2" s="210" t="n">
        <v>2031</v>
      </c>
      <c r="K2" s="210" t="n">
        <v>2032</v>
      </c>
      <c r="L2" s="210" t="n">
        <v>2033</v>
      </c>
      <c r="M2" s="210" t="n">
        <v>2034</v>
      </c>
      <c r="N2" s="210" t="n">
        <v>2035</v>
      </c>
      <c r="O2" s="210" t="n">
        <v>2036</v>
      </c>
      <c r="P2" s="210" t="n">
        <v>2037</v>
      </c>
      <c r="Q2" s="210" t="n">
        <v>2038</v>
      </c>
      <c r="R2" s="210" t="n">
        <v>2039</v>
      </c>
      <c r="S2" s="210" t="n">
        <v>2040</v>
      </c>
      <c r="T2" s="210" t="n">
        <v>2041</v>
      </c>
      <c r="U2" s="210" t="n">
        <v>2042</v>
      </c>
      <c r="V2" s="210" t="n">
        <v>2043</v>
      </c>
      <c r="W2" s="210" t="n">
        <v>2044</v>
      </c>
      <c r="X2" s="210" t="n">
        <v>2045</v>
      </c>
      <c r="Y2" s="210" t="n">
        <v>2046</v>
      </c>
      <c r="Z2" s="210" t="n">
        <v>2047</v>
      </c>
    </row>
    <row r="3" s="162">
      <c r="A3" s="7" t="n">
        <v>1</v>
      </c>
      <c r="B3" s="7" t="inlineStr">
        <is>
          <t>现金流入</t>
        </is>
      </c>
      <c r="C3" s="171">
        <f>(SUM(D3:Z3))</f>
        <v/>
      </c>
      <c r="D3" s="177">
        <f>SUM(D4:D7)</f>
        <v/>
      </c>
      <c r="E3" s="177">
        <f>SUM(E4:E7)</f>
        <v/>
      </c>
      <c r="F3" s="177">
        <f>SUM(F4:F7)</f>
        <v/>
      </c>
      <c r="G3" s="177">
        <f>SUM(G4:G7)</f>
        <v/>
      </c>
      <c r="H3" s="177">
        <f>SUM(H4:H7)</f>
        <v/>
      </c>
      <c r="I3" s="177">
        <f>SUM(I4:I7)</f>
        <v/>
      </c>
      <c r="J3" s="177">
        <f>SUM(J4:J7)</f>
        <v/>
      </c>
      <c r="K3" s="177">
        <f>SUM(K4:K7)</f>
        <v/>
      </c>
      <c r="L3" s="177">
        <f>SUM(L4:L7)</f>
        <v/>
      </c>
      <c r="M3" s="177">
        <f>SUM(M4:M7)</f>
        <v/>
      </c>
      <c r="N3" s="177">
        <f>SUM(N4:N7)</f>
        <v/>
      </c>
      <c r="O3" s="177">
        <f>SUM(O4:O7)</f>
        <v/>
      </c>
      <c r="P3" s="177">
        <f>SUM(P4:P7)</f>
        <v/>
      </c>
      <c r="Q3" s="177">
        <f>SUM(Q4:Q7)</f>
        <v/>
      </c>
      <c r="R3" s="177">
        <f>SUM(R4:R7)</f>
        <v/>
      </c>
      <c r="S3" s="177">
        <f>SUM(S4:S7)</f>
        <v/>
      </c>
      <c r="T3" s="177">
        <f>SUM(T4:T7)</f>
        <v/>
      </c>
      <c r="U3" s="177">
        <f>SUM(U4:U7)</f>
        <v/>
      </c>
      <c r="V3" s="177">
        <f>SUM(V4:V7)</f>
        <v/>
      </c>
      <c r="W3" s="177">
        <f>SUM(W4:W7)</f>
        <v/>
      </c>
      <c r="X3" s="177">
        <f>SUM(X4:X7)</f>
        <v/>
      </c>
      <c r="Y3" s="177">
        <f>SUM(Y4:Y7)</f>
        <v/>
      </c>
      <c r="Z3" s="177">
        <f>SUM(Z4:Z7)</f>
        <v/>
      </c>
    </row>
    <row r="4" s="162">
      <c r="A4" s="7" t="n">
        <v>1.1</v>
      </c>
      <c r="B4" s="7" t="inlineStr">
        <is>
          <t>营业收入</t>
        </is>
      </c>
      <c r="C4" s="171">
        <f>(SUM(D4:Z4))</f>
        <v/>
      </c>
      <c r="D4" s="177">
        <f>('F项目收入'!D12)</f>
        <v/>
      </c>
      <c r="E4" s="177">
        <f>('F项目收入'!E12)</f>
        <v/>
      </c>
      <c r="F4" s="177">
        <f>('F项目收入'!F12)</f>
        <v/>
      </c>
      <c r="G4" s="177">
        <f>('F项目收入'!G12)</f>
        <v/>
      </c>
      <c r="H4" s="177">
        <f>('F项目收入'!H12)</f>
        <v/>
      </c>
      <c r="I4" s="177">
        <f>('F项目收入'!I12)</f>
        <v/>
      </c>
      <c r="J4" s="177">
        <f>('F项目收入'!J12)</f>
        <v/>
      </c>
      <c r="K4" s="177">
        <f>('F项目收入'!K12)</f>
        <v/>
      </c>
      <c r="L4" s="177">
        <f>('F项目收入'!L12)</f>
        <v/>
      </c>
      <c r="M4" s="177">
        <f>('F项目收入'!M12)</f>
        <v/>
      </c>
      <c r="N4" s="177">
        <f>('F项目收入'!N12)</f>
        <v/>
      </c>
      <c r="O4" s="177">
        <f>('F项目收入'!O12)</f>
        <v/>
      </c>
      <c r="P4" s="177">
        <f>('F项目收入'!P12)</f>
        <v/>
      </c>
      <c r="Q4" s="177">
        <f>('F项目收入'!Q12)</f>
        <v/>
      </c>
      <c r="R4" s="177">
        <f>('F项目收入'!R12)</f>
        <v/>
      </c>
      <c r="S4" s="177">
        <f>('F项目收入'!S12)</f>
        <v/>
      </c>
      <c r="T4" s="177">
        <f>('F项目收入'!T12)</f>
        <v/>
      </c>
      <c r="U4" s="177">
        <f>('F项目收入'!U12)</f>
        <v/>
      </c>
      <c r="V4" s="177">
        <f>('F项目收入'!V12)</f>
        <v/>
      </c>
      <c r="W4" s="177">
        <f>('F项目收入'!W12)</f>
        <v/>
      </c>
      <c r="X4" s="177">
        <f>('F项目收入'!X12)</f>
        <v/>
      </c>
      <c r="Y4" s="177">
        <f>('F项目收入'!Y12)</f>
        <v/>
      </c>
      <c r="Z4" s="177">
        <f>'F项目收入'!Z12-'F项目收入'!Z10</f>
        <v/>
      </c>
    </row>
    <row r="5" s="162">
      <c r="A5" s="7" t="n">
        <v>1.2</v>
      </c>
      <c r="B5" s="7" t="inlineStr">
        <is>
          <t>补贴收入</t>
        </is>
      </c>
      <c r="C5" s="171">
        <f>(SUM(D5:Z5))</f>
        <v/>
      </c>
      <c r="D5" s="177">
        <f>('F项目收入'!D10)</f>
        <v/>
      </c>
      <c r="E5" s="177">
        <f>('F项目收入'!E10)</f>
        <v/>
      </c>
      <c r="F5" s="177">
        <f>('F项目收入'!F10)</f>
        <v/>
      </c>
      <c r="G5" s="177">
        <f>('F项目收入'!G10)</f>
        <v/>
      </c>
      <c r="H5" s="177">
        <f>('F项目收入'!H10)</f>
        <v/>
      </c>
      <c r="I5" s="177">
        <f>('F项目收入'!I10)</f>
        <v/>
      </c>
      <c r="J5" s="177">
        <f>('F项目收入'!J10)</f>
        <v/>
      </c>
      <c r="K5" s="177">
        <f>('F项目收入'!K10)</f>
        <v/>
      </c>
      <c r="L5" s="177">
        <f>('F项目收入'!L10)</f>
        <v/>
      </c>
      <c r="M5" s="177">
        <f>('F项目收入'!M10)</f>
        <v/>
      </c>
      <c r="N5" s="177">
        <f>('F项目收入'!N10)</f>
        <v/>
      </c>
      <c r="O5" s="177">
        <f>('F项目收入'!O10)</f>
        <v/>
      </c>
      <c r="P5" s="177">
        <f>('F项目收入'!P10)</f>
        <v/>
      </c>
      <c r="Q5" s="177">
        <f>('F项目收入'!Q10)</f>
        <v/>
      </c>
      <c r="R5" s="177">
        <f>('F项目收入'!R10)</f>
        <v/>
      </c>
      <c r="S5" s="177">
        <f>('F项目收入'!S10)</f>
        <v/>
      </c>
      <c r="T5" s="177">
        <f>('F项目收入'!T10)</f>
        <v/>
      </c>
      <c r="U5" s="177">
        <f>('F项目收入'!U10)</f>
        <v/>
      </c>
      <c r="V5" s="177">
        <f>('F项目收入'!V10)</f>
        <v/>
      </c>
      <c r="W5" s="177">
        <f>('F项目收入'!W10)</f>
        <v/>
      </c>
      <c r="X5" s="177">
        <f>('F项目收入'!X10)</f>
        <v/>
      </c>
      <c r="Y5" s="177">
        <f>('F项目收入'!Y10)</f>
        <v/>
      </c>
      <c r="Z5" s="177">
        <f>'F项目收入'!Z10</f>
        <v/>
      </c>
    </row>
    <row r="6" s="162">
      <c r="A6" s="7" t="n">
        <v>1.3</v>
      </c>
      <c r="B6" s="7" t="inlineStr">
        <is>
          <t>回收固定资产余值</t>
        </is>
      </c>
      <c r="C6" s="171">
        <f>(SUM(D6:Z6))</f>
        <v/>
      </c>
      <c r="D6" s="177" t="inlineStr">
        <is>
          <t>/</t>
        </is>
      </c>
      <c r="E6" s="177" t="inlineStr">
        <is>
          <t>/</t>
        </is>
      </c>
      <c r="F6" s="177" t="inlineStr">
        <is>
          <t>/</t>
        </is>
      </c>
      <c r="G6" s="177" t="inlineStr">
        <is>
          <t>/</t>
        </is>
      </c>
      <c r="H6" s="177" t="inlineStr">
        <is>
          <t>/</t>
        </is>
      </c>
      <c r="I6" s="177" t="inlineStr">
        <is>
          <t>/</t>
        </is>
      </c>
      <c r="J6" s="177" t="inlineStr">
        <is>
          <t>/</t>
        </is>
      </c>
      <c r="K6" s="177" t="inlineStr">
        <is>
          <t>/</t>
        </is>
      </c>
      <c r="L6" s="177" t="inlineStr">
        <is>
          <t>/</t>
        </is>
      </c>
      <c r="M6" s="177" t="inlineStr">
        <is>
          <t>/</t>
        </is>
      </c>
      <c r="N6" s="177" t="inlineStr">
        <is>
          <t>/</t>
        </is>
      </c>
      <c r="O6" s="177" t="inlineStr">
        <is>
          <t>/</t>
        </is>
      </c>
      <c r="P6" s="177" t="inlineStr">
        <is>
          <t>/</t>
        </is>
      </c>
      <c r="Q6" s="177" t="inlineStr">
        <is>
          <t>/</t>
        </is>
      </c>
      <c r="R6" s="177" t="inlineStr">
        <is>
          <t>/</t>
        </is>
      </c>
      <c r="S6" s="177" t="inlineStr">
        <is>
          <t>/</t>
        </is>
      </c>
      <c r="T6" s="177" t="inlineStr">
        <is>
          <t>/</t>
        </is>
      </c>
      <c r="U6" s="177" t="inlineStr">
        <is>
          <t>/</t>
        </is>
      </c>
      <c r="V6" s="177" t="inlineStr">
        <is>
          <t>/</t>
        </is>
      </c>
      <c r="W6" s="177" t="inlineStr">
        <is>
          <t>/</t>
        </is>
      </c>
      <c r="X6" s="177" t="inlineStr">
        <is>
          <t>/</t>
        </is>
      </c>
      <c r="Y6" s="177" t="inlineStr">
        <is>
          <t>/</t>
        </is>
      </c>
      <c r="Z6" s="177">
        <f>E.2固定资产折旧费估算表!C7*A财务假设!$D$12</f>
        <v/>
      </c>
    </row>
    <row r="7" s="162">
      <c r="A7" s="7" t="n">
        <v>1.4</v>
      </c>
      <c r="B7" s="7" t="inlineStr">
        <is>
          <t>回收流动资金</t>
        </is>
      </c>
      <c r="C7" s="171">
        <f>(SUM(D7:Z7))</f>
        <v/>
      </c>
      <c r="D7" s="177" t="inlineStr">
        <is>
          <t>/</t>
        </is>
      </c>
      <c r="E7" s="177" t="inlineStr">
        <is>
          <t>/</t>
        </is>
      </c>
      <c r="F7" s="177" t="inlineStr">
        <is>
          <t>/</t>
        </is>
      </c>
      <c r="G7" s="177" t="inlineStr">
        <is>
          <t>/</t>
        </is>
      </c>
      <c r="H7" s="177" t="inlineStr">
        <is>
          <t>/</t>
        </is>
      </c>
      <c r="I7" s="177" t="inlineStr">
        <is>
          <t>/</t>
        </is>
      </c>
      <c r="J7" s="177" t="inlineStr">
        <is>
          <t>/</t>
        </is>
      </c>
      <c r="K7" s="177" t="inlineStr">
        <is>
          <t>/</t>
        </is>
      </c>
      <c r="L7" s="177" t="inlineStr">
        <is>
          <t>/</t>
        </is>
      </c>
      <c r="M7" s="177" t="inlineStr">
        <is>
          <t>/</t>
        </is>
      </c>
      <c r="N7" s="177" t="inlineStr">
        <is>
          <t>/</t>
        </is>
      </c>
      <c r="O7" s="177" t="inlineStr">
        <is>
          <t>/</t>
        </is>
      </c>
      <c r="P7" s="177" t="inlineStr">
        <is>
          <t>/</t>
        </is>
      </c>
      <c r="Q7" s="177" t="inlineStr">
        <is>
          <t>/</t>
        </is>
      </c>
      <c r="R7" s="177" t="inlineStr">
        <is>
          <t>/</t>
        </is>
      </c>
      <c r="S7" s="177" t="inlineStr">
        <is>
          <t>/</t>
        </is>
      </c>
      <c r="T7" s="177" t="inlineStr">
        <is>
          <t>/</t>
        </is>
      </c>
      <c r="U7" s="177" t="inlineStr">
        <is>
          <t>/</t>
        </is>
      </c>
      <c r="V7" s="177" t="inlineStr">
        <is>
          <t>/</t>
        </is>
      </c>
      <c r="W7" s="177" t="inlineStr">
        <is>
          <t>/</t>
        </is>
      </c>
      <c r="X7" s="177" t="inlineStr">
        <is>
          <t>/</t>
        </is>
      </c>
      <c r="Y7" s="177" t="inlineStr">
        <is>
          <t>/</t>
        </is>
      </c>
      <c r="Z7" s="177">
        <f>D.4流动资金估算表!AA13</f>
        <v/>
      </c>
    </row>
    <row r="8" s="162">
      <c r="A8" s="7" t="n">
        <v>2</v>
      </c>
      <c r="B8" s="7" t="inlineStr">
        <is>
          <t>现金流出</t>
        </is>
      </c>
      <c r="C8" s="171">
        <f>(SUM(D8:Z8))</f>
        <v/>
      </c>
      <c r="D8" s="177">
        <f>SUM(D9:D16)</f>
        <v/>
      </c>
      <c r="E8" s="177">
        <f>SUM(E9:E16)</f>
        <v/>
      </c>
      <c r="F8" s="177">
        <f>SUM(F9:F16)</f>
        <v/>
      </c>
      <c r="G8" s="177">
        <f>SUM(G9:G16)</f>
        <v/>
      </c>
      <c r="H8" s="177">
        <f>SUM(H9:H16)</f>
        <v/>
      </c>
      <c r="I8" s="177">
        <f>SUM(I9:I16)</f>
        <v/>
      </c>
      <c r="J8" s="177">
        <f>SUM(J9:J16)</f>
        <v/>
      </c>
      <c r="K8" s="177">
        <f>SUM(K9:K16)</f>
        <v/>
      </c>
      <c r="L8" s="177">
        <f>SUM(L9:L16)</f>
        <v/>
      </c>
      <c r="M8" s="177">
        <f>SUM(M9:M16)</f>
        <v/>
      </c>
      <c r="N8" s="177">
        <f>SUM(N9:N16)</f>
        <v/>
      </c>
      <c r="O8" s="177">
        <f>SUM(O9:O16)</f>
        <v/>
      </c>
      <c r="P8" s="177">
        <f>SUM(P9:P16)</f>
        <v/>
      </c>
      <c r="Q8" s="177">
        <f>SUM(Q9:Q16)</f>
        <v/>
      </c>
      <c r="R8" s="177">
        <f>SUM(R9:R16)</f>
        <v/>
      </c>
      <c r="S8" s="177">
        <f>SUM(S9:S16)</f>
        <v/>
      </c>
      <c r="T8" s="177">
        <f>SUM(T9:T16)</f>
        <v/>
      </c>
      <c r="U8" s="177">
        <f>SUM(U9:U16)</f>
        <v/>
      </c>
      <c r="V8" s="177">
        <f>SUM(V9:V16)</f>
        <v/>
      </c>
      <c r="W8" s="177">
        <f>SUM(W9:W16)</f>
        <v/>
      </c>
      <c r="X8" s="177">
        <f>SUM(X9:X16)</f>
        <v/>
      </c>
      <c r="Y8" s="177">
        <f>SUM(Y9:Y16)</f>
        <v/>
      </c>
      <c r="Z8" s="177">
        <f>SUM(Z9:Z16)</f>
        <v/>
      </c>
    </row>
    <row r="9" s="162">
      <c r="A9" s="7" t="n">
        <v>2.1</v>
      </c>
      <c r="B9" s="7" t="inlineStr">
        <is>
          <t>项目资本金</t>
        </is>
      </c>
      <c r="C9" s="171">
        <f>(SUM(D9:Z9))</f>
        <v/>
      </c>
      <c r="D9" s="177">
        <f>D.2项目总投资使用计划与资金筹措表!D8</f>
        <v/>
      </c>
      <c r="E9" s="177">
        <f>D.2项目总投资使用计划与资金筹措表!E8</f>
        <v/>
      </c>
      <c r="F9" s="177">
        <f>D.2项目总投资使用计划与资金筹措表!F8</f>
        <v/>
      </c>
      <c r="G9" s="177">
        <f>D.2项目总投资使用计划与资金筹措表!G8</f>
        <v/>
      </c>
      <c r="H9" s="177">
        <f>D.2项目总投资使用计划与资金筹措表!H8</f>
        <v/>
      </c>
      <c r="I9" s="177">
        <f>'D.2项目总投资使用计划与资金筹措表'!I8</f>
        <v/>
      </c>
      <c r="J9" s="177">
        <f>'D.2项目总投资使用计划与资金筹措表'!J8</f>
        <v/>
      </c>
      <c r="K9" s="177">
        <f>'D.2项目总投资使用计划与资金筹措表'!K8</f>
        <v/>
      </c>
      <c r="L9" s="177">
        <f>'D.2项目总投资使用计划与资金筹措表'!L8</f>
        <v/>
      </c>
      <c r="M9" s="177">
        <f>'D.2项目总投资使用计划与资金筹措表'!M8</f>
        <v/>
      </c>
      <c r="N9" s="177">
        <f>'D.2项目总投资使用计划与资金筹措表'!N8</f>
        <v/>
      </c>
      <c r="O9" s="177">
        <f>'D.2项目总投资使用计划与资金筹措表'!O8</f>
        <v/>
      </c>
      <c r="P9" s="177">
        <f>'D.2项目总投资使用计划与资金筹措表'!P8</f>
        <v/>
      </c>
      <c r="Q9" s="177">
        <f>'D.2项目总投资使用计划与资金筹措表'!Q8</f>
        <v/>
      </c>
      <c r="R9" s="177">
        <f>'D.2项目总投资使用计划与资金筹措表'!R8</f>
        <v/>
      </c>
      <c r="S9" s="177">
        <f>'D.2项目总投资使用计划与资金筹措表'!S8</f>
        <v/>
      </c>
      <c r="T9" s="177">
        <f>'D.2项目总投资使用计划与资金筹措表'!T8</f>
        <v/>
      </c>
      <c r="U9" s="177">
        <f>'D.2项目总投资使用计划与资金筹措表'!U8</f>
        <v/>
      </c>
      <c r="V9" s="177">
        <f>'D.2项目总投资使用计划与资金筹措表'!V8</f>
        <v/>
      </c>
      <c r="W9" s="177">
        <f>'D.2项目总投资使用计划与资金筹措表'!W8</f>
        <v/>
      </c>
      <c r="X9" s="177">
        <f>'D.2项目总投资使用计划与资金筹措表'!X8</f>
        <v/>
      </c>
      <c r="Y9" s="177">
        <f>'D.2项目总投资使用计划与资金筹措表'!Y8</f>
        <v/>
      </c>
      <c r="Z9" s="177">
        <f>'D.2项目总投资使用计划与资金筹措表'!Z8</f>
        <v/>
      </c>
    </row>
    <row r="10" s="162">
      <c r="A10" s="7" t="n">
        <v>2.2</v>
      </c>
      <c r="B10" s="7" t="inlineStr">
        <is>
          <t>借款本金偿还</t>
        </is>
      </c>
      <c r="C10" s="171">
        <f>(SUM(D10:Z10))</f>
        <v/>
      </c>
      <c r="D10" s="171">
        <f>('c借款还本付息计划表'!D33)</f>
        <v/>
      </c>
      <c r="E10" s="171">
        <f>('c借款还本付息计划表'!E33)</f>
        <v/>
      </c>
      <c r="F10" s="171">
        <f>('c借款还本付息计划表'!F33)</f>
        <v/>
      </c>
      <c r="G10" s="171">
        <f>('c借款还本付息计划表'!G33)</f>
        <v/>
      </c>
      <c r="H10" s="171">
        <f>('c借款还本付息计划表'!H33)</f>
        <v/>
      </c>
      <c r="I10" s="171">
        <f>('c借款还本付息计划表'!I33)</f>
        <v/>
      </c>
      <c r="J10" s="171">
        <f>('c借款还本付息计划表'!J33)</f>
        <v/>
      </c>
      <c r="K10" s="171">
        <f>('c借款还本付息计划表'!K33)</f>
        <v/>
      </c>
      <c r="L10" s="171">
        <f>('c借款还本付息计划表'!L33)</f>
        <v/>
      </c>
      <c r="M10" s="171">
        <f>('c借款还本付息计划表'!M33)</f>
        <v/>
      </c>
      <c r="N10" s="171">
        <f>('c借款还本付息计划表'!N33)</f>
        <v/>
      </c>
      <c r="O10" s="171">
        <f>('c借款还本付息计划表'!O33)</f>
        <v/>
      </c>
      <c r="P10" s="171">
        <f>('c借款还本付息计划表'!P33)</f>
        <v/>
      </c>
      <c r="Q10" s="171">
        <f>('c借款还本付息计划表'!Q33)</f>
        <v/>
      </c>
      <c r="R10" s="171">
        <f>('c借款还本付息计划表'!R33)</f>
        <v/>
      </c>
      <c r="S10" s="171">
        <f>('c借款还本付息计划表'!S33)</f>
        <v/>
      </c>
      <c r="T10" s="171">
        <f>('c借款还本付息计划表'!T33)</f>
        <v/>
      </c>
      <c r="U10" s="171">
        <f>('c借款还本付息计划表'!U33)</f>
        <v/>
      </c>
      <c r="V10" s="171">
        <f>('c借款还本付息计划表'!V33)</f>
        <v/>
      </c>
      <c r="W10" s="171">
        <f>('c借款还本付息计划表'!W33)</f>
        <v/>
      </c>
      <c r="X10" s="171">
        <f>('c借款还本付息计划表'!X33)</f>
        <v/>
      </c>
      <c r="Y10" s="171">
        <f>('c借款还本付息计划表'!Y33)</f>
        <v/>
      </c>
      <c r="Z10" s="171">
        <f>('c借款还本付息计划表'!Z33)</f>
        <v/>
      </c>
    </row>
    <row r="11" s="162">
      <c r="A11" s="7" t="n">
        <v>2.3</v>
      </c>
      <c r="B11" s="7" t="inlineStr">
        <is>
          <t>借款利息支付</t>
        </is>
      </c>
      <c r="C11" s="171">
        <f>(SUM(D11:Z11))</f>
        <v/>
      </c>
      <c r="D11" s="171">
        <f>('c借款还本付息计划表'!D34+'c借款还本付息计划表'!D36+'c借款还本付息计划表'!D37)</f>
        <v/>
      </c>
      <c r="E11" s="171">
        <f>('c借款还本付息计划表'!E34+'c借款还本付息计划表'!E36+'c借款还本付息计划表'!E37)</f>
        <v/>
      </c>
      <c r="F11" s="171">
        <f>('c借款还本付息计划表'!F34+'c借款还本付息计划表'!F36+'c借款还本付息计划表'!F37)</f>
        <v/>
      </c>
      <c r="G11" s="171">
        <f>('c借款还本付息计划表'!G34+'c借款还本付息计划表'!G36+'c借款还本付息计划表'!G37)</f>
        <v/>
      </c>
      <c r="H11" s="171">
        <f>('c借款还本付息计划表'!H34+'c借款还本付息计划表'!H36+'c借款还本付息计划表'!H37)</f>
        <v/>
      </c>
      <c r="I11" s="171">
        <f>('c借款还本付息计划表'!I34+'c借款还本付息计划表'!I36+'c借款还本付息计划表'!I37)</f>
        <v/>
      </c>
      <c r="J11" s="171">
        <f>('c借款还本付息计划表'!J34+'c借款还本付息计划表'!J36+'c借款还本付息计划表'!J37)</f>
        <v/>
      </c>
      <c r="K11" s="171">
        <f>('c借款还本付息计划表'!K34+'c借款还本付息计划表'!K36+'c借款还本付息计划表'!K37)</f>
        <v/>
      </c>
      <c r="L11" s="171">
        <f>('c借款还本付息计划表'!L34+'c借款还本付息计划表'!L36+'c借款还本付息计划表'!L37)</f>
        <v/>
      </c>
      <c r="M11" s="171">
        <f>('c借款还本付息计划表'!M34+'c借款还本付息计划表'!M36+'c借款还本付息计划表'!M37)</f>
        <v/>
      </c>
      <c r="N11" s="171">
        <f>('c借款还本付息计划表'!N34+'c借款还本付息计划表'!N36+'c借款还本付息计划表'!N37)</f>
        <v/>
      </c>
      <c r="O11" s="171">
        <f>('c借款还本付息计划表'!O34+'c借款还本付息计划表'!O36+'c借款还本付息计划表'!O37)</f>
        <v/>
      </c>
      <c r="P11" s="171">
        <f>('c借款还本付息计划表'!P34+'c借款还本付息计划表'!P36+'c借款还本付息计划表'!P37)</f>
        <v/>
      </c>
      <c r="Q11" s="171">
        <f>('c借款还本付息计划表'!Q34+'c借款还本付息计划表'!Q36+'c借款还本付息计划表'!Q37)</f>
        <v/>
      </c>
      <c r="R11" s="171">
        <f>('c借款还本付息计划表'!R34+'c借款还本付息计划表'!R36+'c借款还本付息计划表'!R37)</f>
        <v/>
      </c>
      <c r="S11" s="171">
        <f>('c借款还本付息计划表'!S34+'c借款还本付息计划表'!S36+'c借款还本付息计划表'!S37)</f>
        <v/>
      </c>
      <c r="T11" s="171">
        <f>('c借款还本付息计划表'!T34+'c借款还本付息计划表'!T36+'c借款还本付息计划表'!T37)</f>
        <v/>
      </c>
      <c r="U11" s="171">
        <f>('c借款还本付息计划表'!U34+'c借款还本付息计划表'!U36+'c借款还本付息计划表'!U37)</f>
        <v/>
      </c>
      <c r="V11" s="171">
        <f>('c借款还本付息计划表'!V34+'c借款还本付息计划表'!V36+'c借款还本付息计划表'!V37)</f>
        <v/>
      </c>
      <c r="W11" s="171">
        <f>('c借款还本付息计划表'!W34+'c借款还本付息计划表'!W36+'c借款还本付息计划表'!W37)</f>
        <v/>
      </c>
      <c r="X11" s="171">
        <f>('c借款还本付息计划表'!X34+'c借款还本付息计划表'!X36+'c借款还本付息计划表'!X37)</f>
        <v/>
      </c>
      <c r="Y11" s="171">
        <f>('c借款还本付息计划表'!Y34+'c借款还本付息计划表'!Y36+'c借款还本付息计划表'!Y37)</f>
        <v/>
      </c>
      <c r="Z11" s="171">
        <f>('c借款还本付息计划表'!Z34+'c借款还本付息计划表'!Z36+'c借款还本付息计划表'!Z37)</f>
        <v/>
      </c>
    </row>
    <row r="12" s="162">
      <c r="A12" s="7" t="n">
        <v>2.4</v>
      </c>
      <c r="B12" s="7" t="inlineStr">
        <is>
          <t>经营成本</t>
        </is>
      </c>
      <c r="C12" s="171">
        <f>(SUM(D12:Z12))</f>
        <v/>
      </c>
      <c r="D12" s="177">
        <f>E总成本费用估算表!C11</f>
        <v/>
      </c>
      <c r="E12" s="177">
        <f>E总成本费用估算表!D11</f>
        <v/>
      </c>
      <c r="F12" s="177">
        <f>E总成本费用估算表!E11</f>
        <v/>
      </c>
      <c r="G12" s="177">
        <f>E总成本费用估算表!F11</f>
        <v/>
      </c>
      <c r="H12" s="177">
        <f>E总成本费用估算表!G11</f>
        <v/>
      </c>
      <c r="I12" s="177">
        <f>'E总成本费用估算表'!H11</f>
        <v/>
      </c>
      <c r="J12" s="177">
        <f>'E总成本费用估算表'!I11</f>
        <v/>
      </c>
      <c r="K12" s="177">
        <f>'E总成本费用估算表'!J11</f>
        <v/>
      </c>
      <c r="L12" s="177">
        <f>'E总成本费用估算表'!K11</f>
        <v/>
      </c>
      <c r="M12" s="177">
        <f>'E总成本费用估算表'!L11</f>
        <v/>
      </c>
      <c r="N12" s="177">
        <f>'E总成本费用估算表'!M11</f>
        <v/>
      </c>
      <c r="O12" s="177">
        <f>'E总成本费用估算表'!N11</f>
        <v/>
      </c>
      <c r="P12" s="177">
        <f>'E总成本费用估算表'!O11</f>
        <v/>
      </c>
      <c r="Q12" s="177">
        <f>'E总成本费用估算表'!P11</f>
        <v/>
      </c>
      <c r="R12" s="177">
        <f>'E总成本费用估算表'!Q11</f>
        <v/>
      </c>
      <c r="S12" s="177">
        <f>'E总成本费用估算表'!R11</f>
        <v/>
      </c>
      <c r="T12" s="177">
        <f>'E总成本费用估算表'!S11</f>
        <v/>
      </c>
      <c r="U12" s="177">
        <f>'E总成本费用估算表'!T11</f>
        <v/>
      </c>
      <c r="V12" s="177">
        <f>'E总成本费用估算表'!U11</f>
        <v/>
      </c>
      <c r="W12" s="177">
        <f>'E总成本费用估算表'!V11</f>
        <v/>
      </c>
      <c r="X12" s="177">
        <f>'E总成本费用估算表'!W11</f>
        <v/>
      </c>
      <c r="Y12" s="177">
        <f>'E总成本费用估算表'!X11</f>
        <v/>
      </c>
      <c r="Z12" s="177">
        <f>'E总成本费用估算表'!Y11</f>
        <v/>
      </c>
    </row>
    <row r="13" s="162">
      <c r="A13" s="7" t="n">
        <v>2.5</v>
      </c>
      <c r="B13" s="7" t="inlineStr">
        <is>
          <t>营业税金及附加</t>
        </is>
      </c>
      <c r="C13" s="171">
        <f>(SUM(D13:Z13))</f>
        <v/>
      </c>
      <c r="D13" s="178">
        <f>('G.税金及附加测算表'!D30)</f>
        <v/>
      </c>
      <c r="E13" s="178">
        <f>('G.税金及附加测算表'!E30)</f>
        <v/>
      </c>
      <c r="F13" s="178">
        <f>('G.税金及附加测算表'!F30)</f>
        <v/>
      </c>
      <c r="G13" s="178">
        <f>('G.税金及附加测算表'!G30)</f>
        <v/>
      </c>
      <c r="H13" s="178">
        <f>('G.税金及附加测算表'!H30)</f>
        <v/>
      </c>
      <c r="I13" s="178">
        <f>('G.税金及附加测算表'!I30)</f>
        <v/>
      </c>
      <c r="J13" s="178">
        <f>('G.税金及附加测算表'!J30)</f>
        <v/>
      </c>
      <c r="K13" s="178">
        <f>('G.税金及附加测算表'!K30)</f>
        <v/>
      </c>
      <c r="L13" s="178">
        <f>('G.税金及附加测算表'!L30)</f>
        <v/>
      </c>
      <c r="M13" s="178">
        <f>('G.税金及附加测算表'!M30)</f>
        <v/>
      </c>
      <c r="N13" s="178">
        <f>('G.税金及附加测算表'!N30)</f>
        <v/>
      </c>
      <c r="O13" s="178">
        <f>('G.税金及附加测算表'!O30)</f>
        <v/>
      </c>
      <c r="P13" s="178">
        <f>('G.税金及附加测算表'!P30)</f>
        <v/>
      </c>
      <c r="Q13" s="178">
        <f>('G.税金及附加测算表'!Q30)</f>
        <v/>
      </c>
      <c r="R13" s="178">
        <f>('G.税金及附加测算表'!R30)</f>
        <v/>
      </c>
      <c r="S13" s="178">
        <f>('G.税金及附加测算表'!S30)</f>
        <v/>
      </c>
      <c r="T13" s="178">
        <f>('G.税金及附加测算表'!T30)</f>
        <v/>
      </c>
      <c r="U13" s="178">
        <f>('G.税金及附加测算表'!U30)</f>
        <v/>
      </c>
      <c r="V13" s="178">
        <f>('G.税金及附加测算表'!V30)</f>
        <v/>
      </c>
      <c r="W13" s="178">
        <f>('G.税金及附加测算表'!W30)</f>
        <v/>
      </c>
      <c r="X13" s="178">
        <f>('G.税金及附加测算表'!X30)</f>
        <v/>
      </c>
      <c r="Y13" s="178">
        <f>('G.税金及附加测算表'!Y30)</f>
        <v/>
      </c>
      <c r="Z13" s="178">
        <f>'G.税金及附加测算表'!Z30</f>
        <v/>
      </c>
    </row>
    <row r="14" s="162">
      <c r="A14" s="7" t="n">
        <v>2.6</v>
      </c>
      <c r="B14" s="7" t="inlineStr">
        <is>
          <t>增值税</t>
        </is>
      </c>
      <c r="C14" s="171">
        <f>(SUM(D14:Z14))</f>
        <v/>
      </c>
      <c r="D14" s="178">
        <f>('G.税金及附加测算表'!D29)</f>
        <v/>
      </c>
      <c r="E14" s="178">
        <f>('G.税金及附加测算表'!E29)</f>
        <v/>
      </c>
      <c r="F14" s="178">
        <f>('G.税金及附加测算表'!F29)</f>
        <v/>
      </c>
      <c r="G14" s="178">
        <f>('G.税金及附加测算表'!G29)</f>
        <v/>
      </c>
      <c r="H14" s="178">
        <f>('G.税金及附加测算表'!H29)</f>
        <v/>
      </c>
      <c r="I14" s="178">
        <f>('G.税金及附加测算表'!I29)</f>
        <v/>
      </c>
      <c r="J14" s="178">
        <f>('G.税金及附加测算表'!J29)</f>
        <v/>
      </c>
      <c r="K14" s="178">
        <f>('G.税金及附加测算表'!K29)</f>
        <v/>
      </c>
      <c r="L14" s="178">
        <f>('G.税金及附加测算表'!L29)</f>
        <v/>
      </c>
      <c r="M14" s="178">
        <f>('G.税金及附加测算表'!M29)</f>
        <v/>
      </c>
      <c r="N14" s="178">
        <f>('G.税金及附加测算表'!N29)</f>
        <v/>
      </c>
      <c r="O14" s="178">
        <f>('G.税金及附加测算表'!O29)</f>
        <v/>
      </c>
      <c r="P14" s="178">
        <f>('G.税金及附加测算表'!P29)</f>
        <v/>
      </c>
      <c r="Q14" s="178">
        <f>('G.税金及附加测算表'!Q29)</f>
        <v/>
      </c>
      <c r="R14" s="178">
        <f>('G.税金及附加测算表'!R29)</f>
        <v/>
      </c>
      <c r="S14" s="178">
        <f>('G.税金及附加测算表'!S29)</f>
        <v/>
      </c>
      <c r="T14" s="178">
        <f>('G.税金及附加测算表'!T29)</f>
        <v/>
      </c>
      <c r="U14" s="178">
        <f>('G.税金及附加测算表'!U29)</f>
        <v/>
      </c>
      <c r="V14" s="178">
        <f>('G.税金及附加测算表'!V29)</f>
        <v/>
      </c>
      <c r="W14" s="178">
        <f>('G.税金及附加测算表'!W29)</f>
        <v/>
      </c>
      <c r="X14" s="178">
        <f>('G.税金及附加测算表'!X29)</f>
        <v/>
      </c>
      <c r="Y14" s="178">
        <f>('G.税金及附加测算表'!Y29)</f>
        <v/>
      </c>
      <c r="Z14" s="178">
        <f>'G.税金及附加测算表'!Z29</f>
        <v/>
      </c>
    </row>
    <row r="15" s="162">
      <c r="A15" s="7" t="n">
        <v>2.7</v>
      </c>
      <c r="B15" s="7" t="inlineStr">
        <is>
          <t>所得税</t>
        </is>
      </c>
      <c r="C15" s="171">
        <f>(SUM(D15:Z15))</f>
        <v/>
      </c>
      <c r="D15" s="177">
        <f>'b利润与利润分配表（损益和利润分配表）'!D11</f>
        <v/>
      </c>
      <c r="E15" s="177">
        <f>'b利润与利润分配表（损益和利润分配表）'!E11</f>
        <v/>
      </c>
      <c r="F15" s="177">
        <f>'b利润与利润分配表（损益和利润分配表）'!F11</f>
        <v/>
      </c>
      <c r="G15" s="177">
        <f>'b利润与利润分配表（损益和利润分配表）'!G11</f>
        <v/>
      </c>
      <c r="H15" s="177">
        <f>'b利润与利润分配表（损益和利润分配表）'!H11</f>
        <v/>
      </c>
      <c r="I15" s="177">
        <f>'b利润与利润分配表（损益和利润分配表）'!I11</f>
        <v/>
      </c>
      <c r="J15" s="177">
        <f>'b利润与利润分配表（损益和利润分配表）'!J11</f>
        <v/>
      </c>
      <c r="K15" s="177">
        <f>'b利润与利润分配表（损益和利润分配表）'!K11</f>
        <v/>
      </c>
      <c r="L15" s="177">
        <f>'b利润与利润分配表（损益和利润分配表）'!L11</f>
        <v/>
      </c>
      <c r="M15" s="177">
        <f>'b利润与利润分配表（损益和利润分配表）'!M11</f>
        <v/>
      </c>
      <c r="N15" s="177">
        <f>'b利润与利润分配表（损益和利润分配表）'!N11</f>
        <v/>
      </c>
      <c r="O15" s="177">
        <f>'b利润与利润分配表（损益和利润分配表）'!O11</f>
        <v/>
      </c>
      <c r="P15" s="177">
        <f>'b利润与利润分配表（损益和利润分配表）'!P11</f>
        <v/>
      </c>
      <c r="Q15" s="177">
        <f>'b利润与利润分配表（损益和利润分配表）'!Q11</f>
        <v/>
      </c>
      <c r="R15" s="177">
        <f>'b利润与利润分配表（损益和利润分配表）'!R11</f>
        <v/>
      </c>
      <c r="S15" s="177">
        <f>'b利润与利润分配表（损益和利润分配表）'!S11</f>
        <v/>
      </c>
      <c r="T15" s="177">
        <f>'b利润与利润分配表（损益和利润分配表）'!T11</f>
        <v/>
      </c>
      <c r="U15" s="177">
        <f>'b利润与利润分配表（损益和利润分配表）'!U11</f>
        <v/>
      </c>
      <c r="V15" s="177">
        <f>'b利润与利润分配表（损益和利润分配表）'!V11</f>
        <v/>
      </c>
      <c r="W15" s="177">
        <f>'b利润与利润分配表（损益和利润分配表）'!W11</f>
        <v/>
      </c>
      <c r="X15" s="177">
        <f>'b利润与利润分配表（损益和利润分配表）'!X11</f>
        <v/>
      </c>
      <c r="Y15" s="177">
        <f>'b利润与利润分配表（损益和利润分配表）'!Y11</f>
        <v/>
      </c>
      <c r="Z15" s="177">
        <f>'b利润与利润分配表（损益和利润分配表）'!Z11</f>
        <v/>
      </c>
    </row>
    <row r="16" s="162">
      <c r="A16" s="7" t="n">
        <v>2.8</v>
      </c>
      <c r="B16" s="7" t="inlineStr">
        <is>
          <t>维持运营投资</t>
        </is>
      </c>
      <c r="C16" s="171">
        <f>(SUM(D16:Z16))</f>
        <v/>
      </c>
      <c r="D16" s="169" t="n">
        <v>0</v>
      </c>
      <c r="E16" s="169" t="n">
        <v>0</v>
      </c>
      <c r="F16" s="169" t="n">
        <v>0</v>
      </c>
      <c r="G16" s="169" t="n">
        <v>0</v>
      </c>
      <c r="H16" s="169" t="n">
        <v>0</v>
      </c>
      <c r="I16" s="169" t="n">
        <v>0</v>
      </c>
      <c r="J16" s="169" t="n">
        <v>0</v>
      </c>
      <c r="K16" s="169" t="n">
        <v>0</v>
      </c>
      <c r="L16" s="169" t="n">
        <v>0</v>
      </c>
      <c r="M16" s="169" t="n">
        <v>0</v>
      </c>
      <c r="N16" s="169" t="n">
        <v>0</v>
      </c>
      <c r="O16" s="169" t="n">
        <v>0</v>
      </c>
      <c r="P16" s="169" t="n">
        <v>0</v>
      </c>
      <c r="Q16" s="169" t="n">
        <v>0</v>
      </c>
      <c r="R16" s="169" t="n">
        <v>0</v>
      </c>
      <c r="S16" s="169" t="n">
        <v>0</v>
      </c>
      <c r="T16" s="169" t="n">
        <v>0</v>
      </c>
      <c r="U16" s="169" t="n">
        <v>0</v>
      </c>
      <c r="V16" s="169" t="n">
        <v>0</v>
      </c>
      <c r="W16" s="169" t="n">
        <v>0</v>
      </c>
      <c r="X16" s="169" t="n">
        <v>0</v>
      </c>
      <c r="Y16" s="169" t="n">
        <v>0</v>
      </c>
      <c r="Z16" s="169" t="n">
        <v>0</v>
      </c>
    </row>
    <row r="17" s="162">
      <c r="A17" s="7" t="n">
        <v>3</v>
      </c>
      <c r="B17" s="7" t="inlineStr">
        <is>
          <t>净现金流量</t>
        </is>
      </c>
      <c r="C17" s="171">
        <f>(SUM(D17:Z17))</f>
        <v/>
      </c>
      <c r="D17" s="177">
        <f>D3-D8</f>
        <v/>
      </c>
      <c r="E17" s="177">
        <f>E3-E8</f>
        <v/>
      </c>
      <c r="F17" s="177">
        <f>F3-F8</f>
        <v/>
      </c>
      <c r="G17" s="177">
        <f>G3-G8</f>
        <v/>
      </c>
      <c r="H17" s="177">
        <f>H3-H8</f>
        <v/>
      </c>
      <c r="I17" s="177">
        <f>I3-I8</f>
        <v/>
      </c>
      <c r="J17" s="177">
        <f>J3-J8</f>
        <v/>
      </c>
      <c r="K17" s="177">
        <f>K3-K8</f>
        <v/>
      </c>
      <c r="L17" s="177">
        <f>L3-L8</f>
        <v/>
      </c>
      <c r="M17" s="177">
        <f>M3-M8</f>
        <v/>
      </c>
      <c r="N17" s="177">
        <f>N3-N8</f>
        <v/>
      </c>
      <c r="O17" s="177">
        <f>O3-O8</f>
        <v/>
      </c>
      <c r="P17" s="177">
        <f>P3-P8</f>
        <v/>
      </c>
      <c r="Q17" s="177">
        <f>Q3-Q8</f>
        <v/>
      </c>
      <c r="R17" s="177">
        <f>R3-R8</f>
        <v/>
      </c>
      <c r="S17" s="177">
        <f>S3-S8</f>
        <v/>
      </c>
      <c r="T17" s="177">
        <f>T3-T8</f>
        <v/>
      </c>
      <c r="U17" s="177">
        <f>U3-U8</f>
        <v/>
      </c>
      <c r="V17" s="177">
        <f>V3-V8</f>
        <v/>
      </c>
      <c r="W17" s="177">
        <f>W3-W8</f>
        <v/>
      </c>
      <c r="X17" s="177">
        <f>X3-X8</f>
        <v/>
      </c>
      <c r="Y17" s="177">
        <f>Y3-Y8</f>
        <v/>
      </c>
      <c r="Z17" s="177">
        <f>Z3-Z8</f>
        <v/>
      </c>
    </row>
    <row r="18" s="162">
      <c r="A18" s="7" t="inlineStr">
        <is>
          <t>Ⅰ</t>
        </is>
      </c>
      <c r="B18" s="44" t="inlineStr">
        <is>
          <t>资本金财务内部收益率（%）</t>
        </is>
      </c>
      <c r="C18" s="7" t="n"/>
      <c r="D18" s="215">
        <f>(IRR(D17:Z17))</f>
        <v/>
      </c>
      <c r="E18" s="213" t="n"/>
      <c r="F18" s="213" t="n"/>
      <c r="G18" s="213" t="n"/>
      <c r="H18" s="213" t="n"/>
      <c r="I18" s="213" t="n"/>
      <c r="J18" s="213" t="n"/>
      <c r="K18" s="213" t="n"/>
      <c r="L18" s="213" t="n"/>
      <c r="M18" s="213" t="n"/>
      <c r="N18" s="213" t="n"/>
      <c r="O18" s="213" t="n"/>
      <c r="P18" s="213" t="n"/>
      <c r="Q18" s="213" t="n"/>
      <c r="R18" s="213" t="n"/>
      <c r="S18" s="213" t="n"/>
      <c r="T18" s="213" t="n"/>
      <c r="U18" s="213" t="n"/>
      <c r="V18" s="213" t="n"/>
      <c r="W18" s="213" t="n"/>
      <c r="X18" s="213" t="n"/>
      <c r="Y18" s="213" t="n"/>
      <c r="Z18" s="214" t="n"/>
    </row>
    <row r="19" s="162">
      <c r="J19" s="45" t="n"/>
    </row>
  </sheetData>
  <mergeCells count="2">
    <mergeCell ref="A1:I1"/>
    <mergeCell ref="D18:Z18"/>
  </mergeCells>
  <pageMargins left="0.75" right="0.75" top="1" bottom="1" header="0.5" footer="0.5"/>
</worksheet>
</file>

<file path=xl/worksheets/sheet23.xml><?xml version="1.0" encoding="utf-8"?>
<worksheet xmlns="http://schemas.openxmlformats.org/spreadsheetml/2006/main">
  <sheetPr codeName="Sheet23">
    <tabColor rgb="FFFFC000"/>
    <outlinePr summaryBelow="1" summaryRight="1"/>
    <pageSetUpPr/>
  </sheetPr>
  <dimension ref="A1:Z28"/>
  <sheetViews>
    <sheetView zoomScale="75" zoomScaleNormal="75" workbookViewId="0">
      <pane xSplit="3" ySplit="2" topLeftCell="D3" activePane="bottomRight" state="frozen"/>
      <selection activeCell="A1" sqref="A1"/>
      <selection pane="topRight" activeCell="A1" sqref="A1"/>
      <selection pane="bottomLeft" activeCell="A1" sqref="A1"/>
      <selection pane="bottomRight" activeCell="D25" sqref="D25"/>
    </sheetView>
  </sheetViews>
  <sheetFormatPr baseColWidth="8" defaultColWidth="8.890909090909091" defaultRowHeight="28.05" customHeight="1"/>
  <cols>
    <col width="8.890909090909091" customWidth="1" style="53" min="1" max="1"/>
    <col width="30.2181818181818" customWidth="1" style="53" min="2" max="2"/>
    <col width="19.2181818181818" customWidth="1" style="53" min="3" max="3"/>
    <col width="8" customWidth="1" style="53" min="4" max="4"/>
    <col width="9.33636363636364" customWidth="1" style="53" min="5" max="5"/>
    <col width="10.7818181818182" customWidth="1" style="53" min="6" max="6"/>
    <col width="13.2181818181818" customWidth="1" style="53" min="7" max="7"/>
    <col width="11.5545454545455" customWidth="1" style="53" min="8" max="9"/>
    <col width="110.445454545455" customWidth="1" style="53" min="10" max="10"/>
    <col width="8.890909090909091" customWidth="1" style="53" min="11" max="16384"/>
  </cols>
  <sheetData>
    <row r="1" s="162">
      <c r="A1" s="40" t="inlineStr">
        <is>
          <t>b利润与利润分配表（损益和利润分配表）（万元）</t>
        </is>
      </c>
      <c r="B1" s="167" t="n"/>
      <c r="C1" s="167" t="n"/>
      <c r="D1" s="167" t="n"/>
      <c r="E1" s="167" t="n"/>
      <c r="F1" s="167" t="n"/>
      <c r="G1" s="167" t="n"/>
      <c r="H1" s="167" t="n"/>
      <c r="I1" s="168" t="n"/>
      <c r="J1" s="45" t="n"/>
    </row>
    <row r="2" s="162">
      <c r="A2" s="2" t="inlineStr">
        <is>
          <t>序号</t>
        </is>
      </c>
      <c r="B2" s="2" t="inlineStr">
        <is>
          <t>项目</t>
        </is>
      </c>
      <c r="C2" s="2" t="inlineStr">
        <is>
          <t>合计</t>
        </is>
      </c>
      <c r="D2" s="36" t="n">
        <v>2025</v>
      </c>
      <c r="E2" s="36" t="n">
        <v>2026</v>
      </c>
      <c r="F2" s="36" t="n">
        <v>2027</v>
      </c>
      <c r="G2" s="36" t="n">
        <v>2028</v>
      </c>
      <c r="H2" s="36" t="n">
        <v>2029</v>
      </c>
      <c r="I2" s="36" t="n">
        <v>2030</v>
      </c>
      <c r="J2" s="210" t="n">
        <v>2031</v>
      </c>
      <c r="K2" s="210" t="n">
        <v>2032</v>
      </c>
      <c r="L2" s="210" t="n">
        <v>2033</v>
      </c>
      <c r="M2" s="210" t="n">
        <v>2034</v>
      </c>
      <c r="N2" s="210" t="n">
        <v>2035</v>
      </c>
      <c r="O2" s="210" t="n">
        <v>2036</v>
      </c>
      <c r="P2" s="210" t="n">
        <v>2037</v>
      </c>
      <c r="Q2" s="210" t="n">
        <v>2038</v>
      </c>
      <c r="R2" s="210" t="n">
        <v>2039</v>
      </c>
      <c r="S2" s="210" t="n">
        <v>2040</v>
      </c>
      <c r="T2" s="210" t="n">
        <v>2041</v>
      </c>
      <c r="U2" s="210" t="n">
        <v>2042</v>
      </c>
      <c r="V2" s="210" t="n">
        <v>2043</v>
      </c>
      <c r="W2" s="210" t="n">
        <v>2044</v>
      </c>
      <c r="X2" s="210" t="n">
        <v>2045</v>
      </c>
      <c r="Y2" s="210" t="n">
        <v>2046</v>
      </c>
      <c r="Z2" s="210" t="n">
        <v>2047</v>
      </c>
    </row>
    <row r="3" ht="21.6" customHeight="1" s="162">
      <c r="A3" s="7" t="n">
        <v>1</v>
      </c>
      <c r="B3" s="7" t="inlineStr">
        <is>
          <t>营业收入（不含增值税）</t>
        </is>
      </c>
      <c r="C3" s="178">
        <f>(SUM(D3:Z3))</f>
        <v/>
      </c>
      <c r="D3" s="178">
        <f>('F项目收入'!D12)</f>
        <v/>
      </c>
      <c r="E3" s="178">
        <f>('F项目收入'!E12)</f>
        <v/>
      </c>
      <c r="F3" s="178">
        <f>('F项目收入'!F12)</f>
        <v/>
      </c>
      <c r="G3" s="178">
        <f>('F项目收入'!G12)</f>
        <v/>
      </c>
      <c r="H3" s="178">
        <f>('F项目收入'!H12)</f>
        <v/>
      </c>
      <c r="I3" s="178">
        <f>('F项目收入'!I12)</f>
        <v/>
      </c>
      <c r="J3" s="178">
        <f>('F项目收入'!J12)</f>
        <v/>
      </c>
      <c r="K3" s="178">
        <f>('F项目收入'!K12)</f>
        <v/>
      </c>
      <c r="L3" s="178">
        <f>('F项目收入'!L12)</f>
        <v/>
      </c>
      <c r="M3" s="178">
        <f>('F项目收入'!M12)</f>
        <v/>
      </c>
      <c r="N3" s="178">
        <f>('F项目收入'!N12)</f>
        <v/>
      </c>
      <c r="O3" s="178">
        <f>('F项目收入'!O12)</f>
        <v/>
      </c>
      <c r="P3" s="178">
        <f>('F项目收入'!P12)</f>
        <v/>
      </c>
      <c r="Q3" s="178">
        <f>('F项目收入'!Q12)</f>
        <v/>
      </c>
      <c r="R3" s="178">
        <f>('F项目收入'!R12)</f>
        <v/>
      </c>
      <c r="S3" s="178">
        <f>('F项目收入'!S12)</f>
        <v/>
      </c>
      <c r="T3" s="178">
        <f>('F项目收入'!T12)</f>
        <v/>
      </c>
      <c r="U3" s="178">
        <f>('F项目收入'!U12)</f>
        <v/>
      </c>
      <c r="V3" s="178">
        <f>('F项目收入'!V12)</f>
        <v/>
      </c>
      <c r="W3" s="178">
        <f>'F项目收入'!W12</f>
        <v/>
      </c>
      <c r="X3" s="178">
        <f>'F项目收入'!X12</f>
        <v/>
      </c>
      <c r="Y3" s="178">
        <f>'F项目收入'!Y12</f>
        <v/>
      </c>
      <c r="Z3" s="178">
        <f>'F项目收入'!Z12</f>
        <v/>
      </c>
    </row>
    <row r="4" ht="21.6" customHeight="1" s="162">
      <c r="A4" s="7" t="n">
        <v>2</v>
      </c>
      <c r="B4" s="7" t="inlineStr">
        <is>
          <t>营业税金及附加</t>
        </is>
      </c>
      <c r="C4" s="177">
        <f>(SUM(D4:Z4))</f>
        <v/>
      </c>
      <c r="D4" s="178">
        <f>('G.税金及附加测算表'!D30)</f>
        <v/>
      </c>
      <c r="E4" s="178">
        <f>('G.税金及附加测算表'!E30)</f>
        <v/>
      </c>
      <c r="F4" s="178">
        <f>('G.税金及附加测算表'!F30)</f>
        <v/>
      </c>
      <c r="G4" s="178">
        <f>('G.税金及附加测算表'!G30)</f>
        <v/>
      </c>
      <c r="H4" s="178">
        <f>('G.税金及附加测算表'!H30)</f>
        <v/>
      </c>
      <c r="I4" s="178">
        <f>('G.税金及附加测算表'!I30)</f>
        <v/>
      </c>
      <c r="J4" s="178">
        <f>('G.税金及附加测算表'!J30)</f>
        <v/>
      </c>
      <c r="K4" s="178">
        <f>('G.税金及附加测算表'!K30)</f>
        <v/>
      </c>
      <c r="L4" s="178">
        <f>('G.税金及附加测算表'!L30)</f>
        <v/>
      </c>
      <c r="M4" s="178">
        <f>('G.税金及附加测算表'!M30)</f>
        <v/>
      </c>
      <c r="N4" s="178">
        <f>('G.税金及附加测算表'!N30)</f>
        <v/>
      </c>
      <c r="O4" s="178">
        <f>('G.税金及附加测算表'!O30)</f>
        <v/>
      </c>
      <c r="P4" s="178">
        <f>('G.税金及附加测算表'!P30)</f>
        <v/>
      </c>
      <c r="Q4" s="178">
        <f>('G.税金及附加测算表'!Q30)</f>
        <v/>
      </c>
      <c r="R4" s="178">
        <f>('G.税金及附加测算表'!R30)</f>
        <v/>
      </c>
      <c r="S4" s="178">
        <f>('G.税金及附加测算表'!S30)</f>
        <v/>
      </c>
      <c r="T4" s="178">
        <f>('G.税金及附加测算表'!T30)</f>
        <v/>
      </c>
      <c r="U4" s="178">
        <f>('G.税金及附加测算表'!U30)</f>
        <v/>
      </c>
      <c r="V4" s="178">
        <f>('G.税金及附加测算表'!V30)</f>
        <v/>
      </c>
      <c r="W4" s="178">
        <f>'G.税金及附加测算表'!W30</f>
        <v/>
      </c>
      <c r="X4" s="178">
        <f>'G.税金及附加测算表'!X30</f>
        <v/>
      </c>
      <c r="Y4" s="178">
        <f>'G.税金及附加测算表'!Y30</f>
        <v/>
      </c>
      <c r="Z4" s="178">
        <f>'G.税金及附加测算表'!Z30</f>
        <v/>
      </c>
    </row>
    <row r="5" ht="21.6" customHeight="1" s="162">
      <c r="A5" s="7" t="n">
        <v>3</v>
      </c>
      <c r="B5" s="7" t="inlineStr">
        <is>
          <t>总成本费用（不含增值税）</t>
        </is>
      </c>
      <c r="C5" s="177">
        <f>(SUM(D5:Z5))</f>
        <v/>
      </c>
      <c r="D5" s="177">
        <f>E总成本费用估算表!C15</f>
        <v/>
      </c>
      <c r="E5" s="177">
        <f>E总成本费用估算表!D15</f>
        <v/>
      </c>
      <c r="F5" s="177">
        <f>E总成本费用估算表!E15</f>
        <v/>
      </c>
      <c r="G5" s="177">
        <f>E总成本费用估算表!F15</f>
        <v/>
      </c>
      <c r="H5" s="177">
        <f>E总成本费用估算表!G15</f>
        <v/>
      </c>
      <c r="I5" s="177">
        <f>E总成本费用估算表!H15</f>
        <v/>
      </c>
      <c r="J5" s="177">
        <f>'E总成本费用估算表'!I15</f>
        <v/>
      </c>
      <c r="K5" s="177">
        <f>'E总成本费用估算表'!J15</f>
        <v/>
      </c>
      <c r="L5" s="177">
        <f>'E总成本费用估算表'!K15</f>
        <v/>
      </c>
      <c r="M5" s="177">
        <f>'E总成本费用估算表'!L15</f>
        <v/>
      </c>
      <c r="N5" s="177">
        <f>'E总成本费用估算表'!M15</f>
        <v/>
      </c>
      <c r="O5" s="177">
        <f>'E总成本费用估算表'!N15</f>
        <v/>
      </c>
      <c r="P5" s="177">
        <f>'E总成本费用估算表'!O15</f>
        <v/>
      </c>
      <c r="Q5" s="177">
        <f>'E总成本费用估算表'!P15</f>
        <v/>
      </c>
      <c r="R5" s="177">
        <f>'E总成本费用估算表'!Q15</f>
        <v/>
      </c>
      <c r="S5" s="177">
        <f>'E总成本费用估算表'!R15</f>
        <v/>
      </c>
      <c r="T5" s="177">
        <f>'E总成本费用估算表'!S15</f>
        <v/>
      </c>
      <c r="U5" s="177">
        <f>'E总成本费用估算表'!T15</f>
        <v/>
      </c>
      <c r="V5" s="177">
        <f>'E总成本费用估算表'!U15</f>
        <v/>
      </c>
      <c r="W5" s="177">
        <f>'E总成本费用估算表'!V15</f>
        <v/>
      </c>
      <c r="X5" s="177">
        <f>'E总成本费用估算表'!W15</f>
        <v/>
      </c>
      <c r="Y5" s="177">
        <f>'E总成本费用估算表'!X15</f>
        <v/>
      </c>
      <c r="Z5" s="177">
        <f>'E总成本费用估算表'!Y15</f>
        <v/>
      </c>
    </row>
    <row r="6" ht="21.6" customHeight="1" s="162">
      <c r="A6" s="7" t="n">
        <v>4</v>
      </c>
      <c r="B6" s="7" t="inlineStr">
        <is>
          <t>补贴收入</t>
        </is>
      </c>
      <c r="C6" s="177">
        <f>(SUM(D6:Z6))</f>
        <v/>
      </c>
      <c r="D6" s="177">
        <f>('F项目收入'!D10)</f>
        <v/>
      </c>
      <c r="E6" s="177">
        <f>('F项目收入'!E10)</f>
        <v/>
      </c>
      <c r="F6" s="177">
        <f>('F项目收入'!F10)</f>
        <v/>
      </c>
      <c r="G6" s="177">
        <f>('F项目收入'!G10)</f>
        <v/>
      </c>
      <c r="H6" s="177">
        <f>('F项目收入'!H10)</f>
        <v/>
      </c>
      <c r="I6" s="177">
        <f>('F项目收入'!I10)</f>
        <v/>
      </c>
      <c r="J6" s="177">
        <f>('F项目收入'!J10)</f>
        <v/>
      </c>
      <c r="K6" s="177">
        <f>('F项目收入'!K10)</f>
        <v/>
      </c>
      <c r="L6" s="177">
        <f>('F项目收入'!L10)</f>
        <v/>
      </c>
      <c r="M6" s="177">
        <f>('F项目收入'!M10)</f>
        <v/>
      </c>
      <c r="N6" s="177">
        <f>('F项目收入'!N10)</f>
        <v/>
      </c>
      <c r="O6" s="177">
        <f>('F项目收入'!O10)</f>
        <v/>
      </c>
      <c r="P6" s="177">
        <f>('F项目收入'!P10)</f>
        <v/>
      </c>
      <c r="Q6" s="177">
        <f>('F项目收入'!Q10)</f>
        <v/>
      </c>
      <c r="R6" s="177">
        <f>('F项目收入'!R10)</f>
        <v/>
      </c>
      <c r="S6" s="177">
        <f>('F项目收入'!S10)</f>
        <v/>
      </c>
      <c r="T6" s="177">
        <f>('F项目收入'!T10)</f>
        <v/>
      </c>
      <c r="U6" s="177">
        <f>('F项目收入'!U10)</f>
        <v/>
      </c>
      <c r="V6" s="177">
        <f>('F项目收入'!V10)</f>
        <v/>
      </c>
      <c r="W6" s="177">
        <f>'F项目收入'!W10</f>
        <v/>
      </c>
      <c r="X6" s="177">
        <f>'F项目收入'!X10</f>
        <v/>
      </c>
      <c r="Y6" s="177">
        <f>'F项目收入'!Y10</f>
        <v/>
      </c>
      <c r="Z6" s="177">
        <f>'F项目收入'!Z10</f>
        <v/>
      </c>
    </row>
    <row r="7" ht="21.6" customHeight="1" s="162">
      <c r="A7" s="7" t="n">
        <v>5</v>
      </c>
      <c r="B7" s="7" t="inlineStr">
        <is>
          <t>利润总额（1-2-3+4）</t>
        </is>
      </c>
      <c r="C7" s="177">
        <f>(SUM(D7:Z7))</f>
        <v/>
      </c>
      <c r="D7" s="177">
        <f>D3-D4-D5+D6</f>
        <v/>
      </c>
      <c r="E7" s="177">
        <f>E3-E4-E5+E6</f>
        <v/>
      </c>
      <c r="F7" s="177">
        <f>F3-F4-F5+F6</f>
        <v/>
      </c>
      <c r="G7" s="177">
        <f>G3-G4-G5+G6</f>
        <v/>
      </c>
      <c r="H7" s="177">
        <f>H3-H4-H5+H6</f>
        <v/>
      </c>
      <c r="I7" s="177">
        <f>I3-I4-I5+I6</f>
        <v/>
      </c>
      <c r="J7" s="177">
        <f>J3-J4-J5+J6</f>
        <v/>
      </c>
      <c r="K7" s="177">
        <f>K3-K4-K5+K6</f>
        <v/>
      </c>
      <c r="L7" s="177">
        <f>L3-L4-L5+L6</f>
        <v/>
      </c>
      <c r="M7" s="177">
        <f>M3-M4-M5+M6</f>
        <v/>
      </c>
      <c r="N7" s="177">
        <f>N3-N4-N5+N6</f>
        <v/>
      </c>
      <c r="O7" s="177">
        <f>O3-O4-O5+O6</f>
        <v/>
      </c>
      <c r="P7" s="177">
        <f>P3-P4-P5+P6</f>
        <v/>
      </c>
      <c r="Q7" s="177">
        <f>Q3-Q4-Q5+Q6</f>
        <v/>
      </c>
      <c r="R7" s="177">
        <f>R3-R4-R5+R6</f>
        <v/>
      </c>
      <c r="S7" s="177">
        <f>S3-S4-S5+S6</f>
        <v/>
      </c>
      <c r="T7" s="177">
        <f>T3-T4-T5+T6</f>
        <v/>
      </c>
      <c r="U7" s="177">
        <f>U3-U4-U5+U6</f>
        <v/>
      </c>
      <c r="V7" s="177">
        <f>V3-V4-V5+V6</f>
        <v/>
      </c>
      <c r="W7" s="177">
        <f>W3-W4-W5+W6</f>
        <v/>
      </c>
      <c r="X7" s="177">
        <f>X3-X4-X5+X6</f>
        <v/>
      </c>
      <c r="Y7" s="177">
        <f>Y3-Y4-Y5+Y6</f>
        <v/>
      </c>
      <c r="Z7" s="177">
        <f>Z3-Z4-Z5+Z6</f>
        <v/>
      </c>
    </row>
    <row r="8" ht="21.6" customHeight="1" s="162">
      <c r="A8" s="7" t="n">
        <v>6</v>
      </c>
      <c r="B8" s="7" t="inlineStr">
        <is>
          <t>弥补以前年度亏损</t>
        </is>
      </c>
      <c r="C8" s="177">
        <f>(SUM(D8:Z8))</f>
        <v/>
      </c>
      <c r="D8" s="178" t="n">
        <v>0</v>
      </c>
      <c r="E8" s="177">
        <f>IF(E7&lt;0,0,IF(D9&lt;0,IF((E7+D9)&lt;0,E7,-D9),0))</f>
        <v/>
      </c>
      <c r="F8" s="177">
        <f>IF(F7&lt;0,0,IF(E9&lt;0,IF((F7+E9)&lt;0,F7,-E9),0))</f>
        <v/>
      </c>
      <c r="G8" s="177">
        <f>IF(G7&lt;0,0,IF(F9&lt;0,IF((G7+F9)&lt;0,G7,-F9),0))</f>
        <v/>
      </c>
      <c r="H8" s="177">
        <f>IF(H7&lt;0,0,IF(G9&lt;0,IF((H7+G9)&lt;0,H7,-G9),0))</f>
        <v/>
      </c>
      <c r="I8" s="177">
        <f>IF(I7&lt;0,0,IF(H9&lt;0,IF((I7+H9)&lt;0,I7,-H9),0))</f>
        <v/>
      </c>
      <c r="J8" s="177">
        <f>IF(I7&lt;0,0,IF(H9&lt;0,IF((J7+I9)&lt;0,J7,-I9),0))</f>
        <v/>
      </c>
      <c r="K8" s="177">
        <f>IF(I7&lt;0,0,IF(H9&lt;0,IF((K7+J9)&lt;0,K7,-J9),0))</f>
        <v/>
      </c>
      <c r="L8" s="177">
        <f>IF(I7&lt;0,0,IF(H9&lt;0,IF((L7+K9)&lt;0,L7,-K9),0))</f>
        <v/>
      </c>
      <c r="M8" s="177">
        <f>IF(I7&lt;0,0,IF(H9&lt;0,IF((M7+L9)&lt;0,M7,-L9),0))</f>
        <v/>
      </c>
      <c r="N8" s="177">
        <f>IF(I7&lt;0,0,IF(H9&lt;0,IF((N7+M9)&lt;0,N7,-M9),0))</f>
        <v/>
      </c>
      <c r="O8" s="177">
        <f>IF(I7&lt;0,0,IF(H9&lt;0,IF((O7+N9)&lt;0,O7,-N9),0))</f>
        <v/>
      </c>
      <c r="P8" s="177">
        <f>IF(I7&lt;0,0,IF(H9&lt;0,IF((P7+O9)&lt;0,P7,-O9),0))</f>
        <v/>
      </c>
      <c r="Q8" s="177">
        <f>IF(I7&lt;0,0,IF(H9&lt;0,IF((Q7+P9)&lt;0,Q7,-P9),0))</f>
        <v/>
      </c>
      <c r="R8" s="177">
        <f>IF(I7&lt;0,0,IF(H9&lt;0,IF((R7+Q9)&lt;0,R7,-Q9),0))</f>
        <v/>
      </c>
      <c r="S8" s="177">
        <f>IF(I7&lt;0,0,IF(H9&lt;0,IF((S7+R9)&lt;0,S7,-R9),0))</f>
        <v/>
      </c>
      <c r="T8" s="177">
        <f>IF(I7&lt;0,0,IF(H9&lt;0,IF((T7+S9)&lt;0,T7,-S9),0))</f>
        <v/>
      </c>
      <c r="U8" s="177">
        <f>IF(I7&lt;0,0,IF(H9&lt;0,IF((U7+T9)&lt;0,U7,-T9),0))</f>
        <v/>
      </c>
      <c r="V8" s="177">
        <f>IF(I7&lt;0,0,IF(H9&lt;0,IF((V7+U9)&lt;0,V7,-U9),0))</f>
        <v/>
      </c>
      <c r="W8" s="177">
        <f>IF(I7&lt;0,0,IF(H9&lt;0,IF((W7+V9)&lt;0,W7,-V9),0))</f>
        <v/>
      </c>
      <c r="X8" s="177">
        <f>IF(I7&lt;0,0,IF(H9&lt;0,IF((X7+W9)&lt;0,X7,-W9),0))</f>
        <v/>
      </c>
      <c r="Y8" s="177">
        <f>IF(I7&lt;0,0,IF(H9&lt;0,IF((Y7+X9)&lt;0,Y7,-X9),0))</f>
        <v/>
      </c>
      <c r="Z8" s="177">
        <f>IF(I7&lt;0,0,IF(H9&lt;0,IF((Z7+Y9)&lt;0,Z7,-Y9),0))</f>
        <v/>
      </c>
    </row>
    <row r="9" ht="21.6" customHeight="1" s="162">
      <c r="A9" s="7" t="n"/>
      <c r="B9" s="7" t="inlineStr">
        <is>
          <t>期末未弥补亏损</t>
        </is>
      </c>
      <c r="C9" s="177">
        <f>(SUM(D9:Z9))</f>
        <v/>
      </c>
      <c r="D9" s="177">
        <f>IF(D7&lt;0,D7,0)</f>
        <v/>
      </c>
      <c r="E9" s="177">
        <f>IF(E7&lt;0,E7+D9,D9+E8)</f>
        <v/>
      </c>
      <c r="F9" s="177">
        <f>IF(F7&lt;0,F7+E9,E9+F8)</f>
        <v/>
      </c>
      <c r="G9" s="177">
        <f>IF(G7&lt;0,G7+F9,F9+G8)</f>
        <v/>
      </c>
      <c r="H9" s="177">
        <f>IF(H7&lt;0,H7+G9,G9+H8)</f>
        <v/>
      </c>
      <c r="I9" s="177">
        <f>IF(I7&lt;0,I7+H9,H9+I8)</f>
        <v/>
      </c>
      <c r="J9" s="177">
        <f>IF(I7&lt;0,J7+I9,I9+J8)</f>
        <v/>
      </c>
      <c r="K9" s="177">
        <f>IF(I7&lt;0,K7+J9,J9+K8)</f>
        <v/>
      </c>
      <c r="L9" s="177">
        <f>IF(I7&lt;0,L7+K9,K9+L8)</f>
        <v/>
      </c>
      <c r="M9" s="177">
        <f>IF(I7&lt;0,M7+L9,L9+M8)</f>
        <v/>
      </c>
      <c r="N9" s="177">
        <f>IF(I7&lt;0,N7+M9,M9+N8)</f>
        <v/>
      </c>
      <c r="O9" s="177">
        <f>IF(I7&lt;0,O7+N9,N9+O8)</f>
        <v/>
      </c>
      <c r="P9" s="177">
        <f>IF(I7&lt;0,P7+O9,O9+P8)</f>
        <v/>
      </c>
      <c r="Q9" s="177">
        <f>IF(I7&lt;0,Q7+P9,P9+Q8)</f>
        <v/>
      </c>
      <c r="R9" s="177">
        <f>IF(I7&lt;0,R7+Q9,Q9+R8)</f>
        <v/>
      </c>
      <c r="S9" s="177">
        <f>IF(I7&lt;0,S7+R9,R9+S8)</f>
        <v/>
      </c>
      <c r="T9" s="177">
        <f>IF(I7&lt;0,T7+S9,S9+T8)</f>
        <v/>
      </c>
      <c r="U9" s="177">
        <f>IF(I7&lt;0,U7+T9,T9+U8)</f>
        <v/>
      </c>
      <c r="V9" s="177">
        <f>IF(I7&lt;0,V7+U9,U9+V8)</f>
        <v/>
      </c>
      <c r="W9" s="177">
        <f>IF(I7&lt;0,W7+V9,V9+W8)</f>
        <v/>
      </c>
      <c r="X9" s="177">
        <f>IF(I7&lt;0,X7+W9,W9+X8)</f>
        <v/>
      </c>
      <c r="Y9" s="177">
        <f>IF(I7&lt;0,Y7+X9,X9+Y8)</f>
        <v/>
      </c>
      <c r="Z9" s="177">
        <f>IF(I7&lt;0,Z7+Y9,Y9+Z8)</f>
        <v/>
      </c>
    </row>
    <row r="10" ht="21.6" customHeight="1" s="162">
      <c r="A10" s="7" t="n">
        <v>7</v>
      </c>
      <c r="B10" s="7" t="inlineStr">
        <is>
          <t>应纳税所得额（5-6）</t>
        </is>
      </c>
      <c r="C10" s="177">
        <f>(SUM(D10:Z10))</f>
        <v/>
      </c>
      <c r="D10" s="177">
        <f>IF(D9&lt;0,0,(D7-D8))</f>
        <v/>
      </c>
      <c r="E10" s="177">
        <f>IF(E9&lt;0,0,(E7-E8))</f>
        <v/>
      </c>
      <c r="F10" s="177">
        <f>IF(F9&lt;0,0,(F7-F8))</f>
        <v/>
      </c>
      <c r="G10" s="177">
        <f>IF(G9&lt;0,0,(G7-G8))</f>
        <v/>
      </c>
      <c r="H10" s="177">
        <f>IF(H9&lt;0,0,(H7-H8))</f>
        <v/>
      </c>
      <c r="I10" s="177">
        <f>IF(I9&lt;0,0,(I7-I8))</f>
        <v/>
      </c>
      <c r="J10" s="177">
        <f>IF(I9&lt;0,0,(J7-J8))</f>
        <v/>
      </c>
      <c r="K10" s="177">
        <f>IF(I9&lt;0,0,(K7-K8))</f>
        <v/>
      </c>
      <c r="L10" s="177">
        <f>IF(I9&lt;0,0,(L7-L8))</f>
        <v/>
      </c>
      <c r="M10" s="177">
        <f>IF(I9&lt;0,0,(M7-M8))</f>
        <v/>
      </c>
      <c r="N10" s="177">
        <f>IF(I9&lt;0,0,(N7-N8))</f>
        <v/>
      </c>
      <c r="O10" s="177">
        <f>IF(I9&lt;0,0,(O7-O8))</f>
        <v/>
      </c>
      <c r="P10" s="177">
        <f>IF(I9&lt;0,0,(P7-P8))</f>
        <v/>
      </c>
      <c r="Q10" s="177">
        <f>IF(I9&lt;0,0,(Q7-Q8))</f>
        <v/>
      </c>
      <c r="R10" s="177">
        <f>IF(I9&lt;0,0,(R7-R8))</f>
        <v/>
      </c>
      <c r="S10" s="177">
        <f>IF(I9&lt;0,0,(S7-S8))</f>
        <v/>
      </c>
      <c r="T10" s="177">
        <f>IF(I9&lt;0,0,(T7-T8))</f>
        <v/>
      </c>
      <c r="U10" s="177">
        <f>IF(I9&lt;0,0,(U7-U8))</f>
        <v/>
      </c>
      <c r="V10" s="177">
        <f>IF(I9&lt;0,0,(V7-V8))</f>
        <v/>
      </c>
      <c r="W10" s="177">
        <f>IF(I9&lt;0,0,(W7-W8))</f>
        <v/>
      </c>
      <c r="X10" s="177">
        <f>IF(I9&lt;0,0,(X7-X8))</f>
        <v/>
      </c>
      <c r="Y10" s="177">
        <f>IF(I9&lt;0,0,(Y7-Y8))</f>
        <v/>
      </c>
      <c r="Z10" s="177">
        <f>IF(I9&lt;0,0,(Z7-Z8))</f>
        <v/>
      </c>
    </row>
    <row r="11" ht="21.6" customHeight="1" s="162">
      <c r="A11" s="7" t="n">
        <v>8</v>
      </c>
      <c r="B11" s="92" t="inlineStr">
        <is>
          <t>所得税</t>
        </is>
      </c>
      <c r="C11" s="177">
        <f>(SUM(D11:Z11))</f>
        <v/>
      </c>
      <c r="D11" s="177">
        <f>D10*A财务假设!$D$9</f>
        <v/>
      </c>
      <c r="E11" s="177">
        <f>E10*A财务假设!$D$9</f>
        <v/>
      </c>
      <c r="F11" s="177">
        <f>F10*A财务假设!$D$9</f>
        <v/>
      </c>
      <c r="G11" s="177">
        <f>G10*A财务假设!$D$9</f>
        <v/>
      </c>
      <c r="H11" s="177">
        <f>H10*A财务假设!$D$9</f>
        <v/>
      </c>
      <c r="I11" s="177">
        <f>I10*A财务假设!$D$9</f>
        <v/>
      </c>
      <c r="J11" s="177">
        <f>J10*'A财务假设'!$D$9</f>
        <v/>
      </c>
      <c r="K11" s="177">
        <f>K10*'A财务假设'!$D$9</f>
        <v/>
      </c>
      <c r="L11" s="177">
        <f>L10*'A财务假设'!$D$9</f>
        <v/>
      </c>
      <c r="M11" s="177">
        <f>M10*'A财务假设'!$D$9</f>
        <v/>
      </c>
      <c r="N11" s="177">
        <f>N10*'A财务假设'!$D$9</f>
        <v/>
      </c>
      <c r="O11" s="177">
        <f>O10*'A财务假设'!$D$9</f>
        <v/>
      </c>
      <c r="P11" s="177">
        <f>P10*'A财务假设'!$D$9</f>
        <v/>
      </c>
      <c r="Q11" s="177">
        <f>Q10*'A财务假设'!$D$9</f>
        <v/>
      </c>
      <c r="R11" s="177">
        <f>R10*'A财务假设'!$D$9</f>
        <v/>
      </c>
      <c r="S11" s="177">
        <f>S10*'A财务假设'!$D$9</f>
        <v/>
      </c>
      <c r="T11" s="177">
        <f>T10*'A财务假设'!$D$9</f>
        <v/>
      </c>
      <c r="U11" s="177">
        <f>U10*'A财务假设'!$D$9</f>
        <v/>
      </c>
      <c r="V11" s="177">
        <f>V10*'A财务假设'!$D$9</f>
        <v/>
      </c>
      <c r="W11" s="177">
        <f>W10*'A财务假设'!$D$9</f>
        <v/>
      </c>
      <c r="X11" s="177">
        <f>X10*'A财务假设'!$D$9</f>
        <v/>
      </c>
      <c r="Y11" s="177">
        <f>Y10*'A财务假设'!$D$9</f>
        <v/>
      </c>
      <c r="Z11" s="177">
        <f>Z10*'A财务假设'!$D$9</f>
        <v/>
      </c>
    </row>
    <row r="12" ht="21.6" customHeight="1" s="162">
      <c r="A12" s="7" t="n">
        <v>9</v>
      </c>
      <c r="B12" s="7" t="inlineStr">
        <is>
          <t>净利润（5-8）</t>
        </is>
      </c>
      <c r="C12" s="177">
        <f>(SUM(D12:Z12))</f>
        <v/>
      </c>
      <c r="D12" s="177">
        <f>D7-D11</f>
        <v/>
      </c>
      <c r="E12" s="177">
        <f>E7-E11</f>
        <v/>
      </c>
      <c r="F12" s="177">
        <f>F7-F11</f>
        <v/>
      </c>
      <c r="G12" s="177">
        <f>G7-G11</f>
        <v/>
      </c>
      <c r="H12" s="177">
        <f>H7-H11</f>
        <v/>
      </c>
      <c r="I12" s="177">
        <f>I7-I11</f>
        <v/>
      </c>
      <c r="J12" s="177">
        <f>J7-J11</f>
        <v/>
      </c>
      <c r="K12" s="177">
        <f>K7-K11</f>
        <v/>
      </c>
      <c r="L12" s="177">
        <f>L7-L11</f>
        <v/>
      </c>
      <c r="M12" s="177">
        <f>M7-M11</f>
        <v/>
      </c>
      <c r="N12" s="177">
        <f>N7-N11</f>
        <v/>
      </c>
      <c r="O12" s="177">
        <f>O7-O11</f>
        <v/>
      </c>
      <c r="P12" s="177">
        <f>P7-P11</f>
        <v/>
      </c>
      <c r="Q12" s="177">
        <f>Q7-Q11</f>
        <v/>
      </c>
      <c r="R12" s="177">
        <f>R7-R11</f>
        <v/>
      </c>
      <c r="S12" s="177">
        <f>S7-S11</f>
        <v/>
      </c>
      <c r="T12" s="177">
        <f>T7-T11</f>
        <v/>
      </c>
      <c r="U12" s="177">
        <f>U7-U11</f>
        <v/>
      </c>
      <c r="V12" s="177">
        <f>V7-V11</f>
        <v/>
      </c>
      <c r="W12" s="177">
        <f>W7-W11</f>
        <v/>
      </c>
      <c r="X12" s="177">
        <f>X7-X11</f>
        <v/>
      </c>
      <c r="Y12" s="177">
        <f>Y7-Y11</f>
        <v/>
      </c>
      <c r="Z12" s="177">
        <f>Z7-Z11</f>
        <v/>
      </c>
    </row>
    <row r="13" ht="21.6" customHeight="1" s="162">
      <c r="A13" s="7" t="n">
        <v>10</v>
      </c>
      <c r="B13" s="7" t="inlineStr">
        <is>
          <t>期初未分配利润</t>
        </is>
      </c>
      <c r="C13" s="177">
        <f>(SUM(D13:Z13))</f>
        <v/>
      </c>
      <c r="D13" s="169" t="n">
        <v>0</v>
      </c>
      <c r="E13" s="169" t="n">
        <v>0</v>
      </c>
      <c r="F13" s="169" t="n">
        <v>0</v>
      </c>
      <c r="G13" s="169" t="n">
        <v>0</v>
      </c>
      <c r="H13" s="169" t="n">
        <v>0</v>
      </c>
      <c r="I13" s="169" t="n">
        <v>0</v>
      </c>
      <c r="J13" s="169" t="n">
        <v>0</v>
      </c>
      <c r="K13" s="169" t="n">
        <v>0</v>
      </c>
      <c r="L13" s="169" t="n">
        <v>0</v>
      </c>
      <c r="M13" s="169" t="n">
        <v>0</v>
      </c>
      <c r="N13" s="169" t="n">
        <v>0</v>
      </c>
      <c r="O13" s="169" t="n">
        <v>0</v>
      </c>
      <c r="P13" s="169" t="n">
        <v>0</v>
      </c>
      <c r="Q13" s="169" t="n">
        <v>0</v>
      </c>
      <c r="R13" s="169" t="n">
        <v>0</v>
      </c>
      <c r="S13" s="169" t="n">
        <v>0</v>
      </c>
      <c r="T13" s="169" t="n">
        <v>0</v>
      </c>
      <c r="U13" s="169" t="n">
        <v>0</v>
      </c>
      <c r="V13" s="169" t="n">
        <v>0</v>
      </c>
      <c r="W13" s="169" t="n">
        <v>0</v>
      </c>
      <c r="X13" s="169" t="n">
        <v>0</v>
      </c>
      <c r="Y13" s="169" t="n">
        <v>0</v>
      </c>
      <c r="Z13" s="169" t="n">
        <v>0</v>
      </c>
    </row>
    <row r="14" ht="21.6" customHeight="1" s="162">
      <c r="A14" s="7" t="n">
        <v>11</v>
      </c>
      <c r="B14" s="7" t="inlineStr">
        <is>
          <t>可供分配的利润（9+10）</t>
        </is>
      </c>
      <c r="C14" s="177">
        <f>(SUM(D14:Z14))</f>
        <v/>
      </c>
      <c r="D14" s="177">
        <f>SUM(D12:D13)</f>
        <v/>
      </c>
      <c r="E14" s="177">
        <f>SUM(E12:E13)</f>
        <v/>
      </c>
      <c r="F14" s="177">
        <f>SUM(F12:F13)</f>
        <v/>
      </c>
      <c r="G14" s="177">
        <f>SUM(G12:G13)</f>
        <v/>
      </c>
      <c r="H14" s="177">
        <f>SUM(H12:H13)</f>
        <v/>
      </c>
      <c r="I14" s="177">
        <f>SUM(I12:I13)</f>
        <v/>
      </c>
      <c r="J14" s="177">
        <f>SUM(J12:J13)</f>
        <v/>
      </c>
      <c r="K14" s="177">
        <f>SUM(K12:K13)</f>
        <v/>
      </c>
      <c r="L14" s="177">
        <f>SUM(L12:L13)</f>
        <v/>
      </c>
      <c r="M14" s="177">
        <f>SUM(M12:M13)</f>
        <v/>
      </c>
      <c r="N14" s="177">
        <f>SUM(N12:N13)</f>
        <v/>
      </c>
      <c r="O14" s="177">
        <f>SUM(O12:O13)</f>
        <v/>
      </c>
      <c r="P14" s="177">
        <f>SUM(P12:P13)</f>
        <v/>
      </c>
      <c r="Q14" s="177">
        <f>SUM(Q12:Q13)</f>
        <v/>
      </c>
      <c r="R14" s="177">
        <f>SUM(R12:R13)</f>
        <v/>
      </c>
      <c r="S14" s="177">
        <f>SUM(S12:S13)</f>
        <v/>
      </c>
      <c r="T14" s="177">
        <f>SUM(T12:T13)</f>
        <v/>
      </c>
      <c r="U14" s="177">
        <f>SUM(U12:U13)</f>
        <v/>
      </c>
      <c r="V14" s="177">
        <f>SUM(V12:V13)</f>
        <v/>
      </c>
      <c r="W14" s="177">
        <f>SUM(W12:W13)</f>
        <v/>
      </c>
      <c r="X14" s="177">
        <f>SUM(X12:X13)</f>
        <v/>
      </c>
      <c r="Y14" s="177">
        <f>SUM(Y12:Y13)</f>
        <v/>
      </c>
      <c r="Z14" s="177">
        <f>SUM(Z12:Z13)</f>
        <v/>
      </c>
    </row>
    <row r="15" ht="21.6" customHeight="1" s="162">
      <c r="A15" s="7" t="n">
        <v>12</v>
      </c>
      <c r="B15" s="7" t="inlineStr">
        <is>
          <t>提取法定盈余公积金</t>
        </is>
      </c>
      <c r="C15" s="177">
        <f>(SUM(D15:Z15))</f>
        <v/>
      </c>
      <c r="D15" s="177">
        <f>D12*A财务假设!$D$10</f>
        <v/>
      </c>
      <c r="E15" s="177">
        <f>E12*A财务假设!$D$10</f>
        <v/>
      </c>
      <c r="F15" s="177">
        <f>F12*A财务假设!$D$10</f>
        <v/>
      </c>
      <c r="G15" s="177">
        <f>G12*A财务假设!$D$10</f>
        <v/>
      </c>
      <c r="H15" s="177">
        <f>H12*A财务假设!$D$10</f>
        <v/>
      </c>
      <c r="I15" s="177">
        <f>I12*A财务假设!$D$10</f>
        <v/>
      </c>
      <c r="J15" s="177">
        <f>J12*'A财务假设'!$D$10</f>
        <v/>
      </c>
      <c r="K15" s="177">
        <f>K12*'A财务假设'!$D$10</f>
        <v/>
      </c>
      <c r="L15" s="177">
        <f>L12*'A财务假设'!$D$10</f>
        <v/>
      </c>
      <c r="M15" s="177">
        <f>M12*'A财务假设'!$D$10</f>
        <v/>
      </c>
      <c r="N15" s="177">
        <f>N12*'A财务假设'!$D$10</f>
        <v/>
      </c>
      <c r="O15" s="177">
        <f>O12*'A财务假设'!$D$10</f>
        <v/>
      </c>
      <c r="P15" s="177">
        <f>P12*'A财务假设'!$D$10</f>
        <v/>
      </c>
      <c r="Q15" s="177">
        <f>Q12*'A财务假设'!$D$10</f>
        <v/>
      </c>
      <c r="R15" s="177">
        <f>R12*'A财务假设'!$D$10</f>
        <v/>
      </c>
      <c r="S15" s="177">
        <f>S12*'A财务假设'!$D$10</f>
        <v/>
      </c>
      <c r="T15" s="177">
        <f>T12*'A财务假设'!$D$10</f>
        <v/>
      </c>
      <c r="U15" s="177">
        <f>U12*'A财务假设'!$D$10</f>
        <v/>
      </c>
      <c r="V15" s="177">
        <f>V12*'A财务假设'!$D$10</f>
        <v/>
      </c>
      <c r="W15" s="177">
        <f>W12*'A财务假设'!$D$10</f>
        <v/>
      </c>
      <c r="X15" s="177">
        <f>X12*'A财务假设'!$D$10</f>
        <v/>
      </c>
      <c r="Y15" s="177">
        <f>Y12*'A财务假设'!$D$10</f>
        <v/>
      </c>
      <c r="Z15" s="177">
        <f>Z12*'A财务假设'!$D$10</f>
        <v/>
      </c>
    </row>
    <row r="16" ht="21.6" customHeight="1" s="162">
      <c r="A16" s="7" t="n">
        <v>13</v>
      </c>
      <c r="B16" s="7" t="inlineStr">
        <is>
          <t>可供投资者分配的利润（11-12）</t>
        </is>
      </c>
      <c r="C16" s="177">
        <f>(SUM(D16:Z16))</f>
        <v/>
      </c>
      <c r="D16" s="177">
        <f>D14-D15</f>
        <v/>
      </c>
      <c r="E16" s="177">
        <f>E14-E15</f>
        <v/>
      </c>
      <c r="F16" s="177">
        <f>F14-F15</f>
        <v/>
      </c>
      <c r="G16" s="177">
        <f>G14-G15</f>
        <v/>
      </c>
      <c r="H16" s="177">
        <f>H14-H15</f>
        <v/>
      </c>
      <c r="I16" s="177">
        <f>I14-I15</f>
        <v/>
      </c>
      <c r="J16" s="177">
        <f>J14-J15</f>
        <v/>
      </c>
      <c r="K16" s="177">
        <f>K14-K15</f>
        <v/>
      </c>
      <c r="L16" s="177">
        <f>L14-L15</f>
        <v/>
      </c>
      <c r="M16" s="177">
        <f>M14-M15</f>
        <v/>
      </c>
      <c r="N16" s="177">
        <f>N14-N15</f>
        <v/>
      </c>
      <c r="O16" s="177">
        <f>O14-O15</f>
        <v/>
      </c>
      <c r="P16" s="177">
        <f>P14-P15</f>
        <v/>
      </c>
      <c r="Q16" s="177">
        <f>Q14-Q15</f>
        <v/>
      </c>
      <c r="R16" s="177">
        <f>R14-R15</f>
        <v/>
      </c>
      <c r="S16" s="177">
        <f>S14-S15</f>
        <v/>
      </c>
      <c r="T16" s="177">
        <f>T14-T15</f>
        <v/>
      </c>
      <c r="U16" s="177">
        <f>U14-U15</f>
        <v/>
      </c>
      <c r="V16" s="177">
        <f>V14-V15</f>
        <v/>
      </c>
      <c r="W16" s="177">
        <f>W14-W15</f>
        <v/>
      </c>
      <c r="X16" s="177">
        <f>X14-X15</f>
        <v/>
      </c>
      <c r="Y16" s="177">
        <f>Y14-Y15</f>
        <v/>
      </c>
      <c r="Z16" s="177">
        <f>Z14-Z15</f>
        <v/>
      </c>
    </row>
    <row r="17" ht="21.6" customHeight="1" s="162">
      <c r="A17" s="7" t="n">
        <v>14</v>
      </c>
      <c r="B17" s="55" t="inlineStr">
        <is>
          <t>应付优先股股利</t>
        </is>
      </c>
      <c r="C17" s="177">
        <f>(SUM(D17:Z17))</f>
        <v/>
      </c>
      <c r="D17" s="169" t="n">
        <v>0</v>
      </c>
      <c r="E17" s="169" t="n">
        <v>0</v>
      </c>
      <c r="F17" s="169" t="n">
        <v>0</v>
      </c>
      <c r="G17" s="169" t="n">
        <v>0</v>
      </c>
      <c r="H17" s="169" t="n">
        <v>0</v>
      </c>
      <c r="I17" s="169" t="n">
        <v>0</v>
      </c>
      <c r="J17" s="169" t="n">
        <v>0</v>
      </c>
      <c r="K17" s="169" t="n">
        <v>0</v>
      </c>
      <c r="L17" s="169" t="n">
        <v>0</v>
      </c>
      <c r="M17" s="169" t="n">
        <v>0</v>
      </c>
      <c r="N17" s="169" t="n">
        <v>0</v>
      </c>
      <c r="O17" s="169" t="n">
        <v>0</v>
      </c>
      <c r="P17" s="169" t="n">
        <v>0</v>
      </c>
      <c r="Q17" s="169" t="n">
        <v>0</v>
      </c>
      <c r="R17" s="169" t="n">
        <v>0</v>
      </c>
      <c r="S17" s="169" t="n">
        <v>0</v>
      </c>
      <c r="T17" s="169" t="n">
        <v>0</v>
      </c>
      <c r="U17" s="169" t="n">
        <v>0</v>
      </c>
      <c r="V17" s="169" t="n">
        <v>0</v>
      </c>
      <c r="W17" s="169" t="n">
        <v>0</v>
      </c>
      <c r="X17" s="169" t="n">
        <v>0</v>
      </c>
      <c r="Y17" s="169" t="n">
        <v>0</v>
      </c>
      <c r="Z17" s="169" t="n">
        <v>0</v>
      </c>
    </row>
    <row r="18" ht="21.6" customHeight="1" s="162">
      <c r="A18" s="7" t="n">
        <v>15</v>
      </c>
      <c r="B18" s="55" t="inlineStr">
        <is>
          <t>提取任意盈余公积金</t>
        </is>
      </c>
      <c r="C18" s="177">
        <f>(SUM(D18:Z18))</f>
        <v/>
      </c>
      <c r="D18" s="177">
        <f>D16*A财务假设!$D$11</f>
        <v/>
      </c>
      <c r="E18" s="177">
        <f>E16*A财务假设!$D$11</f>
        <v/>
      </c>
      <c r="F18" s="177">
        <f>F16*A财务假设!$D$11</f>
        <v/>
      </c>
      <c r="G18" s="177">
        <f>G16*A财务假设!$D$11</f>
        <v/>
      </c>
      <c r="H18" s="177">
        <f>H16*A财务假设!$D$11</f>
        <v/>
      </c>
      <c r="I18" s="177">
        <f>I16*A财务假设!$D$11</f>
        <v/>
      </c>
      <c r="J18" s="177">
        <f>J16*'A财务假设'!$D$11</f>
        <v/>
      </c>
      <c r="K18" s="177">
        <f>K16*'A财务假设'!$D$11</f>
        <v/>
      </c>
      <c r="L18" s="177">
        <f>L16*'A财务假设'!$D$11</f>
        <v/>
      </c>
      <c r="M18" s="177">
        <f>M16*'A财务假设'!$D$11</f>
        <v/>
      </c>
      <c r="N18" s="177">
        <f>N16*'A财务假设'!$D$11</f>
        <v/>
      </c>
      <c r="O18" s="177">
        <f>O16*'A财务假设'!$D$11</f>
        <v/>
      </c>
      <c r="P18" s="177">
        <f>P16*'A财务假设'!$D$11</f>
        <v/>
      </c>
      <c r="Q18" s="177">
        <f>Q16*'A财务假设'!$D$11</f>
        <v/>
      </c>
      <c r="R18" s="177">
        <f>R16*'A财务假设'!$D$11</f>
        <v/>
      </c>
      <c r="S18" s="177">
        <f>S16*'A财务假设'!$D$11</f>
        <v/>
      </c>
      <c r="T18" s="177">
        <f>T16*'A财务假设'!$D$11</f>
        <v/>
      </c>
      <c r="U18" s="177">
        <f>U16*'A财务假设'!$D$11</f>
        <v/>
      </c>
      <c r="V18" s="177">
        <f>V16*'A财务假设'!$D$11</f>
        <v/>
      </c>
      <c r="W18" s="177">
        <f>W16*'A财务假设'!$D$11</f>
        <v/>
      </c>
      <c r="X18" s="177">
        <f>X16*'A财务假设'!$D$11</f>
        <v/>
      </c>
      <c r="Y18" s="177">
        <f>Y16*'A财务假设'!$D$11</f>
        <v/>
      </c>
      <c r="Z18" s="177">
        <f>Z16*'A财务假设'!$D$11</f>
        <v/>
      </c>
    </row>
    <row r="19" ht="21.6" customHeight="1" s="162">
      <c r="A19" s="7" t="n">
        <v>16</v>
      </c>
      <c r="B19" s="55" t="inlineStr">
        <is>
          <t>应付普通股股利（13-14-15）</t>
        </is>
      </c>
      <c r="C19" s="177">
        <f>(SUM(D19:Z19))</f>
        <v/>
      </c>
      <c r="D19" s="170">
        <f>D16-D17-D18</f>
        <v/>
      </c>
      <c r="E19" s="170">
        <f>E16-E17-E18</f>
        <v/>
      </c>
      <c r="F19" s="170">
        <f>F16-F17-F18</f>
        <v/>
      </c>
      <c r="G19" s="170">
        <f>G16-G17-G18</f>
        <v/>
      </c>
      <c r="H19" s="170">
        <f>H16-H17-H18</f>
        <v/>
      </c>
      <c r="I19" s="170">
        <f>I16-I17-I18</f>
        <v/>
      </c>
      <c r="J19" s="170">
        <f>J16-J17-J18</f>
        <v/>
      </c>
      <c r="K19" s="170">
        <f>K16-K17-K18</f>
        <v/>
      </c>
      <c r="L19" s="170">
        <f>L16-L17-L18</f>
        <v/>
      </c>
      <c r="M19" s="170">
        <f>M16-M17-M18</f>
        <v/>
      </c>
      <c r="N19" s="170">
        <f>N16-N17-N18</f>
        <v/>
      </c>
      <c r="O19" s="170">
        <f>O16-O17-O18</f>
        <v/>
      </c>
      <c r="P19" s="170">
        <f>P16-P17-P18</f>
        <v/>
      </c>
      <c r="Q19" s="170">
        <f>Q16-Q17-Q18</f>
        <v/>
      </c>
      <c r="R19" s="170">
        <f>R16-R17-R18</f>
        <v/>
      </c>
      <c r="S19" s="170">
        <f>S16-S17-S18</f>
        <v/>
      </c>
      <c r="T19" s="170">
        <f>T16-T17-T18</f>
        <v/>
      </c>
      <c r="U19" s="170">
        <f>U16-U17-U18</f>
        <v/>
      </c>
      <c r="V19" s="170">
        <f>V16-V17-V18</f>
        <v/>
      </c>
      <c r="W19" s="170">
        <f>W16-W17-W18</f>
        <v/>
      </c>
      <c r="X19" s="170">
        <f>X16-X17-X18</f>
        <v/>
      </c>
      <c r="Y19" s="170">
        <f>Y16-Y17-Y18</f>
        <v/>
      </c>
      <c r="Z19" s="170">
        <f>Z16-Z17-Z18</f>
        <v/>
      </c>
    </row>
    <row r="20" ht="21.6" customHeight="1" s="162">
      <c r="A20" s="7" t="n">
        <v>17</v>
      </c>
      <c r="B20" s="55" t="inlineStr">
        <is>
          <t>各投资方利润分配：</t>
        </is>
      </c>
      <c r="C20" s="177">
        <f>(SUM(D20:Z20))</f>
        <v/>
      </c>
      <c r="D20" s="169" t="n">
        <v>0</v>
      </c>
      <c r="E20" s="169" t="n">
        <v>0</v>
      </c>
      <c r="F20" s="169" t="n">
        <v>0</v>
      </c>
      <c r="G20" s="169" t="n">
        <v>0</v>
      </c>
      <c r="H20" s="169" t="n">
        <v>0</v>
      </c>
      <c r="I20" s="169" t="n">
        <v>0</v>
      </c>
      <c r="J20" s="169" t="n">
        <v>0</v>
      </c>
      <c r="K20" s="169" t="n">
        <v>0</v>
      </c>
      <c r="L20" s="169" t="n">
        <v>0</v>
      </c>
      <c r="M20" s="169" t="n">
        <v>0</v>
      </c>
      <c r="N20" s="169" t="n">
        <v>0</v>
      </c>
      <c r="O20" s="169" t="n">
        <v>0</v>
      </c>
      <c r="P20" s="169" t="n">
        <v>0</v>
      </c>
      <c r="Q20" s="169" t="n">
        <v>0</v>
      </c>
      <c r="R20" s="169" t="n">
        <v>0</v>
      </c>
      <c r="S20" s="169" t="n">
        <v>0</v>
      </c>
      <c r="T20" s="169" t="n">
        <v>0</v>
      </c>
      <c r="U20" s="169" t="n">
        <v>0</v>
      </c>
      <c r="V20" s="169" t="n">
        <v>0</v>
      </c>
      <c r="W20" s="169" t="n">
        <v>0</v>
      </c>
      <c r="X20" s="169" t="n">
        <v>0</v>
      </c>
      <c r="Y20" s="169" t="n">
        <v>0</v>
      </c>
      <c r="Z20" s="169" t="n">
        <v>0</v>
      </c>
    </row>
    <row r="21" ht="21.6" customHeight="1" s="162">
      <c r="A21" s="7" t="n">
        <v>17.1</v>
      </c>
      <c r="B21" s="55" t="inlineStr">
        <is>
          <t>其中：投资方</t>
        </is>
      </c>
      <c r="C21" s="177">
        <f>(SUM(D21:Z21))</f>
        <v/>
      </c>
      <c r="D21" s="169" t="n">
        <v>0</v>
      </c>
      <c r="E21" s="169" t="n">
        <v>0</v>
      </c>
      <c r="F21" s="169" t="n">
        <v>0</v>
      </c>
      <c r="G21" s="169" t="n">
        <v>0</v>
      </c>
      <c r="H21" s="169" t="n">
        <v>0</v>
      </c>
      <c r="I21" s="169" t="n">
        <v>0</v>
      </c>
      <c r="J21" s="169" t="n">
        <v>0</v>
      </c>
      <c r="K21" s="169" t="n">
        <v>0</v>
      </c>
      <c r="L21" s="169" t="n">
        <v>0</v>
      </c>
      <c r="M21" s="169" t="n">
        <v>0</v>
      </c>
      <c r="N21" s="169" t="n">
        <v>0</v>
      </c>
      <c r="O21" s="169" t="n">
        <v>0</v>
      </c>
      <c r="P21" s="169" t="n">
        <v>0</v>
      </c>
      <c r="Q21" s="169" t="n">
        <v>0</v>
      </c>
      <c r="R21" s="169" t="n">
        <v>0</v>
      </c>
      <c r="S21" s="169" t="n">
        <v>0</v>
      </c>
      <c r="T21" s="169" t="n">
        <v>0</v>
      </c>
      <c r="U21" s="169" t="n">
        <v>0</v>
      </c>
      <c r="V21" s="169" t="n">
        <v>0</v>
      </c>
      <c r="W21" s="169" t="n">
        <v>0</v>
      </c>
      <c r="X21" s="169" t="n">
        <v>0</v>
      </c>
      <c r="Y21" s="169" t="n">
        <v>0</v>
      </c>
      <c r="Z21" s="169" t="n">
        <v>0</v>
      </c>
    </row>
    <row r="22" ht="21.6" customHeight="1" s="162">
      <c r="A22" s="7" t="n">
        <v>18</v>
      </c>
      <c r="B22" s="7" t="inlineStr">
        <is>
          <t>未分配利润（13-14-15-17）</t>
        </is>
      </c>
      <c r="C22" s="177">
        <f>(SUM(D22:Z22))</f>
        <v/>
      </c>
      <c r="D22" s="177">
        <f>D16-D17-D18-D20</f>
        <v/>
      </c>
      <c r="E22" s="177">
        <f>E16-E17-E18-E20</f>
        <v/>
      </c>
      <c r="F22" s="177">
        <f>F16-F17-F18-F20</f>
        <v/>
      </c>
      <c r="G22" s="177">
        <f>G16-G17-G18-G20</f>
        <v/>
      </c>
      <c r="H22" s="177">
        <f>H16-H17-H18-H20</f>
        <v/>
      </c>
      <c r="I22" s="177">
        <f>I16-I17-I18-I20</f>
        <v/>
      </c>
      <c r="J22" s="177">
        <f>J16-J17-J18-J20</f>
        <v/>
      </c>
      <c r="K22" s="177">
        <f>K16-K17-K18-K20</f>
        <v/>
      </c>
      <c r="L22" s="177">
        <f>L16-L17-L18-L20</f>
        <v/>
      </c>
      <c r="M22" s="177">
        <f>M16-M17-M18-M20</f>
        <v/>
      </c>
      <c r="N22" s="177">
        <f>N16-N17-N18-N20</f>
        <v/>
      </c>
      <c r="O22" s="177">
        <f>O16-O17-O18-O20</f>
        <v/>
      </c>
      <c r="P22" s="177">
        <f>P16-P17-P18-P20</f>
        <v/>
      </c>
      <c r="Q22" s="177">
        <f>Q16-Q17-Q18-Q20</f>
        <v/>
      </c>
      <c r="R22" s="177">
        <f>R16-R17-R18-R20</f>
        <v/>
      </c>
      <c r="S22" s="177">
        <f>S16-S17-S18-S20</f>
        <v/>
      </c>
      <c r="T22" s="177">
        <f>T16-T17-T18-T20</f>
        <v/>
      </c>
      <c r="U22" s="177">
        <f>U16-U17-U18-U20</f>
        <v/>
      </c>
      <c r="V22" s="177">
        <f>V16-V17-V18-V20</f>
        <v/>
      </c>
      <c r="W22" s="177">
        <f>W16-W17-W18-W20</f>
        <v/>
      </c>
      <c r="X22" s="177">
        <f>X16-X17-X18-X20</f>
        <v/>
      </c>
      <c r="Y22" s="177">
        <f>Y16-Y17-Y18-Y20</f>
        <v/>
      </c>
      <c r="Z22" s="177">
        <f>Z16-Z17-Z18-Z20</f>
        <v/>
      </c>
    </row>
    <row r="23" ht="21.6" customHeight="1" s="162">
      <c r="A23" s="7" t="n">
        <v>18.1</v>
      </c>
      <c r="B23" s="7" t="inlineStr">
        <is>
          <t>其中：偿还借款</t>
        </is>
      </c>
      <c r="C23" s="177">
        <f>(SUM(D23:Z23))</f>
        <v/>
      </c>
      <c r="D23" s="169" t="n">
        <v>0</v>
      </c>
      <c r="E23" s="169" t="n">
        <v>0</v>
      </c>
      <c r="F23" s="169" t="n">
        <v>0</v>
      </c>
      <c r="G23" s="169" t="n">
        <v>0</v>
      </c>
      <c r="H23" s="169" t="n">
        <v>0</v>
      </c>
      <c r="I23" s="169" t="n">
        <v>0</v>
      </c>
      <c r="J23" s="169" t="n">
        <v>0</v>
      </c>
      <c r="K23" s="169" t="n">
        <v>0</v>
      </c>
      <c r="L23" s="169" t="n">
        <v>0</v>
      </c>
      <c r="M23" s="169" t="n">
        <v>0</v>
      </c>
      <c r="N23" s="169" t="n">
        <v>0</v>
      </c>
      <c r="O23" s="169" t="n">
        <v>0</v>
      </c>
      <c r="P23" s="169" t="n">
        <v>0</v>
      </c>
      <c r="Q23" s="169" t="n">
        <v>0</v>
      </c>
      <c r="R23" s="169" t="n">
        <v>0</v>
      </c>
      <c r="S23" s="169" t="n">
        <v>0</v>
      </c>
      <c r="T23" s="169" t="n">
        <v>0</v>
      </c>
      <c r="U23" s="169" t="n">
        <v>0</v>
      </c>
      <c r="V23" s="169" t="n">
        <v>0</v>
      </c>
      <c r="W23" s="169" t="n">
        <v>0</v>
      </c>
      <c r="X23" s="169" t="n">
        <v>0</v>
      </c>
      <c r="Y23" s="169" t="n">
        <v>0</v>
      </c>
      <c r="Z23" s="169" t="n">
        <v>0</v>
      </c>
    </row>
    <row r="24" ht="21.6" customHeight="1" s="162">
      <c r="A24" s="7" t="n">
        <v>18.2</v>
      </c>
      <c r="B24" s="7" t="inlineStr">
        <is>
          <t>累计未分配利润</t>
        </is>
      </c>
      <c r="C24" s="177">
        <f>(SUM(D24:Z24))</f>
        <v/>
      </c>
      <c r="D24" s="171">
        <f>D22</f>
        <v/>
      </c>
      <c r="E24" s="171">
        <f>E22+D24</f>
        <v/>
      </c>
      <c r="F24" s="171">
        <f>F22+E24</f>
        <v/>
      </c>
      <c r="G24" s="171">
        <f>G22+F24</f>
        <v/>
      </c>
      <c r="H24" s="171">
        <f>H22+G24</f>
        <v/>
      </c>
      <c r="I24" s="171">
        <f>I22+H24</f>
        <v/>
      </c>
      <c r="J24" s="171">
        <f>J22+I24</f>
        <v/>
      </c>
      <c r="K24" s="171">
        <f>K22+J24</f>
        <v/>
      </c>
      <c r="L24" s="171">
        <f>L22+K24</f>
        <v/>
      </c>
      <c r="M24" s="171">
        <f>M22+L24</f>
        <v/>
      </c>
      <c r="N24" s="171">
        <f>N22+M24</f>
        <v/>
      </c>
      <c r="O24" s="171">
        <f>O22+N24</f>
        <v/>
      </c>
      <c r="P24" s="171">
        <f>P22+O24</f>
        <v/>
      </c>
      <c r="Q24" s="171">
        <f>Q22+P24</f>
        <v/>
      </c>
      <c r="R24" s="171">
        <f>R22+Q24</f>
        <v/>
      </c>
      <c r="S24" s="171">
        <f>S22+R24</f>
        <v/>
      </c>
      <c r="T24" s="171">
        <f>T22+S24</f>
        <v/>
      </c>
      <c r="U24" s="171">
        <f>U22+T24</f>
        <v/>
      </c>
      <c r="V24" s="171">
        <f>V22+U24</f>
        <v/>
      </c>
      <c r="W24" s="171">
        <f>W22+V24</f>
        <v/>
      </c>
      <c r="X24" s="171">
        <f>X22+W24</f>
        <v/>
      </c>
      <c r="Y24" s="171">
        <f>Y22+X24</f>
        <v/>
      </c>
      <c r="Z24" s="171">
        <f>Z22+Y24</f>
        <v/>
      </c>
    </row>
    <row r="25" ht="33" customHeight="1" s="162">
      <c r="A25" s="7" t="n">
        <v>19</v>
      </c>
      <c r="B25" s="92" t="inlineStr">
        <is>
          <t>息税前利润
（利润总额+利息支出）</t>
        </is>
      </c>
      <c r="C25" s="177">
        <f>(SUM(D25:Z25))</f>
        <v/>
      </c>
      <c r="D25" s="171">
        <f>(D7+'c借款还本付息计划表'!D37+'c借款还本付息计划表'!D38+'c借款还本付息计划表'!D36)</f>
        <v/>
      </c>
      <c r="E25" s="171">
        <f>(E7+'c借款还本付息计划表'!E37+'c借款还本付息计划表'!E38+'c借款还本付息计划表'!E36)</f>
        <v/>
      </c>
      <c r="F25" s="171">
        <f>(F7+'c借款还本付息计划表'!F37+'c借款还本付息计划表'!F38+'c借款还本付息计划表'!F36)</f>
        <v/>
      </c>
      <c r="G25" s="177">
        <f>(G7+'E总成本费用估算表'!F14)</f>
        <v/>
      </c>
      <c r="H25" s="177">
        <f>(H7+'E总成本费用估算表'!G14)</f>
        <v/>
      </c>
      <c r="I25" s="177">
        <f>(I7+'E总成本费用估算表'!H14)</f>
        <v/>
      </c>
      <c r="J25" s="177">
        <f>(J7+'E总成本费用估算表'!I14)</f>
        <v/>
      </c>
      <c r="K25" s="177">
        <f>(K7+'E总成本费用估算表'!J14)</f>
        <v/>
      </c>
      <c r="L25" s="177">
        <f>(L7+'E总成本费用估算表'!K14)</f>
        <v/>
      </c>
      <c r="M25" s="177">
        <f>(M7+'E总成本费用估算表'!L14)</f>
        <v/>
      </c>
      <c r="N25" s="177">
        <f>(N7+'E总成本费用估算表'!M14)</f>
        <v/>
      </c>
      <c r="O25" s="177">
        <f>(O7+'E总成本费用估算表'!N14)</f>
        <v/>
      </c>
      <c r="P25" s="177">
        <f>(P7+'E总成本费用估算表'!O14)</f>
        <v/>
      </c>
      <c r="Q25" s="177">
        <f>(Q7+'E总成本费用估算表'!P14)</f>
        <v/>
      </c>
      <c r="R25" s="177">
        <f>(R7+'E总成本费用估算表'!Q14)</f>
        <v/>
      </c>
      <c r="S25" s="177">
        <f>(S7+'E总成本费用估算表'!R14)</f>
        <v/>
      </c>
      <c r="T25" s="177">
        <f>(T7+'E总成本费用估算表'!S14)</f>
        <v/>
      </c>
      <c r="U25" s="177">
        <f>(U7+'E总成本费用估算表'!T14)</f>
        <v/>
      </c>
      <c r="V25" s="177">
        <f>(V7+'E总成本费用估算表'!U14)</f>
        <v/>
      </c>
      <c r="W25" s="177">
        <f>(W7+'E总成本费用估算表'!V14)</f>
        <v/>
      </c>
      <c r="X25" s="177">
        <f>(X7+'E总成本费用估算表'!W14)</f>
        <v/>
      </c>
      <c r="Y25" s="177">
        <f>(Y7+'E总成本费用估算表'!X14)</f>
        <v/>
      </c>
      <c r="Z25" s="177">
        <f>Z7+'E总成本费用估算表'!Y14</f>
        <v/>
      </c>
    </row>
    <row r="26" ht="33" customHeight="1" s="162">
      <c r="A26" s="7" t="n">
        <v>20</v>
      </c>
      <c r="B26" s="92" t="inlineStr">
        <is>
          <t>息税折旧摊销前利润
（息税前利润+折旧+摊销）</t>
        </is>
      </c>
      <c r="C26" s="177">
        <f>(SUM(D26:Z26))</f>
        <v/>
      </c>
      <c r="D26" s="177">
        <f>D25+E总成本费用估算表!C12+E总成本费用估算表!C13</f>
        <v/>
      </c>
      <c r="E26" s="177">
        <f>E25+E总成本费用估算表!D12+E总成本费用估算表!D13</f>
        <v/>
      </c>
      <c r="F26" s="177">
        <f>F25+E总成本费用估算表!E12+E总成本费用估算表!E13</f>
        <v/>
      </c>
      <c r="G26" s="177">
        <f>G25+E总成本费用估算表!F12+E总成本费用估算表!F13</f>
        <v/>
      </c>
      <c r="H26" s="177">
        <f>H25+E总成本费用估算表!G12+E总成本费用估算表!G13</f>
        <v/>
      </c>
      <c r="I26" s="177">
        <f>I25+E总成本费用估算表!H12+E总成本费用估算表!H13</f>
        <v/>
      </c>
      <c r="J26" s="177">
        <f>J25+'E总成本费用估算表'!I12+'E总成本费用估算表'!I13</f>
        <v/>
      </c>
      <c r="K26" s="177">
        <f>K25+'E总成本费用估算表'!J12+'E总成本费用估算表'!J13</f>
        <v/>
      </c>
      <c r="L26" s="177">
        <f>L25+'E总成本费用估算表'!K12+'E总成本费用估算表'!K13</f>
        <v/>
      </c>
      <c r="M26" s="177">
        <f>M25+'E总成本费用估算表'!L12+'E总成本费用估算表'!L13</f>
        <v/>
      </c>
      <c r="N26" s="177">
        <f>N25+'E总成本费用估算表'!M12+'E总成本费用估算表'!M13</f>
        <v/>
      </c>
      <c r="O26" s="177">
        <f>O25+'E总成本费用估算表'!N12+'E总成本费用估算表'!N13</f>
        <v/>
      </c>
      <c r="P26" s="177">
        <f>P25+'E总成本费用估算表'!O12+'E总成本费用估算表'!O13</f>
        <v/>
      </c>
      <c r="Q26" s="177">
        <f>Q25+'E总成本费用估算表'!P12+'E总成本费用估算表'!P13</f>
        <v/>
      </c>
      <c r="R26" s="177">
        <f>R25+'E总成本费用估算表'!Q12+'E总成本费用估算表'!Q13</f>
        <v/>
      </c>
      <c r="S26" s="177">
        <f>S25+'E总成本费用估算表'!R12+'E总成本费用估算表'!R13</f>
        <v/>
      </c>
      <c r="T26" s="177">
        <f>T25+'E总成本费用估算表'!S12+'E总成本费用估算表'!S13</f>
        <v/>
      </c>
      <c r="U26" s="177">
        <f>U25+'E总成本费用估算表'!T12+'E总成本费用估算表'!T13</f>
        <v/>
      </c>
      <c r="V26" s="177">
        <f>V25+'E总成本费用估算表'!U12+'E总成本费用估算表'!U13</f>
        <v/>
      </c>
      <c r="W26" s="177">
        <f>W25+'E总成本费用估算表'!V12+'E总成本费用估算表'!V13</f>
        <v/>
      </c>
      <c r="X26" s="177">
        <f>X25+'E总成本费用估算表'!W12+'E总成本费用估算表'!W13</f>
        <v/>
      </c>
      <c r="Y26" s="177">
        <f>Y25+'E总成本费用估算表'!X12+'E总成本费用估算表'!X13</f>
        <v/>
      </c>
      <c r="Z26" s="177">
        <f>Z25+'E总成本费用估算表'!Y12+'E总成本费用估算表'!Y13</f>
        <v/>
      </c>
    </row>
    <row r="27" ht="21.6" customHeight="1" s="162">
      <c r="A27" s="7" t="n">
        <v>21</v>
      </c>
      <c r="B27" s="92" t="inlineStr">
        <is>
          <t>本息覆盖倍数</t>
        </is>
      </c>
      <c r="C27" s="211">
        <f>((C26-C11)/'c借款还本付息计划表'!C32)</f>
        <v/>
      </c>
      <c r="D27" s="213" t="n"/>
      <c r="E27" s="213" t="n"/>
      <c r="F27" s="213" t="n"/>
      <c r="G27" s="213" t="n"/>
      <c r="H27" s="213" t="n"/>
      <c r="I27" s="213" t="n"/>
      <c r="J27" s="213" t="n"/>
      <c r="K27" s="213" t="n"/>
      <c r="L27" s="213" t="n"/>
      <c r="M27" s="213" t="n"/>
      <c r="N27" s="213" t="n"/>
      <c r="O27" s="213" t="n"/>
      <c r="P27" s="213" t="n"/>
      <c r="Q27" s="213" t="n"/>
      <c r="R27" s="213" t="n"/>
      <c r="S27" s="213" t="n"/>
      <c r="T27" s="213" t="n"/>
      <c r="U27" s="213" t="n"/>
      <c r="V27" s="213" t="n"/>
      <c r="W27" s="213" t="n"/>
      <c r="X27" s="213" t="n"/>
      <c r="Y27" s="213" t="n"/>
      <c r="Z27" s="214" t="n"/>
    </row>
    <row r="28" s="162">
      <c r="J28" s="45" t="n"/>
    </row>
  </sheetData>
  <mergeCells count="2">
    <mergeCell ref="A1:I1"/>
    <mergeCell ref="C27:Z27"/>
  </mergeCells>
  <pageMargins left="0.75" right="0.75" top="1" bottom="1" header="0.5" footer="0.5"/>
</worksheet>
</file>

<file path=xl/worksheets/sheet24.xml><?xml version="1.0" encoding="utf-8"?>
<worksheet xmlns="http://schemas.openxmlformats.org/spreadsheetml/2006/main">
  <sheetPr codeName="Sheet21">
    <tabColor rgb="FFFFC000"/>
    <outlinePr summaryBelow="1" summaryRight="1"/>
    <pageSetUpPr/>
  </sheetPr>
  <dimension ref="A2:Z40"/>
  <sheetViews>
    <sheetView zoomScale="70" zoomScaleNormal="70" workbookViewId="0">
      <pane xSplit="2" ySplit="2" topLeftCell="C3" activePane="bottomRight" state="frozen"/>
      <selection activeCell="A1" sqref="A1"/>
      <selection pane="topRight" activeCell="A1" sqref="A1"/>
      <selection pane="bottomLeft" activeCell="A1" sqref="A1"/>
      <selection pane="bottomRight" activeCell="E39" sqref="E39"/>
    </sheetView>
  </sheetViews>
  <sheetFormatPr baseColWidth="8" defaultColWidth="8.890909090909091" defaultRowHeight="28.05" customHeight="1"/>
  <cols>
    <col width="10.1090909090909" customWidth="1" style="162" min="1" max="1"/>
    <col width="21.5545454545455" customWidth="1" style="162" min="2" max="2"/>
    <col width="11.8909090909091" customWidth="1" style="162" min="3" max="3"/>
    <col width="10.5545454545455" customWidth="1" style="162" min="4" max="4"/>
    <col width="11.8909090909091" customWidth="1" style="162" min="5" max="26"/>
    <col width="69.4454545454546" customWidth="1" style="162" min="27" max="27"/>
  </cols>
  <sheetData>
    <row r="1" s="162"/>
    <row r="2" s="162">
      <c r="A2" s="219" t="inlineStr">
        <is>
          <t>序号</t>
        </is>
      </c>
      <c r="B2" s="219" t="inlineStr">
        <is>
          <t>项目</t>
        </is>
      </c>
      <c r="C2" s="219" t="inlineStr">
        <is>
          <t>合计</t>
        </is>
      </c>
      <c r="D2" s="219" t="n">
        <v>2025</v>
      </c>
      <c r="E2" s="219" t="n">
        <v>2026</v>
      </c>
      <c r="F2" s="219" t="n">
        <v>2027</v>
      </c>
      <c r="G2" s="219" t="n">
        <v>2028</v>
      </c>
      <c r="H2" s="219" t="n">
        <v>2029</v>
      </c>
      <c r="I2" s="219" t="n">
        <v>2030</v>
      </c>
      <c r="J2" s="219" t="n">
        <v>2031</v>
      </c>
      <c r="K2" s="219" t="n">
        <v>2032</v>
      </c>
      <c r="L2" s="219" t="n">
        <v>2033</v>
      </c>
      <c r="M2" s="219" t="n">
        <v>2034</v>
      </c>
      <c r="N2" s="219" t="n">
        <v>2035</v>
      </c>
      <c r="O2" s="219" t="n">
        <v>2036</v>
      </c>
      <c r="P2" s="219" t="n">
        <v>2037</v>
      </c>
      <c r="Q2" s="219" t="n">
        <v>2038</v>
      </c>
      <c r="R2" s="219" t="n">
        <v>2039</v>
      </c>
      <c r="S2" s="219" t="n">
        <v>2040</v>
      </c>
      <c r="T2" s="219" t="n">
        <v>2041</v>
      </c>
      <c r="U2" s="219" t="n">
        <v>2042</v>
      </c>
      <c r="V2" s="219" t="n">
        <v>2043</v>
      </c>
      <c r="W2" s="219" t="n">
        <v>2044</v>
      </c>
      <c r="X2" s="219" t="n">
        <v>2045</v>
      </c>
      <c r="Y2" s="219" t="n">
        <v>2046</v>
      </c>
      <c r="Z2" s="219" t="n">
        <v>2047</v>
      </c>
    </row>
    <row r="3" s="162">
      <c r="A3" s="220" t="n">
        <v>1</v>
      </c>
      <c r="B3" s="220" t="inlineStr">
        <is>
          <t>借款1</t>
        </is>
      </c>
      <c r="C3" s="45" t="n"/>
      <c r="D3" s="45" t="n"/>
      <c r="E3" s="45" t="n"/>
      <c r="F3" s="45" t="n"/>
      <c r="G3" s="45" t="n"/>
      <c r="H3" s="45" t="n"/>
      <c r="I3" s="45" t="n"/>
      <c r="J3" s="45" t="n"/>
      <c r="K3" s="45" t="n"/>
      <c r="L3" s="45" t="n"/>
      <c r="M3" s="45" t="n"/>
      <c r="N3" s="45" t="n"/>
      <c r="O3" s="45" t="n"/>
      <c r="P3" s="45" t="n"/>
      <c r="Q3" s="45" t="n"/>
      <c r="R3" s="45" t="n"/>
      <c r="S3" s="45" t="n"/>
      <c r="T3" s="45" t="n"/>
      <c r="U3" s="45" t="n"/>
      <c r="V3" s="45" t="n"/>
      <c r="W3" s="45" t="n"/>
      <c r="X3" s="45" t="n"/>
      <c r="Y3" s="45" t="n"/>
      <c r="Z3" s="45" t="n"/>
    </row>
    <row r="4" s="162">
      <c r="A4" s="220" t="inlineStr">
        <is>
          <t>1.1</t>
        </is>
      </c>
      <c r="B4" s="220" t="inlineStr">
        <is>
          <t>期初借款余额</t>
        </is>
      </c>
      <c r="C4" s="220" t="n">
        <v>0</v>
      </c>
      <c r="D4" s="220">
        <f>(C8)</f>
        <v/>
      </c>
      <c r="E4" s="220">
        <f>(D8)</f>
        <v/>
      </c>
      <c r="F4" s="220">
        <f>(E8)</f>
        <v/>
      </c>
      <c r="G4" s="220">
        <f>(F8)</f>
        <v/>
      </c>
      <c r="H4" s="220">
        <f>(G8)</f>
        <v/>
      </c>
      <c r="I4" s="220">
        <f>(H8)</f>
        <v/>
      </c>
      <c r="J4" s="220">
        <f>(I8)</f>
        <v/>
      </c>
      <c r="K4" s="220">
        <f>(J8)</f>
        <v/>
      </c>
      <c r="L4" s="220">
        <f>(K8)</f>
        <v/>
      </c>
      <c r="M4" s="220">
        <f>(L8)</f>
        <v/>
      </c>
      <c r="N4" s="220">
        <f>(M8)</f>
        <v/>
      </c>
      <c r="O4" s="220">
        <f>(N8)</f>
        <v/>
      </c>
      <c r="P4" s="220">
        <f>(O8)</f>
        <v/>
      </c>
      <c r="Q4" s="220">
        <f>(P8)</f>
        <v/>
      </c>
      <c r="R4" s="220">
        <f>(Q8)</f>
        <v/>
      </c>
      <c r="S4" s="220">
        <f>(R8)</f>
        <v/>
      </c>
      <c r="T4" s="220">
        <f>(S8)</f>
        <v/>
      </c>
      <c r="U4" s="220">
        <f>(T8)</f>
        <v/>
      </c>
      <c r="V4" s="220">
        <f>(U8)</f>
        <v/>
      </c>
      <c r="W4" s="220">
        <f>(V8)</f>
        <v/>
      </c>
      <c r="X4" s="220">
        <f>(W8)</f>
        <v/>
      </c>
      <c r="Y4" s="220" t="n">
        <v>0</v>
      </c>
      <c r="Z4" s="220" t="n">
        <v>0</v>
      </c>
    </row>
    <row r="5" s="162">
      <c r="A5" s="220" t="inlineStr">
        <is>
          <t>1.2</t>
        </is>
      </c>
      <c r="B5" s="220" t="inlineStr">
        <is>
          <t>当期还本付息</t>
        </is>
      </c>
      <c r="C5" s="220">
        <f>(SUM(D5:X5))</f>
        <v/>
      </c>
      <c r="D5" s="220">
        <f>(D6+D7)</f>
        <v/>
      </c>
      <c r="E5" s="220">
        <f>(E6+E7)</f>
        <v/>
      </c>
      <c r="F5" s="220">
        <f>(F6+F7)</f>
        <v/>
      </c>
      <c r="G5" s="220">
        <f>(G6+G7)</f>
        <v/>
      </c>
      <c r="H5" s="220">
        <f>(H6+H7)</f>
        <v/>
      </c>
      <c r="I5" s="220">
        <f>(I6+I7)</f>
        <v/>
      </c>
      <c r="J5" s="220">
        <f>(J6+J7)</f>
        <v/>
      </c>
      <c r="K5" s="220">
        <f>(K6+K7)</f>
        <v/>
      </c>
      <c r="L5" s="220">
        <f>(L6+L7)</f>
        <v/>
      </c>
      <c r="M5" s="220">
        <f>(M6+M7)</f>
        <v/>
      </c>
      <c r="N5" s="220">
        <f>(N6+N7)</f>
        <v/>
      </c>
      <c r="O5" s="220">
        <f>(O6+O7)</f>
        <v/>
      </c>
      <c r="P5" s="220">
        <f>(P6+P7)</f>
        <v/>
      </c>
      <c r="Q5" s="220">
        <f>(Q6+Q7)</f>
        <v/>
      </c>
      <c r="R5" s="220">
        <f>(R6+R7)</f>
        <v/>
      </c>
      <c r="S5" s="220">
        <f>(S6+S7)</f>
        <v/>
      </c>
      <c r="T5" s="220">
        <f>(T6+T7)</f>
        <v/>
      </c>
      <c r="U5" s="220">
        <f>(U6+U7)</f>
        <v/>
      </c>
      <c r="V5" s="220">
        <f>(V6+V7)</f>
        <v/>
      </c>
      <c r="W5" s="220">
        <f>(W6+W7)</f>
        <v/>
      </c>
      <c r="X5" s="220">
        <f>(X6+X7)</f>
        <v/>
      </c>
      <c r="Y5" s="220" t="n">
        <v>0</v>
      </c>
      <c r="Z5" s="220" t="n">
        <v>0</v>
      </c>
    </row>
    <row r="6" s="162">
      <c r="A6" s="220" t="inlineStr">
        <is>
          <t>1.2.1</t>
        </is>
      </c>
      <c r="B6" s="220" t="inlineStr">
        <is>
          <t>其中：还本</t>
        </is>
      </c>
      <c r="C6" s="220">
        <f>(SUM(D6:X6))</f>
        <v/>
      </c>
      <c r="D6" s="220" t="n">
        <v>0</v>
      </c>
      <c r="E6" s="220" t="n">
        <v>0</v>
      </c>
      <c r="F6" s="220" t="n">
        <v>0</v>
      </c>
      <c r="G6" s="220" t="n">
        <v>0</v>
      </c>
      <c r="H6" s="220" t="n">
        <v>0</v>
      </c>
      <c r="I6" s="220" t="n">
        <v>0</v>
      </c>
      <c r="J6" s="220" t="n">
        <v>0</v>
      </c>
      <c r="K6" s="220" t="n">
        <v>0</v>
      </c>
      <c r="L6" s="220" t="n">
        <v>0</v>
      </c>
      <c r="M6" s="220" t="n">
        <v>0</v>
      </c>
      <c r="N6" s="220" t="n">
        <v>0</v>
      </c>
      <c r="O6" s="220" t="n">
        <v>0</v>
      </c>
      <c r="P6" s="220" t="n">
        <v>0</v>
      </c>
      <c r="Q6" s="220" t="n">
        <v>0</v>
      </c>
      <c r="R6" s="220" t="n">
        <v>0</v>
      </c>
      <c r="S6" s="220" t="n">
        <v>0</v>
      </c>
      <c r="T6" s="220" t="n">
        <v>0</v>
      </c>
      <c r="U6" s="220" t="n">
        <v>0</v>
      </c>
      <c r="V6" s="220" t="n">
        <v>0</v>
      </c>
      <c r="W6" s="220" t="n">
        <v>0</v>
      </c>
      <c r="X6" s="220">
        <f>('C.1项目融资信息'!$D$4)</f>
        <v/>
      </c>
      <c r="Y6" s="220" t="n">
        <v>0</v>
      </c>
      <c r="Z6" s="220" t="n">
        <v>0</v>
      </c>
    </row>
    <row r="7" s="162">
      <c r="A7" s="220" t="inlineStr">
        <is>
          <t>1.2.2</t>
        </is>
      </c>
      <c r="B7" s="220" t="inlineStr">
        <is>
          <t>付息</t>
        </is>
      </c>
      <c r="C7" s="220">
        <f>(SUM(D7:X7))</f>
        <v/>
      </c>
      <c r="D7" s="220" t="n">
        <v>0</v>
      </c>
      <c r="E7" s="220">
        <f>((E8+E6)*'C.1项目融资信息'!$H$4)</f>
        <v/>
      </c>
      <c r="F7" s="220">
        <f>((F8+F6)*'C.1项目融资信息'!$H$4)</f>
        <v/>
      </c>
      <c r="G7" s="220">
        <f>((G8+G6)*'C.1项目融资信息'!$H$4)</f>
        <v/>
      </c>
      <c r="H7" s="220">
        <f>((H8+H6)*'C.1项目融资信息'!$H$4)</f>
        <v/>
      </c>
      <c r="I7" s="220">
        <f>((I8+I6)*'C.1项目融资信息'!$H$4)</f>
        <v/>
      </c>
      <c r="J7" s="220">
        <f>((J8+J6)*'C.1项目融资信息'!$H$4)</f>
        <v/>
      </c>
      <c r="K7" s="220">
        <f>((K8+K6)*'C.1项目融资信息'!$H$4)</f>
        <v/>
      </c>
      <c r="L7" s="220">
        <f>((L8+L6)*'C.1项目融资信息'!$H$4)</f>
        <v/>
      </c>
      <c r="M7" s="220">
        <f>((M8+M6)*'C.1项目融资信息'!$H$4)</f>
        <v/>
      </c>
      <c r="N7" s="220">
        <f>((N8+N6)*'C.1项目融资信息'!$H$4)</f>
        <v/>
      </c>
      <c r="O7" s="220">
        <f>((O8+O6)*'C.1项目融资信息'!$H$4)</f>
        <v/>
      </c>
      <c r="P7" s="220">
        <f>((P8+P6)*'C.1项目融资信息'!$H$4)</f>
        <v/>
      </c>
      <c r="Q7" s="220">
        <f>((Q8+Q6)*'C.1项目融资信息'!$H$4)</f>
        <v/>
      </c>
      <c r="R7" s="220">
        <f>((R8+R6)*'C.1项目融资信息'!$H$4)</f>
        <v/>
      </c>
      <c r="S7" s="220">
        <f>((S8+S6)*'C.1项目融资信息'!$H$4)</f>
        <v/>
      </c>
      <c r="T7" s="220">
        <f>((T8+T6)*'C.1项目融资信息'!$H$4)</f>
        <v/>
      </c>
      <c r="U7" s="220">
        <f>((U8+U6)*'C.1项目融资信息'!$H$4)</f>
        <v/>
      </c>
      <c r="V7" s="220">
        <f>((V8+V6)*'C.1项目融资信息'!$H$4)</f>
        <v/>
      </c>
      <c r="W7" s="220">
        <f>((W8+W6)*'C.1项目融资信息'!$H$4)</f>
        <v/>
      </c>
      <c r="X7" s="220">
        <f>((X8+X6)*'C.1项目融资信息'!$H$4)</f>
        <v/>
      </c>
      <c r="Y7" s="220" t="n">
        <v>0</v>
      </c>
      <c r="Z7" s="220" t="n">
        <v>0</v>
      </c>
    </row>
    <row r="8" s="162">
      <c r="A8" s="220" t="inlineStr">
        <is>
          <t>1.3</t>
        </is>
      </c>
      <c r="B8" s="220" t="inlineStr">
        <is>
          <t>期末借款余额</t>
        </is>
      </c>
      <c r="C8" s="220" t="n">
        <v>0</v>
      </c>
      <c r="D8" s="220">
        <f>(D4+'C.2项目每年借款信息'!$C$3-D6)</f>
        <v/>
      </c>
      <c r="E8" s="220">
        <f>(E4+'C.2项目每年借款信息'!$D$3-E6)</f>
        <v/>
      </c>
      <c r="F8" s="220">
        <f>(F4+'C.2项目每年借款信息'!$E$3-F6)</f>
        <v/>
      </c>
      <c r="G8" s="220">
        <f>(G4+'C.2项目每年借款信息'!$F$3-G6)</f>
        <v/>
      </c>
      <c r="H8" s="220">
        <f>(H4+'C.2项目每年借款信息'!$G$3-H6)</f>
        <v/>
      </c>
      <c r="I8" s="220">
        <f>(I4+'C.2项目每年借款信息'!$H$3-I6)</f>
        <v/>
      </c>
      <c r="J8" s="220">
        <f>(J4+'C.2项目每年借款信息'!$I$3-J6)</f>
        <v/>
      </c>
      <c r="K8" s="220">
        <f>(K4+'C.2项目每年借款信息'!$J$3-K6)</f>
        <v/>
      </c>
      <c r="L8" s="220">
        <f>(L4+'C.2项目每年借款信息'!$K$3-L6)</f>
        <v/>
      </c>
      <c r="M8" s="220">
        <f>(M4+'C.2项目每年借款信息'!$L$3-M6)</f>
        <v/>
      </c>
      <c r="N8" s="220">
        <f>(N4+'C.2项目每年借款信息'!$M$3-N6)</f>
        <v/>
      </c>
      <c r="O8" s="220">
        <f>(O4+'C.2项目每年借款信息'!$N$3-O6)</f>
        <v/>
      </c>
      <c r="P8" s="220">
        <f>(P4+'C.2项目每年借款信息'!$O$3-P6)</f>
        <v/>
      </c>
      <c r="Q8" s="220">
        <f>(Q4+'C.2项目每年借款信息'!$P$3-Q6)</f>
        <v/>
      </c>
      <c r="R8" s="220">
        <f>(R4+'C.2项目每年借款信息'!$Q$3-R6)</f>
        <v/>
      </c>
      <c r="S8" s="220">
        <f>(S4+'C.2项目每年借款信息'!$R$3-S6)</f>
        <v/>
      </c>
      <c r="T8" s="220">
        <f>(T4+'C.2项目每年借款信息'!$S$3-T6)</f>
        <v/>
      </c>
      <c r="U8" s="220">
        <f>(U4+'C.2项目每年借款信息'!$T$3-U6)</f>
        <v/>
      </c>
      <c r="V8" s="220">
        <f>(V4+'C.2项目每年借款信息'!$U$3-V6)</f>
        <v/>
      </c>
      <c r="W8" s="220">
        <f>(W4+'C.2项目每年借款信息'!$V$3-W6)</f>
        <v/>
      </c>
      <c r="X8" s="220">
        <f>(X4+'C.2项目每年借款信息'!$W$3-X6)</f>
        <v/>
      </c>
      <c r="Y8" s="220" t="n">
        <v>0</v>
      </c>
      <c r="Z8" s="220" t="n">
        <v>0</v>
      </c>
    </row>
    <row r="9" s="162">
      <c r="A9" s="220" t="inlineStr">
        <is>
          <t>1.4</t>
        </is>
      </c>
      <c r="B9" s="220" t="inlineStr">
        <is>
          <t>还本付息兑付手续费</t>
        </is>
      </c>
      <c r="C9" s="220">
        <f>(SUM(D9:X9))</f>
        <v/>
      </c>
      <c r="D9" s="220">
        <f>(D5*'A财务假设'!$D$18)</f>
        <v/>
      </c>
      <c r="E9" s="220">
        <f>(E5*'A财务假设'!$D$18)</f>
        <v/>
      </c>
      <c r="F9" s="220">
        <f>(F5*'A财务假设'!$D$18)</f>
        <v/>
      </c>
      <c r="G9" s="220">
        <f>(G5*'A财务假设'!$D$18)</f>
        <v/>
      </c>
      <c r="H9" s="220">
        <f>(H5*'A财务假设'!$D$18)</f>
        <v/>
      </c>
      <c r="I9" s="220">
        <f>(I5*'A财务假设'!$D$18)</f>
        <v/>
      </c>
      <c r="J9" s="220">
        <f>(J5*'A财务假设'!$D$18)</f>
        <v/>
      </c>
      <c r="K9" s="220">
        <f>(K5*'A财务假设'!$D$18)</f>
        <v/>
      </c>
      <c r="L9" s="220">
        <f>(L5*'A财务假设'!$D$18)</f>
        <v/>
      </c>
      <c r="M9" s="220">
        <f>(M5*'A财务假设'!$D$18)</f>
        <v/>
      </c>
      <c r="N9" s="220">
        <f>(N5*'A财务假设'!$D$18)</f>
        <v/>
      </c>
      <c r="O9" s="220">
        <f>(O5*'A财务假设'!$D$18)</f>
        <v/>
      </c>
      <c r="P9" s="220">
        <f>(P5*'A财务假设'!$D$18)</f>
        <v/>
      </c>
      <c r="Q9" s="220">
        <f>(Q5*'A财务假设'!$D$18)</f>
        <v/>
      </c>
      <c r="R9" s="220">
        <f>(R5*'A财务假设'!$D$18)</f>
        <v/>
      </c>
      <c r="S9" s="220">
        <f>(S5*'A财务假设'!$D$18)</f>
        <v/>
      </c>
      <c r="T9" s="220">
        <f>(T5*'A财务假设'!$D$18)</f>
        <v/>
      </c>
      <c r="U9" s="220">
        <f>(U5*'A财务假设'!$D$18)</f>
        <v/>
      </c>
      <c r="V9" s="220">
        <f>(V5*'A财务假设'!$D$18)</f>
        <v/>
      </c>
      <c r="W9" s="220">
        <f>(W5*'A财务假设'!$D$18)</f>
        <v/>
      </c>
      <c r="X9" s="220">
        <f>(X5*'A财务假设'!$D$18)</f>
        <v/>
      </c>
      <c r="Y9" s="220" t="n">
        <v>0</v>
      </c>
      <c r="Z9" s="220" t="n">
        <v>0</v>
      </c>
    </row>
    <row r="10" s="162">
      <c r="A10" s="220" t="inlineStr">
        <is>
          <t>1.5</t>
        </is>
      </c>
      <c r="B10" s="220" t="inlineStr">
        <is>
          <t>债券发行及服务费</t>
        </is>
      </c>
      <c r="C10" s="220">
        <f>(SUM(D10:X10))</f>
        <v/>
      </c>
      <c r="D10" s="220">
        <f>('C.2项目每年借款信息'!$C$3*('A财务假设'!$D$16+'A财务假设'!$D$17))</f>
        <v/>
      </c>
      <c r="E10" s="220">
        <f>('C.2项目每年借款信息'!$D$3*('A财务假设'!$D$16+'A财务假设'!$D$17))</f>
        <v/>
      </c>
      <c r="F10" s="220">
        <f>('C.2项目每年借款信息'!$E$3*('A财务假设'!$D$16+'A财务假设'!$D$17))</f>
        <v/>
      </c>
      <c r="G10" s="220">
        <f>('C.2项目每年借款信息'!$F$3*('A财务假设'!$D$16+'A财务假设'!$D$17))</f>
        <v/>
      </c>
      <c r="H10" s="220">
        <f>('C.2项目每年借款信息'!$G$3*('A财务假设'!$D$16+'A财务假设'!$D$17))</f>
        <v/>
      </c>
      <c r="I10" s="220">
        <f>('C.2项目每年借款信息'!$H$3*('A财务假设'!$D$16+'A财务假设'!$D$17))</f>
        <v/>
      </c>
      <c r="J10" s="220">
        <f>('C.2项目每年借款信息'!$I$3*('A财务假设'!$D$16+'A财务假设'!$D$17))</f>
        <v/>
      </c>
      <c r="K10" s="220">
        <f>('C.2项目每年借款信息'!$J$3*('A财务假设'!$D$16+'A财务假设'!$D$17))</f>
        <v/>
      </c>
      <c r="L10" s="220">
        <f>('C.2项目每年借款信息'!$K$3*('A财务假设'!$D$16+'A财务假设'!$D$17))</f>
        <v/>
      </c>
      <c r="M10" s="220">
        <f>('C.2项目每年借款信息'!$L$3*('A财务假设'!$D$16+'A财务假设'!$D$17))</f>
        <v/>
      </c>
      <c r="N10" s="220">
        <f>('C.2项目每年借款信息'!$M$3*('A财务假设'!$D$16+'A财务假设'!$D$17))</f>
        <v/>
      </c>
      <c r="O10" s="220">
        <f>('C.2项目每年借款信息'!$N$3*('A财务假设'!$D$16+'A财务假设'!$D$17))</f>
        <v/>
      </c>
      <c r="P10" s="220">
        <f>('C.2项目每年借款信息'!$O$3*('A财务假设'!$D$16+'A财务假设'!$D$17))</f>
        <v/>
      </c>
      <c r="Q10" s="220">
        <f>('C.2项目每年借款信息'!$P$3*('A财务假设'!$D$16+'A财务假设'!$D$17))</f>
        <v/>
      </c>
      <c r="R10" s="220">
        <f>('C.2项目每年借款信息'!$Q$3*('A财务假设'!$D$16+'A财务假设'!$D$17))</f>
        <v/>
      </c>
      <c r="S10" s="220">
        <f>('C.2项目每年借款信息'!$R$3*('A财务假设'!$D$16+'A财务假设'!$D$17))</f>
        <v/>
      </c>
      <c r="T10" s="220">
        <f>('C.2项目每年借款信息'!$S$3*('A财务假设'!$D$16+'A财务假设'!$D$17))</f>
        <v/>
      </c>
      <c r="U10" s="220">
        <f>('C.2项目每年借款信息'!$T$3*('A财务假设'!$D$16+'A财务假设'!$D$17))</f>
        <v/>
      </c>
      <c r="V10" s="220">
        <f>('C.2项目每年借款信息'!$U$3*('A财务假设'!$D$16+'A财务假设'!$D$17))</f>
        <v/>
      </c>
      <c r="W10" s="220">
        <f>('C.2项目每年借款信息'!$V$3*('A财务假设'!$D$16+'A财务假设'!$D$17))</f>
        <v/>
      </c>
      <c r="X10" s="220">
        <f>('C.2项目每年借款信息'!$W$3*('A财务假设'!$D$16+'A财务假设'!$D$17))</f>
        <v/>
      </c>
      <c r="Y10" s="220" t="n">
        <v>0</v>
      </c>
      <c r="Z10" s="220" t="n">
        <v>0</v>
      </c>
    </row>
    <row r="11" s="162">
      <c r="A11" s="220" t="inlineStr">
        <is>
          <t>1.6</t>
        </is>
      </c>
      <c r="B11" s="220" t="inlineStr">
        <is>
          <t>应付利息</t>
        </is>
      </c>
      <c r="C11" s="220" t="n">
        <v>0</v>
      </c>
      <c r="D11" s="220">
        <f>(IF(($D$2-YEAR('C.1项目融资信息'!$E$4))=0,(12-MONTH('C.1项目融资信息'!$E$4)+1)*'C.1项目融资信息'!$D$4*'C.1项目融资信息'!$H$4/12,'C.1项目融资信息'!$D$4*'C.1项目融资信息'!$H$4))</f>
        <v/>
      </c>
      <c r="E11" s="220">
        <f>(IF(($E$2-YEAR('C.1项目融资信息'!$E$4))=0,(12-MONTH('C.1项目融资信息'!$E$4)+1)*'C.1项目融资信息'!$D$4*'C.1项目融资信息'!$H$4/12,'C.1项目融资信息'!$D$4*'C.1项目融资信息'!$H$4))</f>
        <v/>
      </c>
      <c r="F11" s="220">
        <f>(IF(($F$2-YEAR('C.1项目融资信息'!$E$4))=0,(12-MONTH('C.1项目融资信息'!$E$4)+1)*'C.1项目融资信息'!$D$4*'C.1项目融资信息'!$H$4/12,'C.1项目融资信息'!$D$4*'C.1项目融资信息'!$H$4))</f>
        <v/>
      </c>
      <c r="G11" s="220">
        <f>(IF(($G$2-YEAR('C.1项目融资信息'!$E$4))=0,(12-MONTH('C.1项目融资信息'!$E$4)+1)*'C.1项目融资信息'!$D$4*'C.1项目融资信息'!$H$4/12,'C.1项目融资信息'!$D$4*'C.1项目融资信息'!$H$4))</f>
        <v/>
      </c>
      <c r="H11" s="220">
        <f>(IF(($H$2-YEAR('C.1项目融资信息'!$E$4))=0,(12-MONTH('C.1项目融资信息'!$E$4)+1)*'C.1项目融资信息'!$D$4*'C.1项目融资信息'!$H$4/12,'C.1项目融资信息'!$D$4*'C.1项目融资信息'!$H$4))</f>
        <v/>
      </c>
      <c r="I11" s="220">
        <f>(IF(($I$2-YEAR('C.1项目融资信息'!$E$4))=0,(12-MONTH('C.1项目融资信息'!$E$4)+1)*'C.1项目融资信息'!$D$4*'C.1项目融资信息'!$H$4/12,'C.1项目融资信息'!$D$4*'C.1项目融资信息'!$H$4))</f>
        <v/>
      </c>
      <c r="J11" s="220">
        <f>(IF(($J$2-YEAR('C.1项目融资信息'!$E$4))=0,(12-MONTH('C.1项目融资信息'!$E$4)+1)*'C.1项目融资信息'!$D$4*'C.1项目融资信息'!$H$4/12,'C.1项目融资信息'!$D$4*'C.1项目融资信息'!$H$4))</f>
        <v/>
      </c>
      <c r="K11" s="220">
        <f>(IF(($K$2-YEAR('C.1项目融资信息'!$E$4))=0,(12-MONTH('C.1项目融资信息'!$E$4)+1)*'C.1项目融资信息'!$D$4*'C.1项目融资信息'!$H$4/12,'C.1项目融资信息'!$D$4*'C.1项目融资信息'!$H$4))</f>
        <v/>
      </c>
      <c r="L11" s="220">
        <f>(IF(($L$2-YEAR('C.1项目融资信息'!$E$4))=0,(12-MONTH('C.1项目融资信息'!$E$4)+1)*'C.1项目融资信息'!$D$4*'C.1项目融资信息'!$H$4/12,'C.1项目融资信息'!$D$4*'C.1项目融资信息'!$H$4))</f>
        <v/>
      </c>
      <c r="M11" s="220">
        <f>(IF(($M$2-YEAR('C.1项目融资信息'!$E$4))=0,(12-MONTH('C.1项目融资信息'!$E$4)+1)*'C.1项目融资信息'!$D$4*'C.1项目融资信息'!$H$4/12,'C.1项目融资信息'!$D$4*'C.1项目融资信息'!$H$4))</f>
        <v/>
      </c>
      <c r="N11" s="220">
        <f>(IF(($N$2-YEAR('C.1项目融资信息'!$E$4))=0,(12-MONTH('C.1项目融资信息'!$E$4)+1)*'C.1项目融资信息'!$D$4*'C.1项目融资信息'!$H$4/12,'C.1项目融资信息'!$D$4*'C.1项目融资信息'!$H$4))</f>
        <v/>
      </c>
      <c r="O11" s="220">
        <f>(IF(($O$2-YEAR('C.1项目融资信息'!$E$4))=0,(12-MONTH('C.1项目融资信息'!$E$4)+1)*'C.1项目融资信息'!$D$4*'C.1项目融资信息'!$H$4/12,'C.1项目融资信息'!$D$4*'C.1项目融资信息'!$H$4))</f>
        <v/>
      </c>
      <c r="P11" s="220">
        <f>(IF(($P$2-YEAR('C.1项目融资信息'!$E$4))=0,(12-MONTH('C.1项目融资信息'!$E$4)+1)*'C.1项目融资信息'!$D$4*'C.1项目融资信息'!$H$4/12,'C.1项目融资信息'!$D$4*'C.1项目融资信息'!$H$4))</f>
        <v/>
      </c>
      <c r="Q11" s="220">
        <f>(IF(($Q$2-YEAR('C.1项目融资信息'!$E$4))=0,(12-MONTH('C.1项目融资信息'!$E$4)+1)*'C.1项目融资信息'!$D$4*'C.1项目融资信息'!$H$4/12,'C.1项目融资信息'!$D$4*'C.1项目融资信息'!$H$4))</f>
        <v/>
      </c>
      <c r="R11" s="220">
        <f>(IF(($R$2-YEAR('C.1项目融资信息'!$E$4))=0,(12-MONTH('C.1项目融资信息'!$E$4)+1)*'C.1项目融资信息'!$D$4*'C.1项目融资信息'!$H$4/12,'C.1项目融资信息'!$D$4*'C.1项目融资信息'!$H$4))</f>
        <v/>
      </c>
      <c r="S11" s="220">
        <f>(IF(($S$2-YEAR('C.1项目融资信息'!$E$4))=0,(12-MONTH('C.1项目融资信息'!$E$4)+1)*'C.1项目融资信息'!$D$4*'C.1项目融资信息'!$H$4/12,'C.1项目融资信息'!$D$4*'C.1项目融资信息'!$H$4))</f>
        <v/>
      </c>
      <c r="T11" s="220">
        <f>(IF(($T$2-YEAR('C.1项目融资信息'!$E$4))=0,(12-MONTH('C.1项目融资信息'!$E$4)+1)*'C.1项目融资信息'!$D$4*'C.1项目融资信息'!$H$4/12,'C.1项目融资信息'!$D$4*'C.1项目融资信息'!$H$4))</f>
        <v/>
      </c>
      <c r="U11" s="220">
        <f>(IF(($U$2-YEAR('C.1项目融资信息'!$E$4))=0,(12-MONTH('C.1项目融资信息'!$E$4)+1)*'C.1项目融资信息'!$D$4*'C.1项目融资信息'!$H$4/12,'C.1项目融资信息'!$D$4*'C.1项目融资信息'!$H$4))</f>
        <v/>
      </c>
      <c r="V11" s="220">
        <f>(IF(($V$2-YEAR('C.1项目融资信息'!$E$4))=0,(12-MONTH('C.1项目融资信息'!$E$4)+1)*'C.1项目融资信息'!$D$4*'C.1项目融资信息'!$H$4/12,'C.1项目融资信息'!$D$4*'C.1项目融资信息'!$H$4))</f>
        <v/>
      </c>
      <c r="W11" s="220">
        <f>(IF(($W$2-YEAR('C.1项目融资信息'!$E$4))=0,(12-MONTH('C.1项目融资信息'!$E$4)+1)*'C.1项目融资信息'!$D$4*'C.1项目融资信息'!$H$4/12,'C.1项目融资信息'!$D$4*'C.1项目融资信息'!$H$4))</f>
        <v/>
      </c>
      <c r="X11" s="220">
        <f>(MONTH('C.1项目融资信息'!$E$4)-1)*'C.1项目融资信息'!$D$4*'C.1项目融资信息'!$H$4/12</f>
        <v/>
      </c>
      <c r="Y11" s="220" t="n">
        <v>0</v>
      </c>
      <c r="Z11" s="220" t="n">
        <v>0</v>
      </c>
    </row>
    <row r="12" s="162">
      <c r="A12" s="220" t="n">
        <v>2</v>
      </c>
      <c r="B12" s="220" t="inlineStr">
        <is>
          <t>借款2</t>
        </is>
      </c>
      <c r="C12" s="45" t="n"/>
      <c r="D12" s="45" t="n"/>
      <c r="E12" s="45" t="n"/>
      <c r="F12" s="45" t="n"/>
      <c r="G12" s="45" t="n"/>
      <c r="H12" s="45" t="n"/>
      <c r="I12" s="45" t="n"/>
      <c r="J12" s="45" t="n"/>
      <c r="K12" s="45" t="n"/>
      <c r="L12" s="45" t="n"/>
      <c r="M12" s="45" t="n"/>
      <c r="N12" s="45" t="n"/>
      <c r="O12" s="45" t="n"/>
      <c r="P12" s="45" t="n"/>
      <c r="Q12" s="45" t="n"/>
      <c r="R12" s="45" t="n"/>
      <c r="S12" s="45" t="n"/>
      <c r="T12" s="45" t="n"/>
      <c r="U12" s="45" t="n"/>
      <c r="V12" s="45" t="n"/>
      <c r="W12" s="45" t="n"/>
      <c r="X12" s="45" t="n"/>
      <c r="Y12" s="45" t="n"/>
      <c r="Z12" s="45" t="n"/>
    </row>
    <row r="13" s="162">
      <c r="A13" s="220" t="inlineStr">
        <is>
          <t>2.1</t>
        </is>
      </c>
      <c r="B13" s="220" t="inlineStr">
        <is>
          <t>期初借款余额</t>
        </is>
      </c>
      <c r="C13" s="220" t="n">
        <v>0</v>
      </c>
      <c r="D13" s="220" t="n">
        <v>0</v>
      </c>
      <c r="E13" s="220">
        <f>(D17)</f>
        <v/>
      </c>
      <c r="F13" s="220">
        <f>(E17)</f>
        <v/>
      </c>
      <c r="G13" s="220">
        <f>(F17)</f>
        <v/>
      </c>
      <c r="H13" s="220">
        <f>(G17)</f>
        <v/>
      </c>
      <c r="I13" s="220">
        <f>(H17)</f>
        <v/>
      </c>
      <c r="J13" s="220">
        <f>(I17)</f>
        <v/>
      </c>
      <c r="K13" s="220">
        <f>(J17)</f>
        <v/>
      </c>
      <c r="L13" s="220">
        <f>(K17)</f>
        <v/>
      </c>
      <c r="M13" s="220">
        <f>(L17)</f>
        <v/>
      </c>
      <c r="N13" s="220">
        <f>(M17)</f>
        <v/>
      </c>
      <c r="O13" s="220">
        <f>(N17)</f>
        <v/>
      </c>
      <c r="P13" s="220">
        <f>(O17)</f>
        <v/>
      </c>
      <c r="Q13" s="220">
        <f>(P17)</f>
        <v/>
      </c>
      <c r="R13" s="220">
        <f>(Q17)</f>
        <v/>
      </c>
      <c r="S13" s="220">
        <f>(R17)</f>
        <v/>
      </c>
      <c r="T13" s="220">
        <f>(S17)</f>
        <v/>
      </c>
      <c r="U13" s="220">
        <f>(T17)</f>
        <v/>
      </c>
      <c r="V13" s="220">
        <f>(U17)</f>
        <v/>
      </c>
      <c r="W13" s="220">
        <f>(V17)</f>
        <v/>
      </c>
      <c r="X13" s="220">
        <f>(W17)</f>
        <v/>
      </c>
      <c r="Y13" s="220">
        <f>(X17)</f>
        <v/>
      </c>
      <c r="Z13" s="220" t="n">
        <v>0</v>
      </c>
    </row>
    <row r="14" s="162">
      <c r="A14" s="220" t="inlineStr">
        <is>
          <t>2.2</t>
        </is>
      </c>
      <c r="B14" s="220" t="inlineStr">
        <is>
          <t>当期还本付息</t>
        </is>
      </c>
      <c r="C14" s="220">
        <f>(SUM(E14:Y14))</f>
        <v/>
      </c>
      <c r="D14" s="220" t="n">
        <v>0</v>
      </c>
      <c r="E14" s="220">
        <f>(E15+E16)</f>
        <v/>
      </c>
      <c r="F14" s="220">
        <f>(F15+F16)</f>
        <v/>
      </c>
      <c r="G14" s="220">
        <f>(G15+G16)</f>
        <v/>
      </c>
      <c r="H14" s="220">
        <f>(H15+H16)</f>
        <v/>
      </c>
      <c r="I14" s="220">
        <f>(I15+I16)</f>
        <v/>
      </c>
      <c r="J14" s="220">
        <f>(J15+J16)</f>
        <v/>
      </c>
      <c r="K14" s="220">
        <f>(K15+K16)</f>
        <v/>
      </c>
      <c r="L14" s="220">
        <f>(L15+L16)</f>
        <v/>
      </c>
      <c r="M14" s="220">
        <f>(M15+M16)</f>
        <v/>
      </c>
      <c r="N14" s="220">
        <f>(N15+N16)</f>
        <v/>
      </c>
      <c r="O14" s="220">
        <f>(O15+O16)</f>
        <v/>
      </c>
      <c r="P14" s="220">
        <f>(P15+P16)</f>
        <v/>
      </c>
      <c r="Q14" s="220">
        <f>(Q15+Q16)</f>
        <v/>
      </c>
      <c r="R14" s="220">
        <f>(R15+R16)</f>
        <v/>
      </c>
      <c r="S14" s="220">
        <f>(S15+S16)</f>
        <v/>
      </c>
      <c r="T14" s="220">
        <f>(T15+T16)</f>
        <v/>
      </c>
      <c r="U14" s="220">
        <f>(U15+U16)</f>
        <v/>
      </c>
      <c r="V14" s="220">
        <f>(V15+V16)</f>
        <v/>
      </c>
      <c r="W14" s="220">
        <f>(W15+W16)</f>
        <v/>
      </c>
      <c r="X14" s="220">
        <f>(X15+X16)</f>
        <v/>
      </c>
      <c r="Y14" s="220">
        <f>(Y15+Y16)</f>
        <v/>
      </c>
      <c r="Z14" s="220" t="n">
        <v>0</v>
      </c>
    </row>
    <row r="15" s="162">
      <c r="A15" s="220" t="inlineStr">
        <is>
          <t>2.2.1</t>
        </is>
      </c>
      <c r="B15" s="220" t="inlineStr">
        <is>
          <t>其中：还本</t>
        </is>
      </c>
      <c r="C15" s="220">
        <f>(SUM(E15:Y15))</f>
        <v/>
      </c>
      <c r="D15" s="220" t="n">
        <v>0</v>
      </c>
      <c r="E15" s="220" t="n">
        <v>0</v>
      </c>
      <c r="F15" s="220" t="n">
        <v>0</v>
      </c>
      <c r="G15" s="220" t="n">
        <v>0</v>
      </c>
      <c r="H15" s="220" t="n">
        <v>0</v>
      </c>
      <c r="I15" s="220" t="n">
        <v>0</v>
      </c>
      <c r="J15" s="220" t="n">
        <v>0</v>
      </c>
      <c r="K15" s="220" t="n">
        <v>0</v>
      </c>
      <c r="L15" s="220" t="n">
        <v>0</v>
      </c>
      <c r="M15" s="220" t="n">
        <v>0</v>
      </c>
      <c r="N15" s="220" t="n">
        <v>0</v>
      </c>
      <c r="O15" s="220" t="n">
        <v>0</v>
      </c>
      <c r="P15" s="220" t="n">
        <v>0</v>
      </c>
      <c r="Q15" s="220" t="n">
        <v>0</v>
      </c>
      <c r="R15" s="220" t="n">
        <v>0</v>
      </c>
      <c r="S15" s="220" t="n">
        <v>0</v>
      </c>
      <c r="T15" s="220" t="n">
        <v>0</v>
      </c>
      <c r="U15" s="220" t="n">
        <v>0</v>
      </c>
      <c r="V15" s="220" t="n">
        <v>0</v>
      </c>
      <c r="W15" s="220" t="n">
        <v>0</v>
      </c>
      <c r="X15" s="220" t="n">
        <v>0</v>
      </c>
      <c r="Y15" s="220">
        <f>('C.1项目融资信息'!$D$5)</f>
        <v/>
      </c>
      <c r="Z15" s="220" t="n">
        <v>0</v>
      </c>
    </row>
    <row r="16" s="162">
      <c r="A16" s="220" t="inlineStr">
        <is>
          <t>2.2.2</t>
        </is>
      </c>
      <c r="B16" s="220" t="inlineStr">
        <is>
          <t>付息</t>
        </is>
      </c>
      <c r="C16" s="220">
        <f>(SUM(E16:Y16))</f>
        <v/>
      </c>
      <c r="D16" s="220" t="n">
        <v>0</v>
      </c>
      <c r="E16" s="220" t="n">
        <v>0</v>
      </c>
      <c r="F16" s="220">
        <f>((F17+F15)*'C.1项目融资信息'!$H$5)</f>
        <v/>
      </c>
      <c r="G16" s="220">
        <f>((G17+G15)*'C.1项目融资信息'!$H$5)</f>
        <v/>
      </c>
      <c r="H16" s="220">
        <f>((H17+H15)*'C.1项目融资信息'!$H$5)</f>
        <v/>
      </c>
      <c r="I16" s="220">
        <f>((I17+I15)*'C.1项目融资信息'!$H$5)</f>
        <v/>
      </c>
      <c r="J16" s="220">
        <f>((J17+J15)*'C.1项目融资信息'!$H$5)</f>
        <v/>
      </c>
      <c r="K16" s="220">
        <f>((K17+K15)*'C.1项目融资信息'!$H$5)</f>
        <v/>
      </c>
      <c r="L16" s="220">
        <f>((L17+L15)*'C.1项目融资信息'!$H$5)</f>
        <v/>
      </c>
      <c r="M16" s="220">
        <f>((M17+M15)*'C.1项目融资信息'!$H$5)</f>
        <v/>
      </c>
      <c r="N16" s="220">
        <f>((N17+N15)*'C.1项目融资信息'!$H$5)</f>
        <v/>
      </c>
      <c r="O16" s="220">
        <f>((O17+O15)*'C.1项目融资信息'!$H$5)</f>
        <v/>
      </c>
      <c r="P16" s="220">
        <f>((P17+P15)*'C.1项目融资信息'!$H$5)</f>
        <v/>
      </c>
      <c r="Q16" s="220">
        <f>((Q17+Q15)*'C.1项目融资信息'!$H$5)</f>
        <v/>
      </c>
      <c r="R16" s="220">
        <f>((R17+R15)*'C.1项目融资信息'!$H$5)</f>
        <v/>
      </c>
      <c r="S16" s="220">
        <f>((S17+S15)*'C.1项目融资信息'!$H$5)</f>
        <v/>
      </c>
      <c r="T16" s="220">
        <f>((T17+T15)*'C.1项目融资信息'!$H$5)</f>
        <v/>
      </c>
      <c r="U16" s="220">
        <f>((U17+U15)*'C.1项目融资信息'!$H$5)</f>
        <v/>
      </c>
      <c r="V16" s="220">
        <f>((V17+V15)*'C.1项目融资信息'!$H$5)</f>
        <v/>
      </c>
      <c r="W16" s="220">
        <f>((W17+W15)*'C.1项目融资信息'!$H$5)</f>
        <v/>
      </c>
      <c r="X16" s="220">
        <f>((X17+X15)*'C.1项目融资信息'!$H$5)</f>
        <v/>
      </c>
      <c r="Y16" s="220">
        <f>((Y17+Y15)*'C.1项目融资信息'!$H$5)</f>
        <v/>
      </c>
      <c r="Z16" s="220" t="n">
        <v>0</v>
      </c>
    </row>
    <row r="17" s="162">
      <c r="A17" s="220" t="inlineStr">
        <is>
          <t>2.3</t>
        </is>
      </c>
      <c r="B17" s="220" t="inlineStr">
        <is>
          <t>期末借款余额</t>
        </is>
      </c>
      <c r="C17" s="220" t="n">
        <v>0</v>
      </c>
      <c r="D17" s="220" t="n">
        <v>0</v>
      </c>
      <c r="E17" s="220">
        <f>(E13+'C.2项目每年借款信息'!$D$4-E15)</f>
        <v/>
      </c>
      <c r="F17" s="220">
        <f>(F13+'C.2项目每年借款信息'!$E$4-F15)</f>
        <v/>
      </c>
      <c r="G17" s="220">
        <f>(G13+'C.2项目每年借款信息'!$F$4-G15)</f>
        <v/>
      </c>
      <c r="H17" s="220">
        <f>(H13+'C.2项目每年借款信息'!$G$4-H15)</f>
        <v/>
      </c>
      <c r="I17" s="220">
        <f>(I13+'C.2项目每年借款信息'!$H$4-I15)</f>
        <v/>
      </c>
      <c r="J17" s="220">
        <f>(J13+'C.2项目每年借款信息'!$I$4-J15)</f>
        <v/>
      </c>
      <c r="K17" s="220">
        <f>(K13+'C.2项目每年借款信息'!$J$4-K15)</f>
        <v/>
      </c>
      <c r="L17" s="220">
        <f>(L13+'C.2项目每年借款信息'!$K$4-L15)</f>
        <v/>
      </c>
      <c r="M17" s="220">
        <f>(M13+'C.2项目每年借款信息'!$L$4-M15)</f>
        <v/>
      </c>
      <c r="N17" s="220">
        <f>(N13+'C.2项目每年借款信息'!$M$4-N15)</f>
        <v/>
      </c>
      <c r="O17" s="220">
        <f>(O13+'C.2项目每年借款信息'!$N$4-O15)</f>
        <v/>
      </c>
      <c r="P17" s="220">
        <f>(P13+'C.2项目每年借款信息'!$O$4-P15)</f>
        <v/>
      </c>
      <c r="Q17" s="220">
        <f>(Q13+'C.2项目每年借款信息'!$P$4-Q15)</f>
        <v/>
      </c>
      <c r="R17" s="220">
        <f>(R13+'C.2项目每年借款信息'!$Q$4-R15)</f>
        <v/>
      </c>
      <c r="S17" s="220">
        <f>(S13+'C.2项目每年借款信息'!$R$4-S15)</f>
        <v/>
      </c>
      <c r="T17" s="220">
        <f>(T13+'C.2项目每年借款信息'!$S$4-T15)</f>
        <v/>
      </c>
      <c r="U17" s="220">
        <f>(U13+'C.2项目每年借款信息'!$T$4-U15)</f>
        <v/>
      </c>
      <c r="V17" s="220">
        <f>(V13+'C.2项目每年借款信息'!$U$4-V15)</f>
        <v/>
      </c>
      <c r="W17" s="220">
        <f>(W13+'C.2项目每年借款信息'!$V$4-W15)</f>
        <v/>
      </c>
      <c r="X17" s="220">
        <f>(X13+'C.2项目每年借款信息'!$W$4-X15)</f>
        <v/>
      </c>
      <c r="Y17" s="220">
        <f>(Y13+'C.2项目每年借款信息'!$X$4-Y15)</f>
        <v/>
      </c>
      <c r="Z17" s="220" t="n">
        <v>0</v>
      </c>
    </row>
    <row r="18" s="162">
      <c r="A18" s="220" t="inlineStr">
        <is>
          <t>2.4</t>
        </is>
      </c>
      <c r="B18" s="220" t="inlineStr">
        <is>
          <t>还本付息兑付手续费</t>
        </is>
      </c>
      <c r="C18" s="220">
        <f>(SUM(E18:Y18))</f>
        <v/>
      </c>
      <c r="D18" s="220" t="n">
        <v>0</v>
      </c>
      <c r="E18" s="220">
        <f>(E14*'A财务假设'!$D$18)</f>
        <v/>
      </c>
      <c r="F18" s="220">
        <f>(F14*'A财务假设'!$D$18)</f>
        <v/>
      </c>
      <c r="G18" s="220">
        <f>(G14*'A财务假设'!$D$18)</f>
        <v/>
      </c>
      <c r="H18" s="220">
        <f>(H14*'A财务假设'!$D$18)</f>
        <v/>
      </c>
      <c r="I18" s="220">
        <f>(I14*'A财务假设'!$D$18)</f>
        <v/>
      </c>
      <c r="J18" s="220">
        <f>(J14*'A财务假设'!$D$18)</f>
        <v/>
      </c>
      <c r="K18" s="220">
        <f>(K14*'A财务假设'!$D$18)</f>
        <v/>
      </c>
      <c r="L18" s="220">
        <f>(L14*'A财务假设'!$D$18)</f>
        <v/>
      </c>
      <c r="M18" s="220">
        <f>(M14*'A财务假设'!$D$18)</f>
        <v/>
      </c>
      <c r="N18" s="220">
        <f>(N14*'A财务假设'!$D$18)</f>
        <v/>
      </c>
      <c r="O18" s="220">
        <f>(O14*'A财务假设'!$D$18)</f>
        <v/>
      </c>
      <c r="P18" s="220">
        <f>(P14*'A财务假设'!$D$18)</f>
        <v/>
      </c>
      <c r="Q18" s="220">
        <f>(Q14*'A财务假设'!$D$18)</f>
        <v/>
      </c>
      <c r="R18" s="220">
        <f>(R14*'A财务假设'!$D$18)</f>
        <v/>
      </c>
      <c r="S18" s="220">
        <f>(S14*'A财务假设'!$D$18)</f>
        <v/>
      </c>
      <c r="T18" s="220">
        <f>(T14*'A财务假设'!$D$18)</f>
        <v/>
      </c>
      <c r="U18" s="220">
        <f>(U14*'A财务假设'!$D$18)</f>
        <v/>
      </c>
      <c r="V18" s="220">
        <f>(V14*'A财务假设'!$D$18)</f>
        <v/>
      </c>
      <c r="W18" s="220">
        <f>(W14*'A财务假设'!$D$18)</f>
        <v/>
      </c>
      <c r="X18" s="220">
        <f>(X14*'A财务假设'!$D$18)</f>
        <v/>
      </c>
      <c r="Y18" s="220">
        <f>(Y14*'A财务假设'!$D$18)</f>
        <v/>
      </c>
      <c r="Z18" s="220" t="n">
        <v>0</v>
      </c>
    </row>
    <row r="19" s="162">
      <c r="A19" s="220" t="inlineStr">
        <is>
          <t>2.5</t>
        </is>
      </c>
      <c r="B19" s="220" t="inlineStr">
        <is>
          <t>债券发行及服务费</t>
        </is>
      </c>
      <c r="C19" s="220">
        <f>(SUM(E19:Y19))</f>
        <v/>
      </c>
      <c r="D19" s="220" t="n">
        <v>0</v>
      </c>
      <c r="E19" s="220">
        <f>('C.2项目每年借款信息'!$D$4*('A财务假设'!$D$16+'A财务假设'!$D$17))</f>
        <v/>
      </c>
      <c r="F19" s="220">
        <f>('C.2项目每年借款信息'!$E$4*('A财务假设'!$D$16+'A财务假设'!$D$17))</f>
        <v/>
      </c>
      <c r="G19" s="220">
        <f>('C.2项目每年借款信息'!$F$4*('A财务假设'!$D$16+'A财务假设'!$D$17))</f>
        <v/>
      </c>
      <c r="H19" s="220">
        <f>('C.2项目每年借款信息'!$G$4*('A财务假设'!$D$16+'A财务假设'!$D$17))</f>
        <v/>
      </c>
      <c r="I19" s="220">
        <f>('C.2项目每年借款信息'!$H$4*('A财务假设'!$D$16+'A财务假设'!$D$17))</f>
        <v/>
      </c>
      <c r="J19" s="220">
        <f>('C.2项目每年借款信息'!$I$4*('A财务假设'!$D$16+'A财务假设'!$D$17))</f>
        <v/>
      </c>
      <c r="K19" s="220">
        <f>('C.2项目每年借款信息'!$J$4*('A财务假设'!$D$16+'A财务假设'!$D$17))</f>
        <v/>
      </c>
      <c r="L19" s="220">
        <f>('C.2项目每年借款信息'!$K$4*('A财务假设'!$D$16+'A财务假设'!$D$17))</f>
        <v/>
      </c>
      <c r="M19" s="220">
        <f>('C.2项目每年借款信息'!$L$4*('A财务假设'!$D$16+'A财务假设'!$D$17))</f>
        <v/>
      </c>
      <c r="N19" s="220">
        <f>('C.2项目每年借款信息'!$M$4*('A财务假设'!$D$16+'A财务假设'!$D$17))</f>
        <v/>
      </c>
      <c r="O19" s="220">
        <f>('C.2项目每年借款信息'!$N$4*('A财务假设'!$D$16+'A财务假设'!$D$17))</f>
        <v/>
      </c>
      <c r="P19" s="220">
        <f>('C.2项目每年借款信息'!$O$4*('A财务假设'!$D$16+'A财务假设'!$D$17))</f>
        <v/>
      </c>
      <c r="Q19" s="220">
        <f>('C.2项目每年借款信息'!$P$4*('A财务假设'!$D$16+'A财务假设'!$D$17))</f>
        <v/>
      </c>
      <c r="R19" s="220">
        <f>('C.2项目每年借款信息'!$Q$4*('A财务假设'!$D$16+'A财务假设'!$D$17))</f>
        <v/>
      </c>
      <c r="S19" s="220">
        <f>('C.2项目每年借款信息'!$R$4*('A财务假设'!$D$16+'A财务假设'!$D$17))</f>
        <v/>
      </c>
      <c r="T19" s="220">
        <f>('C.2项目每年借款信息'!$S$4*('A财务假设'!$D$16+'A财务假设'!$D$17))</f>
        <v/>
      </c>
      <c r="U19" s="220">
        <f>('C.2项目每年借款信息'!$T$4*('A财务假设'!$D$16+'A财务假设'!$D$17))</f>
        <v/>
      </c>
      <c r="V19" s="220">
        <f>('C.2项目每年借款信息'!$U$4*('A财务假设'!$D$16+'A财务假设'!$D$17))</f>
        <v/>
      </c>
      <c r="W19" s="220">
        <f>('C.2项目每年借款信息'!$V$4*('A财务假设'!$D$16+'A财务假设'!$D$17))</f>
        <v/>
      </c>
      <c r="X19" s="220">
        <f>('C.2项目每年借款信息'!$W$4*('A财务假设'!$D$16+'A财务假设'!$D$17))</f>
        <v/>
      </c>
      <c r="Y19" s="220">
        <f>('C.2项目每年借款信息'!$X$4*('A财务假设'!$D$16+'A财务假设'!$D$17))</f>
        <v/>
      </c>
      <c r="Z19" s="220" t="n">
        <v>0</v>
      </c>
    </row>
    <row r="20" s="162">
      <c r="A20" s="220" t="inlineStr">
        <is>
          <t>2.6</t>
        </is>
      </c>
      <c r="B20" s="220" t="inlineStr">
        <is>
          <t>应付利息</t>
        </is>
      </c>
      <c r="C20" s="220" t="n">
        <v>0</v>
      </c>
      <c r="D20" s="220" t="n">
        <v>0</v>
      </c>
      <c r="E20" s="220">
        <f>(IF(($E$2-YEAR('C.1项目融资信息'!$E$5))=0,(12-MONTH('C.1项目融资信息'!$E$5)+1)*'C.1项目融资信息'!$D$5*'C.1项目融资信息'!$H$5/12,'C.1项目融资信息'!$D$5*'C.1项目融资信息'!$H$5))</f>
        <v/>
      </c>
      <c r="F20" s="220">
        <f>(IF(($F$2-YEAR('C.1项目融资信息'!$E$5))=0,(12-MONTH('C.1项目融资信息'!$E$5)+1)*'C.1项目融资信息'!$D$5*'C.1项目融资信息'!$H$5/12,'C.1项目融资信息'!$D$5*'C.1项目融资信息'!$H$5))</f>
        <v/>
      </c>
      <c r="G20" s="220">
        <f>(IF(($G$2-YEAR('C.1项目融资信息'!$E$5))=0,(12-MONTH('C.1项目融资信息'!$E$5)+1)*'C.1项目融资信息'!$D$5*'C.1项目融资信息'!$H$5/12,'C.1项目融资信息'!$D$5*'C.1项目融资信息'!$H$5))</f>
        <v/>
      </c>
      <c r="H20" s="220">
        <f>(IF(($H$2-YEAR('C.1项目融资信息'!$E$5))=0,(12-MONTH('C.1项目融资信息'!$E$5)+1)*'C.1项目融资信息'!$D$5*'C.1项目融资信息'!$H$5/12,'C.1项目融资信息'!$D$5*'C.1项目融资信息'!$H$5))</f>
        <v/>
      </c>
      <c r="I20" s="220">
        <f>(IF(($I$2-YEAR('C.1项目融资信息'!$E$5))=0,(12-MONTH('C.1项目融资信息'!$E$5)+1)*'C.1项目融资信息'!$D$5*'C.1项目融资信息'!$H$5/12,'C.1项目融资信息'!$D$5*'C.1项目融资信息'!$H$5))</f>
        <v/>
      </c>
      <c r="J20" s="220">
        <f>(IF(($J$2-YEAR('C.1项目融资信息'!$E$5))=0,(12-MONTH('C.1项目融资信息'!$E$5)+1)*'C.1项目融资信息'!$D$5*'C.1项目融资信息'!$H$5/12,'C.1项目融资信息'!$D$5*'C.1项目融资信息'!$H$5))</f>
        <v/>
      </c>
      <c r="K20" s="220">
        <f>(IF(($K$2-YEAR('C.1项目融资信息'!$E$5))=0,(12-MONTH('C.1项目融资信息'!$E$5)+1)*'C.1项目融资信息'!$D$5*'C.1项目融资信息'!$H$5/12,'C.1项目融资信息'!$D$5*'C.1项目融资信息'!$H$5))</f>
        <v/>
      </c>
      <c r="L20" s="220">
        <f>(IF(($L$2-YEAR('C.1项目融资信息'!$E$5))=0,(12-MONTH('C.1项目融资信息'!$E$5)+1)*'C.1项目融资信息'!$D$5*'C.1项目融资信息'!$H$5/12,'C.1项目融资信息'!$D$5*'C.1项目融资信息'!$H$5))</f>
        <v/>
      </c>
      <c r="M20" s="220">
        <f>(IF(($M$2-YEAR('C.1项目融资信息'!$E$5))=0,(12-MONTH('C.1项目融资信息'!$E$5)+1)*'C.1项目融资信息'!$D$5*'C.1项目融资信息'!$H$5/12,'C.1项目融资信息'!$D$5*'C.1项目融资信息'!$H$5))</f>
        <v/>
      </c>
      <c r="N20" s="220">
        <f>(IF(($N$2-YEAR('C.1项目融资信息'!$E$5))=0,(12-MONTH('C.1项目融资信息'!$E$5)+1)*'C.1项目融资信息'!$D$5*'C.1项目融资信息'!$H$5/12,'C.1项目融资信息'!$D$5*'C.1项目融资信息'!$H$5))</f>
        <v/>
      </c>
      <c r="O20" s="220">
        <f>(IF(($O$2-YEAR('C.1项目融资信息'!$E$5))=0,(12-MONTH('C.1项目融资信息'!$E$5)+1)*'C.1项目融资信息'!$D$5*'C.1项目融资信息'!$H$5/12,'C.1项目融资信息'!$D$5*'C.1项目融资信息'!$H$5))</f>
        <v/>
      </c>
      <c r="P20" s="220">
        <f>(IF(($P$2-YEAR('C.1项目融资信息'!$E$5))=0,(12-MONTH('C.1项目融资信息'!$E$5)+1)*'C.1项目融资信息'!$D$5*'C.1项目融资信息'!$H$5/12,'C.1项目融资信息'!$D$5*'C.1项目融资信息'!$H$5))</f>
        <v/>
      </c>
      <c r="Q20" s="220">
        <f>(IF(($Q$2-YEAR('C.1项目融资信息'!$E$5))=0,(12-MONTH('C.1项目融资信息'!$E$5)+1)*'C.1项目融资信息'!$D$5*'C.1项目融资信息'!$H$5/12,'C.1项目融资信息'!$D$5*'C.1项目融资信息'!$H$5))</f>
        <v/>
      </c>
      <c r="R20" s="220">
        <f>(IF(($R$2-YEAR('C.1项目融资信息'!$E$5))=0,(12-MONTH('C.1项目融资信息'!$E$5)+1)*'C.1项目融资信息'!$D$5*'C.1项目融资信息'!$H$5/12,'C.1项目融资信息'!$D$5*'C.1项目融资信息'!$H$5))</f>
        <v/>
      </c>
      <c r="S20" s="220">
        <f>(IF(($S$2-YEAR('C.1项目融资信息'!$E$5))=0,(12-MONTH('C.1项目融资信息'!$E$5)+1)*'C.1项目融资信息'!$D$5*'C.1项目融资信息'!$H$5/12,'C.1项目融资信息'!$D$5*'C.1项目融资信息'!$H$5))</f>
        <v/>
      </c>
      <c r="T20" s="220">
        <f>(IF(($T$2-YEAR('C.1项目融资信息'!$E$5))=0,(12-MONTH('C.1项目融资信息'!$E$5)+1)*'C.1项目融资信息'!$D$5*'C.1项目融资信息'!$H$5/12,'C.1项目融资信息'!$D$5*'C.1项目融资信息'!$H$5))</f>
        <v/>
      </c>
      <c r="U20" s="220">
        <f>(IF(($U$2-YEAR('C.1项目融资信息'!$E$5))=0,(12-MONTH('C.1项目融资信息'!$E$5)+1)*'C.1项目融资信息'!$D$5*'C.1项目融资信息'!$H$5/12,'C.1项目融资信息'!$D$5*'C.1项目融资信息'!$H$5))</f>
        <v/>
      </c>
      <c r="V20" s="220">
        <f>(IF(($V$2-YEAR('C.1项目融资信息'!$E$5))=0,(12-MONTH('C.1项目融资信息'!$E$5)+1)*'C.1项目融资信息'!$D$5*'C.1项目融资信息'!$H$5/12,'C.1项目融资信息'!$D$5*'C.1项目融资信息'!$H$5))</f>
        <v/>
      </c>
      <c r="W20" s="220">
        <f>(IF(($W$2-YEAR('C.1项目融资信息'!$E$5))=0,(12-MONTH('C.1项目融资信息'!$E$5)+1)*'C.1项目融资信息'!$D$5*'C.1项目融资信息'!$H$5/12,'C.1项目融资信息'!$D$5*'C.1项目融资信息'!$H$5))</f>
        <v/>
      </c>
      <c r="X20" s="220">
        <f>(IF(($X$2-YEAR('C.1项目融资信息'!$E$5))=0,(12-MONTH('C.1项目融资信息'!$E$5)+1)*'C.1项目融资信息'!$D$5*'C.1项目融资信息'!$H$5/12,'C.1项目融资信息'!$D$5*'C.1项目融资信息'!$H$5))</f>
        <v/>
      </c>
      <c r="Y20" s="220">
        <f>(MONTH('C.1项目融资信息'!$E$5)-1)*'C.1项目融资信息'!$D$5*'C.1项目融资信息'!$H$5/12</f>
        <v/>
      </c>
      <c r="Z20" s="220" t="n">
        <v>0</v>
      </c>
    </row>
    <row r="21" s="162">
      <c r="A21" s="220" t="n">
        <v>3</v>
      </c>
      <c r="B21" s="220" t="inlineStr">
        <is>
          <t>借款3</t>
        </is>
      </c>
      <c r="C21" s="45" t="n"/>
      <c r="D21" s="45" t="n"/>
      <c r="E21" s="45" t="n"/>
      <c r="F21" s="45" t="n"/>
      <c r="G21" s="45" t="n"/>
      <c r="H21" s="45" t="n"/>
      <c r="I21" s="45" t="n"/>
      <c r="J21" s="45" t="n"/>
      <c r="K21" s="45" t="n"/>
      <c r="L21" s="45" t="n"/>
      <c r="M21" s="45" t="n"/>
      <c r="N21" s="45" t="n"/>
      <c r="O21" s="45" t="n"/>
      <c r="P21" s="45" t="n"/>
      <c r="Q21" s="45" t="n"/>
      <c r="R21" s="45" t="n"/>
      <c r="S21" s="45" t="n"/>
      <c r="T21" s="45" t="n"/>
      <c r="U21" s="45" t="n"/>
      <c r="V21" s="45" t="n"/>
      <c r="W21" s="45" t="n"/>
      <c r="X21" s="45" t="n"/>
      <c r="Y21" s="45" t="n"/>
      <c r="Z21" s="45" t="n"/>
    </row>
    <row r="22" s="162">
      <c r="A22" s="220" t="inlineStr">
        <is>
          <t>3.1</t>
        </is>
      </c>
      <c r="B22" s="220" t="inlineStr">
        <is>
          <t>期初借款余额</t>
        </is>
      </c>
      <c r="C22" s="220" t="n">
        <v>0</v>
      </c>
      <c r="D22" s="220" t="n">
        <v>0</v>
      </c>
      <c r="E22" s="220" t="n">
        <v>0</v>
      </c>
      <c r="F22" s="220">
        <f>(E26)</f>
        <v/>
      </c>
      <c r="G22" s="220">
        <f>(F26)</f>
        <v/>
      </c>
      <c r="H22" s="220">
        <f>(G26)</f>
        <v/>
      </c>
      <c r="I22" s="220">
        <f>(H26)</f>
        <v/>
      </c>
      <c r="J22" s="220">
        <f>(I26)</f>
        <v/>
      </c>
      <c r="K22" s="220">
        <f>(J26)</f>
        <v/>
      </c>
      <c r="L22" s="220">
        <f>(K26)</f>
        <v/>
      </c>
      <c r="M22" s="220">
        <f>(L26)</f>
        <v/>
      </c>
      <c r="N22" s="220">
        <f>(M26)</f>
        <v/>
      </c>
      <c r="O22" s="220">
        <f>(N26)</f>
        <v/>
      </c>
      <c r="P22" s="220">
        <f>(O26)</f>
        <v/>
      </c>
      <c r="Q22" s="220">
        <f>(P26)</f>
        <v/>
      </c>
      <c r="R22" s="220">
        <f>(Q26)</f>
        <v/>
      </c>
      <c r="S22" s="220">
        <f>(R26)</f>
        <v/>
      </c>
      <c r="T22" s="220">
        <f>(S26)</f>
        <v/>
      </c>
      <c r="U22" s="220">
        <f>(T26)</f>
        <v/>
      </c>
      <c r="V22" s="220">
        <f>(U26)</f>
        <v/>
      </c>
      <c r="W22" s="220">
        <f>(V26)</f>
        <v/>
      </c>
      <c r="X22" s="220">
        <f>(W26)</f>
        <v/>
      </c>
      <c r="Y22" s="220">
        <f>(X26)</f>
        <v/>
      </c>
      <c r="Z22" s="220">
        <f>(Y26)</f>
        <v/>
      </c>
    </row>
    <row r="23" s="162">
      <c r="A23" s="220" t="inlineStr">
        <is>
          <t>3.2</t>
        </is>
      </c>
      <c r="B23" s="220" t="inlineStr">
        <is>
          <t>当期还本付息</t>
        </is>
      </c>
      <c r="C23" s="220">
        <f>(SUM(F23:Z23))</f>
        <v/>
      </c>
      <c r="D23" s="220" t="n">
        <v>0</v>
      </c>
      <c r="E23" s="220" t="n">
        <v>0</v>
      </c>
      <c r="F23" s="220">
        <f>(F24+F25)</f>
        <v/>
      </c>
      <c r="G23" s="220">
        <f>(G24+G25)</f>
        <v/>
      </c>
      <c r="H23" s="220">
        <f>(H24+H25)</f>
        <v/>
      </c>
      <c r="I23" s="220">
        <f>(I24+I25)</f>
        <v/>
      </c>
      <c r="J23" s="220">
        <f>(J24+J25)</f>
        <v/>
      </c>
      <c r="K23" s="220">
        <f>(K24+K25)</f>
        <v/>
      </c>
      <c r="L23" s="220">
        <f>(L24+L25)</f>
        <v/>
      </c>
      <c r="M23" s="220">
        <f>(M24+M25)</f>
        <v/>
      </c>
      <c r="N23" s="220">
        <f>(N24+N25)</f>
        <v/>
      </c>
      <c r="O23" s="220">
        <f>(O24+O25)</f>
        <v/>
      </c>
      <c r="P23" s="220">
        <f>(P24+P25)</f>
        <v/>
      </c>
      <c r="Q23" s="220">
        <f>(Q24+Q25)</f>
        <v/>
      </c>
      <c r="R23" s="220">
        <f>(R24+R25)</f>
        <v/>
      </c>
      <c r="S23" s="220">
        <f>(S24+S25)</f>
        <v/>
      </c>
      <c r="T23" s="220">
        <f>(T24+T25)</f>
        <v/>
      </c>
      <c r="U23" s="220">
        <f>(U24+U25)</f>
        <v/>
      </c>
      <c r="V23" s="220">
        <f>(V24+V25)</f>
        <v/>
      </c>
      <c r="W23" s="220">
        <f>(W24+W25)</f>
        <v/>
      </c>
      <c r="X23" s="220">
        <f>(X24+X25)</f>
        <v/>
      </c>
      <c r="Y23" s="220">
        <f>(Y24+Y25)</f>
        <v/>
      </c>
      <c r="Z23" s="220">
        <f>(Z24+Z25)</f>
        <v/>
      </c>
    </row>
    <row r="24" s="162">
      <c r="A24" s="220" t="inlineStr">
        <is>
          <t>3.2.1</t>
        </is>
      </c>
      <c r="B24" s="220" t="inlineStr">
        <is>
          <t>其中：还本</t>
        </is>
      </c>
      <c r="C24" s="220">
        <f>(SUM(F24:Z24))</f>
        <v/>
      </c>
      <c r="D24" s="220" t="n">
        <v>0</v>
      </c>
      <c r="E24" s="220" t="n">
        <v>0</v>
      </c>
      <c r="F24" s="220" t="n">
        <v>0</v>
      </c>
      <c r="G24" s="220" t="n">
        <v>0</v>
      </c>
      <c r="H24" s="220" t="n">
        <v>0</v>
      </c>
      <c r="I24" s="220" t="n">
        <v>0</v>
      </c>
      <c r="J24" s="220" t="n">
        <v>0</v>
      </c>
      <c r="K24" s="220" t="n">
        <v>0</v>
      </c>
      <c r="L24" s="220" t="n">
        <v>0</v>
      </c>
      <c r="M24" s="220" t="n">
        <v>0</v>
      </c>
      <c r="N24" s="220" t="n">
        <v>0</v>
      </c>
      <c r="O24" s="220" t="n">
        <v>0</v>
      </c>
      <c r="P24" s="220" t="n">
        <v>0</v>
      </c>
      <c r="Q24" s="220" t="n">
        <v>0</v>
      </c>
      <c r="R24" s="220" t="n">
        <v>0</v>
      </c>
      <c r="S24" s="220" t="n">
        <v>0</v>
      </c>
      <c r="T24" s="220" t="n">
        <v>0</v>
      </c>
      <c r="U24" s="220" t="n">
        <v>0</v>
      </c>
      <c r="V24" s="220" t="n">
        <v>0</v>
      </c>
      <c r="W24" s="220" t="n">
        <v>0</v>
      </c>
      <c r="X24" s="220" t="n">
        <v>0</v>
      </c>
      <c r="Y24" s="220" t="n">
        <v>0</v>
      </c>
      <c r="Z24" s="220">
        <f>('C.1项目融资信息'!$D$6)</f>
        <v/>
      </c>
    </row>
    <row r="25" s="162">
      <c r="A25" s="220" t="inlineStr">
        <is>
          <t>3.2.2</t>
        </is>
      </c>
      <c r="B25" s="220" t="inlineStr">
        <is>
          <t>付息</t>
        </is>
      </c>
      <c r="C25" s="220">
        <f>(SUM(F25:Z25))</f>
        <v/>
      </c>
      <c r="D25" s="220" t="n">
        <v>0</v>
      </c>
      <c r="E25" s="220" t="n">
        <v>0</v>
      </c>
      <c r="F25" s="220" t="n">
        <v>0</v>
      </c>
      <c r="G25" s="220">
        <f>((G26+G24)*'C.1项目融资信息'!$H$6)</f>
        <v/>
      </c>
      <c r="H25" s="220">
        <f>((H26+H24)*'C.1项目融资信息'!$H$6)</f>
        <v/>
      </c>
      <c r="I25" s="220">
        <f>((I26+I24)*'C.1项目融资信息'!$H$6)</f>
        <v/>
      </c>
      <c r="J25" s="220">
        <f>((J26+J24)*'C.1项目融资信息'!$H$6)</f>
        <v/>
      </c>
      <c r="K25" s="220">
        <f>((K26+K24)*'C.1项目融资信息'!$H$6)</f>
        <v/>
      </c>
      <c r="L25" s="220">
        <f>((L26+L24)*'C.1项目融资信息'!$H$6)</f>
        <v/>
      </c>
      <c r="M25" s="220">
        <f>((M26+M24)*'C.1项目融资信息'!$H$6)</f>
        <v/>
      </c>
      <c r="N25" s="220">
        <f>((N26+N24)*'C.1项目融资信息'!$H$6)</f>
        <v/>
      </c>
      <c r="O25" s="220">
        <f>((O26+O24)*'C.1项目融资信息'!$H$6)</f>
        <v/>
      </c>
      <c r="P25" s="220">
        <f>((P26+P24)*'C.1项目融资信息'!$H$6)</f>
        <v/>
      </c>
      <c r="Q25" s="220">
        <f>((Q26+Q24)*'C.1项目融资信息'!$H$6)</f>
        <v/>
      </c>
      <c r="R25" s="220">
        <f>((R26+R24)*'C.1项目融资信息'!$H$6)</f>
        <v/>
      </c>
      <c r="S25" s="220">
        <f>((S26+S24)*'C.1项目融资信息'!$H$6)</f>
        <v/>
      </c>
      <c r="T25" s="220">
        <f>((T26+T24)*'C.1项目融资信息'!$H$6)</f>
        <v/>
      </c>
      <c r="U25" s="220">
        <f>((U26+U24)*'C.1项目融资信息'!$H$6)</f>
        <v/>
      </c>
      <c r="V25" s="220">
        <f>((V26+V24)*'C.1项目融资信息'!$H$6)</f>
        <v/>
      </c>
      <c r="W25" s="220">
        <f>((W26+W24)*'C.1项目融资信息'!$H$6)</f>
        <v/>
      </c>
      <c r="X25" s="220">
        <f>((X26+X24)*'C.1项目融资信息'!$H$6)</f>
        <v/>
      </c>
      <c r="Y25" s="220">
        <f>((Y26+Y24)*'C.1项目融资信息'!$H$6)</f>
        <v/>
      </c>
      <c r="Z25" s="220">
        <f>((Z26+Z24)*'C.1项目融资信息'!$H$6)</f>
        <v/>
      </c>
    </row>
    <row r="26" s="162">
      <c r="A26" s="220" t="inlineStr">
        <is>
          <t>3.3</t>
        </is>
      </c>
      <c r="B26" s="220" t="inlineStr">
        <is>
          <t>期末借款余额</t>
        </is>
      </c>
      <c r="C26" s="220" t="n">
        <v>0</v>
      </c>
      <c r="D26" s="220" t="n">
        <v>0</v>
      </c>
      <c r="E26" s="220" t="n">
        <v>0</v>
      </c>
      <c r="F26" s="220">
        <f>(F22+'C.2项目每年借款信息'!$E$5-F24)</f>
        <v/>
      </c>
      <c r="G26" s="220">
        <f>(G22+'C.2项目每年借款信息'!$F$5-G24)</f>
        <v/>
      </c>
      <c r="H26" s="220">
        <f>(H22+'C.2项目每年借款信息'!$G$5-H24)</f>
        <v/>
      </c>
      <c r="I26" s="220">
        <f>(I22+'C.2项目每年借款信息'!$H$5-I24)</f>
        <v/>
      </c>
      <c r="J26" s="220">
        <f>(J22+'C.2项目每年借款信息'!$I$5-J24)</f>
        <v/>
      </c>
      <c r="K26" s="220">
        <f>(K22+'C.2项目每年借款信息'!$J$5-K24)</f>
        <v/>
      </c>
      <c r="L26" s="220">
        <f>(L22+'C.2项目每年借款信息'!$K$5-L24)</f>
        <v/>
      </c>
      <c r="M26" s="220">
        <f>(M22+'C.2项目每年借款信息'!$L$5-M24)</f>
        <v/>
      </c>
      <c r="N26" s="220">
        <f>(N22+'C.2项目每年借款信息'!$M$5-N24)</f>
        <v/>
      </c>
      <c r="O26" s="220">
        <f>(O22+'C.2项目每年借款信息'!$N$5-O24)</f>
        <v/>
      </c>
      <c r="P26" s="220">
        <f>(P22+'C.2项目每年借款信息'!$O$5-P24)</f>
        <v/>
      </c>
      <c r="Q26" s="220">
        <f>(Q22+'C.2项目每年借款信息'!$P$5-Q24)</f>
        <v/>
      </c>
      <c r="R26" s="220">
        <f>(R22+'C.2项目每年借款信息'!$Q$5-R24)</f>
        <v/>
      </c>
      <c r="S26" s="220">
        <f>(S22+'C.2项目每年借款信息'!$R$5-S24)</f>
        <v/>
      </c>
      <c r="T26" s="220">
        <f>(T22+'C.2项目每年借款信息'!$S$5-T24)</f>
        <v/>
      </c>
      <c r="U26" s="220">
        <f>(U22+'C.2项目每年借款信息'!$T$5-U24)</f>
        <v/>
      </c>
      <c r="V26" s="220">
        <f>(V22+'C.2项目每年借款信息'!$U$5-V24)</f>
        <v/>
      </c>
      <c r="W26" s="220">
        <f>(W22+'C.2项目每年借款信息'!$V$5-W24)</f>
        <v/>
      </c>
      <c r="X26" s="220">
        <f>(X22+'C.2项目每年借款信息'!$W$5-X24)</f>
        <v/>
      </c>
      <c r="Y26" s="220">
        <f>(Y22+'C.2项目每年借款信息'!$X$5-Y24)</f>
        <v/>
      </c>
      <c r="Z26" s="220">
        <f>(Z22+'C.2项目每年借款信息'!$Y$5-Z24)</f>
        <v/>
      </c>
    </row>
    <row r="27" s="162">
      <c r="A27" s="220" t="inlineStr">
        <is>
          <t>3.4</t>
        </is>
      </c>
      <c r="B27" s="220" t="inlineStr">
        <is>
          <t>还本付息兑付手续费</t>
        </is>
      </c>
      <c r="C27" s="220">
        <f>(SUM(F27:Z27))</f>
        <v/>
      </c>
      <c r="D27" s="220" t="n">
        <v>0</v>
      </c>
      <c r="E27" s="220" t="n">
        <v>0</v>
      </c>
      <c r="F27" s="220">
        <f>(F23*'A财务假设'!$D$18)</f>
        <v/>
      </c>
      <c r="G27" s="220">
        <f>(G23*'A财务假设'!$D$18)</f>
        <v/>
      </c>
      <c r="H27" s="220">
        <f>(H23*'A财务假设'!$D$18)</f>
        <v/>
      </c>
      <c r="I27" s="220">
        <f>(I23*'A财务假设'!$D$18)</f>
        <v/>
      </c>
      <c r="J27" s="220">
        <f>(J23*'A财务假设'!$D$18)</f>
        <v/>
      </c>
      <c r="K27" s="220">
        <f>(K23*'A财务假设'!$D$18)</f>
        <v/>
      </c>
      <c r="L27" s="220">
        <f>(L23*'A财务假设'!$D$18)</f>
        <v/>
      </c>
      <c r="M27" s="220">
        <f>(M23*'A财务假设'!$D$18)</f>
        <v/>
      </c>
      <c r="N27" s="220">
        <f>(N23*'A财务假设'!$D$18)</f>
        <v/>
      </c>
      <c r="O27" s="220">
        <f>(O23*'A财务假设'!$D$18)</f>
        <v/>
      </c>
      <c r="P27" s="220">
        <f>(P23*'A财务假设'!$D$18)</f>
        <v/>
      </c>
      <c r="Q27" s="220">
        <f>(Q23*'A财务假设'!$D$18)</f>
        <v/>
      </c>
      <c r="R27" s="220">
        <f>(R23*'A财务假设'!$D$18)</f>
        <v/>
      </c>
      <c r="S27" s="220">
        <f>(S23*'A财务假设'!$D$18)</f>
        <v/>
      </c>
      <c r="T27" s="220">
        <f>(T23*'A财务假设'!$D$18)</f>
        <v/>
      </c>
      <c r="U27" s="220">
        <f>(U23*'A财务假设'!$D$18)</f>
        <v/>
      </c>
      <c r="V27" s="220">
        <f>(V23*'A财务假设'!$D$18)</f>
        <v/>
      </c>
      <c r="W27" s="220">
        <f>(W23*'A财务假设'!$D$18)</f>
        <v/>
      </c>
      <c r="X27" s="220">
        <f>(X23*'A财务假设'!$D$18)</f>
        <v/>
      </c>
      <c r="Y27" s="220">
        <f>(Y23*'A财务假设'!$D$18)</f>
        <v/>
      </c>
      <c r="Z27" s="220">
        <f>(Z23*'A财务假设'!$D$18)</f>
        <v/>
      </c>
    </row>
    <row r="28" s="162">
      <c r="A28" s="220" t="inlineStr">
        <is>
          <t>3.5</t>
        </is>
      </c>
      <c r="B28" s="220" t="inlineStr">
        <is>
          <t>债券发行及服务费</t>
        </is>
      </c>
      <c r="C28" s="220">
        <f>(SUM(F28:Z28))</f>
        <v/>
      </c>
      <c r="D28" s="220" t="n">
        <v>0</v>
      </c>
      <c r="E28" s="220" t="n">
        <v>0</v>
      </c>
      <c r="F28" s="220">
        <f>('C.2项目每年借款信息'!$E$5*('A财务假设'!$D$16+'A财务假设'!$D$17))</f>
        <v/>
      </c>
      <c r="G28" s="220">
        <f>('C.2项目每年借款信息'!$F$5*('A财务假设'!$D$16+'A财务假设'!$D$17))</f>
        <v/>
      </c>
      <c r="H28" s="220">
        <f>('C.2项目每年借款信息'!$G$5*('A财务假设'!$D$16+'A财务假设'!$D$17))</f>
        <v/>
      </c>
      <c r="I28" s="220">
        <f>('C.2项目每年借款信息'!$H$5*('A财务假设'!$D$16+'A财务假设'!$D$17))</f>
        <v/>
      </c>
      <c r="J28" s="220">
        <f>('C.2项目每年借款信息'!$I$5*('A财务假设'!$D$16+'A财务假设'!$D$17))</f>
        <v/>
      </c>
      <c r="K28" s="220">
        <f>('C.2项目每年借款信息'!$J$5*('A财务假设'!$D$16+'A财务假设'!$D$17))</f>
        <v/>
      </c>
      <c r="L28" s="220">
        <f>('C.2项目每年借款信息'!$K$5*('A财务假设'!$D$16+'A财务假设'!$D$17))</f>
        <v/>
      </c>
      <c r="M28" s="220">
        <f>('C.2项目每年借款信息'!$L$5*('A财务假设'!$D$16+'A财务假设'!$D$17))</f>
        <v/>
      </c>
      <c r="N28" s="220">
        <f>('C.2项目每年借款信息'!$M$5*('A财务假设'!$D$16+'A财务假设'!$D$17))</f>
        <v/>
      </c>
      <c r="O28" s="220">
        <f>('C.2项目每年借款信息'!$N$5*('A财务假设'!$D$16+'A财务假设'!$D$17))</f>
        <v/>
      </c>
      <c r="P28" s="220">
        <f>('C.2项目每年借款信息'!$O$5*('A财务假设'!$D$16+'A财务假设'!$D$17))</f>
        <v/>
      </c>
      <c r="Q28" s="220">
        <f>('C.2项目每年借款信息'!$P$5*('A财务假设'!$D$16+'A财务假设'!$D$17))</f>
        <v/>
      </c>
      <c r="R28" s="220">
        <f>('C.2项目每年借款信息'!$Q$5*('A财务假设'!$D$16+'A财务假设'!$D$17))</f>
        <v/>
      </c>
      <c r="S28" s="220">
        <f>('C.2项目每年借款信息'!$R$5*('A财务假设'!$D$16+'A财务假设'!$D$17))</f>
        <v/>
      </c>
      <c r="T28" s="220">
        <f>('C.2项目每年借款信息'!$S$5*('A财务假设'!$D$16+'A财务假设'!$D$17))</f>
        <v/>
      </c>
      <c r="U28" s="220">
        <f>('C.2项目每年借款信息'!$T$5*('A财务假设'!$D$16+'A财务假设'!$D$17))</f>
        <v/>
      </c>
      <c r="V28" s="220">
        <f>('C.2项目每年借款信息'!$U$5*('A财务假设'!$D$16+'A财务假设'!$D$17))</f>
        <v/>
      </c>
      <c r="W28" s="220">
        <f>('C.2项目每年借款信息'!$V$5*('A财务假设'!$D$16+'A财务假设'!$D$17))</f>
        <v/>
      </c>
      <c r="X28" s="220">
        <f>('C.2项目每年借款信息'!$W$5*('A财务假设'!$D$16+'A财务假设'!$D$17))</f>
        <v/>
      </c>
      <c r="Y28" s="220">
        <f>('C.2项目每年借款信息'!$X$5*('A财务假设'!$D$16+'A财务假设'!$D$17))</f>
        <v/>
      </c>
      <c r="Z28" s="220">
        <f>('C.2项目每年借款信息'!$Y$5*('A财务假设'!$D$16+'A财务假设'!$D$17))</f>
        <v/>
      </c>
    </row>
    <row r="29" s="162">
      <c r="A29" s="220" t="inlineStr">
        <is>
          <t>3.6</t>
        </is>
      </c>
      <c r="B29" s="220" t="inlineStr">
        <is>
          <t>应付利息</t>
        </is>
      </c>
      <c r="C29" s="220" t="n">
        <v>0</v>
      </c>
      <c r="D29" s="220" t="n">
        <v>0</v>
      </c>
      <c r="E29" s="220" t="n">
        <v>0</v>
      </c>
      <c r="F29" s="220">
        <f>(IF(($F$2-YEAR('C.1项目融资信息'!$E$6))=0,(12-MONTH('C.1项目融资信息'!$E$6)+1)*'C.1项目融资信息'!$D$6*'C.1项目融资信息'!$H$6/12,'C.1项目融资信息'!$D$6*'C.1项目融资信息'!$H$6))</f>
        <v/>
      </c>
      <c r="G29" s="220">
        <f>(IF(($G$2-YEAR('C.1项目融资信息'!$E$6))=0,(12-MONTH('C.1项目融资信息'!$E$6)+1)*'C.1项目融资信息'!$D$6*'C.1项目融资信息'!$H$6/12,'C.1项目融资信息'!$D$6*'C.1项目融资信息'!$H$6))</f>
        <v/>
      </c>
      <c r="H29" s="220">
        <f>(IF(($H$2-YEAR('C.1项目融资信息'!$E$6))=0,(12-MONTH('C.1项目融资信息'!$E$6)+1)*'C.1项目融资信息'!$D$6*'C.1项目融资信息'!$H$6/12,'C.1项目融资信息'!$D$6*'C.1项目融资信息'!$H$6))</f>
        <v/>
      </c>
      <c r="I29" s="220">
        <f>(IF(($I$2-YEAR('C.1项目融资信息'!$E$6))=0,(12-MONTH('C.1项目融资信息'!$E$6)+1)*'C.1项目融资信息'!$D$6*'C.1项目融资信息'!$H$6/12,'C.1项目融资信息'!$D$6*'C.1项目融资信息'!$H$6))</f>
        <v/>
      </c>
      <c r="J29" s="220">
        <f>(IF(($J$2-YEAR('C.1项目融资信息'!$E$6))=0,(12-MONTH('C.1项目融资信息'!$E$6)+1)*'C.1项目融资信息'!$D$6*'C.1项目融资信息'!$H$6/12,'C.1项目融资信息'!$D$6*'C.1项目融资信息'!$H$6))</f>
        <v/>
      </c>
      <c r="K29" s="220">
        <f>(IF(($K$2-YEAR('C.1项目融资信息'!$E$6))=0,(12-MONTH('C.1项目融资信息'!$E$6)+1)*'C.1项目融资信息'!$D$6*'C.1项目融资信息'!$H$6/12,'C.1项目融资信息'!$D$6*'C.1项目融资信息'!$H$6))</f>
        <v/>
      </c>
      <c r="L29" s="220">
        <f>(IF(($L$2-YEAR('C.1项目融资信息'!$E$6))=0,(12-MONTH('C.1项目融资信息'!$E$6)+1)*'C.1项目融资信息'!$D$6*'C.1项目融资信息'!$H$6/12,'C.1项目融资信息'!$D$6*'C.1项目融资信息'!$H$6))</f>
        <v/>
      </c>
      <c r="M29" s="220">
        <f>(IF(($M$2-YEAR('C.1项目融资信息'!$E$6))=0,(12-MONTH('C.1项目融资信息'!$E$6)+1)*'C.1项目融资信息'!$D$6*'C.1项目融资信息'!$H$6/12,'C.1项目融资信息'!$D$6*'C.1项目融资信息'!$H$6))</f>
        <v/>
      </c>
      <c r="N29" s="220">
        <f>(IF(($N$2-YEAR('C.1项目融资信息'!$E$6))=0,(12-MONTH('C.1项目融资信息'!$E$6)+1)*'C.1项目融资信息'!$D$6*'C.1项目融资信息'!$H$6/12,'C.1项目融资信息'!$D$6*'C.1项目融资信息'!$H$6))</f>
        <v/>
      </c>
      <c r="O29" s="220">
        <f>(IF(($O$2-YEAR('C.1项目融资信息'!$E$6))=0,(12-MONTH('C.1项目融资信息'!$E$6)+1)*'C.1项目融资信息'!$D$6*'C.1项目融资信息'!$H$6/12,'C.1项目融资信息'!$D$6*'C.1项目融资信息'!$H$6))</f>
        <v/>
      </c>
      <c r="P29" s="220">
        <f>(IF(($P$2-YEAR('C.1项目融资信息'!$E$6))=0,(12-MONTH('C.1项目融资信息'!$E$6)+1)*'C.1项目融资信息'!$D$6*'C.1项目融资信息'!$H$6/12,'C.1项目融资信息'!$D$6*'C.1项目融资信息'!$H$6))</f>
        <v/>
      </c>
      <c r="Q29" s="220">
        <f>(IF(($Q$2-YEAR('C.1项目融资信息'!$E$6))=0,(12-MONTH('C.1项目融资信息'!$E$6)+1)*'C.1项目融资信息'!$D$6*'C.1项目融资信息'!$H$6/12,'C.1项目融资信息'!$D$6*'C.1项目融资信息'!$H$6))</f>
        <v/>
      </c>
      <c r="R29" s="220">
        <f>(IF(($R$2-YEAR('C.1项目融资信息'!$E$6))=0,(12-MONTH('C.1项目融资信息'!$E$6)+1)*'C.1项目融资信息'!$D$6*'C.1项目融资信息'!$H$6/12,'C.1项目融资信息'!$D$6*'C.1项目融资信息'!$H$6))</f>
        <v/>
      </c>
      <c r="S29" s="220">
        <f>(IF(($S$2-YEAR('C.1项目融资信息'!$E$6))=0,(12-MONTH('C.1项目融资信息'!$E$6)+1)*'C.1项目融资信息'!$D$6*'C.1项目融资信息'!$H$6/12,'C.1项目融资信息'!$D$6*'C.1项目融资信息'!$H$6))</f>
        <v/>
      </c>
      <c r="T29" s="220">
        <f>(IF(($T$2-YEAR('C.1项目融资信息'!$E$6))=0,(12-MONTH('C.1项目融资信息'!$E$6)+1)*'C.1项目融资信息'!$D$6*'C.1项目融资信息'!$H$6/12,'C.1项目融资信息'!$D$6*'C.1项目融资信息'!$H$6))</f>
        <v/>
      </c>
      <c r="U29" s="220">
        <f>(IF(($U$2-YEAR('C.1项目融资信息'!$E$6))=0,(12-MONTH('C.1项目融资信息'!$E$6)+1)*'C.1项目融资信息'!$D$6*'C.1项目融资信息'!$H$6/12,'C.1项目融资信息'!$D$6*'C.1项目融资信息'!$H$6))</f>
        <v/>
      </c>
      <c r="V29" s="220">
        <f>(IF(($V$2-YEAR('C.1项目融资信息'!$E$6))=0,(12-MONTH('C.1项目融资信息'!$E$6)+1)*'C.1项目融资信息'!$D$6*'C.1项目融资信息'!$H$6/12,'C.1项目融资信息'!$D$6*'C.1项目融资信息'!$H$6))</f>
        <v/>
      </c>
      <c r="W29" s="220">
        <f>(IF(($W$2-YEAR('C.1项目融资信息'!$E$6))=0,(12-MONTH('C.1项目融资信息'!$E$6)+1)*'C.1项目融资信息'!$D$6*'C.1项目融资信息'!$H$6/12,'C.1项目融资信息'!$D$6*'C.1项目融资信息'!$H$6))</f>
        <v/>
      </c>
      <c r="X29" s="220">
        <f>(IF(($X$2-YEAR('C.1项目融资信息'!$E$6))=0,(12-MONTH('C.1项目融资信息'!$E$6)+1)*'C.1项目融资信息'!$D$6*'C.1项目融资信息'!$H$6/12,'C.1项目融资信息'!$D$6*'C.1项目融资信息'!$H$6))</f>
        <v/>
      </c>
      <c r="Y29" s="220">
        <f>(IF(($Y$2-YEAR('C.1项目融资信息'!$E$6))=0,(12-MONTH('C.1项目融资信息'!$E$6)+1)*'C.1项目融资信息'!$D$6*'C.1项目融资信息'!$H$6/12,'C.1项目融资信息'!$D$6*'C.1项目融资信息'!$H$6))</f>
        <v/>
      </c>
      <c r="Z29" s="220">
        <f>(MONTH('C.1项目融资信息'!$E$6)-1)*'C.1项目融资信息'!$D$6*'C.1项目融资信息'!$H$6/12</f>
        <v/>
      </c>
    </row>
    <row r="30" s="162">
      <c r="A30" s="220" t="n">
        <v>4</v>
      </c>
      <c r="B30" s="220" t="inlineStr">
        <is>
          <t>借款总结</t>
        </is>
      </c>
      <c r="C30" s="220">
        <f>('C.1项目融资信息'!$D$4+'C.1项目融资信息'!$D$5+'C.1项目融资信息'!$D$6)</f>
        <v/>
      </c>
      <c r="D30" s="45" t="n"/>
      <c r="E30" s="45" t="n"/>
      <c r="F30" s="45" t="n"/>
      <c r="G30" s="45" t="n"/>
      <c r="H30" s="45" t="n"/>
      <c r="I30" s="45" t="n"/>
      <c r="J30" s="45" t="n"/>
      <c r="K30" s="45" t="n"/>
      <c r="L30" s="45" t="n"/>
      <c r="M30" s="45" t="n"/>
      <c r="N30" s="45" t="n"/>
      <c r="O30" s="45" t="n"/>
      <c r="P30" s="45" t="n"/>
      <c r="Q30" s="45" t="n"/>
      <c r="R30" s="45" t="n"/>
      <c r="S30" s="45" t="n"/>
      <c r="T30" s="45" t="n"/>
      <c r="U30" s="45" t="n"/>
      <c r="V30" s="45" t="n"/>
      <c r="W30" s="45" t="n"/>
      <c r="X30" s="45" t="n"/>
      <c r="Y30" s="45" t="n"/>
      <c r="Z30" s="45" t="n"/>
    </row>
    <row r="31" s="162">
      <c r="A31" s="220" t="inlineStr">
        <is>
          <t>4.1</t>
        </is>
      </c>
      <c r="B31" s="220" t="inlineStr">
        <is>
          <t>期初借款余额</t>
        </is>
      </c>
      <c r="C31" s="220" t="n">
        <v>0</v>
      </c>
      <c r="D31" s="220">
        <f>(D4+D13+D22)</f>
        <v/>
      </c>
      <c r="E31" s="220">
        <f>(E4+E13+E22)</f>
        <v/>
      </c>
      <c r="F31" s="220">
        <f>(F4+F13+F22)</f>
        <v/>
      </c>
      <c r="G31" s="220">
        <f>(G4+G13+G22)</f>
        <v/>
      </c>
      <c r="H31" s="220">
        <f>(H4+H13+H22)</f>
        <v/>
      </c>
      <c r="I31" s="220">
        <f>(I4+I13+I22)</f>
        <v/>
      </c>
      <c r="J31" s="220">
        <f>(J4+J13+J22)</f>
        <v/>
      </c>
      <c r="K31" s="220">
        <f>(K4+K13+K22)</f>
        <v/>
      </c>
      <c r="L31" s="220">
        <f>(L4+L13+L22)</f>
        <v/>
      </c>
      <c r="M31" s="220">
        <f>(M4+M13+M22)</f>
        <v/>
      </c>
      <c r="N31" s="220">
        <f>(N4+N13+N22)</f>
        <v/>
      </c>
      <c r="O31" s="220">
        <f>(O4+O13+O22)</f>
        <v/>
      </c>
      <c r="P31" s="220">
        <f>(P4+P13+P22)</f>
        <v/>
      </c>
      <c r="Q31" s="220">
        <f>(Q4+Q13+Q22)</f>
        <v/>
      </c>
      <c r="R31" s="220">
        <f>(R4+R13+R22)</f>
        <v/>
      </c>
      <c r="S31" s="220">
        <f>(S4+S13+S22)</f>
        <v/>
      </c>
      <c r="T31" s="220">
        <f>(T4+T13+T22)</f>
        <v/>
      </c>
      <c r="U31" s="220">
        <f>(U4+U13+U22)</f>
        <v/>
      </c>
      <c r="V31" s="220">
        <f>(V4+V13+V22)</f>
        <v/>
      </c>
      <c r="W31" s="220">
        <f>(W4+W13+W22)</f>
        <v/>
      </c>
      <c r="X31" s="220">
        <f>(X4+X13+X22)</f>
        <v/>
      </c>
      <c r="Y31" s="220">
        <f>(Y4+Y13+Y22)</f>
        <v/>
      </c>
      <c r="Z31" s="220">
        <f>(Z4+Z13+Z22)</f>
        <v/>
      </c>
    </row>
    <row r="32" s="162">
      <c r="A32" s="220" t="inlineStr">
        <is>
          <t>4.2</t>
        </is>
      </c>
      <c r="B32" s="220" t="inlineStr">
        <is>
          <t>当期还本付息</t>
        </is>
      </c>
      <c r="C32" s="220">
        <f>(SUM(D32:Z32))</f>
        <v/>
      </c>
      <c r="D32" s="220">
        <f>(D5+D14+D23)</f>
        <v/>
      </c>
      <c r="E32" s="220">
        <f>(E5+E14+E23)</f>
        <v/>
      </c>
      <c r="F32" s="220">
        <f>(F5+F14+F23)</f>
        <v/>
      </c>
      <c r="G32" s="220">
        <f>(G5+G14+G23)</f>
        <v/>
      </c>
      <c r="H32" s="220">
        <f>(H5+H14+H23)</f>
        <v/>
      </c>
      <c r="I32" s="220">
        <f>(I5+I14+I23)</f>
        <v/>
      </c>
      <c r="J32" s="220">
        <f>(J5+J14+J23)</f>
        <v/>
      </c>
      <c r="K32" s="220">
        <f>(K5+K14+K23)</f>
        <v/>
      </c>
      <c r="L32" s="220">
        <f>(L5+L14+L23)</f>
        <v/>
      </c>
      <c r="M32" s="220">
        <f>(M5+M14+M23)</f>
        <v/>
      </c>
      <c r="N32" s="220">
        <f>(N5+N14+N23)</f>
        <v/>
      </c>
      <c r="O32" s="220">
        <f>(O5+O14+O23)</f>
        <v/>
      </c>
      <c r="P32" s="220">
        <f>(P5+P14+P23)</f>
        <v/>
      </c>
      <c r="Q32" s="220">
        <f>(Q5+Q14+Q23)</f>
        <v/>
      </c>
      <c r="R32" s="220">
        <f>(R5+R14+R23)</f>
        <v/>
      </c>
      <c r="S32" s="220">
        <f>(S5+S14+S23)</f>
        <v/>
      </c>
      <c r="T32" s="220">
        <f>(T5+T14+T23)</f>
        <v/>
      </c>
      <c r="U32" s="220">
        <f>(U5+U14+U23)</f>
        <v/>
      </c>
      <c r="V32" s="220">
        <f>(V5+V14+V23)</f>
        <v/>
      </c>
      <c r="W32" s="220">
        <f>(W5+W14+W23)</f>
        <v/>
      </c>
      <c r="X32" s="220">
        <f>(X5+X14+X23)</f>
        <v/>
      </c>
      <c r="Y32" s="220">
        <f>(Y5+Y14+Y23)</f>
        <v/>
      </c>
      <c r="Z32" s="220">
        <f>(Z5+Z14+Z23)</f>
        <v/>
      </c>
    </row>
    <row r="33" s="162">
      <c r="A33" s="220" t="inlineStr">
        <is>
          <t>4.2.1</t>
        </is>
      </c>
      <c r="B33" s="220" t="inlineStr">
        <is>
          <t>其中：还本</t>
        </is>
      </c>
      <c r="C33" s="220">
        <f>(SUM(D33:Z33))</f>
        <v/>
      </c>
      <c r="D33" s="220">
        <f>(D6+D15+D24)</f>
        <v/>
      </c>
      <c r="E33" s="220">
        <f>(E6+E15+E24)</f>
        <v/>
      </c>
      <c r="F33" s="220">
        <f>(F6+F15+F24)</f>
        <v/>
      </c>
      <c r="G33" s="220">
        <f>(G6+G15+G24)</f>
        <v/>
      </c>
      <c r="H33" s="220">
        <f>(H6+H15+H24)</f>
        <v/>
      </c>
      <c r="I33" s="220">
        <f>(I6+I15+I24)</f>
        <v/>
      </c>
      <c r="J33" s="220">
        <f>(J6+J15+J24)</f>
        <v/>
      </c>
      <c r="K33" s="220">
        <f>(K6+K15+K24)</f>
        <v/>
      </c>
      <c r="L33" s="220">
        <f>(L6+L15+L24)</f>
        <v/>
      </c>
      <c r="M33" s="220">
        <f>(M6+M15+M24)</f>
        <v/>
      </c>
      <c r="N33" s="220">
        <f>(N6+N15+N24)</f>
        <v/>
      </c>
      <c r="O33" s="220">
        <f>(O6+O15+O24)</f>
        <v/>
      </c>
      <c r="P33" s="220">
        <f>(P6+P15+P24)</f>
        <v/>
      </c>
      <c r="Q33" s="220">
        <f>(Q6+Q15+Q24)</f>
        <v/>
      </c>
      <c r="R33" s="220">
        <f>(R6+R15+R24)</f>
        <v/>
      </c>
      <c r="S33" s="220">
        <f>(S6+S15+S24)</f>
        <v/>
      </c>
      <c r="T33" s="220">
        <f>(T6+T15+T24)</f>
        <v/>
      </c>
      <c r="U33" s="220">
        <f>(U6+U15+U24)</f>
        <v/>
      </c>
      <c r="V33" s="220">
        <f>(V6+V15+V24)</f>
        <v/>
      </c>
      <c r="W33" s="220">
        <f>(W6+W15+W24)</f>
        <v/>
      </c>
      <c r="X33" s="220">
        <f>(X6+X15+X24)</f>
        <v/>
      </c>
      <c r="Y33" s="220">
        <f>(Y6+Y15+Y24)</f>
        <v/>
      </c>
      <c r="Z33" s="220">
        <f>(Z6+Z15+Z24)</f>
        <v/>
      </c>
    </row>
    <row r="34" s="162">
      <c r="A34" s="220" t="inlineStr">
        <is>
          <t>4.2.2</t>
        </is>
      </c>
      <c r="B34" s="220" t="inlineStr">
        <is>
          <t>付息</t>
        </is>
      </c>
      <c r="C34" s="220">
        <f>(SUM(D34:Z34))</f>
        <v/>
      </c>
      <c r="D34" s="220">
        <f>(D7+D16+D25)</f>
        <v/>
      </c>
      <c r="E34" s="220">
        <f>(E7+E16+E25)</f>
        <v/>
      </c>
      <c r="F34" s="220">
        <f>(F7+F16+F25)</f>
        <v/>
      </c>
      <c r="G34" s="220">
        <f>(G7+G16+G25)</f>
        <v/>
      </c>
      <c r="H34" s="220">
        <f>(H7+H16+H25)</f>
        <v/>
      </c>
      <c r="I34" s="220">
        <f>(I7+I16+I25)</f>
        <v/>
      </c>
      <c r="J34" s="220">
        <f>(J7+J16+J25)</f>
        <v/>
      </c>
      <c r="K34" s="220">
        <f>(K7+K16+K25)</f>
        <v/>
      </c>
      <c r="L34" s="220">
        <f>(L7+L16+L25)</f>
        <v/>
      </c>
      <c r="M34" s="220">
        <f>(M7+M16+M25)</f>
        <v/>
      </c>
      <c r="N34" s="220">
        <f>(N7+N16+N25)</f>
        <v/>
      </c>
      <c r="O34" s="220">
        <f>(O7+O16+O25)</f>
        <v/>
      </c>
      <c r="P34" s="220">
        <f>(P7+P16+P25)</f>
        <v/>
      </c>
      <c r="Q34" s="220">
        <f>(Q7+Q16+Q25)</f>
        <v/>
      </c>
      <c r="R34" s="220">
        <f>(R7+R16+R25)</f>
        <v/>
      </c>
      <c r="S34" s="220">
        <f>(S7+S16+S25)</f>
        <v/>
      </c>
      <c r="T34" s="220">
        <f>(T7+T16+T25)</f>
        <v/>
      </c>
      <c r="U34" s="220">
        <f>(U7+U16+U25)</f>
        <v/>
      </c>
      <c r="V34" s="220">
        <f>(V7+V16+V25)</f>
        <v/>
      </c>
      <c r="W34" s="220">
        <f>(W7+W16+W25)</f>
        <v/>
      </c>
      <c r="X34" s="220">
        <f>(X7+X16+X25)</f>
        <v/>
      </c>
      <c r="Y34" s="220">
        <f>(Y7+Y16+Y25)</f>
        <v/>
      </c>
      <c r="Z34" s="220">
        <f>(Z7+Z16+Z25)</f>
        <v/>
      </c>
    </row>
    <row r="35" s="162">
      <c r="A35" s="220" t="inlineStr">
        <is>
          <t>4.3</t>
        </is>
      </c>
      <c r="B35" s="220" t="inlineStr">
        <is>
          <t>期末借款余额</t>
        </is>
      </c>
      <c r="C35" s="220" t="n">
        <v>0</v>
      </c>
      <c r="D35" s="220">
        <f>(D8+D17+D26)</f>
        <v/>
      </c>
      <c r="E35" s="220">
        <f>(E8+E17+E26)</f>
        <v/>
      </c>
      <c r="F35" s="220">
        <f>(F8+F17+F26)</f>
        <v/>
      </c>
      <c r="G35" s="220">
        <f>(G8+G17+G26)</f>
        <v/>
      </c>
      <c r="H35" s="220">
        <f>(H8+H17+H26)</f>
        <v/>
      </c>
      <c r="I35" s="220">
        <f>(I8+I17+I26)</f>
        <v/>
      </c>
      <c r="J35" s="220">
        <f>(J8+J17+J26)</f>
        <v/>
      </c>
      <c r="K35" s="220">
        <f>(K8+K17+K26)</f>
        <v/>
      </c>
      <c r="L35" s="220">
        <f>(L8+L17+L26)</f>
        <v/>
      </c>
      <c r="M35" s="220">
        <f>(M8+M17+M26)</f>
        <v/>
      </c>
      <c r="N35" s="220">
        <f>(N8+N17+N26)</f>
        <v/>
      </c>
      <c r="O35" s="220">
        <f>(O8+O17+O26)</f>
        <v/>
      </c>
      <c r="P35" s="220">
        <f>(P8+P17+P26)</f>
        <v/>
      </c>
      <c r="Q35" s="220">
        <f>(Q8+Q17+Q26)</f>
        <v/>
      </c>
      <c r="R35" s="220">
        <f>(R8+R17+R26)</f>
        <v/>
      </c>
      <c r="S35" s="220">
        <f>(S8+S17+S26)</f>
        <v/>
      </c>
      <c r="T35" s="220">
        <f>(T8+T17+T26)</f>
        <v/>
      </c>
      <c r="U35" s="220">
        <f>(U8+U17+U26)</f>
        <v/>
      </c>
      <c r="V35" s="220">
        <f>(V8+V17+V26)</f>
        <v/>
      </c>
      <c r="W35" s="220">
        <f>(W8+W17+W26)</f>
        <v/>
      </c>
      <c r="X35" s="220">
        <f>(X8+X17+X26)</f>
        <v/>
      </c>
      <c r="Y35" s="220">
        <f>(Y8+Y17+Y26)</f>
        <v/>
      </c>
      <c r="Z35" s="220">
        <f>(Z8+Z17+Z26)</f>
        <v/>
      </c>
    </row>
    <row r="36" s="162">
      <c r="A36" s="220" t="inlineStr">
        <is>
          <t>4.4</t>
        </is>
      </c>
      <c r="B36" s="220" t="inlineStr">
        <is>
          <t>还本付息兑付手续费</t>
        </is>
      </c>
      <c r="C36" s="220">
        <f>(SUM(D36:Z36))</f>
        <v/>
      </c>
      <c r="D36" s="220">
        <f>(D9+D18+D27)</f>
        <v/>
      </c>
      <c r="E36" s="220">
        <f>(E9+E18+E27)</f>
        <v/>
      </c>
      <c r="F36" s="220">
        <f>(F9+F18+F27)</f>
        <v/>
      </c>
      <c r="G36" s="220">
        <f>(G9+G18+G27)</f>
        <v/>
      </c>
      <c r="H36" s="220">
        <f>(H9+H18+H27)</f>
        <v/>
      </c>
      <c r="I36" s="220">
        <f>(I9+I18+I27)</f>
        <v/>
      </c>
      <c r="J36" s="220">
        <f>(J9+J18+J27)</f>
        <v/>
      </c>
      <c r="K36" s="220">
        <f>(K9+K18+K27)</f>
        <v/>
      </c>
      <c r="L36" s="220">
        <f>(L9+L18+L27)</f>
        <v/>
      </c>
      <c r="M36" s="220">
        <f>(M9+M18+M27)</f>
        <v/>
      </c>
      <c r="N36" s="220">
        <f>(N9+N18+N27)</f>
        <v/>
      </c>
      <c r="O36" s="220">
        <f>(O9+O18+O27)</f>
        <v/>
      </c>
      <c r="P36" s="220">
        <f>(P9+P18+P27)</f>
        <v/>
      </c>
      <c r="Q36" s="220">
        <f>(Q9+Q18+Q27)</f>
        <v/>
      </c>
      <c r="R36" s="220">
        <f>(R9+R18+R27)</f>
        <v/>
      </c>
      <c r="S36" s="220">
        <f>(S9+S18+S27)</f>
        <v/>
      </c>
      <c r="T36" s="220">
        <f>(T9+T18+T27)</f>
        <v/>
      </c>
      <c r="U36" s="220">
        <f>(U9+U18+U27)</f>
        <v/>
      </c>
      <c r="V36" s="220">
        <f>(V9+V18+V27)</f>
        <v/>
      </c>
      <c r="W36" s="220">
        <f>(W9+W18+W27)</f>
        <v/>
      </c>
      <c r="X36" s="220">
        <f>(X9+X18+X27)</f>
        <v/>
      </c>
      <c r="Y36" s="220">
        <f>(Y9+Y18+Y27)</f>
        <v/>
      </c>
      <c r="Z36" s="220">
        <f>(Z9+Z18+Z27)</f>
        <v/>
      </c>
    </row>
    <row r="37" s="162">
      <c r="A37" s="220" t="inlineStr">
        <is>
          <t>4.5</t>
        </is>
      </c>
      <c r="B37" s="220" t="inlineStr">
        <is>
          <t>债券发行及服务费</t>
        </is>
      </c>
      <c r="C37" s="220">
        <f>(SUM(D37:Z37))</f>
        <v/>
      </c>
      <c r="D37" s="220">
        <f>(D10+D19+D28)</f>
        <v/>
      </c>
      <c r="E37" s="220">
        <f>(E10+E19+E28)</f>
        <v/>
      </c>
      <c r="F37" s="220">
        <f>(F10+F19+F28)</f>
        <v/>
      </c>
      <c r="G37" s="220">
        <f>(G10+G19+G28)</f>
        <v/>
      </c>
      <c r="H37" s="220">
        <f>(H10+H19+H28)</f>
        <v/>
      </c>
      <c r="I37" s="220">
        <f>(I10+I19+I28)</f>
        <v/>
      </c>
      <c r="J37" s="220">
        <f>(J10+J19+J28)</f>
        <v/>
      </c>
      <c r="K37" s="220">
        <f>(K10+K19+K28)</f>
        <v/>
      </c>
      <c r="L37" s="220">
        <f>(L10+L19+L28)</f>
        <v/>
      </c>
      <c r="M37" s="220">
        <f>(M10+M19+M28)</f>
        <v/>
      </c>
      <c r="N37" s="220">
        <f>(N10+N19+N28)</f>
        <v/>
      </c>
      <c r="O37" s="220">
        <f>(O10+O19+O28)</f>
        <v/>
      </c>
      <c r="P37" s="220">
        <f>(P10+P19+P28)</f>
        <v/>
      </c>
      <c r="Q37" s="220">
        <f>(Q10+Q19+Q28)</f>
        <v/>
      </c>
      <c r="R37" s="220">
        <f>(R10+R19+R28)</f>
        <v/>
      </c>
      <c r="S37" s="220">
        <f>(S10+S19+S28)</f>
        <v/>
      </c>
      <c r="T37" s="220">
        <f>(T10+T19+T28)</f>
        <v/>
      </c>
      <c r="U37" s="220">
        <f>(U10+U19+U28)</f>
        <v/>
      </c>
      <c r="V37" s="220">
        <f>(V10+V19+V28)</f>
        <v/>
      </c>
      <c r="W37" s="220">
        <f>(W10+W19+W28)</f>
        <v/>
      </c>
      <c r="X37" s="220">
        <f>(X10+X19+X28)</f>
        <v/>
      </c>
      <c r="Y37" s="220">
        <f>(Y10+Y19+Y28)</f>
        <v/>
      </c>
      <c r="Z37" s="220">
        <f>(Z10+Z19+Z28)</f>
        <v/>
      </c>
    </row>
    <row r="38" s="162">
      <c r="A38" s="220" t="inlineStr">
        <is>
          <t>4.6</t>
        </is>
      </c>
      <c r="B38" s="220" t="inlineStr">
        <is>
          <t>应付利息</t>
        </is>
      </c>
      <c r="C38" s="220" t="n">
        <v>0</v>
      </c>
      <c r="D38" s="220">
        <f>(D11+D20+D29)</f>
        <v/>
      </c>
      <c r="E38" s="220">
        <f>(E11+E20+E29)</f>
        <v/>
      </c>
      <c r="F38" s="220">
        <f>(F11+F20+F29)</f>
        <v/>
      </c>
      <c r="G38" s="220">
        <f>(G11+G20+G29)</f>
        <v/>
      </c>
      <c r="H38" s="220">
        <f>(H11+H20+H29)</f>
        <v/>
      </c>
      <c r="I38" s="220">
        <f>(I11+I20+I29)</f>
        <v/>
      </c>
      <c r="J38" s="220">
        <f>(J11+J20+J29)</f>
        <v/>
      </c>
      <c r="K38" s="220">
        <f>(K11+K20+K29)</f>
        <v/>
      </c>
      <c r="L38" s="220">
        <f>(L11+L20+L29)</f>
        <v/>
      </c>
      <c r="M38" s="220">
        <f>(M11+M20+M29)</f>
        <v/>
      </c>
      <c r="N38" s="220">
        <f>(N11+N20+N29)</f>
        <v/>
      </c>
      <c r="O38" s="220">
        <f>(O11+O20+O29)</f>
        <v/>
      </c>
      <c r="P38" s="220">
        <f>(P11+P20+P29)</f>
        <v/>
      </c>
      <c r="Q38" s="220">
        <f>(Q11+Q20+Q29)</f>
        <v/>
      </c>
      <c r="R38" s="220">
        <f>(R11+R20+R29)</f>
        <v/>
      </c>
      <c r="S38" s="220">
        <f>(S11+S20+S29)</f>
        <v/>
      </c>
      <c r="T38" s="220">
        <f>(T11+T20+T29)</f>
        <v/>
      </c>
      <c r="U38" s="220">
        <f>(U11+U20+U29)</f>
        <v/>
      </c>
      <c r="V38" s="220">
        <f>(V11+V20+V29)</f>
        <v/>
      </c>
      <c r="W38" s="220">
        <f>(W11+W20+W29)</f>
        <v/>
      </c>
      <c r="X38" s="220">
        <f>(X11+X20+X29)</f>
        <v/>
      </c>
      <c r="Y38" s="220">
        <f>(Y11+Y20+Y29)</f>
        <v/>
      </c>
      <c r="Z38" s="220">
        <f>(Z11+Z20+Z29)</f>
        <v/>
      </c>
    </row>
    <row r="39" s="162">
      <c r="A39" s="220" t="inlineStr">
        <is>
          <t>计算指标</t>
        </is>
      </c>
      <c r="B39" s="220" t="inlineStr">
        <is>
          <t>利息备付率（%）</t>
        </is>
      </c>
      <c r="C39" s="220" t="inlineStr">
        <is>
          <t>/</t>
        </is>
      </c>
      <c r="D39" s="220">
        <f>IF(D34&lt;&gt;0,'b利润与利润分配表（损益和利润分配表）'!D25/D34,0)</f>
        <v/>
      </c>
      <c r="E39" s="220">
        <f>IF(E34&lt;&gt;0,'b利润与利润分配表（损益和利润分配表）'!E25/E34,0)</f>
        <v/>
      </c>
      <c r="F39" s="220">
        <f>IF(F34&lt;&gt;0,'b利润与利润分配表（损益和利润分配表）'!F25/F34,0)</f>
        <v/>
      </c>
      <c r="G39" s="220">
        <f>IF(G34&lt;&gt;0,'b利润与利润分配表（损益和利润分配表）'!G25/G34,0)</f>
        <v/>
      </c>
      <c r="H39" s="220">
        <f>IF(H34&lt;&gt;0,'b利润与利润分配表（损益和利润分配表）'!H25/H34,0)</f>
        <v/>
      </c>
      <c r="I39" s="220">
        <f>IF(I34&lt;&gt;0,'b利润与利润分配表（损益和利润分配表）'!I25/I34,0)</f>
        <v/>
      </c>
      <c r="J39" s="220">
        <f>IF(J34&lt;&gt;0,'b利润与利润分配表（损益和利润分配表）'!J25/J34,0)</f>
        <v/>
      </c>
      <c r="K39" s="220">
        <f>IF(K34&lt;&gt;0,'b利润与利润分配表（损益和利润分配表）'!K25/K34,0)</f>
        <v/>
      </c>
      <c r="L39" s="220">
        <f>IF(L34&lt;&gt;0,'b利润与利润分配表（损益和利润分配表）'!L25/L34,0)</f>
        <v/>
      </c>
      <c r="M39" s="220">
        <f>IF(M34&lt;&gt;0,'b利润与利润分配表（损益和利润分配表）'!M25/M34,0)</f>
        <v/>
      </c>
      <c r="N39" s="220">
        <f>IF(N34&lt;&gt;0,'b利润与利润分配表（损益和利润分配表）'!N25/N34,0)</f>
        <v/>
      </c>
      <c r="O39" s="220">
        <f>IF(O34&lt;&gt;0,'b利润与利润分配表（损益和利润分配表）'!O25/O34,0)</f>
        <v/>
      </c>
      <c r="P39" s="220">
        <f>IF(P34&lt;&gt;0,'b利润与利润分配表（损益和利润分配表）'!P25/P34,0)</f>
        <v/>
      </c>
      <c r="Q39" s="220">
        <f>IF(Q34&lt;&gt;0,'b利润与利润分配表（损益和利润分配表）'!Q25/Q34,0)</f>
        <v/>
      </c>
      <c r="R39" s="220">
        <f>IF(R34&lt;&gt;0,'b利润与利润分配表（损益和利润分配表）'!R25/R34,0)</f>
        <v/>
      </c>
      <c r="S39" s="220">
        <f>IF(S34&lt;&gt;0,'b利润与利润分配表（损益和利润分配表）'!S25/S34,0)</f>
        <v/>
      </c>
      <c r="T39" s="220">
        <f>IF(T34&lt;&gt;0,'b利润与利润分配表（损益和利润分配表）'!T25/T34,0)</f>
        <v/>
      </c>
      <c r="U39" s="220">
        <f>IF(U34&lt;&gt;0,'b利润与利润分配表（损益和利润分配表）'!U25/U34,0)</f>
        <v/>
      </c>
      <c r="V39" s="220">
        <f>IF(V34&lt;&gt;0,'b利润与利润分配表（损益和利润分配表）'!V25/V34,0)</f>
        <v/>
      </c>
      <c r="W39" s="220">
        <f>IF(W34&lt;&gt;0,'b利润与利润分配表（损益和利润分配表）'!W25/W34,0)</f>
        <v/>
      </c>
      <c r="X39" s="220">
        <f>IF(X34&lt;&gt;0,'b利润与利润分配表（损益和利润分配表）'!X25/X34,0)</f>
        <v/>
      </c>
      <c r="Y39" s="220">
        <f>IF(Y34&lt;&gt;0,'b利润与利润分配表（损益和利润分配表）'!Y25/Y34,0)</f>
        <v/>
      </c>
      <c r="Z39" s="220">
        <f>IF(Z34&lt;&gt;0,'b利润与利润分配表（损益和利润分配表）'!Z25/Z34,0)</f>
        <v/>
      </c>
    </row>
    <row r="40" s="162">
      <c r="A40" s="221" t="n"/>
      <c r="B40" s="220" t="inlineStr">
        <is>
          <t>偿债备付率（%）</t>
        </is>
      </c>
      <c r="C40" s="220" t="inlineStr">
        <is>
          <t>/</t>
        </is>
      </c>
      <c r="D40" s="220">
        <f>(IF(D32&lt;&gt;0,('b利润与利润分配表（损益和利润分配表）'!D26-'b利润与利润分配表（损益和利润分配表）'!D11)/D32,))</f>
        <v/>
      </c>
      <c r="E40" s="220">
        <f>(IF(E32&lt;&gt;0,('b利润与利润分配表（损益和利润分配表）'!E26-'b利润与利润分配表（损益和利润分配表）'!E11)/E32,))</f>
        <v/>
      </c>
      <c r="F40" s="220">
        <f>(IF(F32&lt;&gt;0,('b利润与利润分配表（损益和利润分配表）'!F26-'b利润与利润分配表（损益和利润分配表）'!F11)/F32,))</f>
        <v/>
      </c>
      <c r="G40" s="220">
        <f>(IF(G32&lt;&gt;0,('b利润与利润分配表（损益和利润分配表）'!G26-'b利润与利润分配表（损益和利润分配表）'!G11)/G32,))</f>
        <v/>
      </c>
      <c r="H40" s="220">
        <f>(IF(H32&lt;&gt;0,('b利润与利润分配表（损益和利润分配表）'!H26-'b利润与利润分配表（损益和利润分配表）'!H11)/H32,))</f>
        <v/>
      </c>
      <c r="I40" s="220">
        <f>(IF(I32&lt;&gt;0,('b利润与利润分配表（损益和利润分配表）'!I26-'b利润与利润分配表（损益和利润分配表）'!I11)/I32,))</f>
        <v/>
      </c>
      <c r="J40" s="220">
        <f>(IF(J32&lt;&gt;0,('b利润与利润分配表（损益和利润分配表）'!J26-'b利润与利润分配表（损益和利润分配表）'!J11)/J32,))</f>
        <v/>
      </c>
      <c r="K40" s="220">
        <f>(IF(K32&lt;&gt;0,('b利润与利润分配表（损益和利润分配表）'!K26-'b利润与利润分配表（损益和利润分配表）'!K11)/K32,))</f>
        <v/>
      </c>
      <c r="L40" s="220">
        <f>(IF(L32&lt;&gt;0,('b利润与利润分配表（损益和利润分配表）'!L26-'b利润与利润分配表（损益和利润分配表）'!L11)/L32,))</f>
        <v/>
      </c>
      <c r="M40" s="220">
        <f>(IF(M32&lt;&gt;0,('b利润与利润分配表（损益和利润分配表）'!M26-'b利润与利润分配表（损益和利润分配表）'!M11)/M32,))</f>
        <v/>
      </c>
      <c r="N40" s="220">
        <f>(IF(N32&lt;&gt;0,('b利润与利润分配表（损益和利润分配表）'!N26-'b利润与利润分配表（损益和利润分配表）'!N11)/N32,))</f>
        <v/>
      </c>
      <c r="O40" s="220">
        <f>(IF(O32&lt;&gt;0,('b利润与利润分配表（损益和利润分配表）'!O26-'b利润与利润分配表（损益和利润分配表）'!O11)/O32,))</f>
        <v/>
      </c>
      <c r="P40" s="220">
        <f>(IF(P32&lt;&gt;0,('b利润与利润分配表（损益和利润分配表）'!P26-'b利润与利润分配表（损益和利润分配表）'!P11)/P32,))</f>
        <v/>
      </c>
      <c r="Q40" s="220">
        <f>(IF(Q32&lt;&gt;0,('b利润与利润分配表（损益和利润分配表）'!Q26-'b利润与利润分配表（损益和利润分配表）'!Q11)/Q32,))</f>
        <v/>
      </c>
      <c r="R40" s="220">
        <f>(IF(R32&lt;&gt;0,('b利润与利润分配表（损益和利润分配表）'!R26-'b利润与利润分配表（损益和利润分配表）'!R11)/R32,))</f>
        <v/>
      </c>
      <c r="S40" s="220">
        <f>(IF(S32&lt;&gt;0,('b利润与利润分配表（损益和利润分配表）'!S26-'b利润与利润分配表（损益和利润分配表）'!S11)/S32,))</f>
        <v/>
      </c>
      <c r="T40" s="220">
        <f>(IF(T32&lt;&gt;0,('b利润与利润分配表（损益和利润分配表）'!T26-'b利润与利润分配表（损益和利润分配表）'!T11)/T32,))</f>
        <v/>
      </c>
      <c r="U40" s="220">
        <f>(IF(U32&lt;&gt;0,('b利润与利润分配表（损益和利润分配表）'!U26-'b利润与利润分配表（损益和利润分配表）'!U11)/U32,))</f>
        <v/>
      </c>
      <c r="V40" s="220">
        <f>(IF(V32&lt;&gt;0,('b利润与利润分配表（损益和利润分配表）'!V26-'b利润与利润分配表（损益和利润分配表）'!V11)/V32,))</f>
        <v/>
      </c>
      <c r="W40" s="220">
        <f>(IF(W32&lt;&gt;0,('b利润与利润分配表（损益和利润分配表）'!W26-'b利润与利润分配表（损益和利润分配表）'!W11)/W32,))</f>
        <v/>
      </c>
      <c r="X40" s="220">
        <f>(IF(X32&lt;&gt;0,('b利润与利润分配表（损益和利润分配表）'!X26-'b利润与利润分配表（损益和利润分配表）'!X11)/X32,))</f>
        <v/>
      </c>
      <c r="Y40" s="220">
        <f>(IF(Y32&lt;&gt;0,('b利润与利润分配表（损益和利润分配表）'!Y26-'b利润与利润分配表（损益和利润分配表）'!Y11)/Y32,))</f>
        <v/>
      </c>
      <c r="Z40" s="220">
        <f>(IF(Z32&lt;&gt;0,('b利润与利润分配表（损益和利润分配表）'!Z26-'b利润与利润分配表（损益和利润分配表）'!Z11)/Z32,))</f>
        <v/>
      </c>
    </row>
    <row r="41" s="162"/>
    <row r="42" s="162"/>
    <row r="43" s="162"/>
    <row r="44" s="162"/>
    <row r="45" s="162"/>
    <row r="46" s="162"/>
  </sheetData>
  <mergeCells count="1">
    <mergeCell ref="A39:A40"/>
  </mergeCells>
  <pageMargins left="0.75" right="0.75" top="1" bottom="1" header="0.5" footer="0.5"/>
</worksheet>
</file>

<file path=xl/worksheets/sheet25.xml><?xml version="1.0" encoding="utf-8"?>
<worksheet xmlns="http://schemas.openxmlformats.org/spreadsheetml/2006/main">
  <sheetPr codeName="Sheet24">
    <tabColor rgb="FFFFC000"/>
    <outlinePr summaryBelow="1" summaryRight="1"/>
    <pageSetUpPr/>
  </sheetPr>
  <dimension ref="A1:Z31"/>
  <sheetViews>
    <sheetView zoomScale="70" zoomScaleNormal="70" workbookViewId="0">
      <pane xSplit="3" ySplit="2" topLeftCell="D3" activePane="bottomRight" state="frozen"/>
      <selection activeCell="A1" sqref="A1"/>
      <selection pane="topRight" activeCell="A1" sqref="A1"/>
      <selection pane="bottomLeft" activeCell="A1" sqref="A1"/>
      <selection pane="bottomRight" activeCell="J15" sqref="J15"/>
    </sheetView>
  </sheetViews>
  <sheetFormatPr baseColWidth="8" defaultColWidth="8.890909090909091" defaultRowHeight="28.05" customHeight="1"/>
  <cols>
    <col width="6.66363636363636" customWidth="1" style="162" min="1" max="1"/>
    <col width="21.5545454545455" customWidth="1" style="162" min="2" max="2"/>
    <col width="13" customWidth="1" style="162" min="3" max="3"/>
    <col width="11.5545454545455" customWidth="1" style="162" min="4" max="4"/>
    <col width="11.8909090909091" customWidth="1" style="162" min="5" max="6"/>
    <col width="10.2181818181818" customWidth="1" style="162" min="7" max="9"/>
    <col width="35.5545454545455" customWidth="1" style="162" min="10" max="10"/>
  </cols>
  <sheetData>
    <row r="1" s="162">
      <c r="A1" s="40" t="inlineStr">
        <is>
          <t>d财务计划现金流量表（万元）</t>
        </is>
      </c>
      <c r="B1" s="167" t="n"/>
      <c r="C1" s="167" t="n"/>
      <c r="D1" s="167" t="n"/>
      <c r="E1" s="167" t="n"/>
      <c r="F1" s="167" t="n"/>
      <c r="G1" s="167" t="n"/>
      <c r="H1" s="167" t="n"/>
      <c r="I1" s="168" t="n"/>
    </row>
    <row r="2" s="162">
      <c r="A2" s="2" t="inlineStr">
        <is>
          <t>序号</t>
        </is>
      </c>
      <c r="B2" s="2" t="inlineStr">
        <is>
          <t>项目</t>
        </is>
      </c>
      <c r="C2" s="2" t="inlineStr">
        <is>
          <t>合计</t>
        </is>
      </c>
      <c r="D2" s="36" t="n">
        <v>2025</v>
      </c>
      <c r="E2" s="36" t="n">
        <v>2026</v>
      </c>
      <c r="F2" s="36" t="n">
        <v>2027</v>
      </c>
      <c r="G2" s="36" t="n">
        <v>2028</v>
      </c>
      <c r="H2" s="36" t="n">
        <v>2029</v>
      </c>
      <c r="I2" s="36" t="n">
        <v>2030</v>
      </c>
      <c r="J2" s="210" t="n">
        <v>2031</v>
      </c>
      <c r="K2" s="210" t="n">
        <v>2032</v>
      </c>
      <c r="L2" s="210" t="n">
        <v>2033</v>
      </c>
      <c r="M2" s="210" t="n">
        <v>2034</v>
      </c>
      <c r="N2" s="210" t="n">
        <v>2035</v>
      </c>
      <c r="O2" s="210" t="n">
        <v>2036</v>
      </c>
      <c r="P2" s="210" t="n">
        <v>2037</v>
      </c>
      <c r="Q2" s="210" t="n">
        <v>2038</v>
      </c>
      <c r="R2" s="210" t="n">
        <v>2039</v>
      </c>
      <c r="S2" s="210" t="n">
        <v>2040</v>
      </c>
      <c r="T2" s="210" t="n">
        <v>2041</v>
      </c>
      <c r="U2" s="210" t="n">
        <v>2042</v>
      </c>
      <c r="V2" s="210" t="n">
        <v>2043</v>
      </c>
      <c r="W2" s="210" t="n">
        <v>2044</v>
      </c>
      <c r="X2" s="210" t="n">
        <v>2045</v>
      </c>
      <c r="Y2" s="210" t="n">
        <v>2046</v>
      </c>
      <c r="Z2" s="210" t="n">
        <v>2047</v>
      </c>
    </row>
    <row r="3" s="162">
      <c r="A3" s="7" t="n">
        <v>1</v>
      </c>
      <c r="B3" s="7" t="inlineStr">
        <is>
          <t>经营活动净现金流量(1.1-1.2)</t>
        </is>
      </c>
      <c r="C3" s="177">
        <f>(SUM(D3:Z3))</f>
        <v/>
      </c>
      <c r="D3" s="177">
        <f>D4-D9</f>
        <v/>
      </c>
      <c r="E3" s="177">
        <f>E4-E9</f>
        <v/>
      </c>
      <c r="F3" s="177">
        <f>F4-F9</f>
        <v/>
      </c>
      <c r="G3" s="177">
        <f>G4-G9</f>
        <v/>
      </c>
      <c r="H3" s="177">
        <f>H4-H9</f>
        <v/>
      </c>
      <c r="I3" s="177">
        <f>I4-I9</f>
        <v/>
      </c>
      <c r="J3" s="177">
        <f>J4-J9</f>
        <v/>
      </c>
      <c r="K3" s="177">
        <f>K4-K9</f>
        <v/>
      </c>
      <c r="L3" s="177">
        <f>L4-L9</f>
        <v/>
      </c>
      <c r="M3" s="177">
        <f>M4-M9</f>
        <v/>
      </c>
      <c r="N3" s="177">
        <f>N4-N9</f>
        <v/>
      </c>
      <c r="O3" s="177">
        <f>O4-O9</f>
        <v/>
      </c>
      <c r="P3" s="177">
        <f>P4-P9</f>
        <v/>
      </c>
      <c r="Q3" s="177">
        <f>Q4-Q9</f>
        <v/>
      </c>
      <c r="R3" s="177">
        <f>R4-R9</f>
        <v/>
      </c>
      <c r="S3" s="177">
        <f>S4-S9</f>
        <v/>
      </c>
      <c r="T3" s="177">
        <f>T4-T9</f>
        <v/>
      </c>
      <c r="U3" s="177">
        <f>U4-U9</f>
        <v/>
      </c>
      <c r="V3" s="177">
        <f>V4-V9</f>
        <v/>
      </c>
      <c r="W3" s="177">
        <f>W4-W9</f>
        <v/>
      </c>
      <c r="X3" s="177">
        <f>X4-X9</f>
        <v/>
      </c>
      <c r="Y3" s="177">
        <f>Y4-Y9</f>
        <v/>
      </c>
      <c r="Z3" s="177">
        <f>Z4-Z9</f>
        <v/>
      </c>
    </row>
    <row r="4" s="162">
      <c r="A4" s="7" t="n">
        <v>1.1</v>
      </c>
      <c r="B4" s="7" t="inlineStr">
        <is>
          <t>现金流入</t>
        </is>
      </c>
      <c r="C4" s="177">
        <f>(SUM(D4:Z4))</f>
        <v/>
      </c>
      <c r="D4" s="177">
        <f>SUM(D5:D8)</f>
        <v/>
      </c>
      <c r="E4" s="177">
        <f>SUM(E5:E8)</f>
        <v/>
      </c>
      <c r="F4" s="177">
        <f>SUM(F5:F8)</f>
        <v/>
      </c>
      <c r="G4" s="177">
        <f>SUM(G5:G8)</f>
        <v/>
      </c>
      <c r="H4" s="177">
        <f>SUM(H5:H8)</f>
        <v/>
      </c>
      <c r="I4" s="177">
        <f>SUM(I5:I8)</f>
        <v/>
      </c>
      <c r="J4" s="177">
        <f>SUM(J5:J8)</f>
        <v/>
      </c>
      <c r="K4" s="177">
        <f>SUM(K5:K8)</f>
        <v/>
      </c>
      <c r="L4" s="177">
        <f>SUM(L5:L8)</f>
        <v/>
      </c>
      <c r="M4" s="177">
        <f>SUM(M5:M8)</f>
        <v/>
      </c>
      <c r="N4" s="177">
        <f>SUM(N5:N8)</f>
        <v/>
      </c>
      <c r="O4" s="177">
        <f>SUM(O5:O8)</f>
        <v/>
      </c>
      <c r="P4" s="177">
        <f>SUM(P5:P8)</f>
        <v/>
      </c>
      <c r="Q4" s="177">
        <f>SUM(Q5:Q8)</f>
        <v/>
      </c>
      <c r="R4" s="177">
        <f>SUM(R5:R8)</f>
        <v/>
      </c>
      <c r="S4" s="177">
        <f>SUM(S5:S8)</f>
        <v/>
      </c>
      <c r="T4" s="177">
        <f>SUM(T5:T8)</f>
        <v/>
      </c>
      <c r="U4" s="177">
        <f>SUM(U5:U8)</f>
        <v/>
      </c>
      <c r="V4" s="177">
        <f>SUM(V5:V8)</f>
        <v/>
      </c>
      <c r="W4" s="177">
        <f>SUM(W5:W8)</f>
        <v/>
      </c>
      <c r="X4" s="177">
        <f>SUM(X5:X8)</f>
        <v/>
      </c>
      <c r="Y4" s="177">
        <f>SUM(Y5:Y8)</f>
        <v/>
      </c>
      <c r="Z4" s="177">
        <f>SUM(Z5:Z8)</f>
        <v/>
      </c>
    </row>
    <row r="5" s="162">
      <c r="A5" s="7" t="inlineStr">
        <is>
          <t>1.1.1</t>
        </is>
      </c>
      <c r="B5" s="7" t="inlineStr">
        <is>
          <t>营业收入</t>
        </is>
      </c>
      <c r="C5" s="177">
        <f>(SUM(D5:Z5))</f>
        <v/>
      </c>
      <c r="D5" s="171">
        <f>('F项目收入'!D12)</f>
        <v/>
      </c>
      <c r="E5" s="171">
        <f>('F项目收入'!E12)</f>
        <v/>
      </c>
      <c r="F5" s="171">
        <f>('F项目收入'!F12)</f>
        <v/>
      </c>
      <c r="G5" s="171">
        <f>('F项目收入'!G12)</f>
        <v/>
      </c>
      <c r="H5" s="171">
        <f>('F项目收入'!H12)</f>
        <v/>
      </c>
      <c r="I5" s="171">
        <f>('F项目收入'!I12)</f>
        <v/>
      </c>
      <c r="J5" s="171">
        <f>('F项目收入'!J12)</f>
        <v/>
      </c>
      <c r="K5" s="171">
        <f>('F项目收入'!K12)</f>
        <v/>
      </c>
      <c r="L5" s="171">
        <f>('F项目收入'!L12)</f>
        <v/>
      </c>
      <c r="M5" s="171">
        <f>('F项目收入'!M12)</f>
        <v/>
      </c>
      <c r="N5" s="171">
        <f>('F项目收入'!N12)</f>
        <v/>
      </c>
      <c r="O5" s="171">
        <f>('F项目收入'!O12)</f>
        <v/>
      </c>
      <c r="P5" s="171">
        <f>('F项目收入'!P12)</f>
        <v/>
      </c>
      <c r="Q5" s="171">
        <f>('F项目收入'!Q12)</f>
        <v/>
      </c>
      <c r="R5" s="171">
        <f>('F项目收入'!R12)</f>
        <v/>
      </c>
      <c r="S5" s="171">
        <f>('F项目收入'!S12)</f>
        <v/>
      </c>
      <c r="T5" s="171">
        <f>('F项目收入'!T12)</f>
        <v/>
      </c>
      <c r="U5" s="171">
        <f>('F项目收入'!U12)</f>
        <v/>
      </c>
      <c r="V5" s="171">
        <f>('F项目收入'!V12)</f>
        <v/>
      </c>
      <c r="W5" s="171">
        <f>('F项目收入'!W12)</f>
        <v/>
      </c>
      <c r="X5" s="171">
        <f>('F项目收入'!X12)</f>
        <v/>
      </c>
      <c r="Y5" s="171">
        <f>('F项目收入'!Y12)</f>
        <v/>
      </c>
      <c r="Z5" s="171">
        <f>'F项目收入'!Z12-'F项目收入'!Z10</f>
        <v/>
      </c>
    </row>
    <row r="6" s="162">
      <c r="A6" s="7" t="inlineStr">
        <is>
          <t>1.1.2</t>
        </is>
      </c>
      <c r="B6" s="7" t="inlineStr">
        <is>
          <t>增值税销项税额</t>
        </is>
      </c>
      <c r="C6" s="177">
        <f>(SUM(D6:Z6))</f>
        <v/>
      </c>
      <c r="D6" s="180">
        <f>('G.税金及附加测算表'!D25)</f>
        <v/>
      </c>
      <c r="E6" s="180">
        <f>('G.税金及附加测算表'!E25)</f>
        <v/>
      </c>
      <c r="F6" s="180">
        <f>('G.税金及附加测算表'!F25)</f>
        <v/>
      </c>
      <c r="G6" s="180">
        <f>('G.税金及附加测算表'!G25)</f>
        <v/>
      </c>
      <c r="H6" s="180">
        <f>('G.税金及附加测算表'!H25)</f>
        <v/>
      </c>
      <c r="I6" s="180">
        <f>('G.税金及附加测算表'!I25)</f>
        <v/>
      </c>
      <c r="J6" s="180">
        <f>('G.税金及附加测算表'!J25)</f>
        <v/>
      </c>
      <c r="K6" s="180">
        <f>('G.税金及附加测算表'!K25)</f>
        <v/>
      </c>
      <c r="L6" s="180">
        <f>('G.税金及附加测算表'!L25)</f>
        <v/>
      </c>
      <c r="M6" s="180">
        <f>('G.税金及附加测算表'!M25)</f>
        <v/>
      </c>
      <c r="N6" s="180">
        <f>('G.税金及附加测算表'!N25)</f>
        <v/>
      </c>
      <c r="O6" s="180">
        <f>('G.税金及附加测算表'!O25)</f>
        <v/>
      </c>
      <c r="P6" s="180">
        <f>('G.税金及附加测算表'!P25)</f>
        <v/>
      </c>
      <c r="Q6" s="180">
        <f>('G.税金及附加测算表'!Q25)</f>
        <v/>
      </c>
      <c r="R6" s="180">
        <f>('G.税金及附加测算表'!R25)</f>
        <v/>
      </c>
      <c r="S6" s="180">
        <f>('G.税金及附加测算表'!S25)</f>
        <v/>
      </c>
      <c r="T6" s="180">
        <f>('G.税金及附加测算表'!T25)</f>
        <v/>
      </c>
      <c r="U6" s="180">
        <f>('G.税金及附加测算表'!U25)</f>
        <v/>
      </c>
      <c r="V6" s="180">
        <f>('G.税金及附加测算表'!V25)</f>
        <v/>
      </c>
      <c r="W6" s="180">
        <f>('G.税金及附加测算表'!W25)</f>
        <v/>
      </c>
      <c r="X6" s="180">
        <f>('G.税金及附加测算表'!X25)</f>
        <v/>
      </c>
      <c r="Y6" s="180">
        <f>('G.税金及附加测算表'!Y25)</f>
        <v/>
      </c>
      <c r="Z6" s="180">
        <f>'G.税金及附加测算表'!Z25</f>
        <v/>
      </c>
    </row>
    <row r="7" s="162">
      <c r="A7" s="7" t="inlineStr">
        <is>
          <t>1.1.3</t>
        </is>
      </c>
      <c r="B7" s="7" t="inlineStr">
        <is>
          <t>补贴收入</t>
        </is>
      </c>
      <c r="C7" s="177">
        <f>(SUM(D7:Z7))</f>
        <v/>
      </c>
      <c r="D7" s="171">
        <f>('F项目收入'!D10)</f>
        <v/>
      </c>
      <c r="E7" s="171">
        <f>('F项目收入'!E10)</f>
        <v/>
      </c>
      <c r="F7" s="171">
        <f>('F项目收入'!F10)</f>
        <v/>
      </c>
      <c r="G7" s="171">
        <f>('F项目收入'!G10)</f>
        <v/>
      </c>
      <c r="H7" s="171">
        <f>('F项目收入'!H10)</f>
        <v/>
      </c>
      <c r="I7" s="171">
        <f>('F项目收入'!I10)</f>
        <v/>
      </c>
      <c r="J7" s="171">
        <f>('F项目收入'!J10)</f>
        <v/>
      </c>
      <c r="K7" s="171">
        <f>('F项目收入'!K10)</f>
        <v/>
      </c>
      <c r="L7" s="171">
        <f>('F项目收入'!L10)</f>
        <v/>
      </c>
      <c r="M7" s="171">
        <f>('F项目收入'!M10)</f>
        <v/>
      </c>
      <c r="N7" s="171">
        <f>('F项目收入'!N10)</f>
        <v/>
      </c>
      <c r="O7" s="171">
        <f>('F项目收入'!O10)</f>
        <v/>
      </c>
      <c r="P7" s="171">
        <f>('F项目收入'!P10)</f>
        <v/>
      </c>
      <c r="Q7" s="171">
        <f>('F项目收入'!Q10)</f>
        <v/>
      </c>
      <c r="R7" s="171">
        <f>('F项目收入'!R10)</f>
        <v/>
      </c>
      <c r="S7" s="171">
        <f>('F项目收入'!S10)</f>
        <v/>
      </c>
      <c r="T7" s="171">
        <f>('F项目收入'!T10)</f>
        <v/>
      </c>
      <c r="U7" s="171">
        <f>('F项目收入'!U10)</f>
        <v/>
      </c>
      <c r="V7" s="171">
        <f>('F项目收入'!V10)</f>
        <v/>
      </c>
      <c r="W7" s="171">
        <f>('F项目收入'!W10)</f>
        <v/>
      </c>
      <c r="X7" s="171">
        <f>('F项目收入'!X10)</f>
        <v/>
      </c>
      <c r="Y7" s="171">
        <f>('F项目收入'!Y10)</f>
        <v/>
      </c>
      <c r="Z7" s="171">
        <f>'F项目收入'!Z10</f>
        <v/>
      </c>
    </row>
    <row r="8" s="162">
      <c r="A8" s="7" t="inlineStr">
        <is>
          <t>1.1.4</t>
        </is>
      </c>
      <c r="B8" s="7" t="inlineStr">
        <is>
          <t>其他流入</t>
        </is>
      </c>
      <c r="C8" s="177">
        <f>(SUM(D8:Z8))</f>
        <v/>
      </c>
      <c r="D8" s="169" t="n">
        <v>0</v>
      </c>
      <c r="E8" s="169" t="n">
        <v>0</v>
      </c>
      <c r="F8" s="169" t="n">
        <v>0</v>
      </c>
      <c r="G8" s="169" t="n">
        <v>0</v>
      </c>
      <c r="H8" s="169" t="n">
        <v>0</v>
      </c>
      <c r="I8" s="169" t="n">
        <v>0</v>
      </c>
      <c r="J8" s="169" t="n">
        <v>0</v>
      </c>
      <c r="K8" s="169" t="n">
        <v>0</v>
      </c>
      <c r="L8" s="169" t="n">
        <v>0</v>
      </c>
      <c r="M8" s="169" t="n">
        <v>0</v>
      </c>
      <c r="N8" s="169" t="n">
        <v>0</v>
      </c>
      <c r="O8" s="169" t="n">
        <v>0</v>
      </c>
      <c r="P8" s="169" t="n">
        <v>0</v>
      </c>
      <c r="Q8" s="169" t="n">
        <v>0</v>
      </c>
      <c r="R8" s="169" t="n">
        <v>0</v>
      </c>
      <c r="S8" s="169" t="n">
        <v>0</v>
      </c>
      <c r="T8" s="169" t="n">
        <v>0</v>
      </c>
      <c r="U8" s="169" t="n">
        <v>0</v>
      </c>
      <c r="V8" s="169" t="n">
        <v>0</v>
      </c>
      <c r="W8" s="169" t="n">
        <v>0</v>
      </c>
      <c r="X8" s="169" t="n">
        <v>0</v>
      </c>
      <c r="Y8" s="169" t="n">
        <v>0</v>
      </c>
      <c r="Z8" s="169" t="n">
        <v>0</v>
      </c>
    </row>
    <row r="9" s="162">
      <c r="A9" s="7" t="n">
        <v>1.2</v>
      </c>
      <c r="B9" s="7" t="inlineStr">
        <is>
          <t>现金流出</t>
        </is>
      </c>
      <c r="C9" s="177">
        <f>(SUM(D9:Z9))</f>
        <v/>
      </c>
      <c r="D9" s="177">
        <f>SUM(D10:D15)</f>
        <v/>
      </c>
      <c r="E9" s="177">
        <f>SUM(E10:E15)</f>
        <v/>
      </c>
      <c r="F9" s="177">
        <f>SUM(F10:F15)</f>
        <v/>
      </c>
      <c r="G9" s="177">
        <f>SUM(G10:G15)</f>
        <v/>
      </c>
      <c r="H9" s="177">
        <f>SUM(H10:H15)</f>
        <v/>
      </c>
      <c r="I9" s="177">
        <f>SUM(I10:I15)</f>
        <v/>
      </c>
      <c r="J9" s="177">
        <f>SUM(J10:J15)</f>
        <v/>
      </c>
      <c r="K9" s="177">
        <f>SUM(K10:K15)</f>
        <v/>
      </c>
      <c r="L9" s="177">
        <f>SUM(L10:L15)</f>
        <v/>
      </c>
      <c r="M9" s="177">
        <f>SUM(M10:M15)</f>
        <v/>
      </c>
      <c r="N9" s="177">
        <f>SUM(N10:N15)</f>
        <v/>
      </c>
      <c r="O9" s="177">
        <f>SUM(O10:O15)</f>
        <v/>
      </c>
      <c r="P9" s="177">
        <f>SUM(P10:P15)</f>
        <v/>
      </c>
      <c r="Q9" s="177">
        <f>SUM(Q10:Q15)</f>
        <v/>
      </c>
      <c r="R9" s="177">
        <f>SUM(R10:R15)</f>
        <v/>
      </c>
      <c r="S9" s="177">
        <f>SUM(S10:S15)</f>
        <v/>
      </c>
      <c r="T9" s="177">
        <f>SUM(T10:T15)</f>
        <v/>
      </c>
      <c r="U9" s="177">
        <f>SUM(U10:U15)</f>
        <v/>
      </c>
      <c r="V9" s="177">
        <f>SUM(V10:V15)</f>
        <v/>
      </c>
      <c r="W9" s="177">
        <f>SUM(W10:W15)</f>
        <v/>
      </c>
      <c r="X9" s="177">
        <f>SUM(X10:X15)</f>
        <v/>
      </c>
      <c r="Y9" s="177">
        <f>SUM(Y10:Y15)</f>
        <v/>
      </c>
      <c r="Z9" s="177">
        <f>SUM(Z10:Z15)</f>
        <v/>
      </c>
    </row>
    <row r="10" s="162">
      <c r="A10" s="7" t="inlineStr">
        <is>
          <t>1.2.1</t>
        </is>
      </c>
      <c r="B10" s="7" t="inlineStr">
        <is>
          <t>经营成本</t>
        </is>
      </c>
      <c r="C10" s="177">
        <f>(SUM(D10:Z10))</f>
        <v/>
      </c>
      <c r="D10" s="177">
        <f>E总成本费用估算表!C11</f>
        <v/>
      </c>
      <c r="E10" s="177">
        <f>E总成本费用估算表!D11</f>
        <v/>
      </c>
      <c r="F10" s="177">
        <f>E总成本费用估算表!E11</f>
        <v/>
      </c>
      <c r="G10" s="177">
        <f>E总成本费用估算表!F11</f>
        <v/>
      </c>
      <c r="H10" s="177">
        <f>E总成本费用估算表!G11</f>
        <v/>
      </c>
      <c r="I10" s="177">
        <f>E总成本费用估算表!H11</f>
        <v/>
      </c>
      <c r="J10" s="177">
        <f>'E总成本费用估算表'!I11</f>
        <v/>
      </c>
      <c r="K10" s="177">
        <f>'E总成本费用估算表'!J11</f>
        <v/>
      </c>
      <c r="L10" s="177">
        <f>'E总成本费用估算表'!K11</f>
        <v/>
      </c>
      <c r="M10" s="177">
        <f>'E总成本费用估算表'!L11</f>
        <v/>
      </c>
      <c r="N10" s="177">
        <f>'E总成本费用估算表'!M11</f>
        <v/>
      </c>
      <c r="O10" s="177">
        <f>'E总成本费用估算表'!N11</f>
        <v/>
      </c>
      <c r="P10" s="177">
        <f>'E总成本费用估算表'!O11</f>
        <v/>
      </c>
      <c r="Q10" s="177">
        <f>'E总成本费用估算表'!P11</f>
        <v/>
      </c>
      <c r="R10" s="177">
        <f>'E总成本费用估算表'!Q11</f>
        <v/>
      </c>
      <c r="S10" s="177">
        <f>'E总成本费用估算表'!R11</f>
        <v/>
      </c>
      <c r="T10" s="177">
        <f>'E总成本费用估算表'!S11</f>
        <v/>
      </c>
      <c r="U10" s="177">
        <f>'E总成本费用估算表'!T11</f>
        <v/>
      </c>
      <c r="V10" s="177">
        <f>'E总成本费用估算表'!U11</f>
        <v/>
      </c>
      <c r="W10" s="177">
        <f>'E总成本费用估算表'!V11</f>
        <v/>
      </c>
      <c r="X10" s="177">
        <f>'E总成本费用估算表'!W11</f>
        <v/>
      </c>
      <c r="Y10" s="177">
        <f>'E总成本费用估算表'!X11</f>
        <v/>
      </c>
      <c r="Z10" s="177">
        <f>'E总成本费用估算表'!Y11</f>
        <v/>
      </c>
    </row>
    <row r="11" s="162">
      <c r="A11" s="7" t="inlineStr">
        <is>
          <t>1.2.2</t>
        </is>
      </c>
      <c r="B11" s="7" t="inlineStr">
        <is>
          <t>增值税进项税额</t>
        </is>
      </c>
      <c r="C11" s="177">
        <f>(SUM(D11:Z11))</f>
        <v/>
      </c>
      <c r="D11" s="180">
        <f>('G.税金及附加测算表'!D4)</f>
        <v/>
      </c>
      <c r="E11" s="180">
        <f>('G.税金及附加测算表'!E4)</f>
        <v/>
      </c>
      <c r="F11" s="180">
        <f>('G.税金及附加测算表'!F4)</f>
        <v/>
      </c>
      <c r="G11" s="180">
        <f>('G.税金及附加测算表'!G4)</f>
        <v/>
      </c>
      <c r="H11" s="180">
        <f>('G.税金及附加测算表'!H4)</f>
        <v/>
      </c>
      <c r="I11" s="180">
        <f>('G.税金及附加测算表'!I4)</f>
        <v/>
      </c>
      <c r="J11" s="180">
        <f>('G.税金及附加测算表'!J4)</f>
        <v/>
      </c>
      <c r="K11" s="180">
        <f>('G.税金及附加测算表'!K4)</f>
        <v/>
      </c>
      <c r="L11" s="180">
        <f>('G.税金及附加测算表'!L4)</f>
        <v/>
      </c>
      <c r="M11" s="180">
        <f>('G.税金及附加测算表'!M4)</f>
        <v/>
      </c>
      <c r="N11" s="180">
        <f>('G.税金及附加测算表'!N4)</f>
        <v/>
      </c>
      <c r="O11" s="180">
        <f>('G.税金及附加测算表'!O4)</f>
        <v/>
      </c>
      <c r="P11" s="180">
        <f>('G.税金及附加测算表'!P4)</f>
        <v/>
      </c>
      <c r="Q11" s="180">
        <f>('G.税金及附加测算表'!Q4)</f>
        <v/>
      </c>
      <c r="R11" s="180">
        <f>('G.税金及附加测算表'!R4)</f>
        <v/>
      </c>
      <c r="S11" s="180">
        <f>('G.税金及附加测算表'!S4)</f>
        <v/>
      </c>
      <c r="T11" s="180">
        <f>('G.税金及附加测算表'!T4)</f>
        <v/>
      </c>
      <c r="U11" s="180">
        <f>('G.税金及附加测算表'!U4)</f>
        <v/>
      </c>
      <c r="V11" s="180">
        <f>('G.税金及附加测算表'!V4)</f>
        <v/>
      </c>
      <c r="W11" s="180">
        <f>('G.税金及附加测算表'!W4)</f>
        <v/>
      </c>
      <c r="X11" s="180">
        <f>('G.税金及附加测算表'!X4)</f>
        <v/>
      </c>
      <c r="Y11" s="180">
        <f>('G.税金及附加测算表'!Y4)</f>
        <v/>
      </c>
      <c r="Z11" s="180">
        <f>'G.税金及附加测算表'!Z4</f>
        <v/>
      </c>
    </row>
    <row r="12" s="162">
      <c r="A12" s="7" t="inlineStr">
        <is>
          <t>1.2.3</t>
        </is>
      </c>
      <c r="B12" s="7" t="inlineStr">
        <is>
          <t>营业税金及附加</t>
        </is>
      </c>
      <c r="C12" s="177">
        <f>(SUM(D12:Z12))</f>
        <v/>
      </c>
      <c r="D12" s="171">
        <f>('G.税金及附加测算表'!D30)</f>
        <v/>
      </c>
      <c r="E12" s="171">
        <f>('G.税金及附加测算表'!E30)</f>
        <v/>
      </c>
      <c r="F12" s="171">
        <f>('G.税金及附加测算表'!F30)</f>
        <v/>
      </c>
      <c r="G12" s="171">
        <f>('G.税金及附加测算表'!G30)</f>
        <v/>
      </c>
      <c r="H12" s="171">
        <f>('G.税金及附加测算表'!H30)</f>
        <v/>
      </c>
      <c r="I12" s="171">
        <f>('G.税金及附加测算表'!I30)</f>
        <v/>
      </c>
      <c r="J12" s="171">
        <f>('G.税金及附加测算表'!J30)</f>
        <v/>
      </c>
      <c r="K12" s="171">
        <f>('G.税金及附加测算表'!K30)</f>
        <v/>
      </c>
      <c r="L12" s="171">
        <f>('G.税金及附加测算表'!L30)</f>
        <v/>
      </c>
      <c r="M12" s="171">
        <f>('G.税金及附加测算表'!M30)</f>
        <v/>
      </c>
      <c r="N12" s="171">
        <f>('G.税金及附加测算表'!N30)</f>
        <v/>
      </c>
      <c r="O12" s="171">
        <f>('G.税金及附加测算表'!O30)</f>
        <v/>
      </c>
      <c r="P12" s="171">
        <f>('G.税金及附加测算表'!P30)</f>
        <v/>
      </c>
      <c r="Q12" s="171">
        <f>('G.税金及附加测算表'!Q30)</f>
        <v/>
      </c>
      <c r="R12" s="171">
        <f>('G.税金及附加测算表'!R30)</f>
        <v/>
      </c>
      <c r="S12" s="171">
        <f>('G.税金及附加测算表'!S30)</f>
        <v/>
      </c>
      <c r="T12" s="171">
        <f>('G.税金及附加测算表'!T30)</f>
        <v/>
      </c>
      <c r="U12" s="171">
        <f>('G.税金及附加测算表'!U30)</f>
        <v/>
      </c>
      <c r="V12" s="171">
        <f>('G.税金及附加测算表'!V30)</f>
        <v/>
      </c>
      <c r="W12" s="171">
        <f>('G.税金及附加测算表'!W30)</f>
        <v/>
      </c>
      <c r="X12" s="171">
        <f>('G.税金及附加测算表'!X30)</f>
        <v/>
      </c>
      <c r="Y12" s="171">
        <f>('G.税金及附加测算表'!Y30)</f>
        <v/>
      </c>
      <c r="Z12" s="171">
        <f>'G.税金及附加测算表'!Z30</f>
        <v/>
      </c>
    </row>
    <row r="13" s="162">
      <c r="A13" s="7" t="inlineStr">
        <is>
          <t>1.2.4</t>
        </is>
      </c>
      <c r="B13" s="7" t="inlineStr">
        <is>
          <t>增值税</t>
        </is>
      </c>
      <c r="C13" s="177">
        <f>(SUM(D13:Z13))</f>
        <v/>
      </c>
      <c r="D13" s="171">
        <f>('G.税金及附加测算表'!D29)</f>
        <v/>
      </c>
      <c r="E13" s="171">
        <f>('G.税金及附加测算表'!E29)</f>
        <v/>
      </c>
      <c r="F13" s="171">
        <f>('G.税金及附加测算表'!F29)</f>
        <v/>
      </c>
      <c r="G13" s="171">
        <f>('G.税金及附加测算表'!G29)</f>
        <v/>
      </c>
      <c r="H13" s="171">
        <f>('G.税金及附加测算表'!H29)</f>
        <v/>
      </c>
      <c r="I13" s="171">
        <f>('G.税金及附加测算表'!I29)</f>
        <v/>
      </c>
      <c r="J13" s="171">
        <f>('G.税金及附加测算表'!J29)</f>
        <v/>
      </c>
      <c r="K13" s="171">
        <f>('G.税金及附加测算表'!K29)</f>
        <v/>
      </c>
      <c r="L13" s="171">
        <f>('G.税金及附加测算表'!L29)</f>
        <v/>
      </c>
      <c r="M13" s="171">
        <f>('G.税金及附加测算表'!M29)</f>
        <v/>
      </c>
      <c r="N13" s="171">
        <f>('G.税金及附加测算表'!N29)</f>
        <v/>
      </c>
      <c r="O13" s="171">
        <f>('G.税金及附加测算表'!O29)</f>
        <v/>
      </c>
      <c r="P13" s="171">
        <f>('G.税金及附加测算表'!P29)</f>
        <v/>
      </c>
      <c r="Q13" s="171">
        <f>('G.税金及附加测算表'!Q29)</f>
        <v/>
      </c>
      <c r="R13" s="171">
        <f>('G.税金及附加测算表'!R29)</f>
        <v/>
      </c>
      <c r="S13" s="171">
        <f>('G.税金及附加测算表'!S29)</f>
        <v/>
      </c>
      <c r="T13" s="171">
        <f>('G.税金及附加测算表'!T29)</f>
        <v/>
      </c>
      <c r="U13" s="171">
        <f>('G.税金及附加测算表'!U29)</f>
        <v/>
      </c>
      <c r="V13" s="171">
        <f>('G.税金及附加测算表'!V29)</f>
        <v/>
      </c>
      <c r="W13" s="171">
        <f>('G.税金及附加测算表'!W29)</f>
        <v/>
      </c>
      <c r="X13" s="171">
        <f>('G.税金及附加测算表'!X29)</f>
        <v/>
      </c>
      <c r="Y13" s="171">
        <f>('G.税金及附加测算表'!Y29)</f>
        <v/>
      </c>
      <c r="Z13" s="171">
        <f>'G.税金及附加测算表'!Z29</f>
        <v/>
      </c>
    </row>
    <row r="14" s="162">
      <c r="A14" s="7" t="inlineStr">
        <is>
          <t>1.2.5</t>
        </is>
      </c>
      <c r="B14" s="7" t="inlineStr">
        <is>
          <t>所得税</t>
        </is>
      </c>
      <c r="C14" s="177">
        <f>(SUM(D14:Z14))</f>
        <v/>
      </c>
      <c r="D14" s="177">
        <f>'b利润与利润分配表（损益和利润分配表）'!D11</f>
        <v/>
      </c>
      <c r="E14" s="177">
        <f>'b利润与利润分配表（损益和利润分配表）'!E11</f>
        <v/>
      </c>
      <c r="F14" s="177">
        <f>'b利润与利润分配表（损益和利润分配表）'!F11</f>
        <v/>
      </c>
      <c r="G14" s="177">
        <f>'b利润与利润分配表（损益和利润分配表）'!G11</f>
        <v/>
      </c>
      <c r="H14" s="177">
        <f>'b利润与利润分配表（损益和利润分配表）'!H11</f>
        <v/>
      </c>
      <c r="I14" s="177">
        <f>'b利润与利润分配表（损益和利润分配表）'!I11</f>
        <v/>
      </c>
      <c r="J14" s="177">
        <f>'b利润与利润分配表（损益和利润分配表）'!J11</f>
        <v/>
      </c>
      <c r="K14" s="177">
        <f>'b利润与利润分配表（损益和利润分配表）'!K11</f>
        <v/>
      </c>
      <c r="L14" s="177">
        <f>'b利润与利润分配表（损益和利润分配表）'!L11</f>
        <v/>
      </c>
      <c r="M14" s="177">
        <f>'b利润与利润分配表（损益和利润分配表）'!M11</f>
        <v/>
      </c>
      <c r="N14" s="177">
        <f>'b利润与利润分配表（损益和利润分配表）'!N11</f>
        <v/>
      </c>
      <c r="O14" s="177">
        <f>'b利润与利润分配表（损益和利润分配表）'!O11</f>
        <v/>
      </c>
      <c r="P14" s="177">
        <f>'b利润与利润分配表（损益和利润分配表）'!P11</f>
        <v/>
      </c>
      <c r="Q14" s="177">
        <f>'b利润与利润分配表（损益和利润分配表）'!Q11</f>
        <v/>
      </c>
      <c r="R14" s="177">
        <f>'b利润与利润分配表（损益和利润分配表）'!R11</f>
        <v/>
      </c>
      <c r="S14" s="177">
        <f>'b利润与利润分配表（损益和利润分配表）'!S11</f>
        <v/>
      </c>
      <c r="T14" s="177">
        <f>'b利润与利润分配表（损益和利润分配表）'!T11</f>
        <v/>
      </c>
      <c r="U14" s="177">
        <f>'b利润与利润分配表（损益和利润分配表）'!U11</f>
        <v/>
      </c>
      <c r="V14" s="177">
        <f>'b利润与利润分配表（损益和利润分配表）'!V11</f>
        <v/>
      </c>
      <c r="W14" s="177">
        <f>'b利润与利润分配表（损益和利润分配表）'!W11</f>
        <v/>
      </c>
      <c r="X14" s="177">
        <f>'b利润与利润分配表（损益和利润分配表）'!X11</f>
        <v/>
      </c>
      <c r="Y14" s="177">
        <f>'b利润与利润分配表（损益和利润分配表）'!Y11</f>
        <v/>
      </c>
      <c r="Z14" s="177">
        <f>'b利润与利润分配表（损益和利润分配表）'!Z11</f>
        <v/>
      </c>
    </row>
    <row r="15" s="162">
      <c r="A15" s="7" t="inlineStr">
        <is>
          <t>1.2.6</t>
        </is>
      </c>
      <c r="B15" s="7" t="inlineStr">
        <is>
          <t>其他流出</t>
        </is>
      </c>
      <c r="C15" s="177">
        <f>(SUM(D15:Z15))</f>
        <v/>
      </c>
      <c r="D15" s="169" t="n">
        <v>0</v>
      </c>
      <c r="E15" s="169" t="n">
        <v>0</v>
      </c>
      <c r="F15" s="169" t="n">
        <v>0</v>
      </c>
      <c r="G15" s="169" t="n">
        <v>0</v>
      </c>
      <c r="H15" s="169" t="n">
        <v>0</v>
      </c>
      <c r="I15" s="169" t="n">
        <v>0</v>
      </c>
      <c r="J15" s="169" t="n">
        <v>0</v>
      </c>
      <c r="K15" s="169" t="n">
        <v>0</v>
      </c>
      <c r="L15" s="169" t="n">
        <v>0</v>
      </c>
      <c r="M15" s="169" t="n">
        <v>0</v>
      </c>
      <c r="N15" s="169" t="n">
        <v>0</v>
      </c>
      <c r="O15" s="169" t="n">
        <v>0</v>
      </c>
      <c r="P15" s="169" t="n">
        <v>0</v>
      </c>
      <c r="Q15" s="169" t="n">
        <v>0</v>
      </c>
      <c r="R15" s="169" t="n">
        <v>0</v>
      </c>
      <c r="S15" s="169" t="n">
        <v>0</v>
      </c>
      <c r="T15" s="169" t="n">
        <v>0</v>
      </c>
      <c r="U15" s="169" t="n">
        <v>0</v>
      </c>
      <c r="V15" s="169" t="n">
        <v>0</v>
      </c>
      <c r="W15" s="169" t="n">
        <v>0</v>
      </c>
      <c r="X15" s="169" t="n">
        <v>0</v>
      </c>
      <c r="Y15" s="169" t="n">
        <v>0</v>
      </c>
      <c r="Z15" s="169" t="n">
        <v>0</v>
      </c>
    </row>
    <row r="16" s="162">
      <c r="A16" s="7" t="n">
        <v>2</v>
      </c>
      <c r="B16" s="7" t="inlineStr">
        <is>
          <t>投资活动净现金流量(2.1-2.2)</t>
        </is>
      </c>
      <c r="C16" s="177">
        <f>(SUM(D16:Z16))</f>
        <v/>
      </c>
      <c r="D16" s="177">
        <f>D17-D18</f>
        <v/>
      </c>
      <c r="E16" s="177">
        <f>E17-E18</f>
        <v/>
      </c>
      <c r="F16" s="177">
        <f>F17-F18</f>
        <v/>
      </c>
      <c r="G16" s="177">
        <f>G17-G18</f>
        <v/>
      </c>
      <c r="H16" s="177">
        <f>H17-H18</f>
        <v/>
      </c>
      <c r="I16" s="177">
        <f>I17-I18</f>
        <v/>
      </c>
      <c r="J16" s="177">
        <f>J17-J18</f>
        <v/>
      </c>
      <c r="K16" s="177">
        <f>K17-K18</f>
        <v/>
      </c>
      <c r="L16" s="177">
        <f>L17-L18</f>
        <v/>
      </c>
      <c r="M16" s="177">
        <f>M17-M18</f>
        <v/>
      </c>
      <c r="N16" s="177">
        <f>N17-N18</f>
        <v/>
      </c>
      <c r="O16" s="177">
        <f>O17-O18</f>
        <v/>
      </c>
      <c r="P16" s="177">
        <f>P17-P18</f>
        <v/>
      </c>
      <c r="Q16" s="177">
        <f>Q17-Q18</f>
        <v/>
      </c>
      <c r="R16" s="177">
        <f>R17-R18</f>
        <v/>
      </c>
      <c r="S16" s="177">
        <f>S17-S18</f>
        <v/>
      </c>
      <c r="T16" s="177">
        <f>T17-T18</f>
        <v/>
      </c>
      <c r="U16" s="177">
        <f>U17-U18</f>
        <v/>
      </c>
      <c r="V16" s="177">
        <f>V17-V18</f>
        <v/>
      </c>
      <c r="W16" s="177">
        <f>W17-W18</f>
        <v/>
      </c>
      <c r="X16" s="177">
        <f>X17-X18</f>
        <v/>
      </c>
      <c r="Y16" s="177">
        <f>Y17-Y18</f>
        <v/>
      </c>
      <c r="Z16" s="177">
        <f>Z17-Z18</f>
        <v/>
      </c>
    </row>
    <row r="17" ht="25.2" customHeight="1" s="162">
      <c r="A17" s="7" t="n">
        <v>2.1</v>
      </c>
      <c r="B17" s="92" t="inlineStr">
        <is>
          <t>现金流入</t>
        </is>
      </c>
      <c r="C17" s="177">
        <f>(SUM(D17:Z17))</f>
        <v/>
      </c>
      <c r="D17" s="169" t="n">
        <v>0</v>
      </c>
      <c r="E17" s="169" t="n">
        <v>0</v>
      </c>
      <c r="F17" s="169" t="n">
        <v>0</v>
      </c>
      <c r="G17" s="169" t="n">
        <v>0</v>
      </c>
      <c r="H17" s="169" t="n">
        <v>0</v>
      </c>
      <c r="I17" s="169" t="n">
        <v>0</v>
      </c>
      <c r="J17" s="169" t="n">
        <v>0</v>
      </c>
      <c r="K17" s="169" t="n">
        <v>0</v>
      </c>
      <c r="L17" s="169" t="n">
        <v>0</v>
      </c>
      <c r="M17" s="169" t="n">
        <v>0</v>
      </c>
      <c r="N17" s="169" t="n">
        <v>0</v>
      </c>
      <c r="O17" s="169" t="n">
        <v>0</v>
      </c>
      <c r="P17" s="169" t="n">
        <v>0</v>
      </c>
      <c r="Q17" s="169" t="n">
        <v>0</v>
      </c>
      <c r="R17" s="169" t="n">
        <v>0</v>
      </c>
      <c r="S17" s="169" t="n">
        <v>0</v>
      </c>
      <c r="T17" s="169" t="n">
        <v>0</v>
      </c>
      <c r="U17" s="169" t="n">
        <v>0</v>
      </c>
      <c r="V17" s="169" t="n">
        <v>0</v>
      </c>
      <c r="W17" s="169" t="n">
        <v>0</v>
      </c>
      <c r="X17" s="169" t="n">
        <v>0</v>
      </c>
      <c r="Y17" s="169" t="n">
        <v>0</v>
      </c>
      <c r="Z17" s="169" t="n">
        <v>0</v>
      </c>
    </row>
    <row r="18" s="162">
      <c r="A18" s="7" t="n">
        <v>2.2</v>
      </c>
      <c r="B18" s="7" t="inlineStr">
        <is>
          <t>现金流出</t>
        </is>
      </c>
      <c r="C18" s="177">
        <f>(SUM(D18:Z18))</f>
        <v/>
      </c>
      <c r="D18" s="177">
        <f>SUM(D19:D22)</f>
        <v/>
      </c>
      <c r="E18" s="177">
        <f>SUM(E19:E22)</f>
        <v/>
      </c>
      <c r="F18" s="177">
        <f>SUM(F19:F22)</f>
        <v/>
      </c>
      <c r="G18" s="177">
        <f>SUM(G19:G22)</f>
        <v/>
      </c>
      <c r="H18" s="177">
        <f>SUM(H19:H22)</f>
        <v/>
      </c>
      <c r="I18" s="177">
        <f>SUM(I19:I22)</f>
        <v/>
      </c>
      <c r="J18" s="177">
        <f>SUM(J19:J22)</f>
        <v/>
      </c>
      <c r="K18" s="177">
        <f>SUM(K19:K22)</f>
        <v/>
      </c>
      <c r="L18" s="177">
        <f>SUM(L19:L22)</f>
        <v/>
      </c>
      <c r="M18" s="177">
        <f>SUM(M19:M22)</f>
        <v/>
      </c>
      <c r="N18" s="177">
        <f>SUM(N19:N22)</f>
        <v/>
      </c>
      <c r="O18" s="177">
        <f>SUM(O19:O22)</f>
        <v/>
      </c>
      <c r="P18" s="177">
        <f>SUM(P19:P22)</f>
        <v/>
      </c>
      <c r="Q18" s="177">
        <f>SUM(Q19:Q22)</f>
        <v/>
      </c>
      <c r="R18" s="177">
        <f>SUM(R19:R22)</f>
        <v/>
      </c>
      <c r="S18" s="177">
        <f>SUM(S19:S22)</f>
        <v/>
      </c>
      <c r="T18" s="177">
        <f>SUM(T19:T22)</f>
        <v/>
      </c>
      <c r="U18" s="177">
        <f>SUM(U19:U22)</f>
        <v/>
      </c>
      <c r="V18" s="177">
        <f>SUM(V19:V22)</f>
        <v/>
      </c>
      <c r="W18" s="177">
        <f>SUM(W19:W22)</f>
        <v/>
      </c>
      <c r="X18" s="177">
        <f>SUM(X19:X22)</f>
        <v/>
      </c>
      <c r="Y18" s="177">
        <f>SUM(Y19:Y22)</f>
        <v/>
      </c>
      <c r="Z18" s="177">
        <f>SUM(Z19:Z22)</f>
        <v/>
      </c>
    </row>
    <row r="19" s="162">
      <c r="A19" s="7" t="inlineStr">
        <is>
          <t>2.2.1</t>
        </is>
      </c>
      <c r="B19" s="7" t="inlineStr">
        <is>
          <t>建设投资</t>
        </is>
      </c>
      <c r="C19" s="177">
        <f>(SUM(D19:Z19))</f>
        <v/>
      </c>
      <c r="D19" s="171">
        <f>('E.4建设投资税后金额表'!H21)</f>
        <v/>
      </c>
      <c r="E19" s="171">
        <f>('E.4建设投资税后金额表'!I21)</f>
        <v/>
      </c>
      <c r="F19" s="171">
        <f>('E.4建设投资税后金额表'!J21)</f>
        <v/>
      </c>
      <c r="G19" s="171">
        <f>('E.4建设投资税后金额表'!K21)</f>
        <v/>
      </c>
      <c r="H19" s="171">
        <f>('E.4建设投资税后金额表'!L21)</f>
        <v/>
      </c>
      <c r="I19" s="171">
        <f>('E.4建设投资税后金额表'!M21)</f>
        <v/>
      </c>
      <c r="J19" s="171">
        <f>('E.4建设投资税后金额表'!N21)</f>
        <v/>
      </c>
      <c r="K19" s="171">
        <f>('E.4建设投资税后金额表'!O21)</f>
        <v/>
      </c>
      <c r="L19" s="171">
        <f>('E.4建设投资税后金额表'!P21)</f>
        <v/>
      </c>
      <c r="M19" s="171">
        <f>('E.4建设投资税后金额表'!Q21)</f>
        <v/>
      </c>
      <c r="N19" s="171">
        <f>('E.4建设投资税后金额表'!R21)</f>
        <v/>
      </c>
      <c r="O19" s="171">
        <f>('E.4建设投资税后金额表'!S21)</f>
        <v/>
      </c>
      <c r="P19" s="171">
        <f>('E.4建设投资税后金额表'!T21)</f>
        <v/>
      </c>
      <c r="Q19" s="171">
        <f>('E.4建设投资税后金额表'!U21)</f>
        <v/>
      </c>
      <c r="R19" s="171">
        <f>('E.4建设投资税后金额表'!V21)</f>
        <v/>
      </c>
      <c r="S19" s="171">
        <f>('E.4建设投资税后金额表'!W21)</f>
        <v/>
      </c>
      <c r="T19" s="171">
        <f>('E.4建设投资税后金额表'!X21)</f>
        <v/>
      </c>
      <c r="U19" s="171">
        <f>('E.4建设投资税后金额表'!Y21)</f>
        <v/>
      </c>
      <c r="V19" s="171">
        <f>('E.4建设投资税后金额表'!Z21)</f>
        <v/>
      </c>
      <c r="W19" s="171">
        <f>('E.4建设投资税后金额表'!AA21)</f>
        <v/>
      </c>
      <c r="X19" s="171">
        <f>('E.4建设投资税后金额表'!AB21)</f>
        <v/>
      </c>
      <c r="Y19" s="171">
        <f>('E.4建设投资税后金额表'!AC21)</f>
        <v/>
      </c>
      <c r="Z19" s="171">
        <f>'E.4建设投资税后金额表'!AD21</f>
        <v/>
      </c>
    </row>
    <row r="20" s="162">
      <c r="A20" s="7" t="inlineStr">
        <is>
          <t>2.2.2</t>
        </is>
      </c>
      <c r="B20" s="7" t="inlineStr">
        <is>
          <t>维持运营投资</t>
        </is>
      </c>
      <c r="C20" s="177">
        <f>(SUM(D20:Z20))</f>
        <v/>
      </c>
      <c r="D20" s="169" t="n">
        <v>0</v>
      </c>
      <c r="E20" s="169" t="n">
        <v>0</v>
      </c>
      <c r="F20" s="169" t="n">
        <v>0</v>
      </c>
      <c r="G20" s="169" t="n">
        <v>0</v>
      </c>
      <c r="H20" s="169" t="n">
        <v>0</v>
      </c>
      <c r="I20" s="169" t="n">
        <v>0</v>
      </c>
      <c r="J20" s="169" t="n">
        <v>0</v>
      </c>
      <c r="K20" s="169" t="n">
        <v>0</v>
      </c>
      <c r="L20" s="169" t="n">
        <v>0</v>
      </c>
      <c r="M20" s="169" t="n">
        <v>0</v>
      </c>
      <c r="N20" s="169" t="n">
        <v>0</v>
      </c>
      <c r="O20" s="169" t="n">
        <v>0</v>
      </c>
      <c r="P20" s="169" t="n">
        <v>0</v>
      </c>
      <c r="Q20" s="169" t="n">
        <v>0</v>
      </c>
      <c r="R20" s="169" t="n">
        <v>0</v>
      </c>
      <c r="S20" s="169" t="n">
        <v>0</v>
      </c>
      <c r="T20" s="169" t="n">
        <v>0</v>
      </c>
      <c r="U20" s="169" t="n">
        <v>0</v>
      </c>
      <c r="V20" s="169" t="n">
        <v>0</v>
      </c>
      <c r="W20" s="169" t="n">
        <v>0</v>
      </c>
      <c r="X20" s="169" t="n">
        <v>0</v>
      </c>
      <c r="Y20" s="169" t="n">
        <v>0</v>
      </c>
      <c r="Z20" s="169" t="n">
        <v>0</v>
      </c>
    </row>
    <row r="21" s="162">
      <c r="A21" s="7" t="inlineStr">
        <is>
          <t>2.2.3</t>
        </is>
      </c>
      <c r="B21" s="7" t="inlineStr">
        <is>
          <t>流动资金</t>
        </is>
      </c>
      <c r="C21" s="177">
        <f>(SUM(D21:Z21))</f>
        <v/>
      </c>
      <c r="D21" s="177">
        <f>D.2项目总投资使用计划与资金筹措表!D6</f>
        <v/>
      </c>
      <c r="E21" s="177">
        <f>D.2项目总投资使用计划与资金筹措表!E6</f>
        <v/>
      </c>
      <c r="F21" s="177">
        <f>D.2项目总投资使用计划与资金筹措表!F6</f>
        <v/>
      </c>
      <c r="G21" s="177">
        <f>D.2项目总投资使用计划与资金筹措表!G6</f>
        <v/>
      </c>
      <c r="H21" s="177">
        <f>D.2项目总投资使用计划与资金筹措表!H6</f>
        <v/>
      </c>
      <c r="I21" s="177">
        <f>D.2项目总投资使用计划与资金筹措表!I6</f>
        <v/>
      </c>
      <c r="J21" s="177">
        <f>'D.2项目总投资使用计划与资金筹措表'!J6</f>
        <v/>
      </c>
      <c r="K21" s="177">
        <f>'D.2项目总投资使用计划与资金筹措表'!K6</f>
        <v/>
      </c>
      <c r="L21" s="177">
        <f>'D.2项目总投资使用计划与资金筹措表'!L6</f>
        <v/>
      </c>
      <c r="M21" s="177">
        <f>'D.2项目总投资使用计划与资金筹措表'!M6</f>
        <v/>
      </c>
      <c r="N21" s="177">
        <f>'D.2项目总投资使用计划与资金筹措表'!N6</f>
        <v/>
      </c>
      <c r="O21" s="177">
        <f>'D.2项目总投资使用计划与资金筹措表'!O6</f>
        <v/>
      </c>
      <c r="P21" s="177">
        <f>'D.2项目总投资使用计划与资金筹措表'!P6</f>
        <v/>
      </c>
      <c r="Q21" s="177">
        <f>'D.2项目总投资使用计划与资金筹措表'!Q6</f>
        <v/>
      </c>
      <c r="R21" s="177">
        <f>'D.2项目总投资使用计划与资金筹措表'!R6</f>
        <v/>
      </c>
      <c r="S21" s="177">
        <f>'D.2项目总投资使用计划与资金筹措表'!S6</f>
        <v/>
      </c>
      <c r="T21" s="177">
        <f>'D.2项目总投资使用计划与资金筹措表'!T6</f>
        <v/>
      </c>
      <c r="U21" s="177">
        <f>'D.2项目总投资使用计划与资金筹措表'!U6</f>
        <v/>
      </c>
      <c r="V21" s="177">
        <f>'D.2项目总投资使用计划与资金筹措表'!V6</f>
        <v/>
      </c>
      <c r="W21" s="177">
        <f>'D.2项目总投资使用计划与资金筹措表'!W6</f>
        <v/>
      </c>
      <c r="X21" s="177">
        <f>'D.2项目总投资使用计划与资金筹措表'!X6</f>
        <v/>
      </c>
      <c r="Y21" s="177">
        <f>'D.2项目总投资使用计划与资金筹措表'!Y6</f>
        <v/>
      </c>
      <c r="Z21" s="177">
        <f>'D.2项目总投资使用计划与资金筹措表'!Z6</f>
        <v/>
      </c>
    </row>
    <row r="22" s="162">
      <c r="A22" s="7" t="inlineStr">
        <is>
          <t>2.2.4</t>
        </is>
      </c>
      <c r="B22" s="7" t="inlineStr">
        <is>
          <t>其他流出</t>
        </is>
      </c>
      <c r="C22" s="177">
        <f>(SUM(D22:Z22))</f>
        <v/>
      </c>
      <c r="D22" s="169" t="n">
        <v>0</v>
      </c>
      <c r="E22" s="169" t="n">
        <v>0</v>
      </c>
      <c r="F22" s="169" t="n">
        <v>0</v>
      </c>
      <c r="G22" s="169" t="n">
        <v>0</v>
      </c>
      <c r="H22" s="169" t="n">
        <v>0</v>
      </c>
      <c r="I22" s="169" t="n">
        <v>0</v>
      </c>
      <c r="J22" s="169" t="n">
        <v>0</v>
      </c>
      <c r="K22" s="169" t="n">
        <v>0</v>
      </c>
      <c r="L22" s="169" t="n">
        <v>0</v>
      </c>
      <c r="M22" s="169" t="n">
        <v>0</v>
      </c>
      <c r="N22" s="169" t="n">
        <v>0</v>
      </c>
      <c r="O22" s="169" t="n">
        <v>0</v>
      </c>
      <c r="P22" s="169" t="n">
        <v>0</v>
      </c>
      <c r="Q22" s="169" t="n">
        <v>0</v>
      </c>
      <c r="R22" s="169" t="n">
        <v>0</v>
      </c>
      <c r="S22" s="169" t="n">
        <v>0</v>
      </c>
      <c r="T22" s="169" t="n">
        <v>0</v>
      </c>
      <c r="U22" s="169" t="n">
        <v>0</v>
      </c>
      <c r="V22" s="169" t="n">
        <v>0</v>
      </c>
      <c r="W22" s="169" t="n">
        <v>0</v>
      </c>
      <c r="X22" s="169" t="n">
        <v>0</v>
      </c>
      <c r="Y22" s="169" t="n">
        <v>0</v>
      </c>
      <c r="Z22" s="169" t="n">
        <v>0</v>
      </c>
    </row>
    <row r="23" s="162">
      <c r="A23" s="7" t="n">
        <v>3</v>
      </c>
      <c r="B23" s="7" t="inlineStr">
        <is>
          <t>筹资活动净现金流量(3.1-3.2)</t>
        </is>
      </c>
      <c r="C23" s="177">
        <f>(SUM(D23:Z23))</f>
        <v/>
      </c>
      <c r="D23" s="177">
        <f>D24-D27</f>
        <v/>
      </c>
      <c r="E23" s="177">
        <f>E24-E27</f>
        <v/>
      </c>
      <c r="F23" s="177">
        <f>F24-F27</f>
        <v/>
      </c>
      <c r="G23" s="177">
        <f>G24-G27</f>
        <v/>
      </c>
      <c r="H23" s="177">
        <f>H24-H27</f>
        <v/>
      </c>
      <c r="I23" s="177">
        <f>I24-I27</f>
        <v/>
      </c>
      <c r="J23" s="177">
        <f>J24-J27</f>
        <v/>
      </c>
      <c r="K23" s="177">
        <f>K24-K27</f>
        <v/>
      </c>
      <c r="L23" s="177">
        <f>L24-L27</f>
        <v/>
      </c>
      <c r="M23" s="177">
        <f>M24-M27</f>
        <v/>
      </c>
      <c r="N23" s="177">
        <f>N24-N27</f>
        <v/>
      </c>
      <c r="O23" s="177">
        <f>O24-O27</f>
        <v/>
      </c>
      <c r="P23" s="177">
        <f>P24-P27</f>
        <v/>
      </c>
      <c r="Q23" s="177">
        <f>Q24-Q27</f>
        <v/>
      </c>
      <c r="R23" s="177">
        <f>R24-R27</f>
        <v/>
      </c>
      <c r="S23" s="177">
        <f>S24-S27</f>
        <v/>
      </c>
      <c r="T23" s="177">
        <f>T24-T27</f>
        <v/>
      </c>
      <c r="U23" s="177">
        <f>U24-U27</f>
        <v/>
      </c>
      <c r="V23" s="177">
        <f>V24-V27</f>
        <v/>
      </c>
      <c r="W23" s="177">
        <f>W24-W27</f>
        <v/>
      </c>
      <c r="X23" s="177">
        <f>X24-X27</f>
        <v/>
      </c>
      <c r="Y23" s="177">
        <f>Y24-Y27</f>
        <v/>
      </c>
      <c r="Z23" s="177">
        <f>Z24-Z27</f>
        <v/>
      </c>
    </row>
    <row r="24" s="162">
      <c r="A24" s="7" t="n">
        <v>3.1</v>
      </c>
      <c r="B24" s="7" t="inlineStr">
        <is>
          <t>现金流入</t>
        </is>
      </c>
      <c r="C24" s="177">
        <f>(SUM(D24:Z24))</f>
        <v/>
      </c>
      <c r="D24" s="177">
        <f>SUM(D25:D26)</f>
        <v/>
      </c>
      <c r="E24" s="177">
        <f>SUM(E25:E26)</f>
        <v/>
      </c>
      <c r="F24" s="177">
        <f>SUM(F25:F26)</f>
        <v/>
      </c>
      <c r="G24" s="177">
        <f>SUM(G25:G26)</f>
        <v/>
      </c>
      <c r="H24" s="177">
        <f>SUM(H25:H26)</f>
        <v/>
      </c>
      <c r="I24" s="177">
        <f>SUM(I25:I26)</f>
        <v/>
      </c>
      <c r="J24" s="177">
        <f>SUM(J25:J26)</f>
        <v/>
      </c>
      <c r="K24" s="177">
        <f>SUM(K25:K26)</f>
        <v/>
      </c>
      <c r="L24" s="177">
        <f>SUM(L25:L26)</f>
        <v/>
      </c>
      <c r="M24" s="177">
        <f>SUM(M25:M26)</f>
        <v/>
      </c>
      <c r="N24" s="177">
        <f>SUM(N25:N26)</f>
        <v/>
      </c>
      <c r="O24" s="177">
        <f>SUM(O25:O26)</f>
        <v/>
      </c>
      <c r="P24" s="177">
        <f>SUM(P25:P26)</f>
        <v/>
      </c>
      <c r="Q24" s="177">
        <f>SUM(Q25:Q26)</f>
        <v/>
      </c>
      <c r="R24" s="177">
        <f>SUM(R25:R26)</f>
        <v/>
      </c>
      <c r="S24" s="177">
        <f>SUM(S25:S26)</f>
        <v/>
      </c>
      <c r="T24" s="177">
        <f>SUM(T25:T26)</f>
        <v/>
      </c>
      <c r="U24" s="177">
        <f>SUM(U25:U26)</f>
        <v/>
      </c>
      <c r="V24" s="177">
        <f>SUM(V25:V26)</f>
        <v/>
      </c>
      <c r="W24" s="177">
        <f>SUM(W25:W26)</f>
        <v/>
      </c>
      <c r="X24" s="177">
        <f>SUM(X25:X26)</f>
        <v/>
      </c>
      <c r="Y24" s="177">
        <f>SUM(Y25:Y26)</f>
        <v/>
      </c>
      <c r="Z24" s="177">
        <f>SUM(Z25:Z26)</f>
        <v/>
      </c>
    </row>
    <row r="25" s="162">
      <c r="A25" s="7" t="inlineStr">
        <is>
          <t>3.1.1</t>
        </is>
      </c>
      <c r="B25" s="7" t="inlineStr">
        <is>
          <t>项目资本金投入</t>
        </is>
      </c>
      <c r="C25" s="177">
        <f>(SUM(D25:Z25))</f>
        <v/>
      </c>
      <c r="D25" s="177">
        <f>D.2项目总投资使用计划与资金筹措表!D8</f>
        <v/>
      </c>
      <c r="E25" s="177">
        <f>D.2项目总投资使用计划与资金筹措表!E8</f>
        <v/>
      </c>
      <c r="F25" s="177">
        <f>D.2项目总投资使用计划与资金筹措表!F8</f>
        <v/>
      </c>
      <c r="G25" s="177">
        <f>D.2项目总投资使用计划与资金筹措表!G8</f>
        <v/>
      </c>
      <c r="H25" s="177">
        <f>D.2项目总投资使用计划与资金筹措表!H8</f>
        <v/>
      </c>
      <c r="I25" s="177">
        <f>D.2项目总投资使用计划与资金筹措表!I8</f>
        <v/>
      </c>
      <c r="J25" s="177">
        <f>'D.2项目总投资使用计划与资金筹措表'!J8</f>
        <v/>
      </c>
      <c r="K25" s="177">
        <f>'D.2项目总投资使用计划与资金筹措表'!K8</f>
        <v/>
      </c>
      <c r="L25" s="177">
        <f>'D.2项目总投资使用计划与资金筹措表'!L8</f>
        <v/>
      </c>
      <c r="M25" s="177">
        <f>'D.2项目总投资使用计划与资金筹措表'!M8</f>
        <v/>
      </c>
      <c r="N25" s="177">
        <f>'D.2项目总投资使用计划与资金筹措表'!N8</f>
        <v/>
      </c>
      <c r="O25" s="177">
        <f>'D.2项目总投资使用计划与资金筹措表'!O8</f>
        <v/>
      </c>
      <c r="P25" s="177">
        <f>'D.2项目总投资使用计划与资金筹措表'!P8</f>
        <v/>
      </c>
      <c r="Q25" s="177">
        <f>'D.2项目总投资使用计划与资金筹措表'!Q8</f>
        <v/>
      </c>
      <c r="R25" s="177">
        <f>'D.2项目总投资使用计划与资金筹措表'!R8</f>
        <v/>
      </c>
      <c r="S25" s="177">
        <f>'D.2项目总投资使用计划与资金筹措表'!S8</f>
        <v/>
      </c>
      <c r="T25" s="177">
        <f>'D.2项目总投资使用计划与资金筹措表'!T8</f>
        <v/>
      </c>
      <c r="U25" s="177">
        <f>'D.2项目总投资使用计划与资金筹措表'!U8</f>
        <v/>
      </c>
      <c r="V25" s="177">
        <f>'D.2项目总投资使用计划与资金筹措表'!V8</f>
        <v/>
      </c>
      <c r="W25" s="177">
        <f>'D.2项目总投资使用计划与资金筹措表'!W8</f>
        <v/>
      </c>
      <c r="X25" s="177">
        <f>'D.2项目总投资使用计划与资金筹措表'!X8</f>
        <v/>
      </c>
      <c r="Y25" s="177">
        <f>'D.2项目总投资使用计划与资金筹措表'!Y8</f>
        <v/>
      </c>
      <c r="Z25" s="177">
        <f>'D.2项目总投资使用计划与资金筹措表'!Z8</f>
        <v/>
      </c>
    </row>
    <row r="26" s="162">
      <c r="A26" s="7" t="inlineStr">
        <is>
          <t>3.1.2</t>
        </is>
      </c>
      <c r="B26" s="7" t="inlineStr">
        <is>
          <t>建设投资借款</t>
        </is>
      </c>
      <c r="C26" s="177">
        <f>(SUM(D26:Z26))</f>
        <v/>
      </c>
      <c r="D26" s="177">
        <f>D.2项目总投资使用计划与资金筹措表!D12</f>
        <v/>
      </c>
      <c r="E26" s="177">
        <f>D.2项目总投资使用计划与资金筹措表!E12</f>
        <v/>
      </c>
      <c r="F26" s="177">
        <f>D.2项目总投资使用计划与资金筹措表!F12</f>
        <v/>
      </c>
      <c r="G26" s="177">
        <f>D.2项目总投资使用计划与资金筹措表!G12</f>
        <v/>
      </c>
      <c r="H26" s="177">
        <f>D.2项目总投资使用计划与资金筹措表!H12</f>
        <v/>
      </c>
      <c r="I26" s="177">
        <f>D.2项目总投资使用计划与资金筹措表!I12</f>
        <v/>
      </c>
      <c r="J26" s="177">
        <f>'D.2项目总投资使用计划与资金筹措表'!J12</f>
        <v/>
      </c>
      <c r="K26" s="177">
        <f>'D.2项目总投资使用计划与资金筹措表'!K12</f>
        <v/>
      </c>
      <c r="L26" s="177">
        <f>'D.2项目总投资使用计划与资金筹措表'!L12</f>
        <v/>
      </c>
      <c r="M26" s="177">
        <f>'D.2项目总投资使用计划与资金筹措表'!M12</f>
        <v/>
      </c>
      <c r="N26" s="177">
        <f>'D.2项目总投资使用计划与资金筹措表'!N12</f>
        <v/>
      </c>
      <c r="O26" s="177">
        <f>'D.2项目总投资使用计划与资金筹措表'!O12</f>
        <v/>
      </c>
      <c r="P26" s="177">
        <f>'D.2项目总投资使用计划与资金筹措表'!P12</f>
        <v/>
      </c>
      <c r="Q26" s="177">
        <f>'D.2项目总投资使用计划与资金筹措表'!Q12</f>
        <v/>
      </c>
      <c r="R26" s="177">
        <f>'D.2项目总投资使用计划与资金筹措表'!R12</f>
        <v/>
      </c>
      <c r="S26" s="177">
        <f>'D.2项目总投资使用计划与资金筹措表'!S12</f>
        <v/>
      </c>
      <c r="T26" s="177">
        <f>'D.2项目总投资使用计划与资金筹措表'!T12</f>
        <v/>
      </c>
      <c r="U26" s="177">
        <f>'D.2项目总投资使用计划与资金筹措表'!U12</f>
        <v/>
      </c>
      <c r="V26" s="177">
        <f>'D.2项目总投资使用计划与资金筹措表'!V12</f>
        <v/>
      </c>
      <c r="W26" s="177">
        <f>'D.2项目总投资使用计划与资金筹措表'!W12</f>
        <v/>
      </c>
      <c r="X26" s="177">
        <f>'D.2项目总投资使用计划与资金筹措表'!X12</f>
        <v/>
      </c>
      <c r="Y26" s="177">
        <f>'D.2项目总投资使用计划与资金筹措表'!Y12</f>
        <v/>
      </c>
      <c r="Z26" s="177">
        <f>'D.2项目总投资使用计划与资金筹措表'!Z12</f>
        <v/>
      </c>
    </row>
    <row r="27" s="162">
      <c r="A27" s="7" t="n">
        <v>3.2</v>
      </c>
      <c r="B27" s="7" t="inlineStr">
        <is>
          <t>现金流出</t>
        </is>
      </c>
      <c r="C27" s="177">
        <f>(SUM(D27:Z27))</f>
        <v/>
      </c>
      <c r="D27" s="177">
        <f>SUM(D28:D29)</f>
        <v/>
      </c>
      <c r="E27" s="177">
        <f>SUM(E28:E29)</f>
        <v/>
      </c>
      <c r="F27" s="177">
        <f>SUM(F28:F29)</f>
        <v/>
      </c>
      <c r="G27" s="177">
        <f>SUM(G28:G29)</f>
        <v/>
      </c>
      <c r="H27" s="177">
        <f>SUM(H28:H29)</f>
        <v/>
      </c>
      <c r="I27" s="177">
        <f>SUM(I28:I29)</f>
        <v/>
      </c>
      <c r="J27" s="177">
        <f>SUM(J28:J29)</f>
        <v/>
      </c>
      <c r="K27" s="177">
        <f>SUM(K28:K29)</f>
        <v/>
      </c>
      <c r="L27" s="177">
        <f>SUM(L28:L29)</f>
        <v/>
      </c>
      <c r="M27" s="177">
        <f>SUM(M28:M29)</f>
        <v/>
      </c>
      <c r="N27" s="177">
        <f>SUM(N28:N29)</f>
        <v/>
      </c>
      <c r="O27" s="177">
        <f>SUM(O28:O29)</f>
        <v/>
      </c>
      <c r="P27" s="177">
        <f>SUM(P28:P29)</f>
        <v/>
      </c>
      <c r="Q27" s="177">
        <f>SUM(Q28:Q29)</f>
        <v/>
      </c>
      <c r="R27" s="177">
        <f>SUM(R28:R29)</f>
        <v/>
      </c>
      <c r="S27" s="177">
        <f>SUM(S28:S29)</f>
        <v/>
      </c>
      <c r="T27" s="177">
        <f>SUM(T28:T29)</f>
        <v/>
      </c>
      <c r="U27" s="177">
        <f>SUM(U28:U29)</f>
        <v/>
      </c>
      <c r="V27" s="177">
        <f>SUM(V28:V29)</f>
        <v/>
      </c>
      <c r="W27" s="177">
        <f>SUM(W28:W29)</f>
        <v/>
      </c>
      <c r="X27" s="177">
        <f>SUM(X28:X29)</f>
        <v/>
      </c>
      <c r="Y27" s="177">
        <f>SUM(Y28:Y29)</f>
        <v/>
      </c>
      <c r="Z27" s="177">
        <f>SUM(Z28:Z29)</f>
        <v/>
      </c>
    </row>
    <row r="28" s="162">
      <c r="A28" s="7" t="inlineStr">
        <is>
          <t>3.2.1</t>
        </is>
      </c>
      <c r="B28" s="7" t="inlineStr">
        <is>
          <t>各种利息支出</t>
        </is>
      </c>
      <c r="C28" s="177">
        <f>(SUM(D28:Z28))</f>
        <v/>
      </c>
      <c r="D28" s="171">
        <f>('c借款还本付息计划表'!D34+'c借款还本付息计划表'!D36+'c借款还本付息计划表'!D37)</f>
        <v/>
      </c>
      <c r="E28" s="171">
        <f>('c借款还本付息计划表'!E34+'c借款还本付息计划表'!E36+'c借款还本付息计划表'!E37)</f>
        <v/>
      </c>
      <c r="F28" s="171">
        <f>('c借款还本付息计划表'!F34+'c借款还本付息计划表'!F36+'c借款还本付息计划表'!F37)</f>
        <v/>
      </c>
      <c r="G28" s="171">
        <f>('c借款还本付息计划表'!G34+'c借款还本付息计划表'!G36+'c借款还本付息计划表'!G37)</f>
        <v/>
      </c>
      <c r="H28" s="171">
        <f>('c借款还本付息计划表'!H34+'c借款还本付息计划表'!H36+'c借款还本付息计划表'!H37)</f>
        <v/>
      </c>
      <c r="I28" s="171">
        <f>('c借款还本付息计划表'!I34+'c借款还本付息计划表'!I36+'c借款还本付息计划表'!I37)</f>
        <v/>
      </c>
      <c r="J28" s="171">
        <f>('c借款还本付息计划表'!J34+'c借款还本付息计划表'!J36+'c借款还本付息计划表'!J37)</f>
        <v/>
      </c>
      <c r="K28" s="171">
        <f>('c借款还本付息计划表'!K34+'c借款还本付息计划表'!K36+'c借款还本付息计划表'!K37)</f>
        <v/>
      </c>
      <c r="L28" s="171">
        <f>('c借款还本付息计划表'!L34+'c借款还本付息计划表'!L36+'c借款还本付息计划表'!L37)</f>
        <v/>
      </c>
      <c r="M28" s="171">
        <f>('c借款还本付息计划表'!M34+'c借款还本付息计划表'!M36+'c借款还本付息计划表'!M37)</f>
        <v/>
      </c>
      <c r="N28" s="171">
        <f>('c借款还本付息计划表'!N34+'c借款还本付息计划表'!N36+'c借款还本付息计划表'!N37)</f>
        <v/>
      </c>
      <c r="O28" s="171">
        <f>('c借款还本付息计划表'!O34+'c借款还本付息计划表'!O36+'c借款还本付息计划表'!O37)</f>
        <v/>
      </c>
      <c r="P28" s="171">
        <f>('c借款还本付息计划表'!P34+'c借款还本付息计划表'!P36+'c借款还本付息计划表'!P37)</f>
        <v/>
      </c>
      <c r="Q28" s="171">
        <f>('c借款还本付息计划表'!Q34+'c借款还本付息计划表'!Q36+'c借款还本付息计划表'!Q37)</f>
        <v/>
      </c>
      <c r="R28" s="171">
        <f>('c借款还本付息计划表'!R34+'c借款还本付息计划表'!R36+'c借款还本付息计划表'!R37)</f>
        <v/>
      </c>
      <c r="S28" s="171">
        <f>('c借款还本付息计划表'!S34+'c借款还本付息计划表'!S36+'c借款还本付息计划表'!S37)</f>
        <v/>
      </c>
      <c r="T28" s="171">
        <f>('c借款还本付息计划表'!T34+'c借款还本付息计划表'!T36+'c借款还本付息计划表'!T37)</f>
        <v/>
      </c>
      <c r="U28" s="171">
        <f>('c借款还本付息计划表'!U34+'c借款还本付息计划表'!U36+'c借款还本付息计划表'!U37)</f>
        <v/>
      </c>
      <c r="V28" s="171">
        <f>('c借款还本付息计划表'!V34+'c借款还本付息计划表'!V36+'c借款还本付息计划表'!V37)</f>
        <v/>
      </c>
      <c r="W28" s="171">
        <f>('c借款还本付息计划表'!W34+'c借款还本付息计划表'!W36+'c借款还本付息计划表'!W37)</f>
        <v/>
      </c>
      <c r="X28" s="171">
        <f>('c借款还本付息计划表'!X34+'c借款还本付息计划表'!X36+'c借款还本付息计划表'!X37)</f>
        <v/>
      </c>
      <c r="Y28" s="171">
        <f>('c借款还本付息计划表'!Y34+'c借款还本付息计划表'!Y36+'c借款还本付息计划表'!Y37)</f>
        <v/>
      </c>
      <c r="Z28" s="171">
        <f>('c借款还本付息计划表'!Z34+'c借款还本付息计划表'!Z36+'c借款还本付息计划表'!Z37)</f>
        <v/>
      </c>
    </row>
    <row r="29" s="162">
      <c r="A29" s="7" t="inlineStr">
        <is>
          <t>3.2.2</t>
        </is>
      </c>
      <c r="B29" s="7" t="inlineStr">
        <is>
          <t>偿还债务本金</t>
        </is>
      </c>
      <c r="C29" s="177">
        <f>(SUM(D29:Z29))</f>
        <v/>
      </c>
      <c r="D29" s="171">
        <f>('c借款还本付息计划表'!D33)</f>
        <v/>
      </c>
      <c r="E29" s="171">
        <f>('c借款还本付息计划表'!E33)</f>
        <v/>
      </c>
      <c r="F29" s="171">
        <f>('c借款还本付息计划表'!F33)</f>
        <v/>
      </c>
      <c r="G29" s="171">
        <f>('c借款还本付息计划表'!G33)</f>
        <v/>
      </c>
      <c r="H29" s="171">
        <f>('c借款还本付息计划表'!H33)</f>
        <v/>
      </c>
      <c r="I29" s="171">
        <f>('c借款还本付息计划表'!I33)</f>
        <v/>
      </c>
      <c r="J29" s="171">
        <f>('c借款还本付息计划表'!J33)</f>
        <v/>
      </c>
      <c r="K29" s="171">
        <f>('c借款还本付息计划表'!K33)</f>
        <v/>
      </c>
      <c r="L29" s="171">
        <f>('c借款还本付息计划表'!L33)</f>
        <v/>
      </c>
      <c r="M29" s="171">
        <f>('c借款还本付息计划表'!M33)</f>
        <v/>
      </c>
      <c r="N29" s="171">
        <f>('c借款还本付息计划表'!N33)</f>
        <v/>
      </c>
      <c r="O29" s="171">
        <f>('c借款还本付息计划表'!O33)</f>
        <v/>
      </c>
      <c r="P29" s="171">
        <f>('c借款还本付息计划表'!P33)</f>
        <v/>
      </c>
      <c r="Q29" s="171">
        <f>('c借款还本付息计划表'!Q33)</f>
        <v/>
      </c>
      <c r="R29" s="171">
        <f>('c借款还本付息计划表'!R33)</f>
        <v/>
      </c>
      <c r="S29" s="171">
        <f>('c借款还本付息计划表'!S33)</f>
        <v/>
      </c>
      <c r="T29" s="171">
        <f>('c借款还本付息计划表'!T33)</f>
        <v/>
      </c>
      <c r="U29" s="171">
        <f>('c借款还本付息计划表'!U33)</f>
        <v/>
      </c>
      <c r="V29" s="171">
        <f>('c借款还本付息计划表'!V33)</f>
        <v/>
      </c>
      <c r="W29" s="171">
        <f>('c借款还本付息计划表'!W33)</f>
        <v/>
      </c>
      <c r="X29" s="171">
        <f>('c借款还本付息计划表'!X33)</f>
        <v/>
      </c>
      <c r="Y29" s="171">
        <f>('c借款还本付息计划表'!Y33)</f>
        <v/>
      </c>
      <c r="Z29" s="171">
        <f>('c借款还本付息计划表'!Z33)</f>
        <v/>
      </c>
    </row>
    <row r="30" s="162">
      <c r="A30" s="7" t="n">
        <v>4</v>
      </c>
      <c r="B30" s="7" t="inlineStr">
        <is>
          <t>净现金流量(1+2+3)</t>
        </is>
      </c>
      <c r="C30" s="177">
        <f>(SUM(D30:Z30))</f>
        <v/>
      </c>
      <c r="D30" s="177">
        <f>D3+D16+D23</f>
        <v/>
      </c>
      <c r="E30" s="177">
        <f>E3+E16+E23</f>
        <v/>
      </c>
      <c r="F30" s="177">
        <f>F3+F16+F23</f>
        <v/>
      </c>
      <c r="G30" s="177">
        <f>G3+G16+G23</f>
        <v/>
      </c>
      <c r="H30" s="177">
        <f>H3+H16+H23</f>
        <v/>
      </c>
      <c r="I30" s="177">
        <f>I3+I16+I23</f>
        <v/>
      </c>
      <c r="J30" s="177">
        <f>J3+J16+J23</f>
        <v/>
      </c>
      <c r="K30" s="177">
        <f>K3+K16+K23</f>
        <v/>
      </c>
      <c r="L30" s="177">
        <f>L3+L16+L23</f>
        <v/>
      </c>
      <c r="M30" s="177">
        <f>M3+M16+M23</f>
        <v/>
      </c>
      <c r="N30" s="177">
        <f>N3+N16+N23</f>
        <v/>
      </c>
      <c r="O30" s="177">
        <f>O3+O16+O23</f>
        <v/>
      </c>
      <c r="P30" s="177">
        <f>P3+P16+P23</f>
        <v/>
      </c>
      <c r="Q30" s="177">
        <f>Q3+Q16+Q23</f>
        <v/>
      </c>
      <c r="R30" s="177">
        <f>R3+R16+R23</f>
        <v/>
      </c>
      <c r="S30" s="177">
        <f>S3+S16+S23</f>
        <v/>
      </c>
      <c r="T30" s="177">
        <f>T3+T16+T23</f>
        <v/>
      </c>
      <c r="U30" s="177">
        <f>U3+U16+U23</f>
        <v/>
      </c>
      <c r="V30" s="177">
        <f>V3+V16+V23</f>
        <v/>
      </c>
      <c r="W30" s="177">
        <f>W3+W16+W23</f>
        <v/>
      </c>
      <c r="X30" s="177">
        <f>X3+X16+X23</f>
        <v/>
      </c>
      <c r="Y30" s="177">
        <f>Y3+Y16+Y23</f>
        <v/>
      </c>
      <c r="Z30" s="177">
        <f>Z3+Z16+Z23</f>
        <v/>
      </c>
    </row>
    <row r="31" s="162">
      <c r="A31" s="7" t="n">
        <v>5</v>
      </c>
      <c r="B31" s="7" t="inlineStr">
        <is>
          <t>累计盈余资金</t>
        </is>
      </c>
      <c r="C31" s="177">
        <f>(SUM(D31:Z31))</f>
        <v/>
      </c>
      <c r="D31" s="171">
        <f>D30</f>
        <v/>
      </c>
      <c r="E31" s="171">
        <f>D31+E30</f>
        <v/>
      </c>
      <c r="F31" s="171">
        <f>E31+F30</f>
        <v/>
      </c>
      <c r="G31" s="171">
        <f>F31+G30</f>
        <v/>
      </c>
      <c r="H31" s="171">
        <f>G31+H30</f>
        <v/>
      </c>
      <c r="I31" s="171">
        <f>H31+I30</f>
        <v/>
      </c>
      <c r="J31" s="171">
        <f>I31+J30</f>
        <v/>
      </c>
      <c r="K31" s="171">
        <f>J31+K30</f>
        <v/>
      </c>
      <c r="L31" s="171">
        <f>K31+L30</f>
        <v/>
      </c>
      <c r="M31" s="171">
        <f>L31+M30</f>
        <v/>
      </c>
      <c r="N31" s="171">
        <f>M31+N30</f>
        <v/>
      </c>
      <c r="O31" s="171">
        <f>N31+O30</f>
        <v/>
      </c>
      <c r="P31" s="171">
        <f>O31+P30</f>
        <v/>
      </c>
      <c r="Q31" s="171">
        <f>P31+Q30</f>
        <v/>
      </c>
      <c r="R31" s="171">
        <f>Q31+R30</f>
        <v/>
      </c>
      <c r="S31" s="171">
        <f>R31+S30</f>
        <v/>
      </c>
      <c r="T31" s="171">
        <f>S31+T30</f>
        <v/>
      </c>
      <c r="U31" s="171">
        <f>T31+U30</f>
        <v/>
      </c>
      <c r="V31" s="171">
        <f>U31+V30</f>
        <v/>
      </c>
      <c r="W31" s="171">
        <f>V31+W30</f>
        <v/>
      </c>
      <c r="X31" s="171">
        <f>W31+X30</f>
        <v/>
      </c>
      <c r="Y31" s="171">
        <f>X31+Y30</f>
        <v/>
      </c>
      <c r="Z31" s="171">
        <f>Y31+Z30</f>
        <v/>
      </c>
    </row>
  </sheetData>
  <mergeCells count="1">
    <mergeCell ref="A1:I1"/>
  </mergeCells>
  <pageMargins left="0.75" right="0.75" top="1" bottom="1" header="0.5" footer="0.5"/>
</worksheet>
</file>

<file path=xl/worksheets/sheet26.xml><?xml version="1.0" encoding="utf-8"?>
<worksheet xmlns="http://schemas.openxmlformats.org/spreadsheetml/2006/main">
  <sheetPr codeName="Sheet25">
    <tabColor rgb="FFFFC000"/>
    <outlinePr summaryBelow="1" summaryRight="1"/>
    <pageSetUpPr/>
  </sheetPr>
  <dimension ref="A1:Y27"/>
  <sheetViews>
    <sheetView zoomScale="70" zoomScaleNormal="70" workbookViewId="0">
      <pane xSplit="2" ySplit="2" topLeftCell="C13" activePane="bottomRight" state="frozen"/>
      <selection activeCell="A1" sqref="A1"/>
      <selection pane="topRight" activeCell="A1" sqref="A1"/>
      <selection pane="bottomLeft" activeCell="A1" sqref="A1"/>
      <selection pane="bottomRight" activeCell="E27" sqref="E27"/>
    </sheetView>
  </sheetViews>
  <sheetFormatPr baseColWidth="8" defaultColWidth="8.890909090909091" defaultRowHeight="28.05" customHeight="1"/>
  <cols>
    <col width="29" customWidth="1" style="162" min="2" max="2"/>
    <col width="11" customWidth="1" style="162" min="3" max="3"/>
    <col width="11.2181818181818" customWidth="1" style="162" min="4" max="8"/>
  </cols>
  <sheetData>
    <row r="1" s="162">
      <c r="A1" s="40" t="inlineStr">
        <is>
          <t>e资产负债表（万元）</t>
        </is>
      </c>
      <c r="B1" s="167" t="n"/>
      <c r="C1" s="167" t="n"/>
      <c r="D1" s="167" t="n"/>
      <c r="E1" s="167" t="n"/>
      <c r="F1" s="167" t="n"/>
      <c r="G1" s="167" t="n"/>
      <c r="H1" s="168" t="n"/>
    </row>
    <row r="2" s="162">
      <c r="A2" s="2" t="inlineStr">
        <is>
          <t>序号</t>
        </is>
      </c>
      <c r="B2" s="2" t="inlineStr">
        <is>
          <t>项目</t>
        </is>
      </c>
      <c r="C2" s="36" t="n">
        <v>2025</v>
      </c>
      <c r="D2" s="36" t="n">
        <v>2026</v>
      </c>
      <c r="E2" s="36" t="n">
        <v>2027</v>
      </c>
      <c r="F2" s="36" t="n">
        <v>2028</v>
      </c>
      <c r="G2" s="36" t="n">
        <v>2029</v>
      </c>
      <c r="H2" s="36" t="n">
        <v>2030</v>
      </c>
      <c r="I2" s="210" t="n">
        <v>2031</v>
      </c>
      <c r="J2" s="210" t="n">
        <v>2032</v>
      </c>
      <c r="K2" s="210" t="n">
        <v>2033</v>
      </c>
      <c r="L2" s="210" t="n">
        <v>2034</v>
      </c>
      <c r="M2" s="210" t="n">
        <v>2035</v>
      </c>
      <c r="N2" s="210" t="n">
        <v>2036</v>
      </c>
      <c r="O2" s="210" t="n">
        <v>2037</v>
      </c>
      <c r="P2" s="210" t="n">
        <v>2038</v>
      </c>
      <c r="Q2" s="210" t="n">
        <v>2039</v>
      </c>
      <c r="R2" s="210" t="n">
        <v>2040</v>
      </c>
      <c r="S2" s="210" t="n">
        <v>2041</v>
      </c>
      <c r="T2" s="210" t="n">
        <v>2042</v>
      </c>
      <c r="U2" s="210" t="n">
        <v>2043</v>
      </c>
      <c r="V2" s="210" t="n">
        <v>2044</v>
      </c>
      <c r="W2" s="210" t="n">
        <v>2045</v>
      </c>
      <c r="X2" s="210" t="n">
        <v>2046</v>
      </c>
      <c r="Y2" s="210" t="n">
        <v>2047</v>
      </c>
    </row>
    <row r="3" s="162">
      <c r="A3" s="7" t="n">
        <v>1</v>
      </c>
      <c r="B3" s="7" t="inlineStr">
        <is>
          <t>资产</t>
        </is>
      </c>
      <c r="C3" s="177">
        <f>SUM(C4+C10+C11+C12)</f>
        <v/>
      </c>
      <c r="D3" s="177">
        <f>SUM(D4+D10+D11+D12)</f>
        <v/>
      </c>
      <c r="E3" s="177">
        <f>SUM(E4+E10+E11+E12)</f>
        <v/>
      </c>
      <c r="F3" s="177">
        <f>SUM(F4+F10+F11+F12)</f>
        <v/>
      </c>
      <c r="G3" s="177">
        <f>SUM(G4+G10+G11+G12)</f>
        <v/>
      </c>
      <c r="H3" s="177">
        <f>SUM(H4+H10+H11+H12)</f>
        <v/>
      </c>
      <c r="I3" s="177">
        <f>SUM(I4+I10+I11+I12)</f>
        <v/>
      </c>
      <c r="J3" s="177">
        <f>SUM(J4+J10+J11+J12)</f>
        <v/>
      </c>
      <c r="K3" s="177">
        <f>SUM(K4+K10+K11+K12)</f>
        <v/>
      </c>
      <c r="L3" s="177">
        <f>SUM(L4+L10+L11+L12)</f>
        <v/>
      </c>
      <c r="M3" s="177">
        <f>SUM(M4+M10+M11+M12)</f>
        <v/>
      </c>
      <c r="N3" s="177">
        <f>SUM(N4+N10+N11+N12)</f>
        <v/>
      </c>
      <c r="O3" s="177">
        <f>SUM(O4+O10+O11+O12)</f>
        <v/>
      </c>
      <c r="P3" s="177">
        <f>SUM(P4+P10+P11+P12)</f>
        <v/>
      </c>
      <c r="Q3" s="177">
        <f>SUM(Q4+Q10+Q11+Q12)</f>
        <v/>
      </c>
      <c r="R3" s="177">
        <f>SUM(R4+R10+R11+R12)</f>
        <v/>
      </c>
      <c r="S3" s="177">
        <f>SUM(S4+S10+S11+S12)</f>
        <v/>
      </c>
      <c r="T3" s="177">
        <f>SUM(T4+T10+T11+T12)</f>
        <v/>
      </c>
      <c r="U3" s="177">
        <f>SUM(U4+U10+U11+U12)</f>
        <v/>
      </c>
      <c r="V3" s="177">
        <f>SUM(V4+V10+V11+V12)</f>
        <v/>
      </c>
      <c r="W3" s="177">
        <f>SUM(W4+W10+W11+W12)</f>
        <v/>
      </c>
      <c r="X3" s="177">
        <f>SUM(X4+X10+X11+X12)</f>
        <v/>
      </c>
      <c r="Y3" s="177">
        <f>SUM(Y4+Y10+Y11+Y12)</f>
        <v/>
      </c>
    </row>
    <row r="4" s="162">
      <c r="A4" s="7" t="n">
        <v>1.1</v>
      </c>
      <c r="B4" s="7" t="inlineStr">
        <is>
          <t>流动资产总额</t>
        </is>
      </c>
      <c r="C4" s="177">
        <f>SUM(C5:C9)</f>
        <v/>
      </c>
      <c r="D4" s="177">
        <f>SUM(D5:D9)</f>
        <v/>
      </c>
      <c r="E4" s="177">
        <f>SUM(E5:E9)</f>
        <v/>
      </c>
      <c r="F4" s="177">
        <f>SUM(F5:F9)</f>
        <v/>
      </c>
      <c r="G4" s="177">
        <f>SUM(G5:G9)</f>
        <v/>
      </c>
      <c r="H4" s="177">
        <f>SUM(H5:H9)</f>
        <v/>
      </c>
      <c r="I4" s="177">
        <f>SUM(I5:I9)</f>
        <v/>
      </c>
      <c r="J4" s="177">
        <f>SUM(J5:J9)</f>
        <v/>
      </c>
      <c r="K4" s="177">
        <f>SUM(K5:K9)</f>
        <v/>
      </c>
      <c r="L4" s="177">
        <f>SUM(L5:L9)</f>
        <v/>
      </c>
      <c r="M4" s="177">
        <f>SUM(M5:M9)</f>
        <v/>
      </c>
      <c r="N4" s="177">
        <f>SUM(N5:N9)</f>
        <v/>
      </c>
      <c r="O4" s="177">
        <f>SUM(O5:O9)</f>
        <v/>
      </c>
      <c r="P4" s="177">
        <f>SUM(P5:P9)</f>
        <v/>
      </c>
      <c r="Q4" s="177">
        <f>SUM(Q5:Q9)</f>
        <v/>
      </c>
      <c r="R4" s="177">
        <f>SUM(R5:R9)</f>
        <v/>
      </c>
      <c r="S4" s="177">
        <f>SUM(S5:S9)</f>
        <v/>
      </c>
      <c r="T4" s="177">
        <f>SUM(T5:T9)</f>
        <v/>
      </c>
      <c r="U4" s="177">
        <f>SUM(U5:U9)</f>
        <v/>
      </c>
      <c r="V4" s="177">
        <f>SUM(V5:V9)</f>
        <v/>
      </c>
      <c r="W4" s="177">
        <f>SUM(W5:W9)</f>
        <v/>
      </c>
      <c r="X4" s="177">
        <f>SUM(X5:X9)</f>
        <v/>
      </c>
      <c r="Y4" s="177">
        <f>SUM(Y5:Y9)</f>
        <v/>
      </c>
    </row>
    <row r="5" s="162">
      <c r="A5" s="7" t="inlineStr">
        <is>
          <t>1.1.1</t>
        </is>
      </c>
      <c r="B5" s="7" t="inlineStr">
        <is>
          <t>货币资金</t>
        </is>
      </c>
      <c r="C5" s="177">
        <f>D.4流动资金估算表!E10+d财务计划现金流量表!D31</f>
        <v/>
      </c>
      <c r="D5" s="177">
        <f>D.4流动资金估算表!F10+d财务计划现金流量表!E31</f>
        <v/>
      </c>
      <c r="E5" s="177">
        <f>D.4流动资金估算表!G10+d财务计划现金流量表!F31</f>
        <v/>
      </c>
      <c r="F5" s="177">
        <f>D.4流动资金估算表!H10+d财务计划现金流量表!G31</f>
        <v/>
      </c>
      <c r="G5" s="177">
        <f>D.4流动资金估算表!I10+d财务计划现金流量表!H31</f>
        <v/>
      </c>
      <c r="H5" s="177">
        <f>D.4流动资金估算表!J10+d财务计划现金流量表!I31</f>
        <v/>
      </c>
      <c r="I5" s="177">
        <f>'D.4流动资金估算表'!K10+'d财务计划现金流量表'!J31</f>
        <v/>
      </c>
      <c r="J5" s="177">
        <f>'D.4流动资金估算表'!L10+'d财务计划现金流量表'!K31</f>
        <v/>
      </c>
      <c r="K5" s="177">
        <f>'D.4流动资金估算表'!M10+'d财务计划现金流量表'!L31</f>
        <v/>
      </c>
      <c r="L5" s="177">
        <f>'D.4流动资金估算表'!N10+'d财务计划现金流量表'!M31</f>
        <v/>
      </c>
      <c r="M5" s="177">
        <f>'D.4流动资金估算表'!O10+'d财务计划现金流量表'!N31</f>
        <v/>
      </c>
      <c r="N5" s="177">
        <f>'D.4流动资金估算表'!P10+'d财务计划现金流量表'!O31</f>
        <v/>
      </c>
      <c r="O5" s="177">
        <f>'D.4流动资金估算表'!Q10+'d财务计划现金流量表'!P31</f>
        <v/>
      </c>
      <c r="P5" s="177">
        <f>'D.4流动资金估算表'!R10+'d财务计划现金流量表'!Q31</f>
        <v/>
      </c>
      <c r="Q5" s="177">
        <f>'D.4流动资金估算表'!S10+'d财务计划现金流量表'!R31</f>
        <v/>
      </c>
      <c r="R5" s="177">
        <f>'D.4流动资金估算表'!T10+'d财务计划现金流量表'!S31</f>
        <v/>
      </c>
      <c r="S5" s="177">
        <f>'D.4流动资金估算表'!U10+'d财务计划现金流量表'!T31</f>
        <v/>
      </c>
      <c r="T5" s="177">
        <f>'D.4流动资金估算表'!V10+'d财务计划现金流量表'!U31</f>
        <v/>
      </c>
      <c r="U5" s="177">
        <f>'D.4流动资金估算表'!W10+'d财务计划现金流量表'!V31</f>
        <v/>
      </c>
      <c r="V5" s="177">
        <f>'D.4流动资金估算表'!X10+'d财务计划现金流量表'!W31</f>
        <v/>
      </c>
      <c r="W5" s="177">
        <f>'D.4流动资金估算表'!Y10+'d财务计划现金流量表'!X31</f>
        <v/>
      </c>
      <c r="X5" s="177">
        <f>'D.4流动资金估算表'!Z10+'d财务计划现金流量表'!Y31</f>
        <v/>
      </c>
      <c r="Y5" s="177">
        <f>'D.4流动资金估算表'!AA10+'d财务计划现金流量表'!Z31</f>
        <v/>
      </c>
    </row>
    <row r="6" s="162">
      <c r="A6" s="7" t="inlineStr">
        <is>
          <t>1.1.2</t>
        </is>
      </c>
      <c r="B6" s="7" t="inlineStr">
        <is>
          <t>应收账款</t>
        </is>
      </c>
      <c r="C6" s="177">
        <f>D.4流动资金估算表!E4</f>
        <v/>
      </c>
      <c r="D6" s="177">
        <f>D.4流动资金估算表!F4</f>
        <v/>
      </c>
      <c r="E6" s="177">
        <f>D.4流动资金估算表!G4</f>
        <v/>
      </c>
      <c r="F6" s="177">
        <f>D.4流动资金估算表!H4</f>
        <v/>
      </c>
      <c r="G6" s="177">
        <f>D.4流动资金估算表!I4</f>
        <v/>
      </c>
      <c r="H6" s="177">
        <f>D.4流动资金估算表!J4</f>
        <v/>
      </c>
      <c r="I6" s="177">
        <f>'D.4流动资金估算表'!K4</f>
        <v/>
      </c>
      <c r="J6" s="177">
        <f>'D.4流动资金估算表'!L4</f>
        <v/>
      </c>
      <c r="K6" s="177">
        <f>'D.4流动资金估算表'!M4</f>
        <v/>
      </c>
      <c r="L6" s="177">
        <f>'D.4流动资金估算表'!N4</f>
        <v/>
      </c>
      <c r="M6" s="177">
        <f>'D.4流动资金估算表'!O4</f>
        <v/>
      </c>
      <c r="N6" s="177">
        <f>'D.4流动资金估算表'!P4</f>
        <v/>
      </c>
      <c r="O6" s="177">
        <f>'D.4流动资金估算表'!Q4</f>
        <v/>
      </c>
      <c r="P6" s="177">
        <f>'D.4流动资金估算表'!R4</f>
        <v/>
      </c>
      <c r="Q6" s="177">
        <f>'D.4流动资金估算表'!S4</f>
        <v/>
      </c>
      <c r="R6" s="177">
        <f>'D.4流动资金估算表'!T4</f>
        <v/>
      </c>
      <c r="S6" s="177">
        <f>'D.4流动资金估算表'!U4</f>
        <v/>
      </c>
      <c r="T6" s="177">
        <f>'D.4流动资金估算表'!V4</f>
        <v/>
      </c>
      <c r="U6" s="177">
        <f>'D.4流动资金估算表'!W4</f>
        <v/>
      </c>
      <c r="V6" s="177">
        <f>'D.4流动资金估算表'!X4</f>
        <v/>
      </c>
      <c r="W6" s="177">
        <f>'D.4流动资金估算表'!Y4</f>
        <v/>
      </c>
      <c r="X6" s="177">
        <f>'D.4流动资金估算表'!Z4</f>
        <v/>
      </c>
      <c r="Y6" s="177">
        <f>'D.4流动资金估算表'!AA4</f>
        <v/>
      </c>
    </row>
    <row r="7" s="162">
      <c r="A7" s="7" t="inlineStr">
        <is>
          <t>1.1.3</t>
        </is>
      </c>
      <c r="B7" s="7" t="inlineStr">
        <is>
          <t>预付账款</t>
        </is>
      </c>
      <c r="C7" s="169" t="n">
        <v>0</v>
      </c>
      <c r="D7" s="169" t="n">
        <v>0</v>
      </c>
      <c r="E7" s="169" t="n">
        <v>0</v>
      </c>
      <c r="F7" s="169" t="n">
        <v>0</v>
      </c>
      <c r="G7" s="169" t="n">
        <v>0</v>
      </c>
      <c r="H7" s="169" t="n">
        <v>0</v>
      </c>
      <c r="I7" s="169" t="n">
        <v>0</v>
      </c>
      <c r="J7" s="169" t="n">
        <v>0</v>
      </c>
      <c r="K7" s="169" t="n">
        <v>0</v>
      </c>
      <c r="L7" s="169" t="n">
        <v>0</v>
      </c>
      <c r="M7" s="169" t="n">
        <v>0</v>
      </c>
      <c r="N7" s="169" t="n">
        <v>0</v>
      </c>
      <c r="O7" s="169" t="n">
        <v>0</v>
      </c>
      <c r="P7" s="169" t="n">
        <v>0</v>
      </c>
      <c r="Q7" s="169" t="n">
        <v>0</v>
      </c>
      <c r="R7" s="169" t="n">
        <v>0</v>
      </c>
      <c r="S7" s="169" t="n">
        <v>0</v>
      </c>
      <c r="T7" s="169" t="n">
        <v>0</v>
      </c>
      <c r="U7" s="169" t="n">
        <v>0</v>
      </c>
      <c r="V7" s="169" t="n">
        <v>0</v>
      </c>
      <c r="W7" s="169" t="n">
        <v>0</v>
      </c>
      <c r="X7" s="169" t="n">
        <v>0</v>
      </c>
      <c r="Y7" s="169" t="n">
        <v>0</v>
      </c>
    </row>
    <row r="8" s="162">
      <c r="A8" s="7" t="inlineStr">
        <is>
          <t>1.1.4</t>
        </is>
      </c>
      <c r="B8" s="7" t="inlineStr">
        <is>
          <t>存货</t>
        </is>
      </c>
      <c r="C8" s="177">
        <f>D.4流动资金估算表!E5</f>
        <v/>
      </c>
      <c r="D8" s="177">
        <f>D.4流动资金估算表!F5</f>
        <v/>
      </c>
      <c r="E8" s="177">
        <f>D.4流动资金估算表!G5</f>
        <v/>
      </c>
      <c r="F8" s="177">
        <f>D.4流动资金估算表!H5</f>
        <v/>
      </c>
      <c r="G8" s="177">
        <f>D.4流动资金估算表!I5</f>
        <v/>
      </c>
      <c r="H8" s="177">
        <f>D.4流动资金估算表!J5</f>
        <v/>
      </c>
      <c r="I8" s="177">
        <f>'D.4流动资金估算表'!K5</f>
        <v/>
      </c>
      <c r="J8" s="177">
        <f>'D.4流动资金估算表'!L5</f>
        <v/>
      </c>
      <c r="K8" s="177">
        <f>'D.4流动资金估算表'!M5</f>
        <v/>
      </c>
      <c r="L8" s="177">
        <f>'D.4流动资金估算表'!N5</f>
        <v/>
      </c>
      <c r="M8" s="177">
        <f>'D.4流动资金估算表'!O5</f>
        <v/>
      </c>
      <c r="N8" s="177">
        <f>'D.4流动资金估算表'!P5</f>
        <v/>
      </c>
      <c r="O8" s="177">
        <f>'D.4流动资金估算表'!Q5</f>
        <v/>
      </c>
      <c r="P8" s="177">
        <f>'D.4流动资金估算表'!R5</f>
        <v/>
      </c>
      <c r="Q8" s="177">
        <f>'D.4流动资金估算表'!S5</f>
        <v/>
      </c>
      <c r="R8" s="177">
        <f>'D.4流动资金估算表'!T5</f>
        <v/>
      </c>
      <c r="S8" s="177">
        <f>'D.4流动资金估算表'!U5</f>
        <v/>
      </c>
      <c r="T8" s="177">
        <f>'D.4流动资金估算表'!V5</f>
        <v/>
      </c>
      <c r="U8" s="177">
        <f>'D.4流动资金估算表'!W5</f>
        <v/>
      </c>
      <c r="V8" s="177">
        <f>'D.4流动资金估算表'!X5</f>
        <v/>
      </c>
      <c r="W8" s="177">
        <f>'D.4流动资金估算表'!Y5</f>
        <v/>
      </c>
      <c r="X8" s="177">
        <f>'D.4流动资金估算表'!Z5</f>
        <v/>
      </c>
      <c r="Y8" s="177">
        <f>'D.4流动资金估算表'!AA5</f>
        <v/>
      </c>
    </row>
    <row r="9" s="162">
      <c r="A9" s="7" t="inlineStr">
        <is>
          <t>1.1.5</t>
        </is>
      </c>
      <c r="B9" s="7" t="inlineStr">
        <is>
          <t>其他</t>
        </is>
      </c>
      <c r="C9" s="169" t="n">
        <v>0</v>
      </c>
      <c r="D9" s="169" t="n">
        <v>0</v>
      </c>
      <c r="E9" s="169" t="n">
        <v>0</v>
      </c>
      <c r="F9" s="169" t="n">
        <v>0</v>
      </c>
      <c r="G9" s="169" t="n">
        <v>0</v>
      </c>
      <c r="H9" s="169" t="n">
        <v>0</v>
      </c>
      <c r="I9" s="169" t="n">
        <v>0</v>
      </c>
      <c r="J9" s="169" t="n">
        <v>0</v>
      </c>
      <c r="K9" s="169" t="n">
        <v>0</v>
      </c>
      <c r="L9" s="169" t="n">
        <v>0</v>
      </c>
      <c r="M9" s="169" t="n">
        <v>0</v>
      </c>
      <c r="N9" s="169" t="n">
        <v>0</v>
      </c>
      <c r="O9" s="169" t="n">
        <v>0</v>
      </c>
      <c r="P9" s="169" t="n">
        <v>0</v>
      </c>
      <c r="Q9" s="169" t="n">
        <v>0</v>
      </c>
      <c r="R9" s="169" t="n">
        <v>0</v>
      </c>
      <c r="S9" s="169" t="n">
        <v>0</v>
      </c>
      <c r="T9" s="169" t="n">
        <v>0</v>
      </c>
      <c r="U9" s="169" t="n">
        <v>0</v>
      </c>
      <c r="V9" s="169" t="n">
        <v>0</v>
      </c>
      <c r="W9" s="169" t="n">
        <v>0</v>
      </c>
      <c r="X9" s="169" t="n">
        <v>0</v>
      </c>
      <c r="Y9" s="169" t="n">
        <v>0</v>
      </c>
    </row>
    <row r="10" s="162">
      <c r="A10" s="7" t="n">
        <v>1.2</v>
      </c>
      <c r="B10" s="7" t="inlineStr">
        <is>
          <t>在建工程</t>
        </is>
      </c>
      <c r="C10" s="177">
        <f>D.2项目总投资使用计划与资金筹措表!D3</f>
        <v/>
      </c>
      <c r="D10" s="177">
        <f>D.2项目总投资使用计划与资金筹措表!E3</f>
        <v/>
      </c>
      <c r="E10" s="177">
        <f>D.2项目总投资使用计划与资金筹措表!F3</f>
        <v/>
      </c>
      <c r="F10" s="177">
        <f>D.2项目总投资使用计划与资金筹措表!G3</f>
        <v/>
      </c>
      <c r="G10" s="177">
        <f>D.2项目总投资使用计划与资金筹措表!H3</f>
        <v/>
      </c>
      <c r="H10" s="177">
        <f>D.2项目总投资使用计划与资金筹措表!I3</f>
        <v/>
      </c>
      <c r="I10" s="177">
        <f>'D.2项目总投资使用计划与资金筹措表'!J3</f>
        <v/>
      </c>
      <c r="J10" s="177">
        <f>'D.2项目总投资使用计划与资金筹措表'!K3</f>
        <v/>
      </c>
      <c r="K10" s="177">
        <f>'D.2项目总投资使用计划与资金筹措表'!L3</f>
        <v/>
      </c>
      <c r="L10" s="177">
        <f>'D.2项目总投资使用计划与资金筹措表'!M3</f>
        <v/>
      </c>
      <c r="M10" s="177">
        <f>'D.2项目总投资使用计划与资金筹措表'!N3</f>
        <v/>
      </c>
      <c r="N10" s="177">
        <f>'D.2项目总投资使用计划与资金筹措表'!O3</f>
        <v/>
      </c>
      <c r="O10" s="177">
        <f>'D.2项目总投资使用计划与资金筹措表'!P3</f>
        <v/>
      </c>
      <c r="P10" s="177">
        <f>'D.2项目总投资使用计划与资金筹措表'!Q3</f>
        <v/>
      </c>
      <c r="Q10" s="177">
        <f>'D.2项目总投资使用计划与资金筹措表'!R3</f>
        <v/>
      </c>
      <c r="R10" s="177">
        <f>'D.2项目总投资使用计划与资金筹措表'!S3</f>
        <v/>
      </c>
      <c r="S10" s="177">
        <f>'D.2项目总投资使用计划与资金筹措表'!T3</f>
        <v/>
      </c>
      <c r="T10" s="177">
        <f>'D.2项目总投资使用计划与资金筹措表'!U3</f>
        <v/>
      </c>
      <c r="U10" s="177">
        <f>'D.2项目总投资使用计划与资金筹措表'!V3</f>
        <v/>
      </c>
      <c r="V10" s="177">
        <f>'D.2项目总投资使用计划与资金筹措表'!W3</f>
        <v/>
      </c>
      <c r="W10" s="177">
        <f>'D.2项目总投资使用计划与资金筹措表'!X3</f>
        <v/>
      </c>
      <c r="X10" s="177">
        <f>'D.2项目总投资使用计划与资金筹措表'!Y3</f>
        <v/>
      </c>
      <c r="Y10" s="177">
        <f>'D.2项目总投资使用计划与资金筹措表'!Z3</f>
        <v/>
      </c>
    </row>
    <row r="11" s="162">
      <c r="A11" s="7" t="n">
        <v>1.3</v>
      </c>
      <c r="B11" s="7" t="inlineStr">
        <is>
          <t>固定资产净值</t>
        </is>
      </c>
      <c r="C11" s="180">
        <f>('E.2固定资产折旧费估算表'!F7)</f>
        <v/>
      </c>
      <c r="D11" s="180">
        <f>('E.2固定资产折旧费估算表'!G7)</f>
        <v/>
      </c>
      <c r="E11" s="180">
        <f>('E.2固定资产折旧费估算表'!H7)</f>
        <v/>
      </c>
      <c r="F11" s="180">
        <f>('E.2固定资产折旧费估算表'!I7)</f>
        <v/>
      </c>
      <c r="G11" s="180">
        <f>('E.2固定资产折旧费估算表'!J7)</f>
        <v/>
      </c>
      <c r="H11" s="180">
        <f>('E.2固定资产折旧费估算表'!K7)</f>
        <v/>
      </c>
      <c r="I11" s="180">
        <f>('E.2固定资产折旧费估算表'!L7)</f>
        <v/>
      </c>
      <c r="J11" s="180">
        <f>('E.2固定资产折旧费估算表'!M7)</f>
        <v/>
      </c>
      <c r="K11" s="180">
        <f>('E.2固定资产折旧费估算表'!N7)</f>
        <v/>
      </c>
      <c r="L11" s="180">
        <f>('E.2固定资产折旧费估算表'!O7)</f>
        <v/>
      </c>
      <c r="M11" s="180">
        <f>('E.2固定资产折旧费估算表'!P7)</f>
        <v/>
      </c>
      <c r="N11" s="180">
        <f>('E.2固定资产折旧费估算表'!Q7)</f>
        <v/>
      </c>
      <c r="O11" s="180">
        <f>('E.2固定资产折旧费估算表'!R7)</f>
        <v/>
      </c>
      <c r="P11" s="180">
        <f>('E.2固定资产折旧费估算表'!S7)</f>
        <v/>
      </c>
      <c r="Q11" s="180">
        <f>('E.2固定资产折旧费估算表'!T7)</f>
        <v/>
      </c>
      <c r="R11" s="180">
        <f>('E.2固定资产折旧费估算表'!U7)</f>
        <v/>
      </c>
      <c r="S11" s="180">
        <f>('E.2固定资产折旧费估算表'!V7)</f>
        <v/>
      </c>
      <c r="T11" s="180">
        <f>('E.2固定资产折旧费估算表'!W7)</f>
        <v/>
      </c>
      <c r="U11" s="180">
        <f>('E.2固定资产折旧费估算表'!X7)</f>
        <v/>
      </c>
      <c r="V11" s="180">
        <f>('E.2固定资产折旧费估算表'!Y7)</f>
        <v/>
      </c>
      <c r="W11" s="180">
        <f>('E.2固定资产折旧费估算表'!Z7)</f>
        <v/>
      </c>
      <c r="X11" s="180">
        <f>('E.2固定资产折旧费估算表'!AA7)</f>
        <v/>
      </c>
      <c r="Y11" s="180">
        <f>('E.2固定资产折旧费估算表'!AB7)</f>
        <v/>
      </c>
    </row>
    <row r="12" s="162">
      <c r="A12" s="7" t="n">
        <v>1.4</v>
      </c>
      <c r="B12" s="7" t="inlineStr">
        <is>
          <t>无形及其他资产净值</t>
        </is>
      </c>
      <c r="C12" s="180">
        <f>('E.3无形资产和其他资产摊销费估算表'!F25)</f>
        <v/>
      </c>
      <c r="D12" s="180">
        <f>('E.3无形资产和其他资产摊销费估算表'!G25)</f>
        <v/>
      </c>
      <c r="E12" s="180">
        <f>('E.3无形资产和其他资产摊销费估算表'!H25)</f>
        <v/>
      </c>
      <c r="F12" s="180">
        <f>('E.3无形资产和其他资产摊销费估算表'!I25)</f>
        <v/>
      </c>
      <c r="G12" s="180">
        <f>('E.3无形资产和其他资产摊销费估算表'!J25)</f>
        <v/>
      </c>
      <c r="H12" s="180">
        <f>('E.3无形资产和其他资产摊销费估算表'!K25)</f>
        <v/>
      </c>
      <c r="I12" s="180">
        <f>('E.3无形资产和其他资产摊销费估算表'!L25)</f>
        <v/>
      </c>
      <c r="J12" s="180">
        <f>('E.3无形资产和其他资产摊销费估算表'!M25)</f>
        <v/>
      </c>
      <c r="K12" s="180">
        <f>('E.3无形资产和其他资产摊销费估算表'!N25)</f>
        <v/>
      </c>
      <c r="L12" s="180">
        <f>('E.3无形资产和其他资产摊销费估算表'!O25)</f>
        <v/>
      </c>
      <c r="M12" s="180">
        <f>('E.3无形资产和其他资产摊销费估算表'!P25)</f>
        <v/>
      </c>
      <c r="N12" s="180">
        <f>('E.3无形资产和其他资产摊销费估算表'!Q25)</f>
        <v/>
      </c>
      <c r="O12" s="180">
        <f>('E.3无形资产和其他资产摊销费估算表'!R25)</f>
        <v/>
      </c>
      <c r="P12" s="180">
        <f>('E.3无形资产和其他资产摊销费估算表'!S25)</f>
        <v/>
      </c>
      <c r="Q12" s="180">
        <f>('E.3无形资产和其他资产摊销费估算表'!T25)</f>
        <v/>
      </c>
      <c r="R12" s="180">
        <f>('E.3无形资产和其他资产摊销费估算表'!U25)</f>
        <v/>
      </c>
      <c r="S12" s="180">
        <f>('E.3无形资产和其他资产摊销费估算表'!V25)</f>
        <v/>
      </c>
      <c r="T12" s="180">
        <f>('E.3无形资产和其他资产摊销费估算表'!W25)</f>
        <v/>
      </c>
      <c r="U12" s="180">
        <f>('E.3无形资产和其他资产摊销费估算表'!X25)</f>
        <v/>
      </c>
      <c r="V12" s="180">
        <f>('E.3无形资产和其他资产摊销费估算表'!Y25)</f>
        <v/>
      </c>
      <c r="W12" s="180">
        <f>('E.3无形资产和其他资产摊销费估算表'!Z25)</f>
        <v/>
      </c>
      <c r="X12" s="180">
        <f>('E.3无形资产和其他资产摊销费估算表'!AA25)</f>
        <v/>
      </c>
      <c r="Y12" s="180">
        <f>('E.3无形资产和其他资产摊销费估算表'!AB25)</f>
        <v/>
      </c>
    </row>
    <row r="13" s="162">
      <c r="A13" s="7" t="n">
        <v>2</v>
      </c>
      <c r="B13" s="7" t="inlineStr">
        <is>
          <t>负债及所有者权益(2.4+2.5)</t>
        </is>
      </c>
      <c r="C13" s="177">
        <f>C21+C22</f>
        <v/>
      </c>
      <c r="D13" s="177">
        <f>D21+D22</f>
        <v/>
      </c>
      <c r="E13" s="177">
        <f>E21+E22</f>
        <v/>
      </c>
      <c r="F13" s="177">
        <f>F21+F22</f>
        <v/>
      </c>
      <c r="G13" s="177">
        <f>G21+G22</f>
        <v/>
      </c>
      <c r="H13" s="177">
        <f>H21+H22</f>
        <v/>
      </c>
      <c r="I13" s="177">
        <f>I21+I22</f>
        <v/>
      </c>
      <c r="J13" s="177">
        <f>J21+J22</f>
        <v/>
      </c>
      <c r="K13" s="177">
        <f>K21+K22</f>
        <v/>
      </c>
      <c r="L13" s="177">
        <f>L21+L22</f>
        <v/>
      </c>
      <c r="M13" s="177">
        <f>M21+M22</f>
        <v/>
      </c>
      <c r="N13" s="177">
        <f>N21+N22</f>
        <v/>
      </c>
      <c r="O13" s="177">
        <f>O21+O22</f>
        <v/>
      </c>
      <c r="P13" s="177">
        <f>P21+P22</f>
        <v/>
      </c>
      <c r="Q13" s="177">
        <f>Q21+Q22</f>
        <v/>
      </c>
      <c r="R13" s="177">
        <f>R21+R22</f>
        <v/>
      </c>
      <c r="S13" s="177">
        <f>S21+S22</f>
        <v/>
      </c>
      <c r="T13" s="177">
        <f>T21+T22</f>
        <v/>
      </c>
      <c r="U13" s="177">
        <f>U21+U22</f>
        <v/>
      </c>
      <c r="V13" s="177">
        <f>V21+V22</f>
        <v/>
      </c>
      <c r="W13" s="177">
        <f>W21+W22</f>
        <v/>
      </c>
      <c r="X13" s="177">
        <f>X21+X22</f>
        <v/>
      </c>
      <c r="Y13" s="177">
        <f>Y21+Y22</f>
        <v/>
      </c>
    </row>
    <row r="14" s="162">
      <c r="A14" s="7" t="n">
        <v>2.1</v>
      </c>
      <c r="B14" s="7" t="inlineStr">
        <is>
          <t>流动负债总额</t>
        </is>
      </c>
      <c r="C14" s="177">
        <f>SUM(C15:C18)</f>
        <v/>
      </c>
      <c r="D14" s="177">
        <f>SUM(D15:D18)</f>
        <v/>
      </c>
      <c r="E14" s="177">
        <f>SUM(E15:E18)</f>
        <v/>
      </c>
      <c r="F14" s="177">
        <f>SUM(F15:F18)</f>
        <v/>
      </c>
      <c r="G14" s="177">
        <f>SUM(G15:G18)</f>
        <v/>
      </c>
      <c r="H14" s="177">
        <f>SUM(H15:H18)</f>
        <v/>
      </c>
      <c r="I14" s="177">
        <f>SUM(I15:I18)</f>
        <v/>
      </c>
      <c r="J14" s="177">
        <f>SUM(J15:J18)</f>
        <v/>
      </c>
      <c r="K14" s="177">
        <f>SUM(K15:K18)</f>
        <v/>
      </c>
      <c r="L14" s="177">
        <f>SUM(L15:L18)</f>
        <v/>
      </c>
      <c r="M14" s="177">
        <f>SUM(M15:M18)</f>
        <v/>
      </c>
      <c r="N14" s="177">
        <f>SUM(N15:N18)</f>
        <v/>
      </c>
      <c r="O14" s="177">
        <f>SUM(O15:O18)</f>
        <v/>
      </c>
      <c r="P14" s="177">
        <f>SUM(P15:P18)</f>
        <v/>
      </c>
      <c r="Q14" s="177">
        <f>SUM(Q15:Q18)</f>
        <v/>
      </c>
      <c r="R14" s="177">
        <f>SUM(R15:R18)</f>
        <v/>
      </c>
      <c r="S14" s="177">
        <f>SUM(S15:S18)</f>
        <v/>
      </c>
      <c r="T14" s="177">
        <f>SUM(T15:T18)</f>
        <v/>
      </c>
      <c r="U14" s="177">
        <f>SUM(U15:U18)</f>
        <v/>
      </c>
      <c r="V14" s="177">
        <f>SUM(V15:V18)</f>
        <v/>
      </c>
      <c r="W14" s="177">
        <f>SUM(W15:W18)</f>
        <v/>
      </c>
      <c r="X14" s="177">
        <f>SUM(X15:X18)</f>
        <v/>
      </c>
      <c r="Y14" s="177">
        <f>SUM(Y15:Y18)</f>
        <v/>
      </c>
    </row>
    <row r="15" s="162">
      <c r="A15" s="7" t="inlineStr">
        <is>
          <t>2.1.1</t>
        </is>
      </c>
      <c r="B15" s="7" t="inlineStr">
        <is>
          <t>短期借款</t>
        </is>
      </c>
      <c r="C15" s="169" t="n">
        <v>0</v>
      </c>
      <c r="D15" s="169" t="n">
        <v>0</v>
      </c>
      <c r="E15" s="169" t="n">
        <v>0</v>
      </c>
      <c r="F15" s="169" t="n">
        <v>0</v>
      </c>
      <c r="G15" s="169" t="n">
        <v>0</v>
      </c>
      <c r="H15" s="169" t="n">
        <v>0</v>
      </c>
      <c r="I15" s="169" t="n">
        <v>0</v>
      </c>
      <c r="J15" s="169" t="n">
        <v>0</v>
      </c>
      <c r="K15" s="169" t="n">
        <v>0</v>
      </c>
      <c r="L15" s="169" t="n">
        <v>0</v>
      </c>
      <c r="M15" s="169" t="n">
        <v>0</v>
      </c>
      <c r="N15" s="169" t="n">
        <v>0</v>
      </c>
      <c r="O15" s="169" t="n">
        <v>0</v>
      </c>
      <c r="P15" s="169" t="n">
        <v>0</v>
      </c>
      <c r="Q15" s="169" t="n">
        <v>0</v>
      </c>
      <c r="R15" s="169" t="n">
        <v>0</v>
      </c>
      <c r="S15" s="169" t="n">
        <v>0</v>
      </c>
      <c r="T15" s="169" t="n">
        <v>0</v>
      </c>
      <c r="U15" s="169" t="n">
        <v>0</v>
      </c>
      <c r="V15" s="169" t="n">
        <v>0</v>
      </c>
      <c r="W15" s="169" t="n">
        <v>0</v>
      </c>
      <c r="X15" s="169" t="n">
        <v>0</v>
      </c>
      <c r="Y15" s="169" t="n">
        <v>0</v>
      </c>
    </row>
    <row r="16" s="162">
      <c r="A16" s="7" t="inlineStr">
        <is>
          <t>2.1.2</t>
        </is>
      </c>
      <c r="B16" s="7" t="inlineStr">
        <is>
          <t>应付账款</t>
        </is>
      </c>
      <c r="C16" s="177">
        <f>D.4流动资金估算表!E12</f>
        <v/>
      </c>
      <c r="D16" s="177">
        <f>D.4流动资金估算表!F12</f>
        <v/>
      </c>
      <c r="E16" s="177">
        <f>D.4流动资金估算表!G12</f>
        <v/>
      </c>
      <c r="F16" s="177">
        <f>D.4流动资金估算表!H12</f>
        <v/>
      </c>
      <c r="G16" s="177">
        <f>D.4流动资金估算表!I12</f>
        <v/>
      </c>
      <c r="H16" s="177">
        <f>D.4流动资金估算表!J12</f>
        <v/>
      </c>
      <c r="I16" s="177">
        <f>'D.4流动资金估算表'!K12</f>
        <v/>
      </c>
      <c r="J16" s="177">
        <f>'D.4流动资金估算表'!L12</f>
        <v/>
      </c>
      <c r="K16" s="177">
        <f>'D.4流动资金估算表'!M12</f>
        <v/>
      </c>
      <c r="L16" s="177">
        <f>'D.4流动资金估算表'!N12</f>
        <v/>
      </c>
      <c r="M16" s="177">
        <f>'D.4流动资金估算表'!O12</f>
        <v/>
      </c>
      <c r="N16" s="177">
        <f>'D.4流动资金估算表'!P12</f>
        <v/>
      </c>
      <c r="O16" s="177">
        <f>'D.4流动资金估算表'!Q12</f>
        <v/>
      </c>
      <c r="P16" s="177">
        <f>'D.4流动资金估算表'!R12</f>
        <v/>
      </c>
      <c r="Q16" s="177">
        <f>'D.4流动资金估算表'!S12</f>
        <v/>
      </c>
      <c r="R16" s="177">
        <f>'D.4流动资金估算表'!T12</f>
        <v/>
      </c>
      <c r="S16" s="177">
        <f>'D.4流动资金估算表'!U12</f>
        <v/>
      </c>
      <c r="T16" s="177">
        <f>'D.4流动资金估算表'!V12</f>
        <v/>
      </c>
      <c r="U16" s="177">
        <f>'D.4流动资金估算表'!W12</f>
        <v/>
      </c>
      <c r="V16" s="177">
        <f>'D.4流动资金估算表'!X12</f>
        <v/>
      </c>
      <c r="W16" s="177">
        <f>'D.4流动资金估算表'!Y12</f>
        <v/>
      </c>
      <c r="X16" s="177">
        <f>'D.4流动资金估算表'!Z12</f>
        <v/>
      </c>
      <c r="Y16" s="177">
        <f>'D.4流动资金估算表'!AA12</f>
        <v/>
      </c>
    </row>
    <row r="17" s="162">
      <c r="A17" s="7" t="inlineStr">
        <is>
          <t>2.1.3</t>
        </is>
      </c>
      <c r="B17" s="7" t="inlineStr">
        <is>
          <t>预收账款</t>
        </is>
      </c>
      <c r="C17" s="169" t="n">
        <v>0</v>
      </c>
      <c r="D17" s="169" t="n">
        <v>0</v>
      </c>
      <c r="E17" s="169" t="n">
        <v>0</v>
      </c>
      <c r="F17" s="169" t="n">
        <v>0</v>
      </c>
      <c r="G17" s="169" t="n">
        <v>0</v>
      </c>
      <c r="H17" s="169" t="n">
        <v>0</v>
      </c>
      <c r="I17" s="169" t="n">
        <v>0</v>
      </c>
      <c r="J17" s="169" t="n">
        <v>0</v>
      </c>
      <c r="K17" s="169" t="n">
        <v>0</v>
      </c>
      <c r="L17" s="169" t="n">
        <v>0</v>
      </c>
      <c r="M17" s="169" t="n">
        <v>0</v>
      </c>
      <c r="N17" s="169" t="n">
        <v>0</v>
      </c>
      <c r="O17" s="169" t="n">
        <v>0</v>
      </c>
      <c r="P17" s="169" t="n">
        <v>0</v>
      </c>
      <c r="Q17" s="169" t="n">
        <v>0</v>
      </c>
      <c r="R17" s="169" t="n">
        <v>0</v>
      </c>
      <c r="S17" s="169" t="n">
        <v>0</v>
      </c>
      <c r="T17" s="169" t="n">
        <v>0</v>
      </c>
      <c r="U17" s="169" t="n">
        <v>0</v>
      </c>
      <c r="V17" s="169" t="n">
        <v>0</v>
      </c>
      <c r="W17" s="169" t="n">
        <v>0</v>
      </c>
      <c r="X17" s="169" t="n">
        <v>0</v>
      </c>
      <c r="Y17" s="169" t="n">
        <v>0</v>
      </c>
    </row>
    <row r="18" s="162">
      <c r="A18" s="7" t="inlineStr">
        <is>
          <t>2.1.4</t>
        </is>
      </c>
      <c r="B18" s="7" t="inlineStr">
        <is>
          <t>其他</t>
        </is>
      </c>
      <c r="C18" s="169" t="n">
        <v>0</v>
      </c>
      <c r="D18" s="169" t="n">
        <v>0</v>
      </c>
      <c r="E18" s="169" t="n">
        <v>0</v>
      </c>
      <c r="F18" s="169" t="n">
        <v>0</v>
      </c>
      <c r="G18" s="169" t="n">
        <v>0</v>
      </c>
      <c r="H18" s="169" t="n">
        <v>0</v>
      </c>
      <c r="I18" s="169" t="n">
        <v>0</v>
      </c>
      <c r="J18" s="169" t="n">
        <v>0</v>
      </c>
      <c r="K18" s="169" t="n">
        <v>0</v>
      </c>
      <c r="L18" s="169" t="n">
        <v>0</v>
      </c>
      <c r="M18" s="169" t="n">
        <v>0</v>
      </c>
      <c r="N18" s="169" t="n">
        <v>0</v>
      </c>
      <c r="O18" s="169" t="n">
        <v>0</v>
      </c>
      <c r="P18" s="169" t="n">
        <v>0</v>
      </c>
      <c r="Q18" s="169" t="n">
        <v>0</v>
      </c>
      <c r="R18" s="169" t="n">
        <v>0</v>
      </c>
      <c r="S18" s="169" t="n">
        <v>0</v>
      </c>
      <c r="T18" s="169" t="n">
        <v>0</v>
      </c>
      <c r="U18" s="169" t="n">
        <v>0</v>
      </c>
      <c r="V18" s="169" t="n">
        <v>0</v>
      </c>
      <c r="W18" s="169" t="n">
        <v>0</v>
      </c>
      <c r="X18" s="169" t="n">
        <v>0</v>
      </c>
      <c r="Y18" s="169" t="n">
        <v>0</v>
      </c>
    </row>
    <row r="19" customFormat="1" s="39">
      <c r="A19" s="43" t="n">
        <v>2.2</v>
      </c>
      <c r="B19" s="43" t="inlineStr">
        <is>
          <t>建设投资借款</t>
        </is>
      </c>
      <c r="C19" s="171">
        <f>('c借款还本付息计划表'!D35)</f>
        <v/>
      </c>
      <c r="D19" s="171">
        <f>('c借款还本付息计划表'!E35)</f>
        <v/>
      </c>
      <c r="E19" s="171">
        <f>('c借款还本付息计划表'!F35)</f>
        <v/>
      </c>
      <c r="F19" s="171">
        <f>('c借款还本付息计划表'!G35)</f>
        <v/>
      </c>
      <c r="G19" s="171">
        <f>('c借款还本付息计划表'!H35)</f>
        <v/>
      </c>
      <c r="H19" s="171">
        <f>('c借款还本付息计划表'!I35)</f>
        <v/>
      </c>
      <c r="I19" s="171">
        <f>('c借款还本付息计划表'!J35)</f>
        <v/>
      </c>
      <c r="J19" s="171">
        <f>('c借款还本付息计划表'!K35)</f>
        <v/>
      </c>
      <c r="K19" s="171">
        <f>('c借款还本付息计划表'!L35)</f>
        <v/>
      </c>
      <c r="L19" s="171">
        <f>('c借款还本付息计划表'!M35)</f>
        <v/>
      </c>
      <c r="M19" s="171">
        <f>('c借款还本付息计划表'!N35)</f>
        <v/>
      </c>
      <c r="N19" s="171">
        <f>('c借款还本付息计划表'!O35)</f>
        <v/>
      </c>
      <c r="O19" s="171">
        <f>('c借款还本付息计划表'!P35)</f>
        <v/>
      </c>
      <c r="P19" s="171">
        <f>('c借款还本付息计划表'!Q35)</f>
        <v/>
      </c>
      <c r="Q19" s="171">
        <f>('c借款还本付息计划表'!R35)</f>
        <v/>
      </c>
      <c r="R19" s="171">
        <f>('c借款还本付息计划表'!S35)</f>
        <v/>
      </c>
      <c r="S19" s="171">
        <f>('c借款还本付息计划表'!T35)</f>
        <v/>
      </c>
      <c r="T19" s="171">
        <f>('c借款还本付息计划表'!U35)</f>
        <v/>
      </c>
      <c r="U19" s="171">
        <f>('c借款还本付息计划表'!V35)</f>
        <v/>
      </c>
      <c r="V19" s="171">
        <f>('c借款还本付息计划表'!W35)</f>
        <v/>
      </c>
      <c r="W19" s="171">
        <f>('c借款还本付息计划表'!X35)</f>
        <v/>
      </c>
      <c r="X19" s="171">
        <f>('c借款还本付息计划表'!Y35)</f>
        <v/>
      </c>
      <c r="Y19" s="171">
        <f>('c借款还本付息计划表'!Z35)</f>
        <v/>
      </c>
    </row>
    <row r="20" s="162">
      <c r="A20" s="7" t="n">
        <v>2.3</v>
      </c>
      <c r="B20" s="7" t="inlineStr">
        <is>
          <t>流动资金借款</t>
        </is>
      </c>
      <c r="C20" s="177">
        <f>D.4流动资金估算表!E15</f>
        <v/>
      </c>
      <c r="D20" s="177">
        <f>D.4流动资金估算表!F15</f>
        <v/>
      </c>
      <c r="E20" s="177">
        <f>D.4流动资金估算表!G15</f>
        <v/>
      </c>
      <c r="F20" s="177">
        <f>D.4流动资金估算表!H15</f>
        <v/>
      </c>
      <c r="G20" s="177">
        <f>D.4流动资金估算表!I15</f>
        <v/>
      </c>
      <c r="H20" s="177">
        <f>D.4流动资金估算表!J15</f>
        <v/>
      </c>
      <c r="I20" s="177">
        <f>'D.4流动资金估算表'!K15</f>
        <v/>
      </c>
      <c r="J20" s="177">
        <f>'D.4流动资金估算表'!L15</f>
        <v/>
      </c>
      <c r="K20" s="177">
        <f>'D.4流动资金估算表'!M15</f>
        <v/>
      </c>
      <c r="L20" s="177">
        <f>'D.4流动资金估算表'!N15</f>
        <v/>
      </c>
      <c r="M20" s="177">
        <f>'D.4流动资金估算表'!O15</f>
        <v/>
      </c>
      <c r="N20" s="177">
        <f>'D.4流动资金估算表'!P15</f>
        <v/>
      </c>
      <c r="O20" s="177">
        <f>'D.4流动资金估算表'!Q15</f>
        <v/>
      </c>
      <c r="P20" s="177">
        <f>'D.4流动资金估算表'!R15</f>
        <v/>
      </c>
      <c r="Q20" s="177">
        <f>'D.4流动资金估算表'!S15</f>
        <v/>
      </c>
      <c r="R20" s="177">
        <f>'D.4流动资金估算表'!T15</f>
        <v/>
      </c>
      <c r="S20" s="177">
        <f>'D.4流动资金估算表'!U15</f>
        <v/>
      </c>
      <c r="T20" s="177">
        <f>'D.4流动资金估算表'!V15</f>
        <v/>
      </c>
      <c r="U20" s="177">
        <f>'D.4流动资金估算表'!W15</f>
        <v/>
      </c>
      <c r="V20" s="177">
        <f>'D.4流动资金估算表'!X15</f>
        <v/>
      </c>
      <c r="W20" s="177">
        <f>'D.4流动资金估算表'!Y15</f>
        <v/>
      </c>
      <c r="X20" s="177">
        <f>'D.4流动资金估算表'!Z15</f>
        <v/>
      </c>
      <c r="Y20" s="177">
        <f>'D.4流动资金估算表'!AA15</f>
        <v/>
      </c>
    </row>
    <row r="21" s="162">
      <c r="A21" s="7" t="n">
        <v>2.4</v>
      </c>
      <c r="B21" s="7" t="inlineStr">
        <is>
          <t>负债小计(2.1+2.2+2.3)</t>
        </is>
      </c>
      <c r="C21" s="177">
        <f>C14+C19+C20</f>
        <v/>
      </c>
      <c r="D21" s="177">
        <f>D14+D19+D20</f>
        <v/>
      </c>
      <c r="E21" s="177">
        <f>E14+E19+E20</f>
        <v/>
      </c>
      <c r="F21" s="177">
        <f>F14+F19+F20</f>
        <v/>
      </c>
      <c r="G21" s="177">
        <f>G14+G19+G20</f>
        <v/>
      </c>
      <c r="H21" s="177">
        <f>H14+H19+H20</f>
        <v/>
      </c>
      <c r="I21" s="177">
        <f>I14+I19+I20</f>
        <v/>
      </c>
      <c r="J21" s="177">
        <f>J14+J19+J20</f>
        <v/>
      </c>
      <c r="K21" s="177">
        <f>K14+K19+K20</f>
        <v/>
      </c>
      <c r="L21" s="177">
        <f>L14+L19+L20</f>
        <v/>
      </c>
      <c r="M21" s="177">
        <f>M14+M19+M20</f>
        <v/>
      </c>
      <c r="N21" s="177">
        <f>N14+N19+N20</f>
        <v/>
      </c>
      <c r="O21" s="177">
        <f>O14+O19+O20</f>
        <v/>
      </c>
      <c r="P21" s="177">
        <f>P14+P19+P20</f>
        <v/>
      </c>
      <c r="Q21" s="177">
        <f>Q14+Q19+Q20</f>
        <v/>
      </c>
      <c r="R21" s="177">
        <f>R14+R19+R20</f>
        <v/>
      </c>
      <c r="S21" s="177">
        <f>S14+S19+S20</f>
        <v/>
      </c>
      <c r="T21" s="177">
        <f>T14+T19+T20</f>
        <v/>
      </c>
      <c r="U21" s="177">
        <f>U14+U19+U20</f>
        <v/>
      </c>
      <c r="V21" s="177">
        <f>V14+V19+V20</f>
        <v/>
      </c>
      <c r="W21" s="177">
        <f>W14+W19+W20</f>
        <v/>
      </c>
      <c r="X21" s="177">
        <f>X14+X19+X20</f>
        <v/>
      </c>
      <c r="Y21" s="177">
        <f>Y14+Y19+Y20</f>
        <v/>
      </c>
    </row>
    <row r="22" s="162">
      <c r="A22" s="7" t="n">
        <v>2.5</v>
      </c>
      <c r="B22" s="7" t="inlineStr">
        <is>
          <t>所有者权益</t>
        </is>
      </c>
      <c r="C22" s="177">
        <f>SUM(C23:C26)</f>
        <v/>
      </c>
      <c r="D22" s="177">
        <f>SUM(D23:D26)</f>
        <v/>
      </c>
      <c r="E22" s="177">
        <f>SUM(E23:E26)</f>
        <v/>
      </c>
      <c r="F22" s="177">
        <f>SUM(F23:F26)</f>
        <v/>
      </c>
      <c r="G22" s="177">
        <f>SUM(G23:G26)</f>
        <v/>
      </c>
      <c r="H22" s="177">
        <f>SUM(H23:H26)</f>
        <v/>
      </c>
      <c r="I22" s="177">
        <f>SUM(I23:I26)</f>
        <v/>
      </c>
      <c r="J22" s="177">
        <f>SUM(J23:J26)</f>
        <v/>
      </c>
      <c r="K22" s="177">
        <f>SUM(K23:K26)</f>
        <v/>
      </c>
      <c r="L22" s="177">
        <f>SUM(L23:L26)</f>
        <v/>
      </c>
      <c r="M22" s="177">
        <f>SUM(M23:M26)</f>
        <v/>
      </c>
      <c r="N22" s="177">
        <f>SUM(N23:N26)</f>
        <v/>
      </c>
      <c r="O22" s="177">
        <f>SUM(O23:O26)</f>
        <v/>
      </c>
      <c r="P22" s="177">
        <f>SUM(P23:P26)</f>
        <v/>
      </c>
      <c r="Q22" s="177">
        <f>SUM(Q23:Q26)</f>
        <v/>
      </c>
      <c r="R22" s="177">
        <f>SUM(R23:R26)</f>
        <v/>
      </c>
      <c r="S22" s="177">
        <f>SUM(S23:S26)</f>
        <v/>
      </c>
      <c r="T22" s="177">
        <f>SUM(T23:T26)</f>
        <v/>
      </c>
      <c r="U22" s="177">
        <f>SUM(U23:U26)</f>
        <v/>
      </c>
      <c r="V22" s="177">
        <f>SUM(V23:V26)</f>
        <v/>
      </c>
      <c r="W22" s="177">
        <f>SUM(W23:W26)</f>
        <v/>
      </c>
      <c r="X22" s="177">
        <f>SUM(X23:X26)</f>
        <v/>
      </c>
      <c r="Y22" s="177">
        <f>SUM(Y23:Y26)</f>
        <v/>
      </c>
    </row>
    <row r="23" s="162">
      <c r="A23" s="7" t="inlineStr">
        <is>
          <t>2.5.1</t>
        </is>
      </c>
      <c r="B23" s="7" t="inlineStr">
        <is>
          <t>资本金</t>
        </is>
      </c>
      <c r="C23" s="177">
        <f>D.2项目总投资使用计划与资金筹措表!D8</f>
        <v/>
      </c>
      <c r="D23" s="177">
        <f>D.2项目总投资使用计划与资金筹措表!E8</f>
        <v/>
      </c>
      <c r="E23" s="177">
        <f>D.2项目总投资使用计划与资金筹措表!F8</f>
        <v/>
      </c>
      <c r="F23" s="177">
        <f>D.2项目总投资使用计划与资金筹措表!G8</f>
        <v/>
      </c>
      <c r="G23" s="177">
        <f>D.2项目总投资使用计划与资金筹措表!H8</f>
        <v/>
      </c>
      <c r="H23" s="177">
        <f>D.2项目总投资使用计划与资金筹措表!I8</f>
        <v/>
      </c>
      <c r="I23" s="177">
        <f>'D.2项目总投资使用计划与资金筹措表'!J8</f>
        <v/>
      </c>
      <c r="J23" s="177">
        <f>'D.2项目总投资使用计划与资金筹措表'!K8</f>
        <v/>
      </c>
      <c r="K23" s="177">
        <f>'D.2项目总投资使用计划与资金筹措表'!L8</f>
        <v/>
      </c>
      <c r="L23" s="177">
        <f>'D.2项目总投资使用计划与资金筹措表'!M8</f>
        <v/>
      </c>
      <c r="M23" s="177">
        <f>'D.2项目总投资使用计划与资金筹措表'!N8</f>
        <v/>
      </c>
      <c r="N23" s="177">
        <f>'D.2项目总投资使用计划与资金筹措表'!O8</f>
        <v/>
      </c>
      <c r="O23" s="177">
        <f>'D.2项目总投资使用计划与资金筹措表'!P8</f>
        <v/>
      </c>
      <c r="P23" s="177">
        <f>'D.2项目总投资使用计划与资金筹措表'!Q8</f>
        <v/>
      </c>
      <c r="Q23" s="177">
        <f>'D.2项目总投资使用计划与资金筹措表'!R8</f>
        <v/>
      </c>
      <c r="R23" s="177">
        <f>'D.2项目总投资使用计划与资金筹措表'!S8</f>
        <v/>
      </c>
      <c r="S23" s="177">
        <f>'D.2项目总投资使用计划与资金筹措表'!T8</f>
        <v/>
      </c>
      <c r="T23" s="177">
        <f>'D.2项目总投资使用计划与资金筹措表'!U8</f>
        <v/>
      </c>
      <c r="U23" s="177">
        <f>'D.2项目总投资使用计划与资金筹措表'!V8</f>
        <v/>
      </c>
      <c r="V23" s="177">
        <f>'D.2项目总投资使用计划与资金筹措表'!W8</f>
        <v/>
      </c>
      <c r="W23" s="177">
        <f>'D.2项目总投资使用计划与资金筹措表'!X8</f>
        <v/>
      </c>
      <c r="X23" s="177">
        <f>'D.2项目总投资使用计划与资金筹措表'!Y8</f>
        <v/>
      </c>
      <c r="Y23" s="177">
        <f>'D.2项目总投资使用计划与资金筹措表'!Z8</f>
        <v/>
      </c>
    </row>
    <row r="24" s="162">
      <c r="A24" s="7" t="inlineStr">
        <is>
          <t>2.5.2</t>
        </is>
      </c>
      <c r="B24" s="7" t="inlineStr">
        <is>
          <t>资本公积</t>
        </is>
      </c>
      <c r="C24" s="177">
        <f>'b利润与利润分配表（损益和利润分配表）'!D15</f>
        <v/>
      </c>
      <c r="D24" s="177">
        <f>'b利润与利润分配表（损益和利润分配表）'!E15</f>
        <v/>
      </c>
      <c r="E24" s="177">
        <f>'b利润与利润分配表（损益和利润分配表）'!F15</f>
        <v/>
      </c>
      <c r="F24" s="177">
        <f>'b利润与利润分配表（损益和利润分配表）'!G15</f>
        <v/>
      </c>
      <c r="G24" s="177">
        <f>'b利润与利润分配表（损益和利润分配表）'!H15</f>
        <v/>
      </c>
      <c r="H24" s="177">
        <f>'b利润与利润分配表（损益和利润分配表）'!I15</f>
        <v/>
      </c>
      <c r="I24" s="177">
        <f>'b利润与利润分配表（损益和利润分配表）'!J15</f>
        <v/>
      </c>
      <c r="J24" s="177">
        <f>'b利润与利润分配表（损益和利润分配表）'!K15</f>
        <v/>
      </c>
      <c r="K24" s="177">
        <f>'b利润与利润分配表（损益和利润分配表）'!L15</f>
        <v/>
      </c>
      <c r="L24" s="177">
        <f>'b利润与利润分配表（损益和利润分配表）'!M15</f>
        <v/>
      </c>
      <c r="M24" s="177">
        <f>'b利润与利润分配表（损益和利润分配表）'!N15</f>
        <v/>
      </c>
      <c r="N24" s="177">
        <f>'b利润与利润分配表（损益和利润分配表）'!O15</f>
        <v/>
      </c>
      <c r="O24" s="177">
        <f>'b利润与利润分配表（损益和利润分配表）'!P15</f>
        <v/>
      </c>
      <c r="P24" s="177">
        <f>'b利润与利润分配表（损益和利润分配表）'!Q15</f>
        <v/>
      </c>
      <c r="Q24" s="177">
        <f>'b利润与利润分配表（损益和利润分配表）'!R15</f>
        <v/>
      </c>
      <c r="R24" s="177">
        <f>'b利润与利润分配表（损益和利润分配表）'!S15</f>
        <v/>
      </c>
      <c r="S24" s="177">
        <f>'b利润与利润分配表（损益和利润分配表）'!T15</f>
        <v/>
      </c>
      <c r="T24" s="177">
        <f>'b利润与利润分配表（损益和利润分配表）'!U15</f>
        <v/>
      </c>
      <c r="U24" s="177">
        <f>'b利润与利润分配表（损益和利润分配表）'!V15</f>
        <v/>
      </c>
      <c r="V24" s="177">
        <f>'b利润与利润分配表（损益和利润分配表）'!W15</f>
        <v/>
      </c>
      <c r="W24" s="177">
        <f>'b利润与利润分配表（损益和利润分配表）'!X15</f>
        <v/>
      </c>
      <c r="X24" s="177">
        <f>'b利润与利润分配表（损益和利润分配表）'!Y15</f>
        <v/>
      </c>
      <c r="Y24" s="177">
        <f>'b利润与利润分配表（损益和利润分配表）'!Z15</f>
        <v/>
      </c>
    </row>
    <row r="25" s="162">
      <c r="A25" s="7" t="inlineStr">
        <is>
          <t>2.5.3</t>
        </is>
      </c>
      <c r="B25" s="7" t="inlineStr">
        <is>
          <t>累计盈余公积金</t>
        </is>
      </c>
      <c r="C25" s="177">
        <f>'b利润与利润分配表（损益和利润分配表）'!D18</f>
        <v/>
      </c>
      <c r="D25" s="177">
        <f>'b利润与利润分配表（损益和利润分配表）'!E18</f>
        <v/>
      </c>
      <c r="E25" s="177">
        <f>'b利润与利润分配表（损益和利润分配表）'!F18</f>
        <v/>
      </c>
      <c r="F25" s="177">
        <f>'b利润与利润分配表（损益和利润分配表）'!G18</f>
        <v/>
      </c>
      <c r="G25" s="177">
        <f>'b利润与利润分配表（损益和利润分配表）'!H18</f>
        <v/>
      </c>
      <c r="H25" s="177">
        <f>'b利润与利润分配表（损益和利润分配表）'!I18</f>
        <v/>
      </c>
      <c r="I25" s="177">
        <f>'b利润与利润分配表（损益和利润分配表）'!J18</f>
        <v/>
      </c>
      <c r="J25" s="177">
        <f>'b利润与利润分配表（损益和利润分配表）'!K18</f>
        <v/>
      </c>
      <c r="K25" s="177">
        <f>'b利润与利润分配表（损益和利润分配表）'!L18</f>
        <v/>
      </c>
      <c r="L25" s="177">
        <f>'b利润与利润分配表（损益和利润分配表）'!M18</f>
        <v/>
      </c>
      <c r="M25" s="177">
        <f>'b利润与利润分配表（损益和利润分配表）'!N18</f>
        <v/>
      </c>
      <c r="N25" s="177">
        <f>'b利润与利润分配表（损益和利润分配表）'!O18</f>
        <v/>
      </c>
      <c r="O25" s="177">
        <f>'b利润与利润分配表（损益和利润分配表）'!P18</f>
        <v/>
      </c>
      <c r="P25" s="177">
        <f>'b利润与利润分配表（损益和利润分配表）'!Q18</f>
        <v/>
      </c>
      <c r="Q25" s="177">
        <f>'b利润与利润分配表（损益和利润分配表）'!R18</f>
        <v/>
      </c>
      <c r="R25" s="177">
        <f>'b利润与利润分配表（损益和利润分配表）'!S18</f>
        <v/>
      </c>
      <c r="S25" s="177">
        <f>'b利润与利润分配表（损益和利润分配表）'!T18</f>
        <v/>
      </c>
      <c r="T25" s="177">
        <f>'b利润与利润分配表（损益和利润分配表）'!U18</f>
        <v/>
      </c>
      <c r="U25" s="177">
        <f>'b利润与利润分配表（损益和利润分配表）'!V18</f>
        <v/>
      </c>
      <c r="V25" s="177">
        <f>'b利润与利润分配表（损益和利润分配表）'!W18</f>
        <v/>
      </c>
      <c r="W25" s="177">
        <f>'b利润与利润分配表（损益和利润分配表）'!X18</f>
        <v/>
      </c>
      <c r="X25" s="177">
        <f>'b利润与利润分配表（损益和利润分配表）'!Y18</f>
        <v/>
      </c>
      <c r="Y25" s="177">
        <f>'b利润与利润分配表（损益和利润分配表）'!Z18</f>
        <v/>
      </c>
    </row>
    <row r="26" s="162">
      <c r="A26" s="7" t="inlineStr">
        <is>
          <t>2.5.4</t>
        </is>
      </c>
      <c r="B26" s="7" t="inlineStr">
        <is>
          <t>累计未分配利润</t>
        </is>
      </c>
      <c r="C26" s="177">
        <f>'b利润与利润分配表（损益和利润分配表）'!D24</f>
        <v/>
      </c>
      <c r="D26" s="177">
        <f>'b利润与利润分配表（损益和利润分配表）'!E24</f>
        <v/>
      </c>
      <c r="E26" s="177">
        <f>'b利润与利润分配表（损益和利润分配表）'!F24</f>
        <v/>
      </c>
      <c r="F26" s="177">
        <f>'b利润与利润分配表（损益和利润分配表）'!G24</f>
        <v/>
      </c>
      <c r="G26" s="177">
        <f>'b利润与利润分配表（损益和利润分配表）'!H24</f>
        <v/>
      </c>
      <c r="H26" s="177">
        <f>'b利润与利润分配表（损益和利润分配表）'!I24</f>
        <v/>
      </c>
      <c r="I26" s="177">
        <f>'b利润与利润分配表（损益和利润分配表）'!J24</f>
        <v/>
      </c>
      <c r="J26" s="177">
        <f>'b利润与利润分配表（损益和利润分配表）'!K24</f>
        <v/>
      </c>
      <c r="K26" s="177">
        <f>'b利润与利润分配表（损益和利润分配表）'!L24</f>
        <v/>
      </c>
      <c r="L26" s="177">
        <f>'b利润与利润分配表（损益和利润分配表）'!M24</f>
        <v/>
      </c>
      <c r="M26" s="177">
        <f>'b利润与利润分配表（损益和利润分配表）'!N24</f>
        <v/>
      </c>
      <c r="N26" s="177">
        <f>'b利润与利润分配表（损益和利润分配表）'!O24</f>
        <v/>
      </c>
      <c r="O26" s="177">
        <f>'b利润与利润分配表（损益和利润分配表）'!P24</f>
        <v/>
      </c>
      <c r="P26" s="177">
        <f>'b利润与利润分配表（损益和利润分配表）'!Q24</f>
        <v/>
      </c>
      <c r="Q26" s="177">
        <f>'b利润与利润分配表（损益和利润分配表）'!R24</f>
        <v/>
      </c>
      <c r="R26" s="177">
        <f>'b利润与利润分配表（损益和利润分配表）'!S24</f>
        <v/>
      </c>
      <c r="S26" s="177">
        <f>'b利润与利润分配表（损益和利润分配表）'!T24</f>
        <v/>
      </c>
      <c r="T26" s="177">
        <f>'b利润与利润分配表（损益和利润分配表）'!U24</f>
        <v/>
      </c>
      <c r="U26" s="177">
        <f>'b利润与利润分配表（损益和利润分配表）'!V24</f>
        <v/>
      </c>
      <c r="V26" s="177">
        <f>'b利润与利润分配表（损益和利润分配表）'!W24</f>
        <v/>
      </c>
      <c r="W26" s="177">
        <f>'b利润与利润分配表（损益和利润分配表）'!X24</f>
        <v/>
      </c>
      <c r="X26" s="177">
        <f>'b利润与利润分配表（损益和利润分配表）'!Y24</f>
        <v/>
      </c>
      <c r="Y26" s="177">
        <f>'b利润与利润分配表（损益和利润分配表）'!Z24</f>
        <v/>
      </c>
    </row>
    <row r="27" s="162">
      <c r="A27" s="44" t="inlineStr">
        <is>
          <t>计算指标：资产负债率</t>
        </is>
      </c>
      <c r="B27" s="168" t="n"/>
      <c r="C27" s="27">
        <f>C21/C3</f>
        <v/>
      </c>
      <c r="D27" s="27">
        <f>D21/D3</f>
        <v/>
      </c>
      <c r="E27" s="27">
        <f>E21/E3</f>
        <v/>
      </c>
      <c r="F27" s="27">
        <f>F21/F3</f>
        <v/>
      </c>
      <c r="G27" s="27">
        <f>G21/G3</f>
        <v/>
      </c>
      <c r="H27" s="27">
        <f>H21/H3</f>
        <v/>
      </c>
      <c r="I27" s="27">
        <f>I21/I3</f>
        <v/>
      </c>
      <c r="J27" s="27">
        <f>J21/J3</f>
        <v/>
      </c>
      <c r="K27" s="27">
        <f>K21/K3</f>
        <v/>
      </c>
      <c r="L27" s="27">
        <f>L21/L3</f>
        <v/>
      </c>
      <c r="M27" s="27">
        <f>M21/M3</f>
        <v/>
      </c>
      <c r="N27" s="27">
        <f>N21/N3</f>
        <v/>
      </c>
      <c r="O27" s="27">
        <f>O21/O3</f>
        <v/>
      </c>
      <c r="P27" s="27">
        <f>P21/P3</f>
        <v/>
      </c>
      <c r="Q27" s="27">
        <f>Q21/Q3</f>
        <v/>
      </c>
      <c r="R27" s="27">
        <f>R21/R3</f>
        <v/>
      </c>
      <c r="S27" s="27">
        <f>S21/S3</f>
        <v/>
      </c>
      <c r="T27" s="27">
        <f>T21/T3</f>
        <v/>
      </c>
      <c r="U27" s="27">
        <f>U21/U3</f>
        <v/>
      </c>
      <c r="V27" s="27">
        <f>V21/V3</f>
        <v/>
      </c>
      <c r="W27" s="27">
        <f>W21/W3</f>
        <v/>
      </c>
      <c r="X27" s="27">
        <f>X21/X3</f>
        <v/>
      </c>
      <c r="Y27" s="27">
        <f>Y21/Y3</f>
        <v/>
      </c>
    </row>
  </sheetData>
  <mergeCells count="2">
    <mergeCell ref="A27:B27"/>
    <mergeCell ref="A1:H1"/>
  </mergeCells>
  <pageMargins left="0.75" right="0.75" top="1" bottom="1" header="0.5" footer="0.5"/>
</worksheet>
</file>

<file path=xl/worksheets/sheet27.xml><?xml version="1.0" encoding="utf-8"?>
<worksheet xmlns="http://schemas.openxmlformats.org/spreadsheetml/2006/main">
  <sheetPr codeName="Sheet27">
    <tabColor rgb="FFFFC000"/>
    <outlinePr summaryBelow="1" summaryRight="1"/>
    <pageSetUpPr/>
  </sheetPr>
  <dimension ref="A1:G4"/>
  <sheetViews>
    <sheetView workbookViewId="0">
      <selection activeCell="E7" sqref="E7"/>
    </sheetView>
  </sheetViews>
  <sheetFormatPr baseColWidth="8" defaultColWidth="14.7818181818182" defaultRowHeight="28.05" customHeight="1" outlineLevelRow="3"/>
  <cols>
    <col width="20.2181818181818" customWidth="1" style="162" min="1" max="1"/>
    <col width="14.7818181818182" customWidth="1" style="162" min="2" max="2"/>
    <col width="17.7818181818182" customWidth="1" style="162" min="3" max="3"/>
    <col width="14.7818181818182" customWidth="1" style="162" min="4" max="4"/>
  </cols>
  <sheetData>
    <row r="1" s="162">
      <c r="A1" s="1" t="inlineStr">
        <is>
          <t>Ⅰ项目投资估算构成表</t>
        </is>
      </c>
      <c r="B1" s="167" t="n"/>
      <c r="C1" s="167" t="n"/>
      <c r="D1" s="167" t="n"/>
      <c r="E1" s="167" t="n"/>
      <c r="F1" s="167" t="n"/>
      <c r="G1" s="168" t="n"/>
    </row>
    <row r="2" s="162">
      <c r="A2" s="2" t="inlineStr">
        <is>
          <t>投资构成类别</t>
        </is>
      </c>
      <c r="B2" s="2" t="inlineStr">
        <is>
          <t>工程费用</t>
        </is>
      </c>
      <c r="C2" s="2" t="inlineStr">
        <is>
          <t>工程建设其他费用</t>
        </is>
      </c>
      <c r="D2" s="2" t="inlineStr">
        <is>
          <t>预备费用</t>
        </is>
      </c>
      <c r="E2" s="2" t="inlineStr">
        <is>
          <t>建设期利息</t>
        </is>
      </c>
      <c r="F2" s="2" t="inlineStr">
        <is>
          <t>流动资金</t>
        </is>
      </c>
      <c r="G2" s="2" t="inlineStr">
        <is>
          <t>合计</t>
        </is>
      </c>
    </row>
    <row r="3" s="162">
      <c r="A3" s="7" t="inlineStr">
        <is>
          <t>投资估算金额（万元）</t>
        </is>
      </c>
      <c r="B3" s="179">
        <f>D.3建设投资分年计划表!D3</f>
        <v/>
      </c>
      <c r="C3" s="179">
        <f>D.3建设投资分年计划表!D13</f>
        <v/>
      </c>
      <c r="D3" s="179">
        <f>D.3建设投资分年计划表!D19</f>
        <v/>
      </c>
      <c r="E3" s="179">
        <f>D.2项目总投资使用计划与资金筹措表!C5</f>
        <v/>
      </c>
      <c r="F3" s="179">
        <f>D.2项目总投资使用计划与资金筹措表!C6</f>
        <v/>
      </c>
      <c r="G3" s="179">
        <f>SUM(B3:F3)</f>
        <v/>
      </c>
    </row>
    <row r="4" s="162">
      <c r="A4" s="7" t="inlineStr">
        <is>
          <t>占比</t>
        </is>
      </c>
      <c r="B4" s="27">
        <f>B3/$G$3</f>
        <v/>
      </c>
      <c r="C4" s="27">
        <f>C3/$G$3</f>
        <v/>
      </c>
      <c r="D4" s="27">
        <f>D3/$G$3</f>
        <v/>
      </c>
      <c r="E4" s="27">
        <f>E3/$G$3</f>
        <v/>
      </c>
      <c r="F4" s="27">
        <f>F3/$G$3</f>
        <v/>
      </c>
      <c r="G4" s="27" t="inlineStr">
        <is>
          <t>/</t>
        </is>
      </c>
    </row>
  </sheetData>
  <mergeCells count="1">
    <mergeCell ref="A1:G1"/>
  </mergeCells>
  <pageMargins left="0.75" right="0.75" top="1" bottom="1" header="0.5" footer="0.5"/>
</worksheet>
</file>

<file path=xl/worksheets/sheet28.xml><?xml version="1.0" encoding="utf-8"?>
<worksheet xmlns="http://schemas.openxmlformats.org/spreadsheetml/2006/main">
  <sheetPr codeName="Sheet28">
    <tabColor rgb="FFFFC000"/>
    <outlinePr summaryBelow="1" summaryRight="1"/>
    <pageSetUpPr/>
  </sheetPr>
  <dimension ref="A1:G10"/>
  <sheetViews>
    <sheetView workbookViewId="0">
      <selection activeCell="G1" sqref="G1"/>
    </sheetView>
  </sheetViews>
  <sheetFormatPr baseColWidth="8" defaultColWidth="14.7818181818182" defaultRowHeight="28.05" customHeight="1"/>
  <cols>
    <col width="22" customWidth="1" style="162" min="1" max="1"/>
    <col width="15.6636363636364" customWidth="1" style="162" min="2" max="2"/>
  </cols>
  <sheetData>
    <row r="1" s="162">
      <c r="A1" s="1" t="inlineStr">
        <is>
          <t>Ⅱ项目分年度资金筹措计划表（万元）</t>
        </is>
      </c>
      <c r="B1" s="167" t="n"/>
      <c r="C1" s="167" t="n"/>
      <c r="D1" s="167" t="n"/>
      <c r="E1" s="167" t="n"/>
      <c r="F1" s="168" t="n"/>
      <c r="G1" s="35" t="inlineStr">
        <is>
          <t>注：此表依据D.2自行填写，一般财政预算资金和单位自有资金二选一</t>
        </is>
      </c>
    </row>
    <row r="2" s="162">
      <c r="A2" s="2" t="inlineStr">
        <is>
          <t>资金来源类型</t>
        </is>
      </c>
      <c r="B2" s="36" t="n">
        <v>2025</v>
      </c>
      <c r="C2" s="36" t="n">
        <v>2026</v>
      </c>
      <c r="D2" s="36" t="n">
        <v>2027</v>
      </c>
      <c r="E2" s="2" t="inlineStr">
        <is>
          <t>合计</t>
        </is>
      </c>
      <c r="F2" s="2" t="inlineStr">
        <is>
          <t>各类型占比</t>
        </is>
      </c>
    </row>
    <row r="3" s="162">
      <c r="A3" s="7" t="inlineStr">
        <is>
          <t>财政预算资金</t>
        </is>
      </c>
      <c r="B3" s="196" t="n"/>
      <c r="C3" s="196" t="n"/>
      <c r="D3" s="196" t="n"/>
      <c r="E3" s="179">
        <f>SUM(B3:D3)</f>
        <v/>
      </c>
      <c r="F3" s="27">
        <f>E3/E9</f>
        <v/>
      </c>
    </row>
    <row r="4" s="162">
      <c r="A4" s="7" t="inlineStr">
        <is>
          <t>单位自有资金</t>
        </is>
      </c>
      <c r="B4" s="177" t="n"/>
      <c r="C4" s="177" t="n"/>
      <c r="D4" s="177" t="n"/>
      <c r="E4" s="177">
        <f>SUM(B4:D4)</f>
        <v/>
      </c>
      <c r="F4" s="27">
        <f>E4/E9</f>
        <v/>
      </c>
    </row>
    <row r="5" ht="39" customHeight="1" s="162">
      <c r="A5" s="92" t="inlineStr">
        <is>
          <t>专项债券
（用作项目资本金）</t>
        </is>
      </c>
      <c r="B5" s="196" t="n"/>
      <c r="C5" s="196" t="n"/>
      <c r="D5" s="196" t="n"/>
      <c r="E5" s="179">
        <f>SUM(B5:D5)</f>
        <v/>
      </c>
      <c r="F5" s="27">
        <f>E5/E9</f>
        <v/>
      </c>
    </row>
    <row r="6" ht="39" customHeight="1" s="162">
      <c r="A6" s="92" t="inlineStr">
        <is>
          <t>专项债券
（不用做项目资本金）</t>
        </is>
      </c>
      <c r="B6" s="179" t="n"/>
      <c r="C6" s="179" t="n"/>
      <c r="D6" s="179" t="n"/>
      <c r="E6" s="179">
        <f>SUM(B6:D6)</f>
        <v/>
      </c>
      <c r="F6" s="27">
        <f>E6/E9</f>
        <v/>
      </c>
    </row>
    <row r="7" s="162">
      <c r="A7" s="7" t="inlineStr">
        <is>
          <t>银行贷款</t>
        </is>
      </c>
      <c r="B7" s="196" t="n"/>
      <c r="C7" s="196" t="n"/>
      <c r="D7" s="196" t="n"/>
      <c r="E7" s="179">
        <f>SUM(B7:D7)</f>
        <v/>
      </c>
      <c r="F7" s="27">
        <f>E7/E9</f>
        <v/>
      </c>
    </row>
    <row r="8" s="162">
      <c r="A8" s="7" t="inlineStr">
        <is>
          <t>其他来源资金</t>
        </is>
      </c>
      <c r="B8" s="196" t="n"/>
      <c r="C8" s="196" t="n"/>
      <c r="D8" s="196" t="n"/>
      <c r="E8" s="179">
        <f>SUM(B8:D8)</f>
        <v/>
      </c>
      <c r="F8" s="27">
        <f>E8/E9</f>
        <v/>
      </c>
    </row>
    <row r="9" s="162">
      <c r="A9" s="7" t="inlineStr">
        <is>
          <t>合计</t>
        </is>
      </c>
      <c r="B9" s="179">
        <f>SUM(B3:B8)</f>
        <v/>
      </c>
      <c r="C9" s="179">
        <f>SUM(C3:C8)</f>
        <v/>
      </c>
      <c r="D9" s="179">
        <f>SUM(D3:D8)</f>
        <v/>
      </c>
      <c r="E9" s="179">
        <f>SUM(E3:E8)</f>
        <v/>
      </c>
      <c r="F9" s="7" t="inlineStr">
        <is>
          <t>/</t>
        </is>
      </c>
    </row>
    <row r="10" s="162">
      <c r="A10" s="7" t="inlineStr">
        <is>
          <t>分年度占比</t>
        </is>
      </c>
      <c r="B10" s="27">
        <f>B9/E9</f>
        <v/>
      </c>
      <c r="C10" s="27">
        <f>C9/E9</f>
        <v/>
      </c>
      <c r="D10" s="27">
        <f>D9/E9</f>
        <v/>
      </c>
      <c r="E10" s="7" t="inlineStr">
        <is>
          <t>/</t>
        </is>
      </c>
      <c r="F10" s="7" t="inlineStr">
        <is>
          <t>/</t>
        </is>
      </c>
    </row>
  </sheetData>
  <mergeCells count="1">
    <mergeCell ref="A1:F1"/>
  </mergeCells>
  <pageMargins left="0.75" right="0.75" top="1" bottom="1" header="0.5" footer="0.5"/>
</worksheet>
</file>

<file path=xl/worksheets/sheet29.xml><?xml version="1.0" encoding="utf-8"?>
<worksheet xmlns="http://schemas.openxmlformats.org/spreadsheetml/2006/main">
  <sheetPr codeName="Sheet29">
    <tabColor rgb="FFFFC000"/>
    <outlinePr summaryBelow="1" summaryRight="1"/>
    <pageSetUpPr/>
  </sheetPr>
  <dimension ref="A1:X6"/>
  <sheetViews>
    <sheetView workbookViewId="0">
      <pane xSplit="1" ySplit="3" topLeftCell="B4" activePane="bottomRight" state="frozen"/>
      <selection activeCell="A1" sqref="A1"/>
      <selection pane="topRight" activeCell="A1" sqref="A1"/>
      <selection pane="bottomLeft" activeCell="A1" sqref="A1"/>
      <selection pane="bottomRight" activeCell="A9" sqref="A9"/>
    </sheetView>
  </sheetViews>
  <sheetFormatPr baseColWidth="8" defaultColWidth="15.7818181818182" defaultRowHeight="28.05" customHeight="1" outlineLevelRow="5"/>
  <cols>
    <col width="15.7818181818182" customWidth="1" style="162" min="1" max="1"/>
    <col width="6.44545454545455" customWidth="1" style="162" min="2" max="2"/>
    <col width="8.78181818181818" customWidth="1" style="162" min="3" max="24"/>
  </cols>
  <sheetData>
    <row r="1" s="162">
      <c r="A1" s="29" t="inlineStr">
        <is>
          <t>Ⅲ项目分年度收入合计表（经营性收入+补贴收入）（万元）</t>
        </is>
      </c>
      <c r="B1" s="30" t="n"/>
      <c r="C1" s="30" t="n"/>
      <c r="D1" s="30" t="n"/>
      <c r="E1" s="30" t="n"/>
      <c r="F1" s="30" t="n"/>
      <c r="G1" s="30" t="n"/>
    </row>
    <row r="2" s="162">
      <c r="A2" s="2" t="inlineStr">
        <is>
          <t>收入类型</t>
        </is>
      </c>
      <c r="B2" s="31" t="inlineStr">
        <is>
          <t>分年收入</t>
        </is>
      </c>
      <c r="C2" s="32" t="n"/>
      <c r="D2" s="32" t="n"/>
      <c r="E2" s="32" t="n"/>
      <c r="F2" s="32" t="n"/>
      <c r="G2" s="32" t="n"/>
    </row>
    <row r="3" s="162">
      <c r="A3" s="164" t="n"/>
      <c r="B3" s="33" t="n">
        <v>2025</v>
      </c>
      <c r="C3" s="33" t="n">
        <v>2026</v>
      </c>
      <c r="D3" s="33" t="n">
        <v>2027</v>
      </c>
      <c r="E3" s="33" t="n">
        <v>2028</v>
      </c>
      <c r="F3" s="33" t="n">
        <v>2029</v>
      </c>
      <c r="G3" s="33" t="n">
        <v>2030</v>
      </c>
      <c r="H3" s="217" t="n">
        <v>2031</v>
      </c>
      <c r="I3" s="217" t="n">
        <v>2032</v>
      </c>
      <c r="J3" s="217" t="n">
        <v>2033</v>
      </c>
      <c r="K3" s="217" t="n">
        <v>2034</v>
      </c>
      <c r="L3" s="217" t="n">
        <v>2035</v>
      </c>
      <c r="M3" s="217" t="n">
        <v>2036</v>
      </c>
      <c r="N3" s="217" t="n">
        <v>2037</v>
      </c>
      <c r="O3" s="217" t="n">
        <v>2038</v>
      </c>
      <c r="P3" s="217" t="n">
        <v>2039</v>
      </c>
      <c r="Q3" s="217" t="n">
        <v>2040</v>
      </c>
      <c r="R3" s="217" t="n">
        <v>2041</v>
      </c>
      <c r="S3" s="217" t="n">
        <v>2042</v>
      </c>
      <c r="T3" s="217" t="n">
        <v>2043</v>
      </c>
      <c r="U3" s="217" t="n">
        <v>2044</v>
      </c>
      <c r="V3" s="217" t="n">
        <v>2045</v>
      </c>
      <c r="W3" s="217" t="n">
        <v>2046</v>
      </c>
      <c r="X3" s="217" t="n">
        <v>2047</v>
      </c>
    </row>
    <row r="4" s="162">
      <c r="A4" s="7" t="inlineStr">
        <is>
          <t>经营性收入</t>
        </is>
      </c>
      <c r="B4" s="179">
        <f>('F项目收入'!D12-'F项目收入'!D10)</f>
        <v/>
      </c>
      <c r="C4" s="179">
        <f>('F项目收入'!E12-'F项目收入'!E10)</f>
        <v/>
      </c>
      <c r="D4" s="179">
        <f>('F项目收入'!F12-'F项目收入'!F10)</f>
        <v/>
      </c>
      <c r="E4" s="179">
        <f>('F项目收入'!G12-'F项目收入'!G10)</f>
        <v/>
      </c>
      <c r="F4" s="179">
        <f>F项目收入!H11-F项目收入!H10</f>
        <v/>
      </c>
      <c r="G4" s="179">
        <f>F项目收入!I11-F项目收入!I10</f>
        <v/>
      </c>
      <c r="H4" s="179">
        <f>'F项目收入'!J11-'F项目收入'!J10</f>
        <v/>
      </c>
      <c r="I4" s="179">
        <f>'F项目收入'!K11-'F项目收入'!K10</f>
        <v/>
      </c>
      <c r="J4" s="179">
        <f>'F项目收入'!L11-'F项目收入'!L10</f>
        <v/>
      </c>
      <c r="K4" s="179">
        <f>'F项目收入'!M11-'F项目收入'!M10</f>
        <v/>
      </c>
      <c r="L4" s="179">
        <f>'F项目收入'!N11-'F项目收入'!N10</f>
        <v/>
      </c>
      <c r="M4" s="179">
        <f>'F项目收入'!O11-'F项目收入'!O10</f>
        <v/>
      </c>
      <c r="N4" s="179">
        <f>'F项目收入'!P11-'F项目收入'!P10</f>
        <v/>
      </c>
      <c r="O4" s="179">
        <f>'F项目收入'!Q11-'F项目收入'!Q10</f>
        <v/>
      </c>
      <c r="P4" s="179">
        <f>'F项目收入'!R11-'F项目收入'!R10</f>
        <v/>
      </c>
      <c r="Q4" s="179">
        <f>'F项目收入'!S11-'F项目收入'!S10</f>
        <v/>
      </c>
      <c r="R4" s="179">
        <f>'F项目收入'!T11-'F项目收入'!T10</f>
        <v/>
      </c>
      <c r="S4" s="179">
        <f>'F项目收入'!U11-'F项目收入'!U10</f>
        <v/>
      </c>
      <c r="T4" s="179">
        <f>'F项目收入'!V11-'F项目收入'!V10</f>
        <v/>
      </c>
      <c r="U4" s="179">
        <f>'F项目收入'!W11-'F项目收入'!W10</f>
        <v/>
      </c>
      <c r="V4" s="179">
        <f>'F项目收入'!X11-'F项目收入'!X10</f>
        <v/>
      </c>
      <c r="W4" s="179">
        <f>'F项目收入'!Y11-'F项目收入'!Y10</f>
        <v/>
      </c>
      <c r="X4" s="179">
        <f>'F项目收入'!Z11-'F项目收入'!Z10</f>
        <v/>
      </c>
    </row>
    <row r="5" s="162">
      <c r="A5" s="7" t="inlineStr">
        <is>
          <t>政府补贴收入</t>
        </is>
      </c>
      <c r="B5" s="179">
        <f>('F项目收入'!D10)</f>
        <v/>
      </c>
      <c r="C5" s="179">
        <f>('F项目收入'!E10)</f>
        <v/>
      </c>
      <c r="D5" s="179">
        <f>('F项目收入'!F10)</f>
        <v/>
      </c>
      <c r="E5" s="179">
        <f>('F项目收入'!G10)</f>
        <v/>
      </c>
      <c r="F5" s="179">
        <f>F项目收入!H10</f>
        <v/>
      </c>
      <c r="G5" s="179">
        <f>F项目收入!I10</f>
        <v/>
      </c>
      <c r="H5" s="179">
        <f>'F项目收入'!J10</f>
        <v/>
      </c>
      <c r="I5" s="179">
        <f>'F项目收入'!K10</f>
        <v/>
      </c>
      <c r="J5" s="179">
        <f>'F项目收入'!L10</f>
        <v/>
      </c>
      <c r="K5" s="179">
        <f>'F项目收入'!M10</f>
        <v/>
      </c>
      <c r="L5" s="179">
        <f>'F项目收入'!N10</f>
        <v/>
      </c>
      <c r="M5" s="179">
        <f>'F项目收入'!O10</f>
        <v/>
      </c>
      <c r="N5" s="179">
        <f>'F项目收入'!P10</f>
        <v/>
      </c>
      <c r="O5" s="179">
        <f>'F项目收入'!Q10</f>
        <v/>
      </c>
      <c r="P5" s="179">
        <f>'F项目收入'!R10</f>
        <v/>
      </c>
      <c r="Q5" s="179">
        <f>'F项目收入'!S10</f>
        <v/>
      </c>
      <c r="R5" s="179">
        <f>'F项目收入'!T10</f>
        <v/>
      </c>
      <c r="S5" s="179">
        <f>'F项目收入'!U10</f>
        <v/>
      </c>
      <c r="T5" s="179">
        <f>'F项目收入'!V10</f>
        <v/>
      </c>
      <c r="U5" s="179">
        <f>'F项目收入'!W10</f>
        <v/>
      </c>
      <c r="V5" s="179">
        <f>'F项目收入'!X10</f>
        <v/>
      </c>
      <c r="W5" s="179">
        <f>'F项目收入'!Y10</f>
        <v/>
      </c>
      <c r="X5" s="179">
        <f>'F项目收入'!Z10</f>
        <v/>
      </c>
    </row>
    <row r="6" s="162">
      <c r="A6" s="7" t="inlineStr">
        <is>
          <t>合计</t>
        </is>
      </c>
      <c r="B6" s="179">
        <f>SUM(B4:B5)</f>
        <v/>
      </c>
      <c r="C6" s="179">
        <f>SUM(C4:C5)</f>
        <v/>
      </c>
      <c r="D6" s="179">
        <f>SUM(D4:D5)</f>
        <v/>
      </c>
      <c r="E6" s="179">
        <f>SUM(E4:E5)</f>
        <v/>
      </c>
      <c r="F6" s="179">
        <f>SUM(F4:F5)</f>
        <v/>
      </c>
      <c r="G6" s="179">
        <f>SUM(G4:G5)</f>
        <v/>
      </c>
      <c r="H6" s="179">
        <f>SUM(H4:H5)</f>
        <v/>
      </c>
      <c r="I6" s="179">
        <f>SUM(I4:I5)</f>
        <v/>
      </c>
      <c r="J6" s="179">
        <f>SUM(J4:J5)</f>
        <v/>
      </c>
      <c r="K6" s="179">
        <f>SUM(K4:K5)</f>
        <v/>
      </c>
      <c r="L6" s="179">
        <f>SUM(L4:L5)</f>
        <v/>
      </c>
      <c r="M6" s="179">
        <f>SUM(M4:M5)</f>
        <v/>
      </c>
      <c r="N6" s="179">
        <f>SUM(N4:N5)</f>
        <v/>
      </c>
      <c r="O6" s="179">
        <f>SUM(O4:O5)</f>
        <v/>
      </c>
      <c r="P6" s="179">
        <f>SUM(P4:P5)</f>
        <v/>
      </c>
      <c r="Q6" s="179">
        <f>SUM(Q4:Q5)</f>
        <v/>
      </c>
      <c r="R6" s="179">
        <f>SUM(R4:R5)</f>
        <v/>
      </c>
      <c r="S6" s="179">
        <f>SUM(S4:S5)</f>
        <v/>
      </c>
      <c r="T6" s="179">
        <f>SUM(T4:T5)</f>
        <v/>
      </c>
      <c r="U6" s="179">
        <f>SUM(U4:U5)</f>
        <v/>
      </c>
      <c r="V6" s="179">
        <f>SUM(V4:V5)</f>
        <v/>
      </c>
      <c r="W6" s="179">
        <f>SUM(W4:W5)</f>
        <v/>
      </c>
      <c r="X6" s="179">
        <f>SUM(X4:X5)</f>
        <v/>
      </c>
    </row>
  </sheetData>
  <mergeCells count="1">
    <mergeCell ref="A2:A3"/>
  </mergeCells>
  <pageMargins left="0.75" right="0.75" top="1" bottom="1" header="0.5" footer="0.5"/>
</worksheet>
</file>

<file path=xl/worksheets/sheet30.xml><?xml version="1.0" encoding="utf-8"?>
<worksheet xmlns="http://schemas.openxmlformats.org/spreadsheetml/2006/main">
  <sheetPr codeName="Sheet30">
    <tabColor rgb="FFFFC000"/>
    <outlinePr summaryBelow="1" summaryRight="1"/>
    <pageSetUpPr/>
  </sheetPr>
  <dimension ref="A1:AF23"/>
  <sheetViews>
    <sheetView zoomScale="70" zoomScaleNormal="70" workbookViewId="0">
      <selection activeCell="A1" sqref="A1:AE1"/>
    </sheetView>
  </sheetViews>
  <sheetFormatPr baseColWidth="8" defaultColWidth="13.7818181818182" defaultRowHeight="28.05" customHeight="1"/>
  <cols>
    <col width="13.6636363636364" customWidth="1" style="162" min="1" max="1"/>
    <col width="11.2181818181818" customWidth="1" style="162" min="2" max="2"/>
    <col width="44.2181818181818" customWidth="1" style="18" min="3" max="3"/>
    <col width="43.8909090909091" customWidth="1" style="18" min="4" max="4"/>
    <col width="13.7818181818182" customWidth="1" style="162" min="5" max="16373"/>
  </cols>
  <sheetData>
    <row r="1" s="162">
      <c r="A1" s="19" t="inlineStr">
        <is>
          <t>Ⅳ项目分年度成本明细表</t>
        </is>
      </c>
      <c r="AF1" s="28" t="inlineStr">
        <is>
          <t>复制E.1</t>
        </is>
      </c>
    </row>
    <row r="2" s="162">
      <c r="A2" s="17" t="inlineStr">
        <is>
          <t>成本类别</t>
        </is>
      </c>
      <c r="B2" s="17" t="inlineStr">
        <is>
          <t>序号</t>
        </is>
      </c>
      <c r="C2" s="23" t="inlineStr">
        <is>
          <t>科目</t>
        </is>
      </c>
      <c r="D2" s="23" t="inlineStr">
        <is>
          <t>取费计算方式</t>
        </is>
      </c>
      <c r="E2" s="17" t="inlineStr">
        <is>
          <t>数量</t>
        </is>
      </c>
      <c r="F2" s="23" t="inlineStr">
        <is>
          <t>单价
（万元）</t>
        </is>
      </c>
      <c r="G2" s="2" t="inlineStr">
        <is>
          <t>浮动后单价</t>
        </is>
      </c>
      <c r="H2" s="22" t="inlineStr">
        <is>
          <t>2025（万元）</t>
        </is>
      </c>
      <c r="I2" s="26" t="inlineStr">
        <is>
          <t>2026（万元）</t>
        </is>
      </c>
      <c r="J2" s="22" t="inlineStr">
        <is>
          <t>2027（万元）</t>
        </is>
      </c>
      <c r="K2" s="26" t="inlineStr">
        <is>
          <t>2028（万元）</t>
        </is>
      </c>
      <c r="L2" s="22" t="inlineStr">
        <is>
          <t>2029（万元）</t>
        </is>
      </c>
      <c r="M2" s="26" t="inlineStr">
        <is>
          <t>2030（万元）</t>
        </is>
      </c>
      <c r="N2" s="22" t="inlineStr">
        <is>
          <t>2031（万元）</t>
        </is>
      </c>
      <c r="O2" s="26" t="inlineStr">
        <is>
          <t>2032（万元）</t>
        </is>
      </c>
      <c r="P2" s="22" t="inlineStr">
        <is>
          <t>2033（万元）</t>
        </is>
      </c>
      <c r="Q2" s="26" t="inlineStr">
        <is>
          <t>2034（万元）</t>
        </is>
      </c>
      <c r="R2" s="22" t="inlineStr">
        <is>
          <t>2035（万元）</t>
        </is>
      </c>
      <c r="S2" s="26" t="inlineStr">
        <is>
          <t>2036（万元）</t>
        </is>
      </c>
      <c r="T2" s="22" t="inlineStr">
        <is>
          <t>2037（万元）</t>
        </is>
      </c>
      <c r="U2" s="26" t="inlineStr">
        <is>
          <t>2038（万元）</t>
        </is>
      </c>
      <c r="V2" s="22" t="inlineStr">
        <is>
          <t>2039（万元）</t>
        </is>
      </c>
      <c r="W2" s="26" t="inlineStr">
        <is>
          <t>2040（万元）</t>
        </is>
      </c>
      <c r="X2" s="22" t="inlineStr">
        <is>
          <t>2041（万元）</t>
        </is>
      </c>
      <c r="Y2" s="26" t="inlineStr">
        <is>
          <t>2042（万元）</t>
        </is>
      </c>
      <c r="Z2" s="22" t="inlineStr">
        <is>
          <t>2043（万元）</t>
        </is>
      </c>
      <c r="AA2" s="26" t="inlineStr">
        <is>
          <t>2044（万元）</t>
        </is>
      </c>
      <c r="AB2" s="22" t="inlineStr">
        <is>
          <t>2045（万元）</t>
        </is>
      </c>
      <c r="AC2" s="26" t="inlineStr">
        <is>
          <t>2046（万元）</t>
        </is>
      </c>
      <c r="AD2" s="26" t="inlineStr">
        <is>
          <t>2047（万元）</t>
        </is>
      </c>
      <c r="AE2" s="17" t="inlineStr">
        <is>
          <t>合计</t>
        </is>
      </c>
    </row>
    <row r="3" s="162">
      <c r="A3" s="164" t="n"/>
      <c r="B3" s="164" t="n"/>
      <c r="C3" s="164" t="n"/>
      <c r="D3" s="164" t="n"/>
      <c r="E3" s="164" t="n"/>
      <c r="F3" s="164" t="n"/>
      <c r="G3" s="164" t="n"/>
      <c r="H3" s="24" t="inlineStr">
        <is>
          <t>负荷系数</t>
        </is>
      </c>
      <c r="I3" s="27">
        <f>E.1项目运营期费用!I3</f>
        <v/>
      </c>
      <c r="J3" s="27">
        <f>E.1项目运营期费用!J3</f>
        <v/>
      </c>
      <c r="K3" s="27">
        <f>E.1项目运营期费用!K3</f>
        <v/>
      </c>
      <c r="L3" s="27">
        <f>E.1项目运营期费用!L3</f>
        <v/>
      </c>
      <c r="M3" s="27">
        <f>E.1项目运营期费用!M3</f>
        <v/>
      </c>
      <c r="N3" s="27">
        <f>E.1项目运营期费用!#REF!</f>
        <v/>
      </c>
      <c r="O3" s="27">
        <f>E.1项目运营期费用!#REF!</f>
        <v/>
      </c>
      <c r="P3" s="27">
        <f>E.1项目运营期费用!#REF!</f>
        <v/>
      </c>
      <c r="Q3" s="27">
        <f>E.1项目运营期费用!#REF!</f>
        <v/>
      </c>
      <c r="R3" s="27">
        <f>E.1项目运营期费用!#REF!</f>
        <v/>
      </c>
      <c r="S3" s="27">
        <f>E.1项目运营期费用!#REF!</f>
        <v/>
      </c>
      <c r="T3" s="27">
        <f>E.1项目运营期费用!#REF!</f>
        <v/>
      </c>
      <c r="U3" s="27">
        <f>E.1项目运营期费用!#REF!</f>
        <v/>
      </c>
      <c r="V3" s="27">
        <f>E.1项目运营期费用!#REF!</f>
        <v/>
      </c>
      <c r="W3" s="27">
        <f>E.1项目运营期费用!#REF!</f>
        <v/>
      </c>
      <c r="X3" s="27">
        <f>E.1项目运营期费用!#REF!</f>
        <v/>
      </c>
      <c r="Y3" s="27">
        <f>E.1项目运营期费用!#REF!</f>
        <v/>
      </c>
      <c r="Z3" s="27">
        <f>E.1项目运营期费用!#REF!</f>
        <v/>
      </c>
      <c r="AA3" s="27">
        <f>E.1项目运营期费用!#REF!</f>
        <v/>
      </c>
      <c r="AB3" s="27">
        <f>E.1项目运营期费用!#REF!</f>
        <v/>
      </c>
      <c r="AC3" s="27">
        <f>E.1项目运营期费用!#REF!</f>
        <v/>
      </c>
      <c r="AD3" s="27">
        <f>E.1项目运营期费用!#REF!</f>
        <v/>
      </c>
      <c r="AE3" s="7" t="inlineStr">
        <is>
          <t>/</t>
        </is>
      </c>
    </row>
    <row r="4" s="162">
      <c r="A4" s="10">
        <f>E.1项目运营期费用!A4</f>
        <v/>
      </c>
      <c r="B4" s="10">
        <f>E.1项目运营期费用!B4</f>
        <v/>
      </c>
      <c r="C4" s="25">
        <f>E.1项目运营期费用!C4</f>
        <v/>
      </c>
      <c r="D4" s="25">
        <f>E.1项目运营期费用!D4</f>
        <v/>
      </c>
      <c r="E4" s="7">
        <f>E.1项目运营期费用!E4</f>
        <v/>
      </c>
      <c r="F4" s="7">
        <f>E.1项目运营期费用!F4</f>
        <v/>
      </c>
      <c r="G4" s="7">
        <f>E.1项目运营期费用!G4</f>
        <v/>
      </c>
      <c r="H4" s="7">
        <f>E.1项目运营期费用!H4</f>
        <v/>
      </c>
      <c r="I4" s="7">
        <f>E.1项目运营期费用!I4</f>
        <v/>
      </c>
      <c r="J4" s="7">
        <f>E.1项目运营期费用!J4</f>
        <v/>
      </c>
      <c r="K4" s="7">
        <f>E.1项目运营期费用!K4</f>
        <v/>
      </c>
      <c r="L4" s="7">
        <f>E.1项目运营期费用!L4</f>
        <v/>
      </c>
      <c r="M4" s="7">
        <f>E.1项目运营期费用!M4</f>
        <v/>
      </c>
      <c r="N4" s="7">
        <f>E.1项目运营期费用!#REF!</f>
        <v/>
      </c>
      <c r="O4" s="7">
        <f>E.1项目运营期费用!#REF!</f>
        <v/>
      </c>
      <c r="P4" s="7">
        <f>E.1项目运营期费用!#REF!</f>
        <v/>
      </c>
      <c r="Q4" s="7">
        <f>E.1项目运营期费用!#REF!</f>
        <v/>
      </c>
      <c r="R4" s="7">
        <f>E.1项目运营期费用!#REF!</f>
        <v/>
      </c>
      <c r="S4" s="7">
        <f>E.1项目运营期费用!#REF!</f>
        <v/>
      </c>
      <c r="T4" s="7">
        <f>E.1项目运营期费用!#REF!</f>
        <v/>
      </c>
      <c r="U4" s="7">
        <f>E.1项目运营期费用!#REF!</f>
        <v/>
      </c>
      <c r="V4" s="7">
        <f>E.1项目运营期费用!#REF!</f>
        <v/>
      </c>
      <c r="W4" s="7">
        <f>E.1项目运营期费用!#REF!</f>
        <v/>
      </c>
      <c r="X4" s="7">
        <f>E.1项目运营期费用!#REF!</f>
        <v/>
      </c>
      <c r="Y4" s="7">
        <f>E.1项目运营期费用!#REF!</f>
        <v/>
      </c>
      <c r="Z4" s="7">
        <f>E.1项目运营期费用!#REF!</f>
        <v/>
      </c>
      <c r="AA4" s="7">
        <f>E.1项目运营期费用!#REF!</f>
        <v/>
      </c>
      <c r="AB4" s="7">
        <f>E.1项目运营期费用!#REF!</f>
        <v/>
      </c>
      <c r="AC4" s="7">
        <f>E.1项目运营期费用!#REF!</f>
        <v/>
      </c>
      <c r="AD4" s="7">
        <f>E.1项目运营期费用!#REF!</f>
        <v/>
      </c>
      <c r="AE4" s="7">
        <f>E.1项目运营期费用!N4</f>
        <v/>
      </c>
    </row>
    <row r="5" s="162">
      <c r="A5" s="184" t="n"/>
      <c r="B5" s="10">
        <f>E.1项目运营期费用!B5</f>
        <v/>
      </c>
      <c r="C5" s="25">
        <f>E.1项目运营期费用!C5</f>
        <v/>
      </c>
      <c r="D5" s="25">
        <f>E.1项目运营期费用!D5</f>
        <v/>
      </c>
      <c r="E5" s="7">
        <f>E.1项目运营期费用!E5</f>
        <v/>
      </c>
      <c r="F5" s="7">
        <f>E.1项目运营期费用!F5</f>
        <v/>
      </c>
      <c r="G5" s="7">
        <f>E.1项目运营期费用!G5</f>
        <v/>
      </c>
      <c r="H5" s="7">
        <f>E.1项目运营期费用!H5</f>
        <v/>
      </c>
      <c r="I5" s="7">
        <f>E.1项目运营期费用!I5</f>
        <v/>
      </c>
      <c r="J5" s="7">
        <f>E.1项目运营期费用!J5</f>
        <v/>
      </c>
      <c r="K5" s="7">
        <f>E.1项目运营期费用!K5</f>
        <v/>
      </c>
      <c r="L5" s="7">
        <f>E.1项目运营期费用!L5</f>
        <v/>
      </c>
      <c r="M5" s="7">
        <f>E.1项目运营期费用!M5</f>
        <v/>
      </c>
      <c r="N5" s="7">
        <f>E.1项目运营期费用!#REF!</f>
        <v/>
      </c>
      <c r="O5" s="7">
        <f>E.1项目运营期费用!#REF!</f>
        <v/>
      </c>
      <c r="P5" s="7">
        <f>E.1项目运营期费用!#REF!</f>
        <v/>
      </c>
      <c r="Q5" s="7">
        <f>E.1项目运营期费用!#REF!</f>
        <v/>
      </c>
      <c r="R5" s="7">
        <f>E.1项目运营期费用!#REF!</f>
        <v/>
      </c>
      <c r="S5" s="7">
        <f>E.1项目运营期费用!#REF!</f>
        <v/>
      </c>
      <c r="T5" s="7">
        <f>E.1项目运营期费用!#REF!</f>
        <v/>
      </c>
      <c r="U5" s="7">
        <f>E.1项目运营期费用!#REF!</f>
        <v/>
      </c>
      <c r="V5" s="7">
        <f>E.1项目运营期费用!#REF!</f>
        <v/>
      </c>
      <c r="W5" s="7">
        <f>E.1项目运营期费用!#REF!</f>
        <v/>
      </c>
      <c r="X5" s="7">
        <f>E.1项目运营期费用!#REF!</f>
        <v/>
      </c>
      <c r="Y5" s="7">
        <f>E.1项目运营期费用!#REF!</f>
        <v/>
      </c>
      <c r="Z5" s="7">
        <f>E.1项目运营期费用!#REF!</f>
        <v/>
      </c>
      <c r="AA5" s="7">
        <f>E.1项目运营期费用!#REF!</f>
        <v/>
      </c>
      <c r="AB5" s="7">
        <f>E.1项目运营期费用!#REF!</f>
        <v/>
      </c>
      <c r="AC5" s="7">
        <f>E.1项目运营期费用!#REF!</f>
        <v/>
      </c>
      <c r="AD5" s="7">
        <f>E.1项目运营期费用!#REF!</f>
        <v/>
      </c>
      <c r="AE5" s="7">
        <f>E.1项目运营期费用!N5</f>
        <v/>
      </c>
    </row>
    <row r="6" s="162">
      <c r="A6" s="184" t="n"/>
      <c r="B6" s="10">
        <f>E.1项目运营期费用!B6</f>
        <v/>
      </c>
      <c r="C6" s="25">
        <f>E.1项目运营期费用!C6</f>
        <v/>
      </c>
      <c r="D6" s="25">
        <f>E.1项目运营期费用!D6</f>
        <v/>
      </c>
      <c r="E6" s="7">
        <f>E.1项目运营期费用!E6</f>
        <v/>
      </c>
      <c r="F6" s="7">
        <f>E.1项目运营期费用!F6</f>
        <v/>
      </c>
      <c r="G6" s="7">
        <f>E.1项目运营期费用!G6</f>
        <v/>
      </c>
      <c r="H6" s="7">
        <f>E.1项目运营期费用!H6</f>
        <v/>
      </c>
      <c r="I6" s="7">
        <f>E.1项目运营期费用!I6</f>
        <v/>
      </c>
      <c r="J6" s="7">
        <f>E.1项目运营期费用!J6</f>
        <v/>
      </c>
      <c r="K6" s="7">
        <f>E.1项目运营期费用!K6</f>
        <v/>
      </c>
      <c r="L6" s="7">
        <f>E.1项目运营期费用!L6</f>
        <v/>
      </c>
      <c r="M6" s="7">
        <f>E.1项目运营期费用!M6</f>
        <v/>
      </c>
      <c r="N6" s="7">
        <f>E.1项目运营期费用!#REF!</f>
        <v/>
      </c>
      <c r="O6" s="7">
        <f>E.1项目运营期费用!#REF!</f>
        <v/>
      </c>
      <c r="P6" s="7">
        <f>E.1项目运营期费用!#REF!</f>
        <v/>
      </c>
      <c r="Q6" s="7">
        <f>E.1项目运营期费用!#REF!</f>
        <v/>
      </c>
      <c r="R6" s="7">
        <f>E.1项目运营期费用!#REF!</f>
        <v/>
      </c>
      <c r="S6" s="7">
        <f>E.1项目运营期费用!#REF!</f>
        <v/>
      </c>
      <c r="T6" s="7">
        <f>E.1项目运营期费用!#REF!</f>
        <v/>
      </c>
      <c r="U6" s="7">
        <f>E.1项目运营期费用!#REF!</f>
        <v/>
      </c>
      <c r="V6" s="7">
        <f>E.1项目运营期费用!#REF!</f>
        <v/>
      </c>
      <c r="W6" s="7">
        <f>E.1项目运营期费用!#REF!</f>
        <v/>
      </c>
      <c r="X6" s="7">
        <f>E.1项目运营期费用!#REF!</f>
        <v/>
      </c>
      <c r="Y6" s="7">
        <f>E.1项目运营期费用!#REF!</f>
        <v/>
      </c>
      <c r="Z6" s="7">
        <f>E.1项目运营期费用!#REF!</f>
        <v/>
      </c>
      <c r="AA6" s="7">
        <f>E.1项目运营期费用!#REF!</f>
        <v/>
      </c>
      <c r="AB6" s="7">
        <f>E.1项目运营期费用!#REF!</f>
        <v/>
      </c>
      <c r="AC6" s="7">
        <f>E.1项目运营期费用!#REF!</f>
        <v/>
      </c>
      <c r="AD6" s="7">
        <f>E.1项目运营期费用!#REF!</f>
        <v/>
      </c>
      <c r="AE6" s="7">
        <f>E.1项目运营期费用!N6</f>
        <v/>
      </c>
    </row>
    <row r="7" s="162">
      <c r="A7" s="164" t="n"/>
      <c r="B7" s="10">
        <f>E.1项目运营期费用!B7</f>
        <v/>
      </c>
      <c r="C7" s="25">
        <f>E.1项目运营期费用!C7</f>
        <v/>
      </c>
      <c r="D7" s="25">
        <f>E.1项目运营期费用!D7</f>
        <v/>
      </c>
      <c r="E7" s="7">
        <f>E.1项目运营期费用!E7</f>
        <v/>
      </c>
      <c r="F7" s="7">
        <f>E.1项目运营期费用!F7</f>
        <v/>
      </c>
      <c r="G7" s="7">
        <f>E.1项目运营期费用!G7</f>
        <v/>
      </c>
      <c r="H7" s="7">
        <f>E.1项目运营期费用!H7</f>
        <v/>
      </c>
      <c r="I7" s="7">
        <f>E.1项目运营期费用!I7</f>
        <v/>
      </c>
      <c r="J7" s="7">
        <f>E.1项目运营期费用!J7</f>
        <v/>
      </c>
      <c r="K7" s="7">
        <f>E.1项目运营期费用!K7</f>
        <v/>
      </c>
      <c r="L7" s="7">
        <f>E.1项目运营期费用!L7</f>
        <v/>
      </c>
      <c r="M7" s="7">
        <f>E.1项目运营期费用!M7</f>
        <v/>
      </c>
      <c r="N7" s="7">
        <f>E.1项目运营期费用!#REF!</f>
        <v/>
      </c>
      <c r="O7" s="7">
        <f>E.1项目运营期费用!#REF!</f>
        <v/>
      </c>
      <c r="P7" s="7">
        <f>E.1项目运营期费用!#REF!</f>
        <v/>
      </c>
      <c r="Q7" s="7">
        <f>E.1项目运营期费用!#REF!</f>
        <v/>
      </c>
      <c r="R7" s="7">
        <f>E.1项目运营期费用!#REF!</f>
        <v/>
      </c>
      <c r="S7" s="7">
        <f>E.1项目运营期费用!#REF!</f>
        <v/>
      </c>
      <c r="T7" s="7">
        <f>E.1项目运营期费用!#REF!</f>
        <v/>
      </c>
      <c r="U7" s="7">
        <f>E.1项目运营期费用!#REF!</f>
        <v/>
      </c>
      <c r="V7" s="7">
        <f>E.1项目运营期费用!#REF!</f>
        <v/>
      </c>
      <c r="W7" s="7">
        <f>E.1项目运营期费用!#REF!</f>
        <v/>
      </c>
      <c r="X7" s="7">
        <f>E.1项目运营期费用!#REF!</f>
        <v/>
      </c>
      <c r="Y7" s="7">
        <f>E.1项目运营期费用!#REF!</f>
        <v/>
      </c>
      <c r="Z7" s="7">
        <f>E.1项目运营期费用!#REF!</f>
        <v/>
      </c>
      <c r="AA7" s="7">
        <f>E.1项目运营期费用!#REF!</f>
        <v/>
      </c>
      <c r="AB7" s="7">
        <f>E.1项目运营期费用!#REF!</f>
        <v/>
      </c>
      <c r="AC7" s="7">
        <f>E.1项目运营期费用!#REF!</f>
        <v/>
      </c>
      <c r="AD7" s="7">
        <f>E.1项目运营期费用!#REF!</f>
        <v/>
      </c>
      <c r="AE7" s="7">
        <f>E.1项目运营期费用!N7</f>
        <v/>
      </c>
    </row>
    <row r="8" s="162">
      <c r="A8" s="10">
        <f>E.1项目运营期费用!A8</f>
        <v/>
      </c>
      <c r="B8" s="10">
        <f>E.1项目运营期费用!B8</f>
        <v/>
      </c>
      <c r="C8" s="25">
        <f>E.1项目运营期费用!C8</f>
        <v/>
      </c>
      <c r="D8" s="25">
        <f>E.1项目运营期费用!D8</f>
        <v/>
      </c>
      <c r="E8" s="7">
        <f>E.1项目运营期费用!E8</f>
        <v/>
      </c>
      <c r="F8" s="7">
        <f>E.1项目运营期费用!F8</f>
        <v/>
      </c>
      <c r="G8" s="7">
        <f>E.1项目运营期费用!G8</f>
        <v/>
      </c>
      <c r="H8" s="7">
        <f>E.1项目运营期费用!H8</f>
        <v/>
      </c>
      <c r="I8" s="7">
        <f>E.1项目运营期费用!I8</f>
        <v/>
      </c>
      <c r="J8" s="7">
        <f>E.1项目运营期费用!J8</f>
        <v/>
      </c>
      <c r="K8" s="7">
        <f>E.1项目运营期费用!K8</f>
        <v/>
      </c>
      <c r="L8" s="7">
        <f>E.1项目运营期费用!L8</f>
        <v/>
      </c>
      <c r="M8" s="7">
        <f>E.1项目运营期费用!M8</f>
        <v/>
      </c>
      <c r="N8" s="7">
        <f>E.1项目运营期费用!#REF!</f>
        <v/>
      </c>
      <c r="O8" s="7">
        <f>E.1项目运营期费用!#REF!</f>
        <v/>
      </c>
      <c r="P8" s="7">
        <f>E.1项目运营期费用!#REF!</f>
        <v/>
      </c>
      <c r="Q8" s="7">
        <f>E.1项目运营期费用!#REF!</f>
        <v/>
      </c>
      <c r="R8" s="7">
        <f>E.1项目运营期费用!#REF!</f>
        <v/>
      </c>
      <c r="S8" s="7">
        <f>E.1项目运营期费用!#REF!</f>
        <v/>
      </c>
      <c r="T8" s="7">
        <f>E.1项目运营期费用!#REF!</f>
        <v/>
      </c>
      <c r="U8" s="7">
        <f>E.1项目运营期费用!#REF!</f>
        <v/>
      </c>
      <c r="V8" s="7">
        <f>E.1项目运营期费用!#REF!</f>
        <v/>
      </c>
      <c r="W8" s="7">
        <f>E.1项目运营期费用!#REF!</f>
        <v/>
      </c>
      <c r="X8" s="7">
        <f>E.1项目运营期费用!#REF!</f>
        <v/>
      </c>
      <c r="Y8" s="7">
        <f>E.1项目运营期费用!#REF!</f>
        <v/>
      </c>
      <c r="Z8" s="7">
        <f>E.1项目运营期费用!#REF!</f>
        <v/>
      </c>
      <c r="AA8" s="7">
        <f>E.1项目运营期费用!#REF!</f>
        <v/>
      </c>
      <c r="AB8" s="7">
        <f>E.1项目运营期费用!#REF!</f>
        <v/>
      </c>
      <c r="AC8" s="7">
        <f>E.1项目运营期费用!#REF!</f>
        <v/>
      </c>
      <c r="AD8" s="7">
        <f>E.1项目运营期费用!#REF!</f>
        <v/>
      </c>
      <c r="AE8" s="7">
        <f>E.1项目运营期费用!N8</f>
        <v/>
      </c>
    </row>
    <row r="9" s="162">
      <c r="A9" s="184" t="n"/>
      <c r="B9" s="10">
        <f>E.1项目运营期费用!B9</f>
        <v/>
      </c>
      <c r="C9" s="25">
        <f>E.1项目运营期费用!C9</f>
        <v/>
      </c>
      <c r="D9" s="25">
        <f>E.1项目运营期费用!D9</f>
        <v/>
      </c>
      <c r="E9" s="7">
        <f>E.1项目运营期费用!E9</f>
        <v/>
      </c>
      <c r="F9" s="7">
        <f>E.1项目运营期费用!F9</f>
        <v/>
      </c>
      <c r="G9" s="7">
        <f>E.1项目运营期费用!G9</f>
        <v/>
      </c>
      <c r="H9" s="7">
        <f>E.1项目运营期费用!H9</f>
        <v/>
      </c>
      <c r="I9" s="7">
        <f>E.1项目运营期费用!I9</f>
        <v/>
      </c>
      <c r="J9" s="7">
        <f>E.1项目运营期费用!J9</f>
        <v/>
      </c>
      <c r="K9" s="7">
        <f>E.1项目运营期费用!K9</f>
        <v/>
      </c>
      <c r="L9" s="7">
        <f>E.1项目运营期费用!L9</f>
        <v/>
      </c>
      <c r="M9" s="7">
        <f>E.1项目运营期费用!M9</f>
        <v/>
      </c>
      <c r="N9" s="7">
        <f>E.1项目运营期费用!#REF!</f>
        <v/>
      </c>
      <c r="O9" s="7">
        <f>E.1项目运营期费用!#REF!</f>
        <v/>
      </c>
      <c r="P9" s="7">
        <f>E.1项目运营期费用!#REF!</f>
        <v/>
      </c>
      <c r="Q9" s="7">
        <f>E.1项目运营期费用!#REF!</f>
        <v/>
      </c>
      <c r="R9" s="7">
        <f>E.1项目运营期费用!#REF!</f>
        <v/>
      </c>
      <c r="S9" s="7">
        <f>E.1项目运营期费用!#REF!</f>
        <v/>
      </c>
      <c r="T9" s="7">
        <f>E.1项目运营期费用!#REF!</f>
        <v/>
      </c>
      <c r="U9" s="7">
        <f>E.1项目运营期费用!#REF!</f>
        <v/>
      </c>
      <c r="V9" s="7">
        <f>E.1项目运营期费用!#REF!</f>
        <v/>
      </c>
      <c r="W9" s="7">
        <f>E.1项目运营期费用!#REF!</f>
        <v/>
      </c>
      <c r="X9" s="7">
        <f>E.1项目运营期费用!#REF!</f>
        <v/>
      </c>
      <c r="Y9" s="7">
        <f>E.1项目运营期费用!#REF!</f>
        <v/>
      </c>
      <c r="Z9" s="7">
        <f>E.1项目运营期费用!#REF!</f>
        <v/>
      </c>
      <c r="AA9" s="7">
        <f>E.1项目运营期费用!#REF!</f>
        <v/>
      </c>
      <c r="AB9" s="7">
        <f>E.1项目运营期费用!#REF!</f>
        <v/>
      </c>
      <c r="AC9" s="7">
        <f>E.1项目运营期费用!#REF!</f>
        <v/>
      </c>
      <c r="AD9" s="7">
        <f>E.1项目运营期费用!#REF!</f>
        <v/>
      </c>
      <c r="AE9" s="7">
        <f>E.1项目运营期费用!N9</f>
        <v/>
      </c>
    </row>
    <row r="10" s="162">
      <c r="A10" s="164" t="n"/>
      <c r="B10" s="10">
        <f>E.1项目运营期费用!B10</f>
        <v/>
      </c>
      <c r="C10" s="25">
        <f>E.1项目运营期费用!C10</f>
        <v/>
      </c>
      <c r="D10" s="25">
        <f>E.1项目运营期费用!D10</f>
        <v/>
      </c>
      <c r="E10" s="7">
        <f>E.1项目运营期费用!E10</f>
        <v/>
      </c>
      <c r="F10" s="7">
        <f>E.1项目运营期费用!F10</f>
        <v/>
      </c>
      <c r="G10" s="7">
        <f>E.1项目运营期费用!G10</f>
        <v/>
      </c>
      <c r="H10" s="7">
        <f>E.1项目运营期费用!H10</f>
        <v/>
      </c>
      <c r="I10" s="7">
        <f>E.1项目运营期费用!I10</f>
        <v/>
      </c>
      <c r="J10" s="7">
        <f>E.1项目运营期费用!J10</f>
        <v/>
      </c>
      <c r="K10" s="7">
        <f>E.1项目运营期费用!K10</f>
        <v/>
      </c>
      <c r="L10" s="7">
        <f>E.1项目运营期费用!L10</f>
        <v/>
      </c>
      <c r="M10" s="7">
        <f>E.1项目运营期费用!M10</f>
        <v/>
      </c>
      <c r="N10" s="7">
        <f>E.1项目运营期费用!#REF!</f>
        <v/>
      </c>
      <c r="O10" s="7">
        <f>E.1项目运营期费用!#REF!</f>
        <v/>
      </c>
      <c r="P10" s="7">
        <f>E.1项目运营期费用!#REF!</f>
        <v/>
      </c>
      <c r="Q10" s="7">
        <f>E.1项目运营期费用!#REF!</f>
        <v/>
      </c>
      <c r="R10" s="7">
        <f>E.1项目运营期费用!#REF!</f>
        <v/>
      </c>
      <c r="S10" s="7">
        <f>E.1项目运营期费用!#REF!</f>
        <v/>
      </c>
      <c r="T10" s="7">
        <f>E.1项目运营期费用!#REF!</f>
        <v/>
      </c>
      <c r="U10" s="7">
        <f>E.1项目运营期费用!#REF!</f>
        <v/>
      </c>
      <c r="V10" s="7">
        <f>E.1项目运营期费用!#REF!</f>
        <v/>
      </c>
      <c r="W10" s="7">
        <f>E.1项目运营期费用!#REF!</f>
        <v/>
      </c>
      <c r="X10" s="7">
        <f>E.1项目运营期费用!#REF!</f>
        <v/>
      </c>
      <c r="Y10" s="7">
        <f>E.1项目运营期费用!#REF!</f>
        <v/>
      </c>
      <c r="Z10" s="7">
        <f>E.1项目运营期费用!#REF!</f>
        <v/>
      </c>
      <c r="AA10" s="7">
        <f>E.1项目运营期费用!#REF!</f>
        <v/>
      </c>
      <c r="AB10" s="7">
        <f>E.1项目运营期费用!#REF!</f>
        <v/>
      </c>
      <c r="AC10" s="7">
        <f>E.1项目运营期费用!#REF!</f>
        <v/>
      </c>
      <c r="AD10" s="7">
        <f>E.1项目运营期费用!#REF!</f>
        <v/>
      </c>
      <c r="AE10" s="7">
        <f>E.1项目运营期费用!N10</f>
        <v/>
      </c>
    </row>
    <row r="11" s="162">
      <c r="A11" s="10">
        <f>E.1项目运营期费用!A11</f>
        <v/>
      </c>
      <c r="B11" s="10">
        <f>E.1项目运营期费用!B11</f>
        <v/>
      </c>
      <c r="C11" s="25">
        <f>E.1项目运营期费用!C11</f>
        <v/>
      </c>
      <c r="D11" s="25">
        <f>E.1项目运营期费用!D11</f>
        <v/>
      </c>
      <c r="E11" s="7">
        <f>E.1项目运营期费用!E11</f>
        <v/>
      </c>
      <c r="F11" s="7">
        <f>E.1项目运营期费用!F11</f>
        <v/>
      </c>
      <c r="G11" s="7">
        <f>E.1项目运营期费用!G11</f>
        <v/>
      </c>
      <c r="H11" s="7">
        <f>E.1项目运营期费用!H11</f>
        <v/>
      </c>
      <c r="I11" s="7">
        <f>E.1项目运营期费用!I11</f>
        <v/>
      </c>
      <c r="J11" s="7">
        <f>E.1项目运营期费用!J11</f>
        <v/>
      </c>
      <c r="K11" s="7">
        <f>E.1项目运营期费用!K11</f>
        <v/>
      </c>
      <c r="L11" s="7">
        <f>E.1项目运营期费用!L11</f>
        <v/>
      </c>
      <c r="M11" s="7">
        <f>E.1项目运营期费用!M11</f>
        <v/>
      </c>
      <c r="N11" s="7">
        <f>E.1项目运营期费用!#REF!</f>
        <v/>
      </c>
      <c r="O11" s="7">
        <f>E.1项目运营期费用!#REF!</f>
        <v/>
      </c>
      <c r="P11" s="7">
        <f>E.1项目运营期费用!#REF!</f>
        <v/>
      </c>
      <c r="Q11" s="7">
        <f>E.1项目运营期费用!#REF!</f>
        <v/>
      </c>
      <c r="R11" s="7">
        <f>E.1项目运营期费用!#REF!</f>
        <v/>
      </c>
      <c r="S11" s="7">
        <f>E.1项目运营期费用!#REF!</f>
        <v/>
      </c>
      <c r="T11" s="7">
        <f>E.1项目运营期费用!#REF!</f>
        <v/>
      </c>
      <c r="U11" s="7">
        <f>E.1项目运营期费用!#REF!</f>
        <v/>
      </c>
      <c r="V11" s="7">
        <f>E.1项目运营期费用!#REF!</f>
        <v/>
      </c>
      <c r="W11" s="7">
        <f>E.1项目运营期费用!#REF!</f>
        <v/>
      </c>
      <c r="X11" s="7">
        <f>E.1项目运营期费用!#REF!</f>
        <v/>
      </c>
      <c r="Y11" s="7">
        <f>E.1项目运营期费用!#REF!</f>
        <v/>
      </c>
      <c r="Z11" s="7">
        <f>E.1项目运营期费用!#REF!</f>
        <v/>
      </c>
      <c r="AA11" s="7">
        <f>E.1项目运营期费用!#REF!</f>
        <v/>
      </c>
      <c r="AB11" s="7">
        <f>E.1项目运营期费用!#REF!</f>
        <v/>
      </c>
      <c r="AC11" s="7">
        <f>E.1项目运营期费用!#REF!</f>
        <v/>
      </c>
      <c r="AD11" s="7">
        <f>E.1项目运营期费用!#REF!</f>
        <v/>
      </c>
      <c r="AE11" s="7">
        <f>E.1项目运营期费用!N11</f>
        <v/>
      </c>
    </row>
    <row r="12" s="162">
      <c r="A12" s="10">
        <f>E.1项目运营期费用!A12</f>
        <v/>
      </c>
      <c r="B12" s="10">
        <f>E.1项目运营期费用!B12</f>
        <v/>
      </c>
      <c r="C12" s="25">
        <f>E.1项目运营期费用!C12</f>
        <v/>
      </c>
      <c r="D12" s="25">
        <f>E.1项目运营期费用!D12</f>
        <v/>
      </c>
      <c r="E12" s="7">
        <f>E.1项目运营期费用!E12</f>
        <v/>
      </c>
      <c r="F12" s="7">
        <f>E.1项目运营期费用!F12</f>
        <v/>
      </c>
      <c r="G12" s="7">
        <f>E.1项目运营期费用!G12</f>
        <v/>
      </c>
      <c r="H12" s="7">
        <f>E.1项目运营期费用!H12</f>
        <v/>
      </c>
      <c r="I12" s="7">
        <f>E.1项目运营期费用!I12</f>
        <v/>
      </c>
      <c r="J12" s="7">
        <f>E.1项目运营期费用!J12</f>
        <v/>
      </c>
      <c r="K12" s="7">
        <f>E.1项目运营期费用!K12</f>
        <v/>
      </c>
      <c r="L12" s="7">
        <f>E.1项目运营期费用!L12</f>
        <v/>
      </c>
      <c r="M12" s="7">
        <f>E.1项目运营期费用!M12</f>
        <v/>
      </c>
      <c r="N12" s="7">
        <f>E.1项目运营期费用!#REF!</f>
        <v/>
      </c>
      <c r="O12" s="7">
        <f>E.1项目运营期费用!#REF!</f>
        <v/>
      </c>
      <c r="P12" s="7">
        <f>E.1项目运营期费用!#REF!</f>
        <v/>
      </c>
      <c r="Q12" s="7">
        <f>E.1项目运营期费用!#REF!</f>
        <v/>
      </c>
      <c r="R12" s="7">
        <f>E.1项目运营期费用!#REF!</f>
        <v/>
      </c>
      <c r="S12" s="7">
        <f>E.1项目运营期费用!#REF!</f>
        <v/>
      </c>
      <c r="T12" s="7">
        <f>E.1项目运营期费用!#REF!</f>
        <v/>
      </c>
      <c r="U12" s="7">
        <f>E.1项目运营期费用!#REF!</f>
        <v/>
      </c>
      <c r="V12" s="7">
        <f>E.1项目运营期费用!#REF!</f>
        <v/>
      </c>
      <c r="W12" s="7">
        <f>E.1项目运营期费用!#REF!</f>
        <v/>
      </c>
      <c r="X12" s="7">
        <f>E.1项目运营期费用!#REF!</f>
        <v/>
      </c>
      <c r="Y12" s="7">
        <f>E.1项目运营期费用!#REF!</f>
        <v/>
      </c>
      <c r="Z12" s="7">
        <f>E.1项目运营期费用!#REF!</f>
        <v/>
      </c>
      <c r="AA12" s="7">
        <f>E.1项目运营期费用!#REF!</f>
        <v/>
      </c>
      <c r="AB12" s="7">
        <f>E.1项目运营期费用!#REF!</f>
        <v/>
      </c>
      <c r="AC12" s="7">
        <f>E.1项目运营期费用!#REF!</f>
        <v/>
      </c>
      <c r="AD12" s="7">
        <f>E.1项目运营期费用!#REF!</f>
        <v/>
      </c>
      <c r="AE12" s="7">
        <f>E.1项目运营期费用!N12</f>
        <v/>
      </c>
    </row>
    <row r="13" s="162">
      <c r="A13" s="164" t="n"/>
      <c r="B13" s="10">
        <f>E.1项目运营期费用!B13</f>
        <v/>
      </c>
      <c r="C13" s="25">
        <f>E.1项目运营期费用!C13</f>
        <v/>
      </c>
      <c r="D13" s="25">
        <f>E.1项目运营期费用!D13</f>
        <v/>
      </c>
      <c r="E13" s="7">
        <f>E.1项目运营期费用!E13</f>
        <v/>
      </c>
      <c r="F13" s="7">
        <f>E.1项目运营期费用!F13</f>
        <v/>
      </c>
      <c r="G13" s="7">
        <f>E.1项目运营期费用!G13</f>
        <v/>
      </c>
      <c r="H13" s="7">
        <f>E.1项目运营期费用!H13</f>
        <v/>
      </c>
      <c r="I13" s="7">
        <f>E.1项目运营期费用!I13</f>
        <v/>
      </c>
      <c r="J13" s="7">
        <f>E.1项目运营期费用!J13</f>
        <v/>
      </c>
      <c r="K13" s="7">
        <f>E.1项目运营期费用!K13</f>
        <v/>
      </c>
      <c r="L13" s="7">
        <f>E.1项目运营期费用!L13</f>
        <v/>
      </c>
      <c r="M13" s="7">
        <f>E.1项目运营期费用!M13</f>
        <v/>
      </c>
      <c r="N13" s="7">
        <f>E.1项目运营期费用!#REF!</f>
        <v/>
      </c>
      <c r="O13" s="7">
        <f>E.1项目运营期费用!#REF!</f>
        <v/>
      </c>
      <c r="P13" s="7">
        <f>E.1项目运营期费用!#REF!</f>
        <v/>
      </c>
      <c r="Q13" s="7">
        <f>E.1项目运营期费用!#REF!</f>
        <v/>
      </c>
      <c r="R13" s="7">
        <f>E.1项目运营期费用!#REF!</f>
        <v/>
      </c>
      <c r="S13" s="7">
        <f>E.1项目运营期费用!#REF!</f>
        <v/>
      </c>
      <c r="T13" s="7">
        <f>E.1项目运营期费用!#REF!</f>
        <v/>
      </c>
      <c r="U13" s="7">
        <f>E.1项目运营期费用!#REF!</f>
        <v/>
      </c>
      <c r="V13" s="7">
        <f>E.1项目运营期费用!#REF!</f>
        <v/>
      </c>
      <c r="W13" s="7">
        <f>E.1项目运营期费用!#REF!</f>
        <v/>
      </c>
      <c r="X13" s="7">
        <f>E.1项目运营期费用!#REF!</f>
        <v/>
      </c>
      <c r="Y13" s="7">
        <f>E.1项目运营期费用!#REF!</f>
        <v/>
      </c>
      <c r="Z13" s="7">
        <f>E.1项目运营期费用!#REF!</f>
        <v/>
      </c>
      <c r="AA13" s="7">
        <f>E.1项目运营期费用!#REF!</f>
        <v/>
      </c>
      <c r="AB13" s="7">
        <f>E.1项目运营期费用!#REF!</f>
        <v/>
      </c>
      <c r="AC13" s="7">
        <f>E.1项目运营期费用!#REF!</f>
        <v/>
      </c>
      <c r="AD13" s="7">
        <f>E.1项目运营期费用!#REF!</f>
        <v/>
      </c>
      <c r="AE13" s="7">
        <f>E.1项目运营期费用!N13</f>
        <v/>
      </c>
    </row>
    <row r="14" s="162">
      <c r="A14" s="10">
        <f>E.1项目运营期费用!A14</f>
        <v/>
      </c>
      <c r="B14" s="10">
        <f>E.1项目运营期费用!B14</f>
        <v/>
      </c>
      <c r="C14" s="25">
        <f>E.1项目运营期费用!C14</f>
        <v/>
      </c>
      <c r="D14" s="25">
        <f>E.1项目运营期费用!D14</f>
        <v/>
      </c>
      <c r="E14" s="7">
        <f>E.1项目运营期费用!E14</f>
        <v/>
      </c>
      <c r="F14" s="7">
        <f>E.1项目运营期费用!F14</f>
        <v/>
      </c>
      <c r="G14" s="7">
        <f>E.1项目运营期费用!G14</f>
        <v/>
      </c>
      <c r="H14" s="7">
        <f>E.1项目运营期费用!H14</f>
        <v/>
      </c>
      <c r="I14" s="7">
        <f>E.1项目运营期费用!I14</f>
        <v/>
      </c>
      <c r="J14" s="7">
        <f>E.1项目运营期费用!J14</f>
        <v/>
      </c>
      <c r="K14" s="7">
        <f>E.1项目运营期费用!K14</f>
        <v/>
      </c>
      <c r="L14" s="7">
        <f>E.1项目运营期费用!L14</f>
        <v/>
      </c>
      <c r="M14" s="7">
        <f>E.1项目运营期费用!M14</f>
        <v/>
      </c>
      <c r="N14" s="7">
        <f>E.1项目运营期费用!#REF!</f>
        <v/>
      </c>
      <c r="O14" s="7">
        <f>E.1项目运营期费用!#REF!</f>
        <v/>
      </c>
      <c r="P14" s="7">
        <f>E.1项目运营期费用!#REF!</f>
        <v/>
      </c>
      <c r="Q14" s="7">
        <f>E.1项目运营期费用!#REF!</f>
        <v/>
      </c>
      <c r="R14" s="7">
        <f>E.1项目运营期费用!#REF!</f>
        <v/>
      </c>
      <c r="S14" s="7">
        <f>E.1项目运营期费用!#REF!</f>
        <v/>
      </c>
      <c r="T14" s="7">
        <f>E.1项目运营期费用!#REF!</f>
        <v/>
      </c>
      <c r="U14" s="7">
        <f>E.1项目运营期费用!#REF!</f>
        <v/>
      </c>
      <c r="V14" s="7">
        <f>E.1项目运营期费用!#REF!</f>
        <v/>
      </c>
      <c r="W14" s="7">
        <f>E.1项目运营期费用!#REF!</f>
        <v/>
      </c>
      <c r="X14" s="7">
        <f>E.1项目运营期费用!#REF!</f>
        <v/>
      </c>
      <c r="Y14" s="7">
        <f>E.1项目运营期费用!#REF!</f>
        <v/>
      </c>
      <c r="Z14" s="7">
        <f>E.1项目运营期费用!#REF!</f>
        <v/>
      </c>
      <c r="AA14" s="7">
        <f>E.1项目运营期费用!#REF!</f>
        <v/>
      </c>
      <c r="AB14" s="7">
        <f>E.1项目运营期费用!#REF!</f>
        <v/>
      </c>
      <c r="AC14" s="7">
        <f>E.1项目运营期费用!#REF!</f>
        <v/>
      </c>
      <c r="AD14" s="7">
        <f>E.1项目运营期费用!#REF!</f>
        <v/>
      </c>
      <c r="AE14" s="7">
        <f>E.1项目运营期费用!N14</f>
        <v/>
      </c>
    </row>
    <row r="15" s="162">
      <c r="A15" s="10">
        <f>E.1项目运营期费用!A15</f>
        <v/>
      </c>
      <c r="B15" s="10">
        <f>E.1项目运营期费用!B15</f>
        <v/>
      </c>
      <c r="C15" s="25">
        <f>E.1项目运营期费用!C15</f>
        <v/>
      </c>
      <c r="D15" s="25">
        <f>E.1项目运营期费用!D15</f>
        <v/>
      </c>
      <c r="E15" s="7">
        <f>E.1项目运营期费用!E15</f>
        <v/>
      </c>
      <c r="F15" s="7">
        <f>E.1项目运营期费用!F15</f>
        <v/>
      </c>
      <c r="G15" s="7">
        <f>E.1项目运营期费用!G15</f>
        <v/>
      </c>
      <c r="H15" s="7">
        <f>E.1项目运营期费用!H15</f>
        <v/>
      </c>
      <c r="I15" s="7">
        <f>E.1项目运营期费用!I15</f>
        <v/>
      </c>
      <c r="J15" s="7">
        <f>E.1项目运营期费用!J15</f>
        <v/>
      </c>
      <c r="K15" s="7">
        <f>E.1项目运营期费用!K15</f>
        <v/>
      </c>
      <c r="L15" s="7">
        <f>E.1项目运营期费用!L15</f>
        <v/>
      </c>
      <c r="M15" s="7">
        <f>E.1项目运营期费用!M15</f>
        <v/>
      </c>
      <c r="N15" s="7">
        <f>E.1项目运营期费用!#REF!</f>
        <v/>
      </c>
      <c r="O15" s="7">
        <f>E.1项目运营期费用!#REF!</f>
        <v/>
      </c>
      <c r="P15" s="7">
        <f>E.1项目运营期费用!#REF!</f>
        <v/>
      </c>
      <c r="Q15" s="7">
        <f>E.1项目运营期费用!#REF!</f>
        <v/>
      </c>
      <c r="R15" s="7">
        <f>E.1项目运营期费用!#REF!</f>
        <v/>
      </c>
      <c r="S15" s="7">
        <f>E.1项目运营期费用!#REF!</f>
        <v/>
      </c>
      <c r="T15" s="7">
        <f>E.1项目运营期费用!#REF!</f>
        <v/>
      </c>
      <c r="U15" s="7">
        <f>E.1项目运营期费用!#REF!</f>
        <v/>
      </c>
      <c r="V15" s="7">
        <f>E.1项目运营期费用!#REF!</f>
        <v/>
      </c>
      <c r="W15" s="7">
        <f>E.1项目运营期费用!#REF!</f>
        <v/>
      </c>
      <c r="X15" s="7">
        <f>E.1项目运营期费用!#REF!</f>
        <v/>
      </c>
      <c r="Y15" s="7">
        <f>E.1项目运营期费用!#REF!</f>
        <v/>
      </c>
      <c r="Z15" s="7">
        <f>E.1项目运营期费用!#REF!</f>
        <v/>
      </c>
      <c r="AA15" s="7">
        <f>E.1项目运营期费用!#REF!</f>
        <v/>
      </c>
      <c r="AB15" s="7">
        <f>E.1项目运营期费用!#REF!</f>
        <v/>
      </c>
      <c r="AC15" s="7">
        <f>E.1项目运营期费用!#REF!</f>
        <v/>
      </c>
      <c r="AD15" s="7">
        <f>E.1项目运营期费用!#REF!</f>
        <v/>
      </c>
      <c r="AE15" s="7">
        <f>E.1项目运营期费用!N15</f>
        <v/>
      </c>
    </row>
    <row r="16" s="162">
      <c r="A16" s="10">
        <f>E.1项目运营期费用!A16</f>
        <v/>
      </c>
      <c r="B16" s="10">
        <f>E.1项目运营期费用!B16</f>
        <v/>
      </c>
      <c r="C16" s="25">
        <f>E.1项目运营期费用!C16</f>
        <v/>
      </c>
      <c r="D16" s="25">
        <f>E.1项目运营期费用!D16</f>
        <v/>
      </c>
      <c r="E16" s="7">
        <f>E.1项目运营期费用!E16</f>
        <v/>
      </c>
      <c r="F16" s="7">
        <f>E.1项目运营期费用!F16</f>
        <v/>
      </c>
      <c r="G16" s="7">
        <f>E.1项目运营期费用!G16</f>
        <v/>
      </c>
      <c r="H16" s="7">
        <f>E.1项目运营期费用!H16</f>
        <v/>
      </c>
      <c r="I16" s="7">
        <f>E.1项目运营期费用!I16</f>
        <v/>
      </c>
      <c r="J16" s="7">
        <f>E.1项目运营期费用!J16</f>
        <v/>
      </c>
      <c r="K16" s="7">
        <f>E.1项目运营期费用!K16</f>
        <v/>
      </c>
      <c r="L16" s="7">
        <f>E.1项目运营期费用!L16</f>
        <v/>
      </c>
      <c r="M16" s="7">
        <f>E.1项目运营期费用!M16</f>
        <v/>
      </c>
      <c r="N16" s="7">
        <f>E.1项目运营期费用!#REF!</f>
        <v/>
      </c>
      <c r="O16" s="7">
        <f>E.1项目运营期费用!#REF!</f>
        <v/>
      </c>
      <c r="P16" s="7">
        <f>E.1项目运营期费用!#REF!</f>
        <v/>
      </c>
      <c r="Q16" s="7">
        <f>E.1项目运营期费用!#REF!</f>
        <v/>
      </c>
      <c r="R16" s="7">
        <f>E.1项目运营期费用!#REF!</f>
        <v/>
      </c>
      <c r="S16" s="7">
        <f>E.1项目运营期费用!#REF!</f>
        <v/>
      </c>
      <c r="T16" s="7">
        <f>E.1项目运营期费用!#REF!</f>
        <v/>
      </c>
      <c r="U16" s="7">
        <f>E.1项目运营期费用!#REF!</f>
        <v/>
      </c>
      <c r="V16" s="7">
        <f>E.1项目运营期费用!#REF!</f>
        <v/>
      </c>
      <c r="W16" s="7">
        <f>E.1项目运营期费用!#REF!</f>
        <v/>
      </c>
      <c r="X16" s="7">
        <f>E.1项目运营期费用!#REF!</f>
        <v/>
      </c>
      <c r="Y16" s="7">
        <f>E.1项目运营期费用!#REF!</f>
        <v/>
      </c>
      <c r="Z16" s="7">
        <f>E.1项目运营期费用!#REF!</f>
        <v/>
      </c>
      <c r="AA16" s="7">
        <f>E.1项目运营期费用!#REF!</f>
        <v/>
      </c>
      <c r="AB16" s="7">
        <f>E.1项目运营期费用!#REF!</f>
        <v/>
      </c>
      <c r="AC16" s="7">
        <f>E.1项目运营期费用!#REF!</f>
        <v/>
      </c>
      <c r="AD16" s="7">
        <f>E.1项目运营期费用!#REF!</f>
        <v/>
      </c>
      <c r="AE16" s="7">
        <f>E.1项目运营期费用!N16</f>
        <v/>
      </c>
    </row>
    <row r="17" s="162">
      <c r="A17" s="184" t="n"/>
      <c r="B17" s="10">
        <f>E.1项目运营期费用!B17</f>
        <v/>
      </c>
      <c r="C17" s="25">
        <f>E.1项目运营期费用!C17</f>
        <v/>
      </c>
      <c r="D17" s="25">
        <f>E.1项目运营期费用!D17</f>
        <v/>
      </c>
      <c r="E17" s="7">
        <f>E.1项目运营期费用!E17</f>
        <v/>
      </c>
      <c r="F17" s="7">
        <f>E.1项目运营期费用!F17</f>
        <v/>
      </c>
      <c r="G17" s="7">
        <f>E.1项目运营期费用!G17</f>
        <v/>
      </c>
      <c r="H17" s="7">
        <f>E.1项目运营期费用!H17</f>
        <v/>
      </c>
      <c r="I17" s="7">
        <f>E.1项目运营期费用!I17</f>
        <v/>
      </c>
      <c r="J17" s="7">
        <f>E.1项目运营期费用!J17</f>
        <v/>
      </c>
      <c r="K17" s="7">
        <f>E.1项目运营期费用!K17</f>
        <v/>
      </c>
      <c r="L17" s="7">
        <f>E.1项目运营期费用!L17</f>
        <v/>
      </c>
      <c r="M17" s="7">
        <f>E.1项目运营期费用!M17</f>
        <v/>
      </c>
      <c r="N17" s="7">
        <f>E.1项目运营期费用!#REF!</f>
        <v/>
      </c>
      <c r="O17" s="7">
        <f>E.1项目运营期费用!#REF!</f>
        <v/>
      </c>
      <c r="P17" s="7">
        <f>E.1项目运营期费用!#REF!</f>
        <v/>
      </c>
      <c r="Q17" s="7">
        <f>E.1项目运营期费用!#REF!</f>
        <v/>
      </c>
      <c r="R17" s="7">
        <f>E.1项目运营期费用!#REF!</f>
        <v/>
      </c>
      <c r="S17" s="7">
        <f>E.1项目运营期费用!#REF!</f>
        <v/>
      </c>
      <c r="T17" s="7">
        <f>E.1项目运营期费用!#REF!</f>
        <v/>
      </c>
      <c r="U17" s="7">
        <f>E.1项目运营期费用!#REF!</f>
        <v/>
      </c>
      <c r="V17" s="7">
        <f>E.1项目运营期费用!#REF!</f>
        <v/>
      </c>
      <c r="W17" s="7">
        <f>E.1项目运营期费用!#REF!</f>
        <v/>
      </c>
      <c r="X17" s="7">
        <f>E.1项目运营期费用!#REF!</f>
        <v/>
      </c>
      <c r="Y17" s="7">
        <f>E.1项目运营期费用!#REF!</f>
        <v/>
      </c>
      <c r="Z17" s="7">
        <f>E.1项目运营期费用!#REF!</f>
        <v/>
      </c>
      <c r="AA17" s="7">
        <f>E.1项目运营期费用!#REF!</f>
        <v/>
      </c>
      <c r="AB17" s="7">
        <f>E.1项目运营期费用!#REF!</f>
        <v/>
      </c>
      <c r="AC17" s="7">
        <f>E.1项目运营期费用!#REF!</f>
        <v/>
      </c>
      <c r="AD17" s="7">
        <f>E.1项目运营期费用!#REF!</f>
        <v/>
      </c>
      <c r="AE17" s="7">
        <f>E.1项目运营期费用!N17</f>
        <v/>
      </c>
    </row>
    <row r="18" s="162">
      <c r="A18" s="164" t="n"/>
      <c r="B18" s="10">
        <f>E.1项目运营期费用!B18</f>
        <v/>
      </c>
      <c r="C18" s="25">
        <f>E.1项目运营期费用!C18</f>
        <v/>
      </c>
      <c r="D18" s="25">
        <f>E.1项目运营期费用!D18</f>
        <v/>
      </c>
      <c r="E18" s="7">
        <f>E.1项目运营期费用!E18</f>
        <v/>
      </c>
      <c r="F18" s="7">
        <f>E.1项目运营期费用!F18</f>
        <v/>
      </c>
      <c r="G18" s="7">
        <f>E.1项目运营期费用!G18</f>
        <v/>
      </c>
      <c r="H18" s="7">
        <f>E.1项目运营期费用!H18</f>
        <v/>
      </c>
      <c r="I18" s="7">
        <f>E.1项目运营期费用!I18</f>
        <v/>
      </c>
      <c r="J18" s="7">
        <f>E.1项目运营期费用!J18</f>
        <v/>
      </c>
      <c r="K18" s="7">
        <f>E.1项目运营期费用!K18</f>
        <v/>
      </c>
      <c r="L18" s="7">
        <f>E.1项目运营期费用!L18</f>
        <v/>
      </c>
      <c r="M18" s="7">
        <f>E.1项目运营期费用!M18</f>
        <v/>
      </c>
      <c r="N18" s="7">
        <f>E.1项目运营期费用!#REF!</f>
        <v/>
      </c>
      <c r="O18" s="7">
        <f>E.1项目运营期费用!#REF!</f>
        <v/>
      </c>
      <c r="P18" s="7">
        <f>E.1项目运营期费用!#REF!</f>
        <v/>
      </c>
      <c r="Q18" s="7">
        <f>E.1项目运营期费用!#REF!</f>
        <v/>
      </c>
      <c r="R18" s="7">
        <f>E.1项目运营期费用!#REF!</f>
        <v/>
      </c>
      <c r="S18" s="7">
        <f>E.1项目运营期费用!#REF!</f>
        <v/>
      </c>
      <c r="T18" s="7">
        <f>E.1项目运营期费用!#REF!</f>
        <v/>
      </c>
      <c r="U18" s="7">
        <f>E.1项目运营期费用!#REF!</f>
        <v/>
      </c>
      <c r="V18" s="7">
        <f>E.1项目运营期费用!#REF!</f>
        <v/>
      </c>
      <c r="W18" s="7">
        <f>E.1项目运营期费用!#REF!</f>
        <v/>
      </c>
      <c r="X18" s="7">
        <f>E.1项目运营期费用!#REF!</f>
        <v/>
      </c>
      <c r="Y18" s="7">
        <f>E.1项目运营期费用!#REF!</f>
        <v/>
      </c>
      <c r="Z18" s="7">
        <f>E.1项目运营期费用!#REF!</f>
        <v/>
      </c>
      <c r="AA18" s="7">
        <f>E.1项目运营期费用!#REF!</f>
        <v/>
      </c>
      <c r="AB18" s="7">
        <f>E.1项目运营期费用!#REF!</f>
        <v/>
      </c>
      <c r="AC18" s="7">
        <f>E.1项目运营期费用!#REF!</f>
        <v/>
      </c>
      <c r="AD18" s="7">
        <f>E.1项目运营期费用!#REF!</f>
        <v/>
      </c>
      <c r="AE18" s="7">
        <f>E.1项目运营期费用!N18</f>
        <v/>
      </c>
    </row>
    <row r="19" s="162">
      <c r="A19" s="10">
        <f>E.1项目运营期费用!A19</f>
        <v/>
      </c>
      <c r="B19" s="10">
        <f>E.1项目运营期费用!B19</f>
        <v/>
      </c>
      <c r="C19" s="25">
        <f>E.1项目运营期费用!C19</f>
        <v/>
      </c>
      <c r="D19" s="25">
        <f>E.1项目运营期费用!D19</f>
        <v/>
      </c>
      <c r="E19" s="7">
        <f>E.1项目运营期费用!E19</f>
        <v/>
      </c>
      <c r="F19" s="7">
        <f>E.1项目运营期费用!F19</f>
        <v/>
      </c>
      <c r="G19" s="7">
        <f>E.1项目运营期费用!G19</f>
        <v/>
      </c>
      <c r="H19" s="7">
        <f>E.1项目运营期费用!H19</f>
        <v/>
      </c>
      <c r="I19" s="7">
        <f>E.1项目运营期费用!I19</f>
        <v/>
      </c>
      <c r="J19" s="7">
        <f>E.1项目运营期费用!J19</f>
        <v/>
      </c>
      <c r="K19" s="7">
        <f>E.1项目运营期费用!K19</f>
        <v/>
      </c>
      <c r="L19" s="7">
        <f>E.1项目运营期费用!L19</f>
        <v/>
      </c>
      <c r="M19" s="7">
        <f>E.1项目运营期费用!M19</f>
        <v/>
      </c>
      <c r="N19" s="7">
        <f>E.1项目运营期费用!#REF!</f>
        <v/>
      </c>
      <c r="O19" s="7">
        <f>E.1项目运营期费用!#REF!</f>
        <v/>
      </c>
      <c r="P19" s="7">
        <f>E.1项目运营期费用!#REF!</f>
        <v/>
      </c>
      <c r="Q19" s="7">
        <f>E.1项目运营期费用!#REF!</f>
        <v/>
      </c>
      <c r="R19" s="7">
        <f>E.1项目运营期费用!#REF!</f>
        <v/>
      </c>
      <c r="S19" s="7">
        <f>E.1项目运营期费用!#REF!</f>
        <v/>
      </c>
      <c r="T19" s="7">
        <f>E.1项目运营期费用!#REF!</f>
        <v/>
      </c>
      <c r="U19" s="7">
        <f>E.1项目运营期费用!#REF!</f>
        <v/>
      </c>
      <c r="V19" s="7">
        <f>E.1项目运营期费用!#REF!</f>
        <v/>
      </c>
      <c r="W19" s="7">
        <f>E.1项目运营期费用!#REF!</f>
        <v/>
      </c>
      <c r="X19" s="7">
        <f>E.1项目运营期费用!#REF!</f>
        <v/>
      </c>
      <c r="Y19" s="7">
        <f>E.1项目运营期费用!#REF!</f>
        <v/>
      </c>
      <c r="Z19" s="7">
        <f>E.1项目运营期费用!#REF!</f>
        <v/>
      </c>
      <c r="AA19" s="7">
        <f>E.1项目运营期费用!#REF!</f>
        <v/>
      </c>
      <c r="AB19" s="7">
        <f>E.1项目运营期费用!#REF!</f>
        <v/>
      </c>
      <c r="AC19" s="7">
        <f>E.1项目运营期费用!#REF!</f>
        <v/>
      </c>
      <c r="AD19" s="7">
        <f>E.1项目运营期费用!#REF!</f>
        <v/>
      </c>
      <c r="AE19" s="7">
        <f>E.1项目运营期费用!N19</f>
        <v/>
      </c>
    </row>
    <row r="20" s="162">
      <c r="A20" s="184" t="n"/>
      <c r="B20" s="10">
        <f>E.1项目运营期费用!B20</f>
        <v/>
      </c>
      <c r="C20" s="25">
        <f>E.1项目运营期费用!C20</f>
        <v/>
      </c>
      <c r="D20" s="25">
        <f>E.1项目运营期费用!D20</f>
        <v/>
      </c>
      <c r="E20" s="7">
        <f>E.1项目运营期费用!E20</f>
        <v/>
      </c>
      <c r="F20" s="7">
        <f>E.1项目运营期费用!F20</f>
        <v/>
      </c>
      <c r="G20" s="7">
        <f>E.1项目运营期费用!G20</f>
        <v/>
      </c>
      <c r="H20" s="7">
        <f>E.1项目运营期费用!H20</f>
        <v/>
      </c>
      <c r="I20" s="7">
        <f>E.1项目运营期费用!I20</f>
        <v/>
      </c>
      <c r="J20" s="7">
        <f>E.1项目运营期费用!J20</f>
        <v/>
      </c>
      <c r="K20" s="7">
        <f>E.1项目运营期费用!K20</f>
        <v/>
      </c>
      <c r="L20" s="7">
        <f>E.1项目运营期费用!L20</f>
        <v/>
      </c>
      <c r="M20" s="7">
        <f>E.1项目运营期费用!M20</f>
        <v/>
      </c>
      <c r="N20" s="7">
        <f>E.1项目运营期费用!#REF!</f>
        <v/>
      </c>
      <c r="O20" s="7">
        <f>E.1项目运营期费用!#REF!</f>
        <v/>
      </c>
      <c r="P20" s="7">
        <f>E.1项目运营期费用!#REF!</f>
        <v/>
      </c>
      <c r="Q20" s="7">
        <f>E.1项目运营期费用!#REF!</f>
        <v/>
      </c>
      <c r="R20" s="7">
        <f>E.1项目运营期费用!#REF!</f>
        <v/>
      </c>
      <c r="S20" s="7">
        <f>E.1项目运营期费用!#REF!</f>
        <v/>
      </c>
      <c r="T20" s="7">
        <f>E.1项目运营期费用!#REF!</f>
        <v/>
      </c>
      <c r="U20" s="7">
        <f>E.1项目运营期费用!#REF!</f>
        <v/>
      </c>
      <c r="V20" s="7">
        <f>E.1项目运营期费用!#REF!</f>
        <v/>
      </c>
      <c r="W20" s="7">
        <f>E.1项目运营期费用!#REF!</f>
        <v/>
      </c>
      <c r="X20" s="7">
        <f>E.1项目运营期费用!#REF!</f>
        <v/>
      </c>
      <c r="Y20" s="7">
        <f>E.1项目运营期费用!#REF!</f>
        <v/>
      </c>
      <c r="Z20" s="7">
        <f>E.1项目运营期费用!#REF!</f>
        <v/>
      </c>
      <c r="AA20" s="7">
        <f>E.1项目运营期费用!#REF!</f>
        <v/>
      </c>
      <c r="AB20" s="7">
        <f>E.1项目运营期费用!#REF!</f>
        <v/>
      </c>
      <c r="AC20" s="7">
        <f>E.1项目运营期费用!#REF!</f>
        <v/>
      </c>
      <c r="AD20" s="7">
        <f>E.1项目运营期费用!#REF!</f>
        <v/>
      </c>
      <c r="AE20" s="7">
        <f>E.1项目运营期费用!N20</f>
        <v/>
      </c>
    </row>
    <row r="21" s="162">
      <c r="A21" s="164" t="n"/>
      <c r="B21" s="10">
        <f>E.1项目运营期费用!B21</f>
        <v/>
      </c>
      <c r="C21" s="25">
        <f>E.1项目运营期费用!C21</f>
        <v/>
      </c>
      <c r="D21" s="25">
        <f>E.1项目运营期费用!D21</f>
        <v/>
      </c>
      <c r="E21" s="7">
        <f>E.1项目运营期费用!E21</f>
        <v/>
      </c>
      <c r="F21" s="7">
        <f>E.1项目运营期费用!F21</f>
        <v/>
      </c>
      <c r="G21" s="7">
        <f>E.1项目运营期费用!G21</f>
        <v/>
      </c>
      <c r="H21" s="7">
        <f>E.1项目运营期费用!H21</f>
        <v/>
      </c>
      <c r="I21" s="7">
        <f>E.1项目运营期费用!I21</f>
        <v/>
      </c>
      <c r="J21" s="7">
        <f>E.1项目运营期费用!J21</f>
        <v/>
      </c>
      <c r="K21" s="7">
        <f>E.1项目运营期费用!K21</f>
        <v/>
      </c>
      <c r="L21" s="7">
        <f>E.1项目运营期费用!L21</f>
        <v/>
      </c>
      <c r="M21" s="7">
        <f>E.1项目运营期费用!M21</f>
        <v/>
      </c>
      <c r="N21" s="7">
        <f>E.1项目运营期费用!#REF!</f>
        <v/>
      </c>
      <c r="O21" s="7">
        <f>E.1项目运营期费用!#REF!</f>
        <v/>
      </c>
      <c r="P21" s="7">
        <f>E.1项目运营期费用!#REF!</f>
        <v/>
      </c>
      <c r="Q21" s="7">
        <f>E.1项目运营期费用!#REF!</f>
        <v/>
      </c>
      <c r="R21" s="7">
        <f>E.1项目运营期费用!#REF!</f>
        <v/>
      </c>
      <c r="S21" s="7">
        <f>E.1项目运营期费用!#REF!</f>
        <v/>
      </c>
      <c r="T21" s="7">
        <f>E.1项目运营期费用!#REF!</f>
        <v/>
      </c>
      <c r="U21" s="7">
        <f>E.1项目运营期费用!#REF!</f>
        <v/>
      </c>
      <c r="V21" s="7">
        <f>E.1项目运营期费用!#REF!</f>
        <v/>
      </c>
      <c r="W21" s="7">
        <f>E.1项目运营期费用!#REF!</f>
        <v/>
      </c>
      <c r="X21" s="7">
        <f>E.1项目运营期费用!#REF!</f>
        <v/>
      </c>
      <c r="Y21" s="7">
        <f>E.1项目运营期费用!#REF!</f>
        <v/>
      </c>
      <c r="Z21" s="7">
        <f>E.1项目运营期费用!#REF!</f>
        <v/>
      </c>
      <c r="AA21" s="7">
        <f>E.1项目运营期费用!#REF!</f>
        <v/>
      </c>
      <c r="AB21" s="7">
        <f>E.1项目运营期费用!#REF!</f>
        <v/>
      </c>
      <c r="AC21" s="7">
        <f>E.1项目运营期费用!#REF!</f>
        <v/>
      </c>
      <c r="AD21" s="7">
        <f>E.1项目运营期费用!#REF!</f>
        <v/>
      </c>
      <c r="AE21" s="7">
        <f>E.1项目运营期费用!N21</f>
        <v/>
      </c>
    </row>
    <row r="22" s="162">
      <c r="A22" s="10">
        <f>E.1项目运营期费用!A22</f>
        <v/>
      </c>
      <c r="B22" s="10">
        <f>E.1项目运营期费用!B22</f>
        <v/>
      </c>
      <c r="C22" s="25">
        <f>E.1项目运营期费用!C22</f>
        <v/>
      </c>
      <c r="D22" s="25">
        <f>E.1项目运营期费用!D22</f>
        <v/>
      </c>
      <c r="E22" s="7">
        <f>E.1项目运营期费用!E22</f>
        <v/>
      </c>
      <c r="F22" s="7">
        <f>E.1项目运营期费用!F22</f>
        <v/>
      </c>
      <c r="G22" s="7">
        <f>E.1项目运营期费用!G22</f>
        <v/>
      </c>
      <c r="H22" s="7">
        <f>E.1项目运营期费用!H22</f>
        <v/>
      </c>
      <c r="I22" s="7">
        <f>E.1项目运营期费用!I22</f>
        <v/>
      </c>
      <c r="J22" s="7">
        <f>E.1项目运营期费用!J22</f>
        <v/>
      </c>
      <c r="K22" s="7">
        <f>E.1项目运营期费用!K22</f>
        <v/>
      </c>
      <c r="L22" s="7">
        <f>E.1项目运营期费用!L22</f>
        <v/>
      </c>
      <c r="M22" s="7">
        <f>E.1项目运营期费用!M22</f>
        <v/>
      </c>
      <c r="N22" s="7">
        <f>E.1项目运营期费用!#REF!</f>
        <v/>
      </c>
      <c r="O22" s="7">
        <f>E.1项目运营期费用!#REF!</f>
        <v/>
      </c>
      <c r="P22" s="7">
        <f>E.1项目运营期费用!#REF!</f>
        <v/>
      </c>
      <c r="Q22" s="7">
        <f>E.1项目运营期费用!#REF!</f>
        <v/>
      </c>
      <c r="R22" s="7">
        <f>E.1项目运营期费用!#REF!</f>
        <v/>
      </c>
      <c r="S22" s="7">
        <f>E.1项目运营期费用!#REF!</f>
        <v/>
      </c>
      <c r="T22" s="7">
        <f>E.1项目运营期费用!#REF!</f>
        <v/>
      </c>
      <c r="U22" s="7">
        <f>E.1项目运营期费用!#REF!</f>
        <v/>
      </c>
      <c r="V22" s="7">
        <f>E.1项目运营期费用!#REF!</f>
        <v/>
      </c>
      <c r="W22" s="7">
        <f>E.1项目运营期费用!#REF!</f>
        <v/>
      </c>
      <c r="X22" s="7">
        <f>E.1项目运营期费用!#REF!</f>
        <v/>
      </c>
      <c r="Y22" s="7">
        <f>E.1项目运营期费用!#REF!</f>
        <v/>
      </c>
      <c r="Z22" s="7">
        <f>E.1项目运营期费用!#REF!</f>
        <v/>
      </c>
      <c r="AA22" s="7">
        <f>E.1项目运营期费用!#REF!</f>
        <v/>
      </c>
      <c r="AB22" s="7">
        <f>E.1项目运营期费用!#REF!</f>
        <v/>
      </c>
      <c r="AC22" s="7">
        <f>E.1项目运营期费用!#REF!</f>
        <v/>
      </c>
      <c r="AD22" s="7">
        <f>E.1项目运营期费用!#REF!</f>
        <v/>
      </c>
      <c r="AE22" s="7">
        <f>E.1项目运营期费用!N22</f>
        <v/>
      </c>
    </row>
    <row r="23" s="162">
      <c r="A23" s="164" t="n"/>
      <c r="B23" s="10">
        <f>E.1项目运营期费用!B23</f>
        <v/>
      </c>
      <c r="C23" s="25">
        <f>E.1项目运营期费用!C23</f>
        <v/>
      </c>
      <c r="D23" s="25">
        <f>E.1项目运营期费用!D23</f>
        <v/>
      </c>
      <c r="E23" s="7">
        <f>E.1项目运营期费用!E23</f>
        <v/>
      </c>
      <c r="F23" s="7">
        <f>E.1项目运营期费用!F23</f>
        <v/>
      </c>
      <c r="G23" s="7">
        <f>E.1项目运营期费用!G23</f>
        <v/>
      </c>
      <c r="H23" s="7">
        <f>E.1项目运营期费用!H23</f>
        <v/>
      </c>
      <c r="I23" s="7">
        <f>E.1项目运营期费用!I23</f>
        <v/>
      </c>
      <c r="J23" s="7">
        <f>E.1项目运营期费用!J23</f>
        <v/>
      </c>
      <c r="K23" s="7">
        <f>E.1项目运营期费用!K23</f>
        <v/>
      </c>
      <c r="L23" s="7">
        <f>E.1项目运营期费用!L23</f>
        <v/>
      </c>
      <c r="M23" s="7">
        <f>E.1项目运营期费用!M23</f>
        <v/>
      </c>
      <c r="N23" s="7">
        <f>E.1项目运营期费用!#REF!</f>
        <v/>
      </c>
      <c r="O23" s="7">
        <f>E.1项目运营期费用!#REF!</f>
        <v/>
      </c>
      <c r="P23" s="7">
        <f>E.1项目运营期费用!#REF!</f>
        <v/>
      </c>
      <c r="Q23" s="7">
        <f>E.1项目运营期费用!#REF!</f>
        <v/>
      </c>
      <c r="R23" s="7">
        <f>E.1项目运营期费用!#REF!</f>
        <v/>
      </c>
      <c r="S23" s="7">
        <f>E.1项目运营期费用!#REF!</f>
        <v/>
      </c>
      <c r="T23" s="7">
        <f>E.1项目运营期费用!#REF!</f>
        <v/>
      </c>
      <c r="U23" s="7">
        <f>E.1项目运营期费用!#REF!</f>
        <v/>
      </c>
      <c r="V23" s="7">
        <f>E.1项目运营期费用!#REF!</f>
        <v/>
      </c>
      <c r="W23" s="7">
        <f>E.1项目运营期费用!#REF!</f>
        <v/>
      </c>
      <c r="X23" s="7">
        <f>E.1项目运营期费用!#REF!</f>
        <v/>
      </c>
      <c r="Y23" s="7">
        <f>E.1项目运营期费用!#REF!</f>
        <v/>
      </c>
      <c r="Z23" s="7">
        <f>E.1项目运营期费用!#REF!</f>
        <v/>
      </c>
      <c r="AA23" s="7">
        <f>E.1项目运营期费用!#REF!</f>
        <v/>
      </c>
      <c r="AB23" s="7">
        <f>E.1项目运营期费用!#REF!</f>
        <v/>
      </c>
      <c r="AC23" s="7">
        <f>E.1项目运营期费用!#REF!</f>
        <v/>
      </c>
      <c r="AD23" s="7">
        <f>E.1项目运营期费用!#REF!</f>
        <v/>
      </c>
      <c r="AE23" s="7">
        <f>E.1项目运营期费用!N23</f>
        <v/>
      </c>
    </row>
  </sheetData>
  <mergeCells count="14">
    <mergeCell ref="A4:A7"/>
    <mergeCell ref="A8:A10"/>
    <mergeCell ref="A22:A23"/>
    <mergeCell ref="A12:A13"/>
    <mergeCell ref="A16:A18"/>
    <mergeCell ref="C2:C3"/>
    <mergeCell ref="A1:AE1"/>
    <mergeCell ref="A19:A21"/>
    <mergeCell ref="A2:A3"/>
    <mergeCell ref="B2:B3"/>
    <mergeCell ref="D2:D3"/>
    <mergeCell ref="F2:F3"/>
    <mergeCell ref="E2:E3"/>
    <mergeCell ref="G2:G3"/>
  </mergeCells>
  <pageMargins left="0.75" right="0.75" top="1" bottom="1" header="0.5" footer="0.5"/>
</worksheet>
</file>

<file path=xl/worksheets/sheet31.xml><?xml version="1.0" encoding="utf-8"?>
<worksheet xmlns="http://schemas.openxmlformats.org/spreadsheetml/2006/main">
  <sheetPr codeName="Sheet31">
    <tabColor rgb="FFFFC000"/>
    <outlinePr summaryBelow="1" summaryRight="1"/>
    <pageSetUpPr/>
  </sheetPr>
  <dimension ref="A1:X6"/>
  <sheetViews>
    <sheetView workbookViewId="0">
      <selection activeCell="F4" sqref="F4"/>
    </sheetView>
  </sheetViews>
  <sheetFormatPr baseColWidth="8" defaultColWidth="14.7818181818182" defaultRowHeight="28.05" customHeight="1" outlineLevelRow="5"/>
  <cols>
    <col width="14.7818181818182" customWidth="1" style="162" min="1" max="1"/>
    <col width="6.44545454545455" customWidth="1" style="162" min="2" max="2"/>
    <col width="8.66363636363636" customWidth="1" style="162" min="3" max="4"/>
    <col width="9.554545454545449" customWidth="1" style="162" min="5" max="12"/>
    <col width="8.66363636363636" customWidth="1" style="162" min="13" max="24"/>
    <col width="14.7818181818182" customWidth="1" style="162" min="25" max="25"/>
  </cols>
  <sheetData>
    <row r="1" s="162">
      <c r="A1" s="14" t="inlineStr">
        <is>
          <t>Ⅴ项目分年度收益表（万元）</t>
        </is>
      </c>
      <c r="B1" s="167" t="n"/>
      <c r="C1" s="167" t="n"/>
      <c r="D1" s="167" t="n"/>
      <c r="E1" s="167" t="n"/>
      <c r="F1" s="167" t="n"/>
      <c r="G1" s="167" t="n"/>
      <c r="H1" s="167" t="n"/>
      <c r="I1" s="167" t="n"/>
      <c r="J1" s="167" t="n"/>
      <c r="K1" s="167" t="n"/>
      <c r="L1" s="167" t="n"/>
      <c r="M1" s="167" t="n"/>
      <c r="N1" s="167" t="n"/>
      <c r="O1" s="167" t="n"/>
      <c r="P1" s="167" t="n"/>
      <c r="Q1" s="167" t="n"/>
      <c r="R1" s="167" t="n"/>
      <c r="S1" s="167" t="n"/>
      <c r="T1" s="167" t="n"/>
      <c r="U1" s="167" t="n"/>
      <c r="V1" s="167" t="n"/>
      <c r="W1" s="167" t="n"/>
      <c r="X1" s="167" t="n"/>
    </row>
    <row r="2" s="162">
      <c r="A2" s="2" t="inlineStr">
        <is>
          <t>类别</t>
        </is>
      </c>
      <c r="B2" s="2" t="inlineStr">
        <is>
          <t>分年收入</t>
        </is>
      </c>
      <c r="C2" s="167" t="n"/>
      <c r="D2" s="167" t="n"/>
      <c r="E2" s="167" t="n"/>
      <c r="F2" s="167" t="n"/>
      <c r="G2" s="167" t="n"/>
      <c r="H2" s="167" t="n"/>
      <c r="I2" s="167" t="n"/>
      <c r="J2" s="167" t="n"/>
      <c r="K2" s="167" t="n"/>
      <c r="L2" s="167" t="n"/>
      <c r="M2" s="167" t="n"/>
      <c r="N2" s="167" t="n"/>
      <c r="O2" s="167" t="n"/>
      <c r="P2" s="167" t="n"/>
      <c r="Q2" s="167" t="n"/>
      <c r="R2" s="167" t="n"/>
      <c r="S2" s="167" t="n"/>
      <c r="T2" s="167" t="n"/>
      <c r="U2" s="167" t="n"/>
      <c r="V2" s="167" t="n"/>
      <c r="W2" s="167" t="n"/>
      <c r="X2" s="168" t="n"/>
    </row>
    <row r="3" s="162">
      <c r="A3" s="164" t="n"/>
      <c r="B3" s="10" t="n">
        <v>2025</v>
      </c>
      <c r="C3" s="10" t="n">
        <v>2026</v>
      </c>
      <c r="D3" s="10" t="n">
        <v>2027</v>
      </c>
      <c r="E3" s="10" t="n">
        <v>2028</v>
      </c>
      <c r="F3" s="10" t="n">
        <v>2029</v>
      </c>
      <c r="G3" s="10" t="n">
        <v>2030</v>
      </c>
      <c r="H3" s="10" t="n">
        <v>2031</v>
      </c>
      <c r="I3" s="10" t="n">
        <v>2032</v>
      </c>
      <c r="J3" s="10" t="n">
        <v>2033</v>
      </c>
      <c r="K3" s="10" t="n">
        <v>2034</v>
      </c>
      <c r="L3" s="10" t="n">
        <v>2035</v>
      </c>
      <c r="M3" s="10" t="n">
        <v>2036</v>
      </c>
      <c r="N3" s="10" t="n">
        <v>2037</v>
      </c>
      <c r="O3" s="10" t="n">
        <v>2038</v>
      </c>
      <c r="P3" s="10" t="n">
        <v>2039</v>
      </c>
      <c r="Q3" s="10" t="n">
        <v>2040</v>
      </c>
      <c r="R3" s="10" t="n">
        <v>2041</v>
      </c>
      <c r="S3" s="10" t="n">
        <v>2042</v>
      </c>
      <c r="T3" s="10" t="n">
        <v>2043</v>
      </c>
      <c r="U3" s="10" t="n">
        <v>2044</v>
      </c>
      <c r="V3" s="10" t="n">
        <v>2045</v>
      </c>
      <c r="W3" s="10" t="n">
        <v>2046</v>
      </c>
      <c r="X3" s="10" t="n">
        <v>2047</v>
      </c>
    </row>
    <row r="4" s="162">
      <c r="A4" s="7" t="inlineStr">
        <is>
          <t>项目收入</t>
        </is>
      </c>
      <c r="B4" s="177">
        <f>Ⅲ项目分年度收入合计表!B6</f>
        <v/>
      </c>
      <c r="C4" s="177">
        <f>Ⅲ项目分年度收入合计表!C6</f>
        <v/>
      </c>
      <c r="D4" s="177">
        <f>Ⅲ项目分年度收入合计表!D6</f>
        <v/>
      </c>
      <c r="E4" s="177">
        <f>Ⅲ项目分年度收入合计表!E6</f>
        <v/>
      </c>
      <c r="F4" s="177">
        <f>Ⅲ项目分年度收入合计表!F6</f>
        <v/>
      </c>
      <c r="G4" s="177">
        <f>Ⅲ项目分年度收入合计表!G6</f>
        <v/>
      </c>
      <c r="H4" s="177">
        <f>Ⅲ项目分年度收入合计表!H6</f>
        <v/>
      </c>
      <c r="I4" s="177">
        <f>Ⅲ项目分年度收入合计表!I6</f>
        <v/>
      </c>
      <c r="J4" s="177">
        <f>Ⅲ项目分年度收入合计表!J6</f>
        <v/>
      </c>
      <c r="K4" s="177">
        <f>Ⅲ项目分年度收入合计表!K6</f>
        <v/>
      </c>
      <c r="L4" s="177">
        <f>Ⅲ项目分年度收入合计表!L6</f>
        <v/>
      </c>
      <c r="M4" s="177">
        <f>Ⅲ项目分年度收入合计表!M6</f>
        <v/>
      </c>
      <c r="N4" s="177">
        <f>Ⅲ项目分年度收入合计表!N6</f>
        <v/>
      </c>
      <c r="O4" s="177">
        <f>Ⅲ项目分年度收入合计表!O6</f>
        <v/>
      </c>
      <c r="P4" s="177">
        <f>Ⅲ项目分年度收入合计表!P6</f>
        <v/>
      </c>
      <c r="Q4" s="177">
        <f>Ⅲ项目分年度收入合计表!Q6</f>
        <v/>
      </c>
      <c r="R4" s="177">
        <f>Ⅲ项目分年度收入合计表!R6</f>
        <v/>
      </c>
      <c r="S4" s="177">
        <f>Ⅲ项目分年度收入合计表!S6</f>
        <v/>
      </c>
      <c r="T4" s="177">
        <f>Ⅲ项目分年度收入合计表!T6</f>
        <v/>
      </c>
      <c r="U4" s="177">
        <f>Ⅲ项目分年度收入合计表!U6</f>
        <v/>
      </c>
      <c r="V4" s="177">
        <f>Ⅲ项目分年度收入合计表!V6</f>
        <v/>
      </c>
      <c r="W4" s="177">
        <f>Ⅲ项目分年度收入合计表!W6</f>
        <v/>
      </c>
      <c r="X4" s="177">
        <f>Ⅲ项目分年度收入合计表!X6</f>
        <v/>
      </c>
    </row>
    <row r="5" s="162">
      <c r="A5" s="7" t="inlineStr">
        <is>
          <t>运营成本</t>
        </is>
      </c>
      <c r="B5" s="177">
        <f>E总成本费用估算表!C15</f>
        <v/>
      </c>
      <c r="C5" s="177">
        <f>E总成本费用估算表!D15</f>
        <v/>
      </c>
      <c r="D5" s="177">
        <f>E总成本费用估算表!E15</f>
        <v/>
      </c>
      <c r="E5" s="177">
        <f>E总成本费用估算表!F15</f>
        <v/>
      </c>
      <c r="F5" s="177">
        <f>E总成本费用估算表!G15</f>
        <v/>
      </c>
      <c r="G5" s="177">
        <f>E总成本费用估算表!H15</f>
        <v/>
      </c>
      <c r="H5" s="177">
        <f>E总成本费用估算表!#REF!</f>
        <v/>
      </c>
      <c r="I5" s="177">
        <f>E总成本费用估算表!#REF!</f>
        <v/>
      </c>
      <c r="J5" s="177">
        <f>E总成本费用估算表!#REF!</f>
        <v/>
      </c>
      <c r="K5" s="177">
        <f>E总成本费用估算表!#REF!</f>
        <v/>
      </c>
      <c r="L5" s="177">
        <f>E总成本费用估算表!#REF!</f>
        <v/>
      </c>
      <c r="M5" s="177">
        <f>E总成本费用估算表!#REF!</f>
        <v/>
      </c>
      <c r="N5" s="177">
        <f>E总成本费用估算表!#REF!</f>
        <v/>
      </c>
      <c r="O5" s="177">
        <f>E总成本费用估算表!#REF!</f>
        <v/>
      </c>
      <c r="P5" s="177">
        <f>E总成本费用估算表!#REF!</f>
        <v/>
      </c>
      <c r="Q5" s="177">
        <f>E总成本费用估算表!#REF!</f>
        <v/>
      </c>
      <c r="R5" s="177">
        <f>E总成本费用估算表!#REF!</f>
        <v/>
      </c>
      <c r="S5" s="177">
        <f>E总成本费用估算表!#REF!</f>
        <v/>
      </c>
      <c r="T5" s="177">
        <f>E总成本费用估算表!#REF!</f>
        <v/>
      </c>
      <c r="U5" s="177">
        <f>E总成本费用估算表!#REF!</f>
        <v/>
      </c>
      <c r="V5" s="177">
        <f>E总成本费用估算表!#REF!</f>
        <v/>
      </c>
      <c r="W5" s="177">
        <f>E总成本费用估算表!#REF!</f>
        <v/>
      </c>
      <c r="X5" s="177">
        <f>E总成本费用估算表!#REF!</f>
        <v/>
      </c>
    </row>
    <row r="6" s="162">
      <c r="A6" s="7" t="inlineStr">
        <is>
          <t>项目收益</t>
        </is>
      </c>
      <c r="B6" s="177">
        <f>B4-B5</f>
        <v/>
      </c>
      <c r="C6" s="177">
        <f>C4-C5</f>
        <v/>
      </c>
      <c r="D6" s="177">
        <f>D4-D5</f>
        <v/>
      </c>
      <c r="E6" s="177">
        <f>E4-E5</f>
        <v/>
      </c>
      <c r="F6" s="177">
        <f>F4-F5</f>
        <v/>
      </c>
      <c r="G6" s="177">
        <f>G4-G5</f>
        <v/>
      </c>
      <c r="H6" s="177">
        <f>H4-H5</f>
        <v/>
      </c>
      <c r="I6" s="177">
        <f>I4-I5</f>
        <v/>
      </c>
      <c r="J6" s="177">
        <f>J4-J5</f>
        <v/>
      </c>
      <c r="K6" s="177">
        <f>K4-K5</f>
        <v/>
      </c>
      <c r="L6" s="177">
        <f>L4-L5</f>
        <v/>
      </c>
      <c r="M6" s="177">
        <f>M4-M5</f>
        <v/>
      </c>
      <c r="N6" s="177">
        <f>N4-N5</f>
        <v/>
      </c>
      <c r="O6" s="177">
        <f>O4-O5</f>
        <v/>
      </c>
      <c r="P6" s="177">
        <f>P4-P5</f>
        <v/>
      </c>
      <c r="Q6" s="177">
        <f>Q4-Q5</f>
        <v/>
      </c>
      <c r="R6" s="177">
        <f>R4-R5</f>
        <v/>
      </c>
      <c r="S6" s="177">
        <f>S4-S5</f>
        <v/>
      </c>
      <c r="T6" s="177">
        <f>T4-T5</f>
        <v/>
      </c>
      <c r="U6" s="177">
        <f>U4-U5</f>
        <v/>
      </c>
      <c r="V6" s="177">
        <f>V4-V5</f>
        <v/>
      </c>
      <c r="W6" s="177">
        <f>W4-W5</f>
        <v/>
      </c>
      <c r="X6" s="177">
        <f>X4-X5</f>
        <v/>
      </c>
    </row>
  </sheetData>
  <mergeCells count="3">
    <mergeCell ref="B2:X2"/>
    <mergeCell ref="A2:A3"/>
    <mergeCell ref="A1:X1"/>
  </mergeCells>
  <pageMargins left="0.75" right="0.75" top="1" bottom="1" header="0.5" footer="0.5"/>
</worksheet>
</file>

<file path=xl/worksheets/sheet32.xml><?xml version="1.0" encoding="utf-8"?>
<worksheet xmlns="http://schemas.openxmlformats.org/spreadsheetml/2006/main">
  <sheetPr codeName="Sheet32">
    <tabColor rgb="FFFFC000"/>
    <outlinePr summaryBelow="1" summaryRight="1"/>
    <pageSetUpPr/>
  </sheetPr>
  <dimension ref="A1:X8"/>
  <sheetViews>
    <sheetView zoomScale="70" zoomScaleNormal="70" workbookViewId="0">
      <selection activeCell="A1" sqref="A1"/>
    </sheetView>
  </sheetViews>
  <sheetFormatPr baseColWidth="8" defaultColWidth="14.7818181818182" defaultRowHeight="28.95" customHeight="1" outlineLevelRow="7"/>
  <cols>
    <col width="22.3363636363636" customWidth="1" style="162" min="1" max="1"/>
    <col width="9.890909090909091" customWidth="1" style="162" min="2" max="2"/>
    <col width="11.2181818181818" customWidth="1" style="162" min="3" max="22"/>
    <col width="12.2181818181818" customWidth="1" style="162" min="23" max="23"/>
    <col width="11.2181818181818" customWidth="1" style="162" min="24" max="24"/>
  </cols>
  <sheetData>
    <row r="1" ht="52" customHeight="1" s="162">
      <c r="A1" s="9" t="inlineStr">
        <is>
          <t>Ⅵ专项债券应付本息情况表（万元）</t>
        </is>
      </c>
      <c r="B1" s="9" t="n"/>
      <c r="C1" s="9" t="n"/>
      <c r="D1" s="9" t="n"/>
      <c r="E1" s="9" t="n"/>
      <c r="F1" s="9" t="n"/>
      <c r="G1" s="9" t="n"/>
    </row>
    <row r="2" s="162">
      <c r="A2" s="2" t="inlineStr">
        <is>
          <t>年度</t>
        </is>
      </c>
      <c r="B2" s="10" t="n">
        <v>2025</v>
      </c>
      <c r="C2" s="10" t="n">
        <v>2026</v>
      </c>
      <c r="D2" s="10" t="n">
        <v>2027</v>
      </c>
      <c r="E2" s="10" t="n">
        <v>2028</v>
      </c>
      <c r="F2" s="10" t="n">
        <v>2029</v>
      </c>
      <c r="G2" s="10" t="n">
        <v>2030</v>
      </c>
      <c r="H2" s="218" t="n">
        <v>2031</v>
      </c>
      <c r="I2" s="218" t="n">
        <v>2032</v>
      </c>
      <c r="J2" s="218" t="n">
        <v>2033</v>
      </c>
      <c r="K2" s="218" t="n">
        <v>2034</v>
      </c>
      <c r="L2" s="218" t="n">
        <v>2035</v>
      </c>
      <c r="M2" s="218" t="n">
        <v>2036</v>
      </c>
      <c r="N2" s="218" t="n">
        <v>2037</v>
      </c>
      <c r="O2" s="218" t="n">
        <v>2038</v>
      </c>
      <c r="P2" s="218" t="n">
        <v>2039</v>
      </c>
      <c r="Q2" s="218" t="n">
        <v>2040</v>
      </c>
      <c r="R2" s="218" t="n">
        <v>2041</v>
      </c>
      <c r="S2" s="218" t="n">
        <v>2042</v>
      </c>
      <c r="T2" s="218" t="n">
        <v>2043</v>
      </c>
      <c r="U2" s="218" t="n">
        <v>2044</v>
      </c>
      <c r="V2" s="218" t="n">
        <v>2045</v>
      </c>
      <c r="W2" s="218" t="n">
        <v>2046</v>
      </c>
      <c r="X2" s="218" t="n">
        <v>2047</v>
      </c>
    </row>
    <row r="3" s="162">
      <c r="A3" s="2" t="inlineStr">
        <is>
          <t>本期新增</t>
        </is>
      </c>
      <c r="B3" s="171">
        <f>('c借款还本付息计划表'!E31-'c借款还本付息计划表'!D31)</f>
        <v/>
      </c>
      <c r="C3" s="171">
        <f>('c借款还本付息计划表'!F31-'c借款还本付息计划表'!E31)</f>
        <v/>
      </c>
      <c r="D3" s="171">
        <f>('c借款还本付息计划表'!G31-'c借款还本付息计划表'!F31)</f>
        <v/>
      </c>
      <c r="E3" s="171">
        <f>('c借款还本付息计划表'!H31-'c借款还本付息计划表'!G31)</f>
        <v/>
      </c>
      <c r="F3" s="171">
        <f>c借款还本付息计划表!I31-c借款还本付息计划表!H31</f>
        <v/>
      </c>
      <c r="G3" s="171">
        <f>c借款还本付息计划表!J31-c借款还本付息计划表!I31</f>
        <v/>
      </c>
      <c r="H3" s="171">
        <f>'c借款还本付息计划表'!K31-'c借款还本付息计划表'!J31</f>
        <v/>
      </c>
      <c r="I3" s="171">
        <f>'c借款还本付息计划表'!L31-'c借款还本付息计划表'!K31</f>
        <v/>
      </c>
      <c r="J3" s="171">
        <f>'c借款还本付息计划表'!M31-'c借款还本付息计划表'!L31</f>
        <v/>
      </c>
      <c r="K3" s="171">
        <f>'c借款还本付息计划表'!N31-'c借款还本付息计划表'!M31</f>
        <v/>
      </c>
      <c r="L3" s="171">
        <f>'c借款还本付息计划表'!O31-'c借款还本付息计划表'!N31</f>
        <v/>
      </c>
      <c r="M3" s="171">
        <f>'c借款还本付息计划表'!P31-'c借款还本付息计划表'!O31</f>
        <v/>
      </c>
      <c r="N3" s="171">
        <f>'c借款还本付息计划表'!Q31-'c借款还本付息计划表'!P31</f>
        <v/>
      </c>
      <c r="O3" s="171">
        <f>'c借款还本付息计划表'!R31-'c借款还本付息计划表'!Q31</f>
        <v/>
      </c>
      <c r="P3" s="171">
        <f>'c借款还本付息计划表'!S31-'c借款还本付息计划表'!R31</f>
        <v/>
      </c>
      <c r="Q3" s="171">
        <f>'c借款还本付息计划表'!T31-'c借款还本付息计划表'!S31</f>
        <v/>
      </c>
      <c r="R3" s="171">
        <f>'c借款还本付息计划表'!U31-'c借款还本付息计划表'!T31</f>
        <v/>
      </c>
      <c r="S3" s="171">
        <f>'c借款还本付息计划表'!V31-'c借款还本付息计划表'!U31</f>
        <v/>
      </c>
      <c r="T3" s="171">
        <f>'c借款还本付息计划表'!W31-'c借款还本付息计划表'!V31</f>
        <v/>
      </c>
      <c r="U3" s="171">
        <f>'c借款还本付息计划表'!X31-'c借款还本付息计划表'!W31</f>
        <v/>
      </c>
      <c r="V3" s="171">
        <f>'c借款还本付息计划表'!Y31-'c借款还本付息计划表'!X31</f>
        <v/>
      </c>
      <c r="W3" s="171">
        <f>'c借款还本付息计划表'!Z31-'c借款还本付息计划表'!Y31</f>
        <v/>
      </c>
      <c r="X3" s="171">
        <f>c借款还本付息计划表!Z35</f>
        <v/>
      </c>
    </row>
    <row r="4" s="162">
      <c r="A4" s="2" t="inlineStr">
        <is>
          <t>本期偿还</t>
        </is>
      </c>
      <c r="B4" s="171">
        <f>('c借款还本付息计划表'!D33)</f>
        <v/>
      </c>
      <c r="C4" s="171">
        <f>('c借款还本付息计划表'!E33)</f>
        <v/>
      </c>
      <c r="D4" s="171">
        <f>('c借款还本付息计划表'!F33)</f>
        <v/>
      </c>
      <c r="E4" s="171">
        <f>('c借款还本付息计划表'!G33)</f>
        <v/>
      </c>
      <c r="F4" s="171">
        <f>c借款还本付息计划表!H33</f>
        <v/>
      </c>
      <c r="G4" s="171">
        <f>c借款还本付息计划表!I33</f>
        <v/>
      </c>
      <c r="H4" s="171">
        <f>'c借款还本付息计划表'!J33</f>
        <v/>
      </c>
      <c r="I4" s="171">
        <f>'c借款还本付息计划表'!K33</f>
        <v/>
      </c>
      <c r="J4" s="171">
        <f>'c借款还本付息计划表'!L33</f>
        <v/>
      </c>
      <c r="K4" s="171">
        <f>'c借款还本付息计划表'!M33</f>
        <v/>
      </c>
      <c r="L4" s="171">
        <f>'c借款还本付息计划表'!N33</f>
        <v/>
      </c>
      <c r="M4" s="171">
        <f>'c借款还本付息计划表'!O33</f>
        <v/>
      </c>
      <c r="N4" s="171">
        <f>'c借款还本付息计划表'!P33</f>
        <v/>
      </c>
      <c r="O4" s="171">
        <f>'c借款还本付息计划表'!Q33</f>
        <v/>
      </c>
      <c r="P4" s="171">
        <f>'c借款还本付息计划表'!R33</f>
        <v/>
      </c>
      <c r="Q4" s="171">
        <f>'c借款还本付息计划表'!S33</f>
        <v/>
      </c>
      <c r="R4" s="171">
        <f>'c借款还本付息计划表'!T33</f>
        <v/>
      </c>
      <c r="S4" s="171">
        <f>'c借款还本付息计划表'!U33</f>
        <v/>
      </c>
      <c r="T4" s="171">
        <f>'c借款还本付息计划表'!V33</f>
        <v/>
      </c>
      <c r="U4" s="171">
        <f>'c借款还本付息计划表'!W33</f>
        <v/>
      </c>
      <c r="V4" s="171">
        <f>'c借款还本付息计划表'!X33</f>
        <v/>
      </c>
      <c r="W4" s="171">
        <f>'c借款还本付息计划表'!Y33</f>
        <v/>
      </c>
      <c r="X4" s="171">
        <f>'c借款还本付息计划表'!Z33</f>
        <v/>
      </c>
    </row>
    <row r="5" s="162">
      <c r="A5" s="2" t="inlineStr">
        <is>
          <t>期末本金</t>
        </is>
      </c>
      <c r="B5" s="171">
        <f>('c借款还本付息计划表'!D35)</f>
        <v/>
      </c>
      <c r="C5" s="171">
        <f>('c借款还本付息计划表'!E35)</f>
        <v/>
      </c>
      <c r="D5" s="171">
        <f>('c借款还本付息计划表'!F35)</f>
        <v/>
      </c>
      <c r="E5" s="171">
        <f>('c借款还本付息计划表'!G35)</f>
        <v/>
      </c>
      <c r="F5" s="171">
        <f>c借款还本付息计划表!H35</f>
        <v/>
      </c>
      <c r="G5" s="171">
        <f>c借款还本付息计划表!I35</f>
        <v/>
      </c>
      <c r="H5" s="171">
        <f>'c借款还本付息计划表'!J35</f>
        <v/>
      </c>
      <c r="I5" s="171">
        <f>'c借款还本付息计划表'!K35</f>
        <v/>
      </c>
      <c r="J5" s="171">
        <f>'c借款还本付息计划表'!L35</f>
        <v/>
      </c>
      <c r="K5" s="171">
        <f>'c借款还本付息计划表'!M35</f>
        <v/>
      </c>
      <c r="L5" s="171">
        <f>'c借款还本付息计划表'!N35</f>
        <v/>
      </c>
      <c r="M5" s="171">
        <f>'c借款还本付息计划表'!O35</f>
        <v/>
      </c>
      <c r="N5" s="171">
        <f>'c借款还本付息计划表'!P35</f>
        <v/>
      </c>
      <c r="O5" s="171">
        <f>'c借款还本付息计划表'!Q35</f>
        <v/>
      </c>
      <c r="P5" s="171">
        <f>'c借款还本付息计划表'!R35</f>
        <v/>
      </c>
      <c r="Q5" s="171">
        <f>'c借款还本付息计划表'!S35</f>
        <v/>
      </c>
      <c r="R5" s="171">
        <f>'c借款还本付息计划表'!T35</f>
        <v/>
      </c>
      <c r="S5" s="171">
        <f>'c借款还本付息计划表'!U35</f>
        <v/>
      </c>
      <c r="T5" s="171">
        <f>'c借款还本付息计划表'!V35</f>
        <v/>
      </c>
      <c r="U5" s="171">
        <f>'c借款还本付息计划表'!W35</f>
        <v/>
      </c>
      <c r="V5" s="171">
        <f>'c借款还本付息计划表'!X35</f>
        <v/>
      </c>
      <c r="W5" s="171">
        <f>'c借款还本付息计划表'!Y35</f>
        <v/>
      </c>
      <c r="X5" s="171">
        <f>'c借款还本付息计划表'!Z35</f>
        <v/>
      </c>
    </row>
    <row r="6" s="162">
      <c r="A6" s="2" t="inlineStr">
        <is>
          <t>融资利率</t>
        </is>
      </c>
      <c r="B6" s="12" t="n">
        <v>0.0212</v>
      </c>
      <c r="C6" s="12" t="n">
        <v>0.0212</v>
      </c>
      <c r="D6" s="12" t="n">
        <v>0.0212</v>
      </c>
      <c r="E6" s="12" t="n">
        <v>0.0212</v>
      </c>
      <c r="F6" s="12" t="n">
        <v>0.0212</v>
      </c>
      <c r="G6" s="12" t="n">
        <v>0.0212</v>
      </c>
      <c r="H6" s="12" t="n">
        <v>0.0212</v>
      </c>
      <c r="I6" s="12" t="n">
        <v>0.0212</v>
      </c>
      <c r="J6" s="12" t="n">
        <v>0.0212</v>
      </c>
      <c r="K6" s="12" t="n">
        <v>0.0212</v>
      </c>
      <c r="L6" s="12" t="n">
        <v>0.0212</v>
      </c>
      <c r="M6" s="12" t="n">
        <v>0.0212</v>
      </c>
      <c r="N6" s="12" t="n">
        <v>0.0212</v>
      </c>
      <c r="O6" s="12" t="n">
        <v>0.0212</v>
      </c>
      <c r="P6" s="12" t="n">
        <v>0.0212</v>
      </c>
      <c r="Q6" s="12" t="n">
        <v>0.0212</v>
      </c>
      <c r="R6" s="12" t="n">
        <v>0.0212</v>
      </c>
      <c r="S6" s="12" t="n">
        <v>0.0212</v>
      </c>
      <c r="T6" s="12" t="n">
        <v>0.0212</v>
      </c>
      <c r="U6" s="12" t="n">
        <v>0.0212</v>
      </c>
      <c r="V6" s="12" t="n">
        <v>0.0212</v>
      </c>
      <c r="W6" s="12" t="n">
        <v>0.0212</v>
      </c>
      <c r="X6" s="12" t="n">
        <v>0.0212</v>
      </c>
    </row>
    <row r="7" s="162">
      <c r="A7" s="2" t="inlineStr">
        <is>
          <t>应付利息</t>
        </is>
      </c>
      <c r="B7" s="171">
        <f>('c借款还本付息计划表'!D34)</f>
        <v/>
      </c>
      <c r="C7" s="171">
        <f>('c借款还本付息计划表'!E34)</f>
        <v/>
      </c>
      <c r="D7" s="171">
        <f>('c借款还本付息计划表'!F34)</f>
        <v/>
      </c>
      <c r="E7" s="171">
        <f>('c借款还本付息计划表'!G34)</f>
        <v/>
      </c>
      <c r="F7" s="171">
        <f>c借款还本付息计划表!H34</f>
        <v/>
      </c>
      <c r="G7" s="171">
        <f>c借款还本付息计划表!I34</f>
        <v/>
      </c>
      <c r="H7" s="171">
        <f>'c借款还本付息计划表'!J34</f>
        <v/>
      </c>
      <c r="I7" s="171">
        <f>'c借款还本付息计划表'!K34</f>
        <v/>
      </c>
      <c r="J7" s="171">
        <f>'c借款还本付息计划表'!L34</f>
        <v/>
      </c>
      <c r="K7" s="171">
        <f>'c借款还本付息计划表'!M34</f>
        <v/>
      </c>
      <c r="L7" s="171">
        <f>'c借款还本付息计划表'!N34</f>
        <v/>
      </c>
      <c r="M7" s="171">
        <f>'c借款还本付息计划表'!O34</f>
        <v/>
      </c>
      <c r="N7" s="171">
        <f>'c借款还本付息计划表'!P34</f>
        <v/>
      </c>
      <c r="O7" s="171">
        <f>'c借款还本付息计划表'!Q34</f>
        <v/>
      </c>
      <c r="P7" s="171">
        <f>'c借款还本付息计划表'!R34</f>
        <v/>
      </c>
      <c r="Q7" s="171">
        <f>'c借款还本付息计划表'!S34</f>
        <v/>
      </c>
      <c r="R7" s="171">
        <f>'c借款还本付息计划表'!T34</f>
        <v/>
      </c>
      <c r="S7" s="171">
        <f>'c借款还本付息计划表'!U34</f>
        <v/>
      </c>
      <c r="T7" s="171">
        <f>'c借款还本付息计划表'!V34</f>
        <v/>
      </c>
      <c r="U7" s="171">
        <f>'c借款还本付息计划表'!W34</f>
        <v/>
      </c>
      <c r="V7" s="171">
        <f>'c借款还本付息计划表'!X34</f>
        <v/>
      </c>
      <c r="W7" s="171">
        <f>'c借款还本付息计划表'!Y34</f>
        <v/>
      </c>
      <c r="X7" s="171">
        <f>'c借款还本付息计划表'!Z34</f>
        <v/>
      </c>
    </row>
    <row r="8" s="162">
      <c r="A8" s="2" t="inlineStr">
        <is>
          <t>应付本息</t>
        </is>
      </c>
      <c r="B8" s="177">
        <f>B7+B4</f>
        <v/>
      </c>
      <c r="C8" s="177">
        <f>C7+C4</f>
        <v/>
      </c>
      <c r="D8" s="177">
        <f>D7+D4</f>
        <v/>
      </c>
      <c r="E8" s="177">
        <f>E7+E4</f>
        <v/>
      </c>
      <c r="F8" s="177">
        <f>F7+F4</f>
        <v/>
      </c>
      <c r="G8" s="177">
        <f>G7+G4</f>
        <v/>
      </c>
      <c r="H8" s="177">
        <f>H7+H4</f>
        <v/>
      </c>
      <c r="I8" s="177">
        <f>I7+I4</f>
        <v/>
      </c>
      <c r="J8" s="177">
        <f>J7+J4</f>
        <v/>
      </c>
      <c r="K8" s="177">
        <f>K7+K4</f>
        <v/>
      </c>
      <c r="L8" s="177">
        <f>L7+L4</f>
        <v/>
      </c>
      <c r="M8" s="177">
        <f>M7+M4</f>
        <v/>
      </c>
      <c r="N8" s="177">
        <f>N7+N4</f>
        <v/>
      </c>
      <c r="O8" s="177">
        <f>O7+O4</f>
        <v/>
      </c>
      <c r="P8" s="177">
        <f>P7+P4</f>
        <v/>
      </c>
      <c r="Q8" s="177">
        <f>Q7+Q4</f>
        <v/>
      </c>
      <c r="R8" s="177">
        <f>R7+R4</f>
        <v/>
      </c>
      <c r="S8" s="177">
        <f>S7+S4</f>
        <v/>
      </c>
      <c r="T8" s="177">
        <f>T7+T4</f>
        <v/>
      </c>
      <c r="U8" s="177">
        <f>U7+U4</f>
        <v/>
      </c>
      <c r="V8" s="177">
        <f>V7+V4</f>
        <v/>
      </c>
      <c r="W8" s="177">
        <f>W7+W4</f>
        <v/>
      </c>
      <c r="X8" s="177">
        <f>X7+X4</f>
        <v/>
      </c>
    </row>
  </sheetData>
  <pageMargins left="0.75" right="0.75" top="1" bottom="1" header="0.5" footer="0.5"/>
</worksheet>
</file>

<file path=xl/worksheets/sheet33.xml><?xml version="1.0" encoding="utf-8"?>
<worksheet xmlns="http://schemas.openxmlformats.org/spreadsheetml/2006/main">
  <sheetPr codeName="Sheet33">
    <tabColor rgb="FFFFC000"/>
    <outlinePr summaryBelow="1" summaryRight="1"/>
    <pageSetUpPr/>
  </sheetPr>
  <dimension ref="A1:A1"/>
  <sheetViews>
    <sheetView workbookViewId="0">
      <selection activeCell="I12" sqref="I12"/>
    </sheetView>
  </sheetViews>
  <sheetFormatPr baseColWidth="8" defaultColWidth="15.7818181818182" defaultRowHeight="28.05" customHeight="1" outlineLevelRow="2"/>
  <sheetData>
    <row r="3" ht="40.95" customHeight="1" s="162"/>
  </sheetData>
  <pageMargins left="0.75" right="0.75" top="1" bottom="1" header="0.5" footer="0.5"/>
</worksheet>
</file>

<file path=xl/worksheets/sheet34.xml><?xml version="1.0" encoding="utf-8"?>
<worksheet xmlns="http://schemas.openxmlformats.org/spreadsheetml/2006/main">
  <sheetPr codeName="Sheet34">
    <tabColor rgb="FFFFC000"/>
    <outlinePr summaryBelow="1" summaryRight="1"/>
    <pageSetUpPr/>
  </sheetPr>
  <dimension ref="A1:H8"/>
  <sheetViews>
    <sheetView zoomScale="85" zoomScaleNormal="85" workbookViewId="0">
      <selection activeCell="G13" sqref="G13"/>
    </sheetView>
  </sheetViews>
  <sheetFormatPr baseColWidth="8" defaultColWidth="15.7818181818182" defaultRowHeight="28.05" customHeight="1" outlineLevelRow="7"/>
  <cols>
    <col width="29.6636363636364" customWidth="1" style="162" min="1" max="1"/>
    <col width="12.6636363636364" customWidth="1" style="162" min="2" max="2"/>
    <col width="15.7818181818182" customWidth="1" style="162" min="3" max="3"/>
  </cols>
  <sheetData>
    <row r="1" s="162">
      <c r="A1" s="1" t="inlineStr">
        <is>
          <t>VIII债券资金覆盖率压力测试表</t>
        </is>
      </c>
      <c r="B1" s="167" t="n"/>
      <c r="C1" s="167" t="n"/>
      <c r="D1" s="167" t="n"/>
      <c r="E1" s="167" t="n"/>
      <c r="F1" s="167" t="n"/>
      <c r="G1" s="167" t="n"/>
      <c r="H1" s="168" t="n"/>
    </row>
    <row r="2" s="162">
      <c r="A2" s="2" t="inlineStr">
        <is>
          <t>资金覆盖率-压力测试</t>
        </is>
      </c>
      <c r="B2" s="3" t="n">
        <v>-0.15</v>
      </c>
      <c r="C2" s="3" t="n">
        <v>-0.1</v>
      </c>
      <c r="D2" s="3" t="n">
        <v>-0.05</v>
      </c>
      <c r="E2" s="3" t="n">
        <v>0</v>
      </c>
      <c r="F2" s="3" t="n">
        <v>0.05</v>
      </c>
      <c r="G2" s="3" t="n">
        <v>0.1</v>
      </c>
      <c r="H2" s="3" t="n">
        <v>0.15</v>
      </c>
    </row>
    <row r="3" s="162">
      <c r="A3" s="202" t="inlineStr">
        <is>
          <t>运营收入变动敏感性分析</t>
        </is>
      </c>
      <c r="B3" s="167" t="n"/>
      <c r="C3" s="167" t="n"/>
      <c r="D3" s="167" t="n"/>
      <c r="E3" s="167" t="n"/>
      <c r="F3" s="167" t="n"/>
      <c r="G3" s="167" t="n"/>
      <c r="H3" s="168" t="n"/>
    </row>
    <row r="4" s="162">
      <c r="A4" s="7" t="inlineStr">
        <is>
          <t>专项债券本息覆盖倍数</t>
        </is>
      </c>
      <c r="B4" s="179" t="n">
        <v>0.328270086880195</v>
      </c>
      <c r="C4" s="179" t="n">
        <v>0.35143708171177</v>
      </c>
      <c r="D4" s="179" t="n">
        <v>0.374604076543344</v>
      </c>
      <c r="E4" s="179" t="n">
        <v>0.39251201351728</v>
      </c>
      <c r="F4" s="179" t="n">
        <v>0.410131392539012</v>
      </c>
      <c r="G4" s="179" t="n">
        <v>0.427750771560744</v>
      </c>
      <c r="H4" s="179" t="n">
        <v>0.445370150582477</v>
      </c>
    </row>
    <row r="5" s="162">
      <c r="A5" s="202" t="inlineStr">
        <is>
          <t>运营成本变动敏感性分析</t>
        </is>
      </c>
      <c r="B5" s="167" t="n"/>
      <c r="C5" s="167" t="n"/>
      <c r="D5" s="167" t="n"/>
      <c r="E5" s="167" t="n"/>
      <c r="F5" s="167" t="n"/>
      <c r="G5" s="167" t="n"/>
      <c r="H5" s="168" t="n"/>
    </row>
    <row r="6" s="162">
      <c r="A6" s="7" t="inlineStr">
        <is>
          <t>专项债券本息覆盖倍数</t>
        </is>
      </c>
      <c r="B6" s="179" t="n">
        <v>0.401902408775822</v>
      </c>
      <c r="C6" s="179" t="n">
        <v>0.398772277022975</v>
      </c>
      <c r="D6" s="179" t="n">
        <v>0.395642145270128</v>
      </c>
      <c r="E6" s="179" t="n">
        <v>0.39251201351728</v>
      </c>
      <c r="F6" s="179" t="n">
        <v>0.389381881764433</v>
      </c>
      <c r="G6" s="179" t="n">
        <v>0.386251750011585</v>
      </c>
      <c r="H6" s="179" t="n">
        <v>0.383121618258737</v>
      </c>
    </row>
    <row r="7" s="162">
      <c r="A7" s="202" t="inlineStr">
        <is>
          <t>债券利率变动敏感新分析</t>
        </is>
      </c>
      <c r="B7" s="167" t="n"/>
      <c r="C7" s="167" t="n"/>
      <c r="D7" s="167" t="n"/>
      <c r="E7" s="167" t="n"/>
      <c r="F7" s="167" t="n"/>
      <c r="G7" s="167" t="n"/>
      <c r="H7" s="168" t="n"/>
    </row>
    <row r="8" s="162">
      <c r="A8" s="7" t="inlineStr">
        <is>
          <t>专项债券本息覆盖倍数</t>
        </is>
      </c>
      <c r="B8" s="179" t="n">
        <v>0.396937320239012</v>
      </c>
      <c r="C8" s="179" t="n">
        <v>0.395416948502922</v>
      </c>
      <c r="D8" s="179" t="n">
        <v>0.393942530403566</v>
      </c>
      <c r="E8" s="179" t="n">
        <v>0.39251201351728</v>
      </c>
      <c r="F8" s="179" t="n">
        <v>0.391123465850465</v>
      </c>
      <c r="G8" s="179" t="n">
        <v>0.38767520935214</v>
      </c>
      <c r="H8" s="179" t="n">
        <v>0.382843094697516</v>
      </c>
    </row>
  </sheetData>
  <mergeCells count="4">
    <mergeCell ref="A7:H7"/>
    <mergeCell ref="A1:H1"/>
    <mergeCell ref="A3:H3"/>
    <mergeCell ref="A5:H5"/>
  </mergeCells>
  <pageMargins left="0.75" right="0.75" top="1" bottom="1" header="0.5" footer="0.5"/>
  <pageSetup orientation="portrait" paperSize="9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周亮;谢玉君</dc:creator>
  <dcterms:created xsi:type="dcterms:W3CDTF">2025-07-25T07:38:00Z</dcterms:created>
  <dcterms:modified xsi:type="dcterms:W3CDTF">2025-09-22T08:26:02Z</dcterms:modified>
  <cp:lastModifiedBy>lenovo</cp:lastModifiedBy>
  <cp:lastPrinted>2025-08-29T06:30:00Z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FC18B2ED581F4DD39A73EAB9833DF446_13</vt:lpwstr>
  </property>
  <property name="KSOProductBuildVer" fmtid="{D5CDD505-2E9C-101B-9397-08002B2CF9AE}" pid="3">
    <vt:lpwstr>2052-12.8.2.18205</vt:lpwstr>
  </property>
</Properties>
</file>