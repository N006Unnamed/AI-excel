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8200" tabRatio="826" firstSheet="28" activeTab="31"/>
  </bookViews>
  <sheets>
    <sheet name="A财务假设" sheetId="1" r:id="rId1"/>
    <sheet name="B项目信息" sheetId="2" r:id="rId2"/>
    <sheet name="C.1项目融资信息" sheetId="3" r:id="rId3"/>
    <sheet name="C.2项目每年借款信息" sheetId="4" r:id="rId4"/>
    <sheet name="D.1建设投资" sheetId="5" r:id="rId5"/>
    <sheet name="D.2项目总投资使用计划与资金筹措表" sheetId="6" r:id="rId6"/>
    <sheet name="D.3建设投资分年计划表" sheetId="7" r:id="rId7"/>
    <sheet name="D.4流动资金估算表" sheetId="8" r:id="rId8"/>
    <sheet name="E总成本费用估算表" sheetId="10" r:id="rId9"/>
    <sheet name="E.1项目运营期费用" sheetId="9" r:id="rId10"/>
    <sheet name="E.1.1项目运营期费用(不含税）" sheetId="26" r:id="rId11"/>
    <sheet name="E.2固定资产折旧费估算表" sheetId="11" r:id="rId12"/>
    <sheet name="E.3无形资产和其他资产摊销费估算表" sheetId="12" r:id="rId13"/>
    <sheet name="E.4建设投资税后金额表" sheetId="13" r:id="rId14"/>
    <sheet name="F项目收入" sheetId="14" r:id="rId15"/>
    <sheet name="F.1项目单项收入信息" sheetId="15" r:id="rId16"/>
    <sheet name="G.税金及附加测算表" sheetId="19" r:id="rId17"/>
    <sheet name="G.1进项增值税率-建设投资" sheetId="16" r:id="rId18"/>
    <sheet name="G.2进项增值税率-运营成本" sheetId="17" r:id="rId19"/>
    <sheet name="G.3销项增值税率" sheetId="18" r:id="rId20"/>
    <sheet name="a.1财务现金流量表" sheetId="20" r:id="rId21"/>
    <sheet name="a.2项目资本金现金流量表" sheetId="22" r:id="rId22"/>
    <sheet name="b利润与利润分配表（损益和利润分配表）" sheetId="23" r:id="rId23"/>
    <sheet name="c借款还本付息计划表" sheetId="21" r:id="rId24"/>
    <sheet name="d财务计划现金流量表" sheetId="24" r:id="rId25"/>
    <sheet name="e资产负债表" sheetId="25" r:id="rId26"/>
    <sheet name="Ⅰ项目投资估算构成表" sheetId="27" r:id="rId27"/>
    <sheet name="Ⅱ项目分年度资金筹措计划表" sheetId="28" r:id="rId28"/>
    <sheet name="Ⅲ项目分年度收入合计表" sheetId="29" r:id="rId29"/>
    <sheet name="Ⅳ项目分年度成本明细表" sheetId="30" r:id="rId30"/>
    <sheet name="Ⅴ项目分年度收益表" sheetId="31" r:id="rId31"/>
    <sheet name="Ⅵ专项债券应付本息情况表" sheetId="32" r:id="rId32"/>
    <sheet name="Ⅶ专项债券资金收益与融资平衡情况表" sheetId="33" state="hidden" r:id="rId33"/>
    <sheet name="VIII债券资金覆盖率压力测试表" sheetId="34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周亮</author>
  </authors>
  <commentList>
    <comment ref="D10" authorId="0">
      <text>
        <r>
          <rPr>
            <b/>
            <sz val="9"/>
            <rFont val="宋体"/>
            <charset val="134"/>
          </rPr>
          <t>周亮:</t>
        </r>
        <r>
          <rPr>
            <sz val="9"/>
            <rFont val="宋体"/>
            <charset val="134"/>
          </rPr>
          <t xml:space="preserve">
建设期利息不能用专项债
优先将2.2债务资金用于2.2.1建设投资
纯专项债项目，2.2.2建设期利息均为0，建设期利息要用资本金支付，即2.1.2
建设投资不够的部分，再使用资本金，即2.1.1
纯专项债项目，专项债资金不能用于流动资金，故2.2.3为0</t>
        </r>
      </text>
    </comment>
  </commentList>
</comments>
</file>

<file path=xl/sharedStrings.xml><?xml version="1.0" encoding="utf-8"?>
<sst xmlns="http://schemas.openxmlformats.org/spreadsheetml/2006/main" count="912" uniqueCount="531">
  <si>
    <t>A财务假设</t>
  </si>
  <si>
    <t>序号</t>
  </si>
  <si>
    <t>名称</t>
  </si>
  <si>
    <t>解释</t>
  </si>
  <si>
    <t>参考值</t>
  </si>
  <si>
    <t>项目投资财务基准收益率(税前)</t>
  </si>
  <si>
    <t>国家发改委《建设项目财务基准收益率取值表》</t>
  </si>
  <si>
    <t>项目投资财务基准收益率(税后)</t>
  </si>
  <si>
    <t>项目资本金财务基准收益率</t>
  </si>
  <si>
    <t>项目资本金财务基准收益率应体现项目发起人（代表项目所有权益投资者）
对投资获利的最低期望值（也称最低可接受收益率）。当项目资本金财务
内部收益率大于或等于该最低可接受收益率时，说明在该融资方案下，项目
资本金获利水平超过或达到了要求，该融资方案是可以接受的。</t>
  </si>
  <si>
    <t>城市维护建设税税率</t>
  </si>
  <si>
    <t>市区：7%；县城、镇：5%；
不在市区、县城或者镇：1% ；
缴纳基数为：增值税税额+营业税税额+消费税税额</t>
  </si>
  <si>
    <t>教育费附加费率</t>
  </si>
  <si>
    <t>缴纳基数为：增值税税额+营业税税额+消费税税额</t>
  </si>
  <si>
    <t>地方教育费附加费率</t>
  </si>
  <si>
    <t>企业所得税率</t>
  </si>
  <si>
    <t>是针对企业应纳税所得额征收的税种</t>
  </si>
  <si>
    <t>法定盈余公积提取比例</t>
  </si>
  <si>
    <t>企业应按照一定的比例从税后利润中提取盈余公积</t>
  </si>
  <si>
    <t>任意盈余公积提取比例</t>
  </si>
  <si>
    <t>提取比例由企业自主决定，没有固定标</t>
  </si>
  <si>
    <t>残值率</t>
  </si>
  <si>
    <t>资产在预计使用寿命结束时的剩余价值占其原始成本的百分比</t>
  </si>
  <si>
    <t>资本金用于流动资金比例</t>
  </si>
  <si>
    <t>不低于30%，但专项债资金不能用于流动资金，故设为 100%</t>
  </si>
  <si>
    <t>折现率</t>
  </si>
  <si>
    <t>投资者要求的最低收益率，可参考基准收益率，是由国家或行业主管部门制
定的，针对特定行业的标准折现率（如《建设项目经济评价方法与参数》中
规定的行业基准值）</t>
  </si>
  <si>
    <t>债券发行手续费率</t>
  </si>
  <si>
    <t xml:space="preserve"> 3年期及以下债券发行手续费为发行额的0.04%</t>
  </si>
  <si>
    <t>5年期及以上债券发行手续费为发行额的0.08%</t>
  </si>
  <si>
    <t>债券发行登记服务费率</t>
  </si>
  <si>
    <t>债券发行登记服务费为发行额的0.0064%</t>
  </si>
  <si>
    <t>债券还本付息兑付手续费率</t>
  </si>
  <si>
    <t>金额为本息和的0.005%</t>
  </si>
  <si>
    <t>成本浮动系数</t>
  </si>
  <si>
    <t>用于压力测试表中对应的系数填写</t>
  </si>
  <si>
    <t>收入浮动系数</t>
  </si>
  <si>
    <t>贷款利率浮动系数</t>
  </si>
  <si>
    <t>B项目信息</t>
  </si>
  <si>
    <t>值</t>
  </si>
  <si>
    <t>建设分期一</t>
  </si>
  <si>
    <t>建设开始年月</t>
  </si>
  <si>
    <t>本期建设开始时间</t>
  </si>
  <si>
    <t>建设完成年月</t>
  </si>
  <si>
    <t>本期建设完成时间</t>
  </si>
  <si>
    <t>建设期（月）</t>
  </si>
  <si>
    <t>建设完成年月-建设开始年月</t>
  </si>
  <si>
    <t>运营开始年月</t>
  </si>
  <si>
    <t>开始有运营收入的时间，可以在建设期间</t>
  </si>
  <si>
    <t>运营期（年）</t>
  </si>
  <si>
    <r>
      <rPr>
        <sz val="11"/>
        <color theme="1"/>
        <rFont val="微软雅黑"/>
        <charset val="134"/>
      </rPr>
      <t>按照债务周期为截止时间，</t>
    </r>
    <r>
      <rPr>
        <sz val="11"/>
        <color rgb="FFFF0000"/>
        <rFont val="微软雅黑"/>
        <charset val="134"/>
      </rPr>
      <t>折旧年限等同于运营期</t>
    </r>
  </si>
  <si>
    <t>总借款年限-运营开始年限+1</t>
  </si>
  <si>
    <t>建设分期二</t>
  </si>
  <si>
    <t>建设分期三</t>
  </si>
  <si>
    <t>C.1项目融资信息</t>
  </si>
  <si>
    <t>借款名称</t>
  </si>
  <si>
    <t>借款类别</t>
  </si>
  <si>
    <t>借款金额
（万元）</t>
  </si>
  <si>
    <t>开始时间</t>
  </si>
  <si>
    <t>结束时间</t>
  </si>
  <si>
    <t>借款周期（年）</t>
  </si>
  <si>
    <t>借款利率</t>
  </si>
  <si>
    <t>还款方式</t>
  </si>
  <si>
    <t>首年计息月份</t>
  </si>
  <si>
    <t>债券发行费（万元）</t>
  </si>
  <si>
    <t>债券发行登记服务费
（万元）</t>
  </si>
  <si>
    <t>债券还本付息兑付手续费
（万元）</t>
  </si>
  <si>
    <t>地方政府专项债
/市场化融资</t>
  </si>
  <si>
    <t>1,2,3,5,7,10,15,20,30
根据实际需要选择</t>
  </si>
  <si>
    <t>专项债按发行前5个
工作日国债均价利率，
选择性上浮10%</t>
  </si>
  <si>
    <t>允许地方结合实际情况，采取
到期还本（10年期以下按年付息，10年期以上按半年付息）、提前还本、分年还本等不同还本方式</t>
  </si>
  <si>
    <t>3年期及以下债券发行手续费
为发行额的0.04%，5年期及以
上债券发行手续费为发行额的0.08%</t>
  </si>
  <si>
    <t>发行额的0.0064%</t>
  </si>
  <si>
    <t>在每年还本付息时支付，
金额为本息和的0.005%</t>
  </si>
  <si>
    <t>借款1</t>
  </si>
  <si>
    <t>地方政府专项债</t>
  </si>
  <si>
    <t>到期一次性还清</t>
  </si>
  <si>
    <t>对应好c</t>
  </si>
  <si>
    <t>借款2</t>
  </si>
  <si>
    <t>借款3</t>
  </si>
  <si>
    <t>C.2项目每年借款信息（万元）</t>
  </si>
  <si>
    <t>计算期年序</t>
  </si>
  <si>
    <t>合计</t>
  </si>
  <si>
    <t>D.1建设投资（万元）</t>
  </si>
  <si>
    <t>（此表不需要填写，复制D.3的前4列，如果D.3有修改，此表也要同步复制）</t>
  </si>
  <si>
    <t>D.2项目总投资使用计划与资金筹措表（万元）</t>
  </si>
  <si>
    <t>科目</t>
  </si>
  <si>
    <t>总投资</t>
  </si>
  <si>
    <t>建设投资</t>
  </si>
  <si>
    <t>建设期利息</t>
  </si>
  <si>
    <t>流动资金</t>
  </si>
  <si>
    <t>资金筹措</t>
  </si>
  <si>
    <t>项目资本金</t>
  </si>
  <si>
    <t>2.1.1</t>
  </si>
  <si>
    <t>用于建设投资</t>
  </si>
  <si>
    <t>2.1.2</t>
  </si>
  <si>
    <t>用于建设期利息</t>
  </si>
  <si>
    <t>2.1.3</t>
  </si>
  <si>
    <t>用于流动资金</t>
  </si>
  <si>
    <t>债务资金</t>
  </si>
  <si>
    <t>2.2.1</t>
  </si>
  <si>
    <t>2.2.2</t>
  </si>
  <si>
    <t>2.2.3</t>
  </si>
  <si>
    <t>其他资金</t>
  </si>
  <si>
    <t>资本金基数总投资</t>
  </si>
  <si>
    <t>/</t>
  </si>
  <si>
    <t>铺底流动资金</t>
  </si>
  <si>
    <t>资本金比例
（不能少于20%）</t>
  </si>
  <si>
    <t>D.3建设投资分年计划表（万元）</t>
  </si>
  <si>
    <t>分项费用</t>
  </si>
  <si>
    <t>说明</t>
  </si>
  <si>
    <t>金额</t>
  </si>
  <si>
    <t>一</t>
  </si>
  <si>
    <t>工程建设费用</t>
  </si>
  <si>
    <t>工程类费用</t>
  </si>
  <si>
    <t>建筑工程费</t>
  </si>
  <si>
    <t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t>
  </si>
  <si>
    <t>设备购置费</t>
  </si>
  <si>
    <t>安装工程费</t>
  </si>
  <si>
    <t>指的是建筑工程中的管线安装、设备安装（如空调、电线、水管等），以及室内装修、园林绿化等方面的费用。</t>
  </si>
  <si>
    <t>信息化建设费用</t>
  </si>
  <si>
    <t>硬件类</t>
  </si>
  <si>
    <t>包括服务器、存储、网络等设备</t>
  </si>
  <si>
    <t>软件类</t>
  </si>
  <si>
    <t>安全类</t>
  </si>
  <si>
    <t>数据类</t>
  </si>
  <si>
    <t>二</t>
  </si>
  <si>
    <t>工程建设其他费用</t>
  </si>
  <si>
    <t>建设单位管理费</t>
  </si>
  <si>
    <t>前期咨询费</t>
  </si>
  <si>
    <t>工程设计费</t>
  </si>
  <si>
    <t>工程监理费</t>
  </si>
  <si>
    <t>......</t>
  </si>
  <si>
    <t>三</t>
  </si>
  <si>
    <t>预备费</t>
  </si>
  <si>
    <t>基本预备费</t>
  </si>
  <si>
    <t>总计</t>
  </si>
  <si>
    <t>D.4流动资金估算表（万元）</t>
  </si>
  <si>
    <t>项目</t>
  </si>
  <si>
    <t>最低周转天数(天)</t>
  </si>
  <si>
    <t>周转次数</t>
  </si>
  <si>
    <t>流动资产</t>
  </si>
  <si>
    <t>应收账款</t>
  </si>
  <si>
    <t>存货</t>
  </si>
  <si>
    <t>1.2.1</t>
  </si>
  <si>
    <t>原材料</t>
  </si>
  <si>
    <t>1.2.2</t>
  </si>
  <si>
    <t>燃料动力</t>
  </si>
  <si>
    <t>1.2.3</t>
  </si>
  <si>
    <t>在产品</t>
  </si>
  <si>
    <t>1.2.4</t>
  </si>
  <si>
    <t>产成品</t>
  </si>
  <si>
    <t>现金</t>
  </si>
  <si>
    <t>流动负债</t>
  </si>
  <si>
    <t>应付账款</t>
  </si>
  <si>
    <t>流动资金（1-2）</t>
  </si>
  <si>
    <t>流动资金当年增加额</t>
  </si>
  <si>
    <t>流动资金贷款</t>
  </si>
  <si>
    <t>E总成本费用估算表（万元）</t>
  </si>
  <si>
    <t>外购原材料费</t>
  </si>
  <si>
    <t>外购燃料及动力费</t>
  </si>
  <si>
    <t>工资福利费</t>
  </si>
  <si>
    <t>修理费</t>
  </si>
  <si>
    <t>其他费用 （5.1+5.2+5.3）</t>
  </si>
  <si>
    <t>其他制造费用</t>
  </si>
  <si>
    <t>其他管理费用</t>
  </si>
  <si>
    <t>其他营业费用</t>
  </si>
  <si>
    <t>经营成本 （1+2+3+4+5）</t>
  </si>
  <si>
    <t>折旧费</t>
  </si>
  <si>
    <t>摊销费</t>
  </si>
  <si>
    <t>利息支出</t>
  </si>
  <si>
    <t>总成本费用 （6+7+8+9）</t>
  </si>
  <si>
    <t>其中固定成本 （10-10.2）</t>
  </si>
  <si>
    <t>其中可变成本 （1+2+3+5.3）</t>
  </si>
  <si>
    <t>E.1项目运营期费用（万元）</t>
  </si>
  <si>
    <t>成本类别</t>
  </si>
  <si>
    <t>取费计算方式</t>
  </si>
  <si>
    <t>数量</t>
  </si>
  <si>
    <t>单价</t>
  </si>
  <si>
    <t>浮动后单价</t>
  </si>
  <si>
    <t>负荷系数</t>
  </si>
  <si>
    <t>场地维护成本</t>
  </si>
  <si>
    <t>场地租金</t>
  </si>
  <si>
    <t>按面积×租金单价</t>
  </si>
  <si>
    <t>场地日常维护（停机坪/起降场/交通枢纽/飞行营地/指挥中心等）</t>
  </si>
  <si>
    <t>按面积 × 单位维护单价（元 / ㎡・年）</t>
  </si>
  <si>
    <t>消防设施年检</t>
  </si>
  <si>
    <t>按设备数量 × 单台年检费（元 / 台・次）</t>
  </si>
  <si>
    <t>防鸟措施（驱鸟器维护）</t>
  </si>
  <si>
    <t>按套数 × 年费（元 / 套・年）+ 耗材费（如驱鸟剂）</t>
  </si>
  <si>
    <t>燃料动力费</t>
  </si>
  <si>
    <t>飞行器能耗</t>
  </si>
  <si>
    <t>按电耗或油耗计算</t>
  </si>
  <si>
    <t>核心设备电力能耗</t>
  </si>
  <si>
    <t>按实际用电量 × 电价（元 / 千瓦 时）</t>
  </si>
  <si>
    <t>水电能耗</t>
  </si>
  <si>
    <t>按面积估算</t>
  </si>
  <si>
    <t>网络费</t>
  </si>
  <si>
    <t>网络通信费用</t>
  </si>
  <si>
    <t>按年计算租金</t>
  </si>
  <si>
    <t>硬件维护成本</t>
  </si>
  <si>
    <t>硬件设备维护</t>
  </si>
  <si>
    <t>按照固定资产15%计算</t>
  </si>
  <si>
    <t>备品备件储备</t>
  </si>
  <si>
    <t>按年度设备维护预算 × 储备比例 （10%-20%）</t>
  </si>
  <si>
    <t>软件维护费</t>
  </si>
  <si>
    <t>软件维护</t>
  </si>
  <si>
    <t>按无形资产造价的20%计算</t>
  </si>
  <si>
    <t>营销费用</t>
  </si>
  <si>
    <t>营销及活动</t>
  </si>
  <si>
    <t>按年平均营业收入的2%计算</t>
  </si>
  <si>
    <t>工资及福利费</t>
  </si>
  <si>
    <t>人员薪酬</t>
  </si>
  <si>
    <t>按岗位月薪 ×12 + 福利（月薪 ×20%-30%）</t>
  </si>
  <si>
    <t>培训与资质认证</t>
  </si>
  <si>
    <t>按人次 × 人均培训费（元 / 人 次）</t>
  </si>
  <si>
    <t>办公与行政支出</t>
  </si>
  <si>
    <t>按人员数量 × 人均办公费（元 / 人・月）</t>
  </si>
  <si>
    <t>合规性与安全成本</t>
  </si>
  <si>
    <t>空域使用审批费</t>
  </si>
  <si>
    <t>按空域面积 × 年费率（元 / 平方 公里・年）</t>
  </si>
  <si>
    <t>场地责任险</t>
  </si>
  <si>
    <t>按保额 × 保险费率（年费率 0.1%-0.3%）</t>
  </si>
  <si>
    <t>安全演练与应急处置</t>
  </si>
  <si>
    <t>按次数 × 单次演练成本（元 / 次）</t>
  </si>
  <si>
    <t>其他费用</t>
  </si>
  <si>
    <t>第三方安全评估</t>
  </si>
  <si>
    <t>按项目投资额 × 评估费率 （0.1%-0.3%）</t>
  </si>
  <si>
    <t>不可预见支出</t>
  </si>
  <si>
    <t>按年度总成本 × 计提比例 （5%-10%）</t>
  </si>
  <si>
    <t>E.1.1项目运营期费用(不含税）（万元）</t>
  </si>
  <si>
    <t>E.2固定资产折旧费估算表（万元）</t>
  </si>
  <si>
    <t>原值</t>
  </si>
  <si>
    <t>年折旧率</t>
  </si>
  <si>
    <t>年折旧额</t>
  </si>
  <si>
    <t>净值（原值-年折旧额*n）</t>
  </si>
  <si>
    <t>不含税（固定资产金额）+不含税（工程其他费）+预备费 + c建设期利息及发行费</t>
  </si>
  <si>
    <t>1 /B 折旧年限 × 100%
（折旧年限等同于运营期）</t>
  </si>
  <si>
    <t>原值 × A~（1-残值残值率）× 年折旧率）</t>
  </si>
  <si>
    <t>建设期1</t>
  </si>
  <si>
    <t>固定资产投资</t>
  </si>
  <si>
    <t>建设期2</t>
  </si>
  <si>
    <t>建设期3</t>
  </si>
  <si>
    <t>净值合计</t>
  </si>
  <si>
    <t>折旧额合计</t>
  </si>
  <si>
    <t>E.3无形资产和其他资产摊销费估算表</t>
  </si>
  <si>
    <t>净值</t>
  </si>
  <si>
    <t>不含税(软件类)+不含税(安全类软件)+不含税 (数据类)+专利费+土地使用权费+商标权、著作权费</t>
  </si>
  <si>
    <t>原值×年折旧率</t>
  </si>
  <si>
    <t>合计1</t>
  </si>
  <si>
    <t>无形资产</t>
  </si>
  <si>
    <t>1.1.1</t>
  </si>
  <si>
    <t>土地使用权</t>
  </si>
  <si>
    <t>1.1.2</t>
  </si>
  <si>
    <t>专利技术</t>
  </si>
  <si>
    <t>1.1.3</t>
  </si>
  <si>
    <t>软件及其他无形资产</t>
  </si>
  <si>
    <t>其他资产</t>
  </si>
  <si>
    <t>项目开办费</t>
  </si>
  <si>
    <t>合计2</t>
  </si>
  <si>
    <t>合计3</t>
  </si>
  <si>
    <t>E.4建设投资税后金额表（万元）</t>
  </si>
  <si>
    <t>（此表不需要填写，复制D.3的对应列，如果D.3有修改，此表也要同步复制）</t>
  </si>
  <si>
    <t>增值税率</t>
  </si>
  <si>
    <t>2025
（税后）</t>
  </si>
  <si>
    <t>2026
（税后）</t>
  </si>
  <si>
    <t>2027
（税后）</t>
  </si>
  <si>
    <t>H I J列税后计算的税率引用需对应</t>
  </si>
  <si>
    <t>F项目收入（万元）</t>
  </si>
  <si>
    <t>收入类别</t>
  </si>
  <si>
    <t>含税/不含税</t>
  </si>
  <si>
    <t>含税</t>
  </si>
  <si>
    <t>不含税</t>
  </si>
  <si>
    <t>……</t>
  </si>
  <si>
    <t>补贴收入</t>
  </si>
  <si>
    <t>年度合计（含税）</t>
  </si>
  <si>
    <t>年度合计（不含税）</t>
  </si>
  <si>
    <t>F.1项目单项收入信息</t>
  </si>
  <si>
    <t>单价（万元/年）</t>
  </si>
  <si>
    <t>浮动后单价（万元）</t>
  </si>
  <si>
    <t>单价年增长情况</t>
  </si>
  <si>
    <t>增长比例</t>
  </si>
  <si>
    <t>租赁收入</t>
  </si>
  <si>
    <t>不增长</t>
  </si>
  <si>
    <t>年度负荷</t>
  </si>
  <si>
    <t>停车收入</t>
  </si>
  <si>
    <t>每年增长</t>
  </si>
  <si>
    <t>充电桩收入</t>
  </si>
  <si>
    <t>每3年增长</t>
  </si>
  <si>
    <t>广告收入</t>
  </si>
  <si>
    <t>每5年增长</t>
  </si>
  <si>
    <t>...</t>
  </si>
  <si>
    <t>G.税金及附加测算表（万元）</t>
  </si>
  <si>
    <t>建设投资进项税</t>
  </si>
  <si>
    <t xml:space="preserve">2025
</t>
  </si>
  <si>
    <t xml:space="preserve">2026
</t>
  </si>
  <si>
    <t xml:space="preserve">2027
</t>
  </si>
  <si>
    <t xml:space="preserve">2028
</t>
  </si>
  <si>
    <t xml:space="preserve">2029
</t>
  </si>
  <si>
    <t xml:space="preserve">2030
</t>
  </si>
  <si>
    <t>G.1 进项税总计-建设投资
可一直累进抵扣，直至为0</t>
  </si>
  <si>
    <t>当期进项税额</t>
  </si>
  <si>
    <t>当期销项税额</t>
  </si>
  <si>
    <t>当期应缴增值税</t>
  </si>
  <si>
    <t>城建税及教育费附加</t>
  </si>
  <si>
    <t>G.1进项增值税率-建设投资</t>
  </si>
  <si>
    <t>行分项跟随D.3修改</t>
  </si>
  <si>
    <t>增值税（万元）</t>
  </si>
  <si>
    <t>进项税总计-建设投资</t>
  </si>
  <si>
    <t>G.2进项增值税率-运营成本</t>
  </si>
  <si>
    <t>行分项跟随E.1修改</t>
  </si>
  <si>
    <t>G.3销项增值税率</t>
  </si>
  <si>
    <t>行分项跟随F修改</t>
  </si>
  <si>
    <t>政务服务收入</t>
  </si>
  <si>
    <t>企业服务收入</t>
  </si>
  <si>
    <t>文旅服务收入</t>
  </si>
  <si>
    <t>飞行服务收入</t>
  </si>
  <si>
    <t>数据收入</t>
  </si>
  <si>
    <t>产学研成果转化及输入收入</t>
  </si>
  <si>
    <t>a.1财务现金流量表（万元）</t>
  </si>
  <si>
    <t>现金流入</t>
  </si>
  <si>
    <t>营业收入</t>
  </si>
  <si>
    <t>回收固定资产余值</t>
  </si>
  <si>
    <t>回收流动资金</t>
  </si>
  <si>
    <t>现金流出</t>
  </si>
  <si>
    <t>经营成本</t>
  </si>
  <si>
    <t>营业税金及附加</t>
  </si>
  <si>
    <t>增值税</t>
  </si>
  <si>
    <t>维持运营投资</t>
  </si>
  <si>
    <t>所得税前净现金流量（1-2）</t>
  </si>
  <si>
    <t>累计所得税前净现金流量</t>
  </si>
  <si>
    <t>调整所得税</t>
  </si>
  <si>
    <t>所得税后净现金流量（3-5）</t>
  </si>
  <si>
    <t>累计所得税后净现金流量</t>
  </si>
  <si>
    <t>折现值-所得税前净现金流量</t>
  </si>
  <si>
    <t>折现值-累计所得税前净现金流量</t>
  </si>
  <si>
    <t>折现值-所得税后净现金流量</t>
  </si>
  <si>
    <t>折现值-累计所得税后净现金流量</t>
  </si>
  <si>
    <t>Ⅰ</t>
  </si>
  <si>
    <t>项目投资财务内部收益率（%）
（所得税前）</t>
  </si>
  <si>
    <t>Ⅱ</t>
  </si>
  <si>
    <t>项目投资财务内部收益率（%）
（所得税后）</t>
  </si>
  <si>
    <t>Ⅲ</t>
  </si>
  <si>
    <t>项目投资财务净现值（所得税前）
（ic = %）</t>
  </si>
  <si>
    <t>ic参考表A</t>
  </si>
  <si>
    <t>Ⅳ</t>
  </si>
  <si>
    <t>项目投资财务净现值（所得税后）
（ic = %）</t>
  </si>
  <si>
    <t>Ⅴ</t>
  </si>
  <si>
    <t>项目静态投资回收期（年）
（所得税前）</t>
  </si>
  <si>
    <t>看A列序号：行4转正年份 - 2025 + 行4[行4转正年份-1] / 行3[行4转正年份]</t>
  </si>
  <si>
    <t>Ⅵ</t>
  </si>
  <si>
    <t>项目动态投资回收期（年）
（所得税前）</t>
  </si>
  <si>
    <t>看A列序号：行9转正年份 - 2025 + 行9[行9转正年份-1] / 行8[行9转正年份]</t>
  </si>
  <si>
    <t>Ⅶ</t>
  </si>
  <si>
    <t>★项目静态投资回收期（年）
（所得税后）</t>
  </si>
  <si>
    <t>看A列序号：行7转正年份 - 2025 + 行7[行7转正年份-1] / 行6[行7转正年份]</t>
  </si>
  <si>
    <t>Ⅷ</t>
  </si>
  <si>
    <t>★项目动态投资回收期（年）
（所得税后）</t>
  </si>
  <si>
    <t>看A列序号：行11转正年份 - 2025 + 行11[行11转正年份-1] / 行10[行11转正年份]</t>
  </si>
  <si>
    <t>a.2项目资本金现金流量表（万元）</t>
  </si>
  <si>
    <t>借款本金偿还</t>
  </si>
  <si>
    <t>借款利息支付</t>
  </si>
  <si>
    <t>所得税</t>
  </si>
  <si>
    <t>净现金流量</t>
  </si>
  <si>
    <t>资本金财务内部收益率（%）</t>
  </si>
  <si>
    <t>b利润与利润分配表（损益和利润分配表）（万元）</t>
  </si>
  <si>
    <t>营业收入（不含增值税）</t>
  </si>
  <si>
    <t>总成本费用（不含增值税）</t>
  </si>
  <si>
    <t>利润总额（1-2-3+4）</t>
  </si>
  <si>
    <t>弥补以前年度亏损</t>
  </si>
  <si>
    <t>期末未弥补亏损</t>
  </si>
  <si>
    <t>应纳税所得额（5-6）</t>
  </si>
  <si>
    <t>净利润（5-8）</t>
  </si>
  <si>
    <t>期初未分配利润</t>
  </si>
  <si>
    <t>可供分配的利润（9+10）</t>
  </si>
  <si>
    <t>提取法定盈余公积金</t>
  </si>
  <si>
    <t>可供投资者分配的利润（11-12）</t>
  </si>
  <si>
    <t>应付优先股股利</t>
  </si>
  <si>
    <t>提取任意盈余公积金</t>
  </si>
  <si>
    <t>应付普通股股利（13-14-15）</t>
  </si>
  <si>
    <t>各投资方利润分配：</t>
  </si>
  <si>
    <t>其中：投资方</t>
  </si>
  <si>
    <t>未分配利润（13-14-15-17）</t>
  </si>
  <si>
    <t>其中：偿还借款</t>
  </si>
  <si>
    <t>累计未分配利润</t>
  </si>
  <si>
    <t>息税前利润
（利润总额+利息支出）</t>
  </si>
  <si>
    <t>息税折旧摊销前利润
（息税前利润+折旧+摊销）</t>
  </si>
  <si>
    <t>本息覆盖倍数</t>
  </si>
  <si>
    <t>c借款还本付息计划表（万元）</t>
  </si>
  <si>
    <t>期初借款余额</t>
  </si>
  <si>
    <t>当期还本付息</t>
  </si>
  <si>
    <t>其中：还本</t>
  </si>
  <si>
    <t>修改对应</t>
  </si>
  <si>
    <t>付息</t>
  </si>
  <si>
    <t>要注意：！！还款年的第一笔和最后一笔公式不一样！！对应好C.1</t>
  </si>
  <si>
    <t>期末借款余额</t>
  </si>
  <si>
    <t>对应好C.2</t>
  </si>
  <si>
    <t>还本付息兑付手续费</t>
  </si>
  <si>
    <t>债券发行及服务费</t>
  </si>
  <si>
    <t>对应好C.1</t>
  </si>
  <si>
    <t>应付利息</t>
  </si>
  <si>
    <t>对应好C.1，最后一列不一样。合计算的建设期</t>
  </si>
  <si>
    <t>3.2.1</t>
  </si>
  <si>
    <t>3.2.2</t>
  </si>
  <si>
    <t>n</t>
  </si>
  <si>
    <t>借款合计</t>
  </si>
  <si>
    <t>n.1</t>
  </si>
  <si>
    <t>重新累加上面所有借款</t>
  </si>
  <si>
    <t>n.2</t>
  </si>
  <si>
    <t>n.2.1</t>
  </si>
  <si>
    <t>n.2.2</t>
  </si>
  <si>
    <t>n.3</t>
  </si>
  <si>
    <t>n.4</t>
  </si>
  <si>
    <t>n.5</t>
  </si>
  <si>
    <t>n.6</t>
  </si>
  <si>
    <t>各年度的应付利息</t>
  </si>
  <si>
    <t>计算指标</t>
  </si>
  <si>
    <t>利息备付率（%）</t>
  </si>
  <si>
    <t>偿债备付率（%）</t>
  </si>
  <si>
    <t>d财务计划现金流量表（万元）</t>
  </si>
  <si>
    <t>经营活动净现金流量(1.1-1.2)</t>
  </si>
  <si>
    <t>增值税销项税额</t>
  </si>
  <si>
    <t>1.1.4</t>
  </si>
  <si>
    <t>其他流入</t>
  </si>
  <si>
    <t>增值税进项税额</t>
  </si>
  <si>
    <t>1.2.5</t>
  </si>
  <si>
    <t>1.2.6</t>
  </si>
  <si>
    <t>其他流出</t>
  </si>
  <si>
    <t>投资活动净现金流量(2.1-2.2)</t>
  </si>
  <si>
    <t>2.2.4</t>
  </si>
  <si>
    <t>筹资活动净现金流量(3.1-3.2)</t>
  </si>
  <si>
    <t>3.1.1</t>
  </si>
  <si>
    <t>项目资本金投入</t>
  </si>
  <si>
    <t>3.1.2</t>
  </si>
  <si>
    <t>建设投资借款</t>
  </si>
  <si>
    <t>各种利息支出</t>
  </si>
  <si>
    <t>偿还债务本金</t>
  </si>
  <si>
    <t>净现金流量(1+2+3)</t>
  </si>
  <si>
    <t>累计盈余资金</t>
  </si>
  <si>
    <t>e资产负债表（万元）</t>
  </si>
  <si>
    <t>资产</t>
  </si>
  <si>
    <t>流动资产总额</t>
  </si>
  <si>
    <t>货币资金</t>
  </si>
  <si>
    <t>预付账款</t>
  </si>
  <si>
    <t>1.1.5</t>
  </si>
  <si>
    <t>其他</t>
  </si>
  <si>
    <t>在建工程</t>
  </si>
  <si>
    <t>固定资产净值</t>
  </si>
  <si>
    <t>无形及其他资产净值</t>
  </si>
  <si>
    <t>负债及所有者权益(2.4+2.5)</t>
  </si>
  <si>
    <t>流动负债总额</t>
  </si>
  <si>
    <t>短期借款</t>
  </si>
  <si>
    <t>预收账款</t>
  </si>
  <si>
    <t>2.1.4</t>
  </si>
  <si>
    <t>流动资金借款</t>
  </si>
  <si>
    <t>负债小计(2.1+2.2+2.3)</t>
  </si>
  <si>
    <t>所有者权益</t>
  </si>
  <si>
    <t>2.5.1</t>
  </si>
  <si>
    <t>资本金</t>
  </si>
  <si>
    <t>2.5.2</t>
  </si>
  <si>
    <t>资本公积</t>
  </si>
  <si>
    <t>2.5.3</t>
  </si>
  <si>
    <t>累计盈余公积金</t>
  </si>
  <si>
    <t>2.5.4</t>
  </si>
  <si>
    <t>计算指标：资产负债率</t>
  </si>
  <si>
    <t>Ⅰ项目投资估算构成表</t>
  </si>
  <si>
    <t>投资构成类别</t>
  </si>
  <si>
    <t>工程费用</t>
  </si>
  <si>
    <t>预备费用</t>
  </si>
  <si>
    <t>投资估算金额（万元）</t>
  </si>
  <si>
    <t>占比</t>
  </si>
  <si>
    <t>Ⅱ项目分年度资金筹措计划表（万元）</t>
  </si>
  <si>
    <t>注：此表依据D.2自行填写，一般财政预算资金和单位自有资金二选一</t>
  </si>
  <si>
    <t>资金来源类型</t>
  </si>
  <si>
    <t>各类型占比</t>
  </si>
  <si>
    <t>财政预算资金</t>
  </si>
  <si>
    <t>单位自有资金</t>
  </si>
  <si>
    <t>专项债券
（用作项目资本金）</t>
  </si>
  <si>
    <t>专项债券
（不用做项目资本金）</t>
  </si>
  <si>
    <t>银行贷款</t>
  </si>
  <si>
    <t>其他来源资金</t>
  </si>
  <si>
    <t>分年度占比</t>
  </si>
  <si>
    <t>Ⅲ项目分年度收入合计表（经营性收入+补贴收入）（万元）</t>
  </si>
  <si>
    <t>收入类型</t>
  </si>
  <si>
    <t>分年收入</t>
  </si>
  <si>
    <t>经营性收入</t>
  </si>
  <si>
    <t>政府补贴收入</t>
  </si>
  <si>
    <t>Ⅳ项目分年度成本明细表</t>
  </si>
  <si>
    <t>复制E.1</t>
  </si>
  <si>
    <t>单价
（万元）</t>
  </si>
  <si>
    <t>2025（万元）</t>
  </si>
  <si>
    <t>2026（万元）</t>
  </si>
  <si>
    <t>2027（万元）</t>
  </si>
  <si>
    <t>2028（万元）</t>
  </si>
  <si>
    <t>2029（万元）</t>
  </si>
  <si>
    <t>2030（万元）</t>
  </si>
  <si>
    <t>2031（万元）</t>
  </si>
  <si>
    <t>2032（万元）</t>
  </si>
  <si>
    <t>2033（万元）</t>
  </si>
  <si>
    <t>2034（万元）</t>
  </si>
  <si>
    <t>2035（万元）</t>
  </si>
  <si>
    <t>2036（万元）</t>
  </si>
  <si>
    <t>2037（万元）</t>
  </si>
  <si>
    <t>2038（万元）</t>
  </si>
  <si>
    <t>2039（万元）</t>
  </si>
  <si>
    <t>2040（万元）</t>
  </si>
  <si>
    <t>2041（万元）</t>
  </si>
  <si>
    <t>2042（万元）</t>
  </si>
  <si>
    <t>2043（万元）</t>
  </si>
  <si>
    <t>2044（万元）</t>
  </si>
  <si>
    <t>2045（万元）</t>
  </si>
  <si>
    <t>2046（万元）</t>
  </si>
  <si>
    <t>2047（万元）</t>
  </si>
  <si>
    <t>Ⅴ项目分年度收益表（万元）</t>
  </si>
  <si>
    <t>类别</t>
  </si>
  <si>
    <t>项目收入</t>
  </si>
  <si>
    <t>运营成本</t>
  </si>
  <si>
    <t>项目收益</t>
  </si>
  <si>
    <t>Ⅵ专项债券应付本息情况表（万元）</t>
  </si>
  <si>
    <t>年度</t>
  </si>
  <si>
    <t>本期新增</t>
  </si>
  <si>
    <t>本期偿还</t>
  </si>
  <si>
    <t>期末本金</t>
  </si>
  <si>
    <t>融资利率</t>
  </si>
  <si>
    <t>应付本息</t>
  </si>
  <si>
    <t>VIII债券资金覆盖率压力测试表</t>
  </si>
  <si>
    <t>资金覆盖率-压力测试</t>
  </si>
  <si>
    <t>运营收入变动敏感性分析</t>
  </si>
  <si>
    <t>专项债券本息覆盖倍数</t>
  </si>
  <si>
    <t>运营成本变动敏感性分析</t>
  </si>
  <si>
    <t>债券利率变动敏感新分析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</si>
</sst>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8" formatCode="&quot;￥&quot;#,##0.00;[Red]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);[Red]\(0.00\)"/>
    <numFmt numFmtId="177" formatCode="0.00_ "/>
    <numFmt numFmtId="178" formatCode="0.0000_ "/>
    <numFmt numFmtId="179" formatCode="0.0000%"/>
    <numFmt numFmtId="180" formatCode="0.000%"/>
  </numFmts>
  <fonts count="38">
    <font>
      <sz val="11"/>
      <color theme="1"/>
      <name val="宋体"/>
      <charset val="134"/>
      <scheme val="minor"/>
    </font>
    <font>
      <b/>
      <sz val="13"/>
      <color theme="0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color rgb="FFFF0000"/>
      <name val="微软雅黑"/>
      <charset val="134"/>
    </font>
    <font>
      <b/>
      <sz val="11"/>
      <color rgb="FFFF0000"/>
      <name val="微软雅黑"/>
      <charset val="134"/>
    </font>
    <font>
      <b/>
      <sz val="11"/>
      <color rgb="FF0070C0"/>
      <name val="宋体"/>
      <charset val="134"/>
      <scheme val="minor"/>
    </font>
    <font>
      <b/>
      <sz val="14"/>
      <color theme="0"/>
      <name val="微软雅黑"/>
      <charset val="134"/>
    </font>
    <font>
      <b/>
      <sz val="11"/>
      <color theme="0"/>
      <name val="微软雅黑"/>
      <charset val="134"/>
    </font>
    <font>
      <b/>
      <sz val="11"/>
      <color rgb="FF0070C0"/>
      <name val="微软雅黑"/>
      <charset val="134"/>
    </font>
    <font>
      <sz val="11"/>
      <name val="微软雅黑"/>
      <charset val="134"/>
    </font>
    <font>
      <b/>
      <sz val="16"/>
      <color theme="0"/>
      <name val="微软雅黑"/>
      <charset val="134"/>
    </font>
    <font>
      <sz val="10"/>
      <color rgb="FFFF0000"/>
      <name val="微软雅黑"/>
      <charset val="134"/>
    </font>
    <font>
      <b/>
      <sz val="14"/>
      <color theme="1"/>
      <name val="微软雅黑"/>
      <charset val="134"/>
    </font>
    <font>
      <b/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b/>
      <sz val="12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9" borderId="13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4" applyNumberFormat="0" applyFill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10" borderId="16" applyNumberFormat="0" applyAlignment="0" applyProtection="0">
      <alignment vertical="center"/>
    </xf>
    <xf numFmtId="0" fontId="26" fillId="11" borderId="17" applyNumberFormat="0" applyAlignment="0" applyProtection="0">
      <alignment vertical="center"/>
    </xf>
    <xf numFmtId="0" fontId="27" fillId="11" borderId="16" applyNumberFormat="0" applyAlignment="0" applyProtection="0">
      <alignment vertical="center"/>
    </xf>
    <xf numFmtId="0" fontId="28" fillId="12" borderId="18" applyNumberFormat="0" applyAlignment="0" applyProtection="0">
      <alignment vertical="center"/>
    </xf>
    <xf numFmtId="0" fontId="29" fillId="0" borderId="19" applyNumberFormat="0" applyFill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3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5" fillId="20" borderId="0" applyNumberFormat="0" applyBorder="0" applyAlignment="0" applyProtection="0">
      <alignment vertical="center"/>
    </xf>
    <xf numFmtId="0" fontId="35" fillId="21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35" fillId="33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5" fillId="36" borderId="0" applyNumberFormat="0" applyBorder="0" applyAlignment="0" applyProtection="0">
      <alignment vertical="center"/>
    </xf>
    <xf numFmtId="0" fontId="35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</cellStyleXfs>
  <cellXfs count="162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9" fontId="2" fillId="3" borderId="1" xfId="0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1" fillId="2" borderId="5" xfId="0" applyFont="1" applyFill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1" fillId="2" borderId="2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6" borderId="0" xfId="0" applyFill="1">
      <alignment vertical="center"/>
    </xf>
    <xf numFmtId="0" fontId="7" fillId="7" borderId="1" xfId="0" applyFont="1" applyFill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177" fontId="4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7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>
      <alignment vertical="center"/>
    </xf>
    <xf numFmtId="178" fontId="3" fillId="5" borderId="1" xfId="0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9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7" fontId="3" fillId="6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7" fontId="10" fillId="6" borderId="1" xfId="0" applyNumberFormat="1" applyFont="1" applyFill="1" applyBorder="1" applyAlignment="1">
      <alignment horizontal="center" vertical="center"/>
    </xf>
    <xf numFmtId="176" fontId="3" fillId="5" borderId="1" xfId="0" applyNumberFormat="1" applyFont="1" applyFill="1" applyBorder="1" applyAlignment="1">
      <alignment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9" fontId="3" fillId="5" borderId="1" xfId="0" applyNumberFormat="1" applyFont="1" applyFill="1" applyBorder="1" applyAlignment="1">
      <alignment vertical="center"/>
    </xf>
    <xf numFmtId="0" fontId="5" fillId="3" borderId="2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 wrapText="1"/>
    </xf>
    <xf numFmtId="0" fontId="3" fillId="0" borderId="1" xfId="0" applyFont="1" applyBorder="1">
      <alignment vertical="center"/>
    </xf>
    <xf numFmtId="8" fontId="3" fillId="5" borderId="1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9" fontId="4" fillId="0" borderId="1" xfId="0" applyNumberFormat="1" applyFont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177" fontId="3" fillId="0" borderId="1" xfId="0" applyNumberFormat="1" applyFont="1" applyBorder="1" applyAlignment="1">
      <alignment horizontal="center" vertical="center" wrapText="1"/>
    </xf>
    <xf numFmtId="2" fontId="3" fillId="5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 vertical="center" wrapText="1"/>
    </xf>
    <xf numFmtId="177" fontId="4" fillId="0" borderId="1" xfId="0" applyNumberFormat="1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177" fontId="3" fillId="0" borderId="1" xfId="0" applyNumberFormat="1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 wrapText="1"/>
    </xf>
    <xf numFmtId="10" fontId="4" fillId="6" borderId="1" xfId="0" applyNumberFormat="1" applyFont="1" applyFill="1" applyBorder="1" applyAlignment="1">
      <alignment horizontal="center" vertical="center"/>
    </xf>
    <xf numFmtId="176" fontId="10" fillId="6" borderId="1" xfId="0" applyNumberFormat="1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3" fillId="6" borderId="2" xfId="0" applyFont="1" applyFill="1" applyBorder="1" applyAlignment="1">
      <alignment vertical="center"/>
    </xf>
    <xf numFmtId="0" fontId="3" fillId="6" borderId="4" xfId="0" applyFont="1" applyFill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7" fillId="7" borderId="11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5" fillId="3" borderId="7" xfId="0" applyFont="1" applyFill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11" fillId="7" borderId="11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177" fontId="2" fillId="3" borderId="3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76" fontId="3" fillId="0" borderId="1" xfId="0" applyNumberFormat="1" applyFont="1" applyBorder="1" applyAlignment="1">
      <alignment horizontal="center" vertical="center" wrapText="1"/>
    </xf>
    <xf numFmtId="10" fontId="3" fillId="6" borderId="1" xfId="0" applyNumberFormat="1" applyFont="1" applyFill="1" applyBorder="1" applyAlignment="1">
      <alignment horizontal="center" vertical="center"/>
    </xf>
    <xf numFmtId="177" fontId="4" fillId="5" borderId="1" xfId="0" applyNumberFormat="1" applyFont="1" applyFill="1" applyBorder="1" applyAlignment="1">
      <alignment horizontal="center" vertical="center" wrapText="1"/>
    </xf>
    <xf numFmtId="10" fontId="4" fillId="5" borderId="1" xfId="0" applyNumberFormat="1" applyFont="1" applyFill="1" applyBorder="1" applyAlignment="1">
      <alignment horizontal="center" vertical="center"/>
    </xf>
    <xf numFmtId="10" fontId="10" fillId="6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 wrapText="1"/>
    </xf>
    <xf numFmtId="10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76" fontId="4" fillId="5" borderId="1" xfId="0" applyNumberFormat="1" applyFont="1" applyFill="1" applyBorder="1" applyAlignment="1">
      <alignment horizontal="center" vertical="center" wrapText="1"/>
    </xf>
    <xf numFmtId="10" fontId="4" fillId="5" borderId="1" xfId="0" applyNumberFormat="1" applyFont="1" applyFill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10" fontId="4" fillId="0" borderId="1" xfId="0" applyNumberFormat="1" applyFont="1" applyBorder="1" applyAlignment="1">
      <alignment horizontal="center" vertical="center" wrapText="1"/>
    </xf>
    <xf numFmtId="176" fontId="3" fillId="5" borderId="1" xfId="0" applyNumberFormat="1" applyFont="1" applyFill="1" applyBorder="1" applyAlignment="1">
      <alignment horizontal="center" vertical="center" wrapText="1"/>
    </xf>
    <xf numFmtId="176" fontId="3" fillId="5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 wrapText="1"/>
    </xf>
    <xf numFmtId="176" fontId="10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10" fontId="3" fillId="4" borderId="1" xfId="0" applyNumberFormat="1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177" fontId="10" fillId="0" borderId="1" xfId="0" applyNumberFormat="1" applyFont="1" applyBorder="1" applyAlignment="1">
      <alignment horizontal="center" vertical="center"/>
    </xf>
    <xf numFmtId="177" fontId="10" fillId="4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1" xfId="0" applyFont="1" applyBorder="1" applyAlignment="1">
      <alignment horizontal="center" vertical="center"/>
    </xf>
    <xf numFmtId="176" fontId="15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57" fontId="4" fillId="0" borderId="1" xfId="0" applyNumberFormat="1" applyFont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1" fillId="7" borderId="12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8" Type="http://schemas.openxmlformats.org/officeDocument/2006/relationships/styles" Target="styles.xml"/><Relationship Id="rId37" Type="http://schemas.microsoft.com/office/2006/relationships/vbaProject" Target="vbaProject.bin"/><Relationship Id="rId36" Type="http://schemas.openxmlformats.org/officeDocument/2006/relationships/sharedStrings" Target="sharedStrings.xml"/><Relationship Id="rId35" Type="http://schemas.openxmlformats.org/officeDocument/2006/relationships/theme" Target="theme/theme1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8</xdr:col>
          <xdr:colOff>53340</xdr:colOff>
          <xdr:row>4</xdr:row>
          <xdr:rowOff>662940</xdr:rowOff>
        </xdr:to>
        <xdr:sp macro="[0]!ProcessWorkbookForExternalShare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9418320" y="1676400"/>
              <a:ext cx="1687830" cy="51054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微软雅黑" panose="020B0503020204020204" charset="-122"/>
                  <a:ea typeface="微软雅黑" panose="020B0503020204020204" charset="-122"/>
                </a:rPr>
                <a:t>生成外发文件</a:t>
              </a:r>
              <a:endParaRPr lang="zh-CN" altLang="en-US" sz="1400" b="1" i="0" u="none" strike="noStrike" baseline="0">
                <a:solidFill>
                  <a:srgbClr val="FF0000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220980</xdr:colOff>
          <xdr:row>4</xdr:row>
          <xdr:rowOff>129540</xdr:rowOff>
        </xdr:from>
        <xdr:to>
          <xdr:col>9</xdr:col>
          <xdr:colOff>281940</xdr:colOff>
          <xdr:row>4</xdr:row>
          <xdr:rowOff>693420</xdr:rowOff>
        </xdr:to>
        <xdr:sp>
          <xdr:nvSpPr>
            <xdr:cNvPr id="20483" name="chkKeepFormulas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>
            <a:xfrm>
              <a:off x="11273790" y="1653540"/>
              <a:ext cx="2101850" cy="56388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</xdr:colOff>
          <xdr:row>10</xdr:row>
          <xdr:rowOff>68580</xdr:rowOff>
        </xdr:from>
        <xdr:to>
          <xdr:col>7</xdr:col>
          <xdr:colOff>967740</xdr:colOff>
          <xdr:row>11</xdr:row>
          <xdr:rowOff>7620</xdr:rowOff>
        </xdr:to>
        <xdr:sp macro="[0]!Cal_Click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8559800" y="3630930"/>
              <a:ext cx="876300" cy="2952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计算</a:t>
              </a:r>
              <a:endParaRPr lang="zh-CN" altLang="en-US" sz="1100" b="1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10</xdr:row>
          <xdr:rowOff>68580</xdr:rowOff>
        </xdr:from>
        <xdr:to>
          <xdr:col>6</xdr:col>
          <xdr:colOff>967740</xdr:colOff>
          <xdr:row>11</xdr:row>
          <xdr:rowOff>15240</xdr:rowOff>
        </xdr:to>
        <xdr:sp macro="[0]!ClearAll_Click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7480300" y="3630930"/>
              <a:ext cx="853440" cy="30289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清空</a:t>
              </a:r>
              <a:endParaRPr lang="zh-CN" altLang="en-US" sz="1100" b="1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1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_rels/sheet3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  <pageSetUpPr fitToPage="1"/>
  </sheetPr>
  <dimension ref="A1:D21"/>
  <sheetViews>
    <sheetView zoomScale="65" zoomScaleNormal="65" workbookViewId="0">
      <selection activeCell="H10" sqref="H10:I10"/>
    </sheetView>
  </sheetViews>
  <sheetFormatPr defaultColWidth="8.89090909090909" defaultRowHeight="30" customHeight="1" outlineLevelCol="3"/>
  <cols>
    <col min="2" max="2" width="30.3363636363636" customWidth="1"/>
    <col min="3" max="3" width="70.6636363636364" customWidth="1"/>
    <col min="4" max="4" width="12.7818181818182" customWidth="1"/>
    <col min="9" max="9" width="29.2181818181818" customWidth="1"/>
  </cols>
  <sheetData>
    <row r="1" s="51" customFormat="1" customHeight="1" spans="1:4">
      <c r="A1" s="110" t="s">
        <v>0</v>
      </c>
      <c r="B1" s="110"/>
      <c r="C1" s="110"/>
      <c r="D1" s="157"/>
    </row>
    <row r="2" s="51" customFormat="1" customHeight="1" spans="1:4">
      <c r="A2" s="158" t="s">
        <v>1</v>
      </c>
      <c r="B2" s="158" t="s">
        <v>2</v>
      </c>
      <c r="C2" s="158" t="s">
        <v>3</v>
      </c>
      <c r="D2" s="158" t="s">
        <v>4</v>
      </c>
    </row>
    <row r="3" s="51" customFormat="1" customHeight="1" spans="1:4">
      <c r="A3" s="7">
        <v>1</v>
      </c>
      <c r="B3" s="7" t="s">
        <v>5</v>
      </c>
      <c r="C3" s="7" t="s">
        <v>6</v>
      </c>
      <c r="D3" s="72">
        <v>0.05</v>
      </c>
    </row>
    <row r="4" s="51" customFormat="1" customHeight="1" spans="1:4">
      <c r="A4" s="7">
        <v>2</v>
      </c>
      <c r="B4" s="7" t="s">
        <v>7</v>
      </c>
      <c r="C4" s="7" t="s">
        <v>6</v>
      </c>
      <c r="D4" s="72">
        <v>0.03</v>
      </c>
    </row>
    <row r="5" s="51" customFormat="1" ht="78" customHeight="1" spans="1:4">
      <c r="A5" s="7">
        <v>3</v>
      </c>
      <c r="B5" s="7" t="s">
        <v>8</v>
      </c>
      <c r="C5" s="81" t="s">
        <v>9</v>
      </c>
      <c r="D5" s="72">
        <v>0.08</v>
      </c>
    </row>
    <row r="6" s="51" customFormat="1" ht="55.05" customHeight="1" spans="1:4">
      <c r="A6" s="7">
        <v>4</v>
      </c>
      <c r="B6" s="7" t="s">
        <v>10</v>
      </c>
      <c r="C6" s="38" t="s">
        <v>11</v>
      </c>
      <c r="D6" s="72">
        <v>0.07</v>
      </c>
    </row>
    <row r="7" s="51" customFormat="1" customHeight="1" spans="1:4">
      <c r="A7" s="7">
        <v>5</v>
      </c>
      <c r="B7" s="7" t="s">
        <v>12</v>
      </c>
      <c r="C7" s="7" t="s">
        <v>13</v>
      </c>
      <c r="D7" s="72">
        <v>0.03</v>
      </c>
    </row>
    <row r="8" s="51" customFormat="1" customHeight="1" spans="1:4">
      <c r="A8" s="7">
        <v>6</v>
      </c>
      <c r="B8" s="7" t="s">
        <v>14</v>
      </c>
      <c r="C8" s="7" t="s">
        <v>13</v>
      </c>
      <c r="D8" s="72">
        <v>0.02</v>
      </c>
    </row>
    <row r="9" s="51" customFormat="1" customHeight="1" spans="1:4">
      <c r="A9" s="7">
        <v>7</v>
      </c>
      <c r="B9" s="7" t="s">
        <v>15</v>
      </c>
      <c r="C9" s="7" t="s">
        <v>16</v>
      </c>
      <c r="D9" s="72">
        <v>0.25</v>
      </c>
    </row>
    <row r="10" s="51" customFormat="1" customHeight="1" spans="1:4">
      <c r="A10" s="7">
        <v>8</v>
      </c>
      <c r="B10" s="7" t="s">
        <v>17</v>
      </c>
      <c r="C10" s="7" t="s">
        <v>18</v>
      </c>
      <c r="D10" s="72">
        <v>0.1</v>
      </c>
    </row>
    <row r="11" s="51" customFormat="1" customHeight="1" spans="1:4">
      <c r="A11" s="7">
        <v>9</v>
      </c>
      <c r="B11" s="7" t="s">
        <v>19</v>
      </c>
      <c r="C11" s="7" t="s">
        <v>20</v>
      </c>
      <c r="D11" s="72">
        <v>0.05</v>
      </c>
    </row>
    <row r="12" s="51" customFormat="1" customHeight="1" spans="1:4">
      <c r="A12" s="7">
        <v>10</v>
      </c>
      <c r="B12" s="7" t="s">
        <v>21</v>
      </c>
      <c r="C12" s="7" t="s">
        <v>22</v>
      </c>
      <c r="D12" s="72">
        <v>0.05</v>
      </c>
    </row>
    <row r="13" s="51" customFormat="1" customHeight="1" spans="1:4">
      <c r="A13" s="7">
        <v>11</v>
      </c>
      <c r="B13" s="7" t="s">
        <v>23</v>
      </c>
      <c r="C13" s="7" t="s">
        <v>24</v>
      </c>
      <c r="D13" s="72">
        <v>1</v>
      </c>
    </row>
    <row r="14" ht="61.95" customHeight="1" spans="1:4">
      <c r="A14" s="7">
        <v>12</v>
      </c>
      <c r="B14" s="7" t="s">
        <v>25</v>
      </c>
      <c r="C14" s="81" t="s">
        <v>26</v>
      </c>
      <c r="D14" s="72">
        <v>0.03</v>
      </c>
    </row>
    <row r="15" ht="34.95" customHeight="1" spans="1:4">
      <c r="A15" s="138">
        <v>13</v>
      </c>
      <c r="B15" s="138" t="s">
        <v>27</v>
      </c>
      <c r="C15" s="38" t="s">
        <v>28</v>
      </c>
      <c r="D15" s="12">
        <v>0.0004</v>
      </c>
    </row>
    <row r="16" ht="33" customHeight="1" spans="1:4">
      <c r="A16" s="159"/>
      <c r="B16" s="159"/>
      <c r="C16" s="38" t="s">
        <v>29</v>
      </c>
      <c r="D16" s="12">
        <v>0.0008</v>
      </c>
    </row>
    <row r="17" customHeight="1" spans="1:4">
      <c r="A17" s="7">
        <v>14</v>
      </c>
      <c r="B17" s="7" t="s">
        <v>30</v>
      </c>
      <c r="C17" s="7" t="s">
        <v>31</v>
      </c>
      <c r="D17" s="160">
        <v>6.4e-5</v>
      </c>
    </row>
    <row r="18" customHeight="1" spans="1:4">
      <c r="A18" s="7">
        <v>15</v>
      </c>
      <c r="B18" s="7" t="s">
        <v>32</v>
      </c>
      <c r="C18" s="7" t="s">
        <v>33</v>
      </c>
      <c r="D18" s="161">
        <v>5e-5</v>
      </c>
    </row>
    <row r="19" customHeight="1" spans="1:4">
      <c r="A19" s="7">
        <v>16</v>
      </c>
      <c r="B19" s="7" t="s">
        <v>34</v>
      </c>
      <c r="C19" s="7" t="s">
        <v>35</v>
      </c>
      <c r="D19" s="12">
        <v>0</v>
      </c>
    </row>
    <row r="20" customHeight="1" spans="1:4">
      <c r="A20" s="7">
        <v>17</v>
      </c>
      <c r="B20" s="7" t="s">
        <v>36</v>
      </c>
      <c r="C20" s="7" t="s">
        <v>35</v>
      </c>
      <c r="D20" s="12">
        <v>0</v>
      </c>
    </row>
    <row r="21" customHeight="1" spans="1:4">
      <c r="A21" s="7">
        <v>18</v>
      </c>
      <c r="B21" s="7" t="s">
        <v>37</v>
      </c>
      <c r="C21" s="7" t="s">
        <v>35</v>
      </c>
      <c r="D21" s="12">
        <v>0</v>
      </c>
    </row>
  </sheetData>
  <mergeCells count="3">
    <mergeCell ref="A1:D1"/>
    <mergeCell ref="A15:A16"/>
    <mergeCell ref="B15:B16"/>
  </mergeCells>
  <pageMargins left="0.75" right="0.75" top="1" bottom="1" header="0.5" footer="0.5"/>
  <pageSetup paperSize="9" scale="44" fitToHeight="0" orientation="portrait"/>
  <headerFooter/>
  <drawing r:id="rId1"/>
  <legacyDrawing r:id="rId2"/>
  <controls>
    <mc:AlternateContent xmlns:mc="http://schemas.openxmlformats.org/markup-compatibility/2006">
      <mc:Choice Requires="x14">
        <control shapeId="20483" r:id="rId3" name="chkKeepFormulas">
          <controlPr defaultSize="0" r:id="rId4">
            <anchor moveWithCells="1">
              <from>
                <xdr:col>8</xdr:col>
                <xdr:colOff>220980</xdr:colOff>
                <xdr:row>4</xdr:row>
                <xdr:rowOff>129540</xdr:rowOff>
              </from>
              <to>
                <xdr:col>9</xdr:col>
                <xdr:colOff>281940</xdr:colOff>
                <xdr:row>4</xdr:row>
                <xdr:rowOff>693420</xdr:rowOff>
              </to>
            </anchor>
          </controlPr>
        </control>
      </mc:Choice>
      <mc:Fallback>
        <control shapeId="20483" r:id="rId3" name="chkKeepFormulas"/>
      </mc:Fallback>
    </mc:AlternateContent>
    <mc:AlternateContent xmlns:mc="http://schemas.openxmlformats.org/markup-compatibility/2006">
      <mc:Choice Requires="x14">
        <control shapeId="20481" name="Button 1" r:id="rId5">
          <controlPr print="0" defaultSize="0">
            <anchor moveWithCells="1" sizeWithCells="1">
              <from>
                <xdr:col>5</xdr:col>
                <xdr:colOff>228600</xdr:colOff>
                <xdr:row>4</xdr:row>
                <xdr:rowOff>152400</xdr:rowOff>
              </from>
              <to>
                <xdr:col>8</xdr:col>
                <xdr:colOff>53340</xdr:colOff>
                <xdr:row>4</xdr:row>
                <xdr:rowOff>662940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FF00"/>
  </sheetPr>
  <dimension ref="A1:E20"/>
  <sheetViews>
    <sheetView zoomScale="70" zoomScaleNormal="70" workbookViewId="0">
      <selection activeCell="D6" sqref="D6"/>
    </sheetView>
  </sheetViews>
  <sheetFormatPr defaultColWidth="8.89090909090909" defaultRowHeight="28.05" customHeight="1" outlineLevelCol="4"/>
  <cols>
    <col min="2" max="2" width="22.6636363636364" customWidth="1"/>
    <col min="3" max="3" width="58.4454545454545" customWidth="1"/>
    <col min="4" max="4" width="17.1090909090909" customWidth="1"/>
    <col min="5" max="5" width="29.8909090909091" customWidth="1"/>
  </cols>
  <sheetData>
    <row r="1" customHeight="1" spans="1:4">
      <c r="A1" s="62" t="s">
        <v>38</v>
      </c>
      <c r="B1" s="62"/>
      <c r="C1" s="62"/>
      <c r="D1" s="62"/>
    </row>
    <row r="2" customHeight="1" spans="1:4">
      <c r="A2" s="155" t="s">
        <v>1</v>
      </c>
      <c r="B2" s="155" t="s">
        <v>2</v>
      </c>
      <c r="C2" s="155" t="s">
        <v>3</v>
      </c>
      <c r="D2" s="155" t="s">
        <v>39</v>
      </c>
    </row>
    <row r="3" customHeight="1" spans="1:4">
      <c r="A3" s="156">
        <v>1</v>
      </c>
      <c r="B3" s="156" t="s">
        <v>40</v>
      </c>
      <c r="C3" s="55"/>
      <c r="D3" s="55"/>
    </row>
    <row r="4" customHeight="1" spans="1:4">
      <c r="A4" s="7">
        <v>1.1</v>
      </c>
      <c r="B4" s="7" t="s">
        <v>41</v>
      </c>
      <c r="C4" s="154" t="s">
        <v>42</v>
      </c>
      <c r="D4" s="154">
        <v>45901</v>
      </c>
    </row>
    <row r="5" customHeight="1" spans="1:4">
      <c r="A5" s="7">
        <v>1.2</v>
      </c>
      <c r="B5" s="7" t="s">
        <v>43</v>
      </c>
      <c r="C5" s="154" t="s">
        <v>44</v>
      </c>
      <c r="D5" s="154">
        <v>46022</v>
      </c>
    </row>
    <row r="6" customHeight="1" spans="1:4">
      <c r="A6" s="7">
        <v>1.3</v>
      </c>
      <c r="B6" s="7" t="s">
        <v>45</v>
      </c>
      <c r="C6" s="43" t="s">
        <v>46</v>
      </c>
      <c r="D6" s="91">
        <v>4</v>
      </c>
    </row>
    <row r="7" customHeight="1" spans="1:4">
      <c r="A7" s="7">
        <v>1.4</v>
      </c>
      <c r="B7" s="7" t="s">
        <v>47</v>
      </c>
      <c r="C7" s="7" t="s">
        <v>48</v>
      </c>
      <c r="D7" s="154">
        <f>D5+31</f>
        <v>46053</v>
      </c>
    </row>
    <row r="8" customHeight="1" spans="1:5">
      <c r="A8" s="7">
        <v>1.5</v>
      </c>
      <c r="B8" s="7" t="s">
        <v>49</v>
      </c>
      <c r="C8" s="7" t="s">
        <v>50</v>
      </c>
      <c r="D8" s="10">
        <v>22</v>
      </c>
      <c r="E8" s="35" t="s">
        <v>51</v>
      </c>
    </row>
    <row r="9" customHeight="1" spans="1:4">
      <c r="A9" s="156">
        <v>2</v>
      </c>
      <c r="B9" s="156" t="s">
        <v>52</v>
      </c>
      <c r="C9" s="55"/>
      <c r="D9" s="156"/>
    </row>
    <row r="10" customHeight="1" spans="1:4">
      <c r="A10" s="7">
        <v>2.1</v>
      </c>
      <c r="B10" s="7" t="s">
        <v>41</v>
      </c>
      <c r="C10" s="154" t="s">
        <v>42</v>
      </c>
      <c r="D10" s="154">
        <v>46023</v>
      </c>
    </row>
    <row r="11" customHeight="1" spans="1:4">
      <c r="A11" s="7">
        <v>2.2</v>
      </c>
      <c r="B11" s="7" t="s">
        <v>43</v>
      </c>
      <c r="C11" s="154" t="s">
        <v>44</v>
      </c>
      <c r="D11" s="154">
        <v>46387</v>
      </c>
    </row>
    <row r="12" customHeight="1" spans="1:4">
      <c r="A12" s="7">
        <v>2.3</v>
      </c>
      <c r="B12" s="7" t="s">
        <v>45</v>
      </c>
      <c r="C12" s="43" t="s">
        <v>46</v>
      </c>
      <c r="D12" s="91">
        <v>12</v>
      </c>
    </row>
    <row r="13" customHeight="1" spans="1:4">
      <c r="A13" s="7">
        <v>2.4</v>
      </c>
      <c r="B13" s="7" t="s">
        <v>47</v>
      </c>
      <c r="C13" s="7" t="s">
        <v>48</v>
      </c>
      <c r="D13" s="154">
        <f>D11+31</f>
        <v>46418</v>
      </c>
    </row>
    <row r="14" customHeight="1" spans="1:5">
      <c r="A14" s="7">
        <v>2.5</v>
      </c>
      <c r="B14" s="7" t="s">
        <v>49</v>
      </c>
      <c r="C14" s="7" t="s">
        <v>50</v>
      </c>
      <c r="D14" s="10">
        <v>21</v>
      </c>
      <c r="E14" s="35" t="s">
        <v>51</v>
      </c>
    </row>
    <row r="15" customHeight="1" spans="1:4">
      <c r="A15" s="156">
        <v>3</v>
      </c>
      <c r="B15" s="156" t="s">
        <v>53</v>
      </c>
      <c r="C15" s="55"/>
      <c r="D15" s="156"/>
    </row>
    <row r="16" customHeight="1" spans="1:4">
      <c r="A16" s="7">
        <v>3.1</v>
      </c>
      <c r="B16" s="7" t="s">
        <v>41</v>
      </c>
      <c r="C16" s="154" t="s">
        <v>42</v>
      </c>
      <c r="D16" s="154">
        <v>46388</v>
      </c>
    </row>
    <row r="17" customHeight="1" spans="1:4">
      <c r="A17" s="7">
        <v>3.2</v>
      </c>
      <c r="B17" s="7" t="s">
        <v>43</v>
      </c>
      <c r="C17" s="154" t="s">
        <v>44</v>
      </c>
      <c r="D17" s="154">
        <v>46752</v>
      </c>
    </row>
    <row r="18" customHeight="1" spans="1:4">
      <c r="A18" s="7">
        <v>3.3</v>
      </c>
      <c r="B18" s="7" t="s">
        <v>45</v>
      </c>
      <c r="C18" s="43" t="s">
        <v>46</v>
      </c>
      <c r="D18" s="91">
        <v>12</v>
      </c>
    </row>
    <row r="19" customHeight="1" spans="1:4">
      <c r="A19" s="7">
        <v>3.4</v>
      </c>
      <c r="B19" s="7" t="s">
        <v>47</v>
      </c>
      <c r="C19" s="7" t="s">
        <v>48</v>
      </c>
      <c r="D19" s="154">
        <f>D17+31</f>
        <v>46783</v>
      </c>
    </row>
    <row r="20" customHeight="1" spans="1:5">
      <c r="A20" s="7">
        <v>3.5</v>
      </c>
      <c r="B20" s="7" t="s">
        <v>49</v>
      </c>
      <c r="C20" s="7" t="s">
        <v>50</v>
      </c>
      <c r="D20" s="10">
        <v>20</v>
      </c>
      <c r="E20" s="35" t="s">
        <v>51</v>
      </c>
    </row>
  </sheetData>
  <mergeCells count="1">
    <mergeCell ref="A1:D1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FFFF00"/>
  </sheetPr>
  <dimension ref="A1:N6"/>
  <sheetViews>
    <sheetView zoomScale="80" zoomScaleNormal="80" workbookViewId="0">
      <selection activeCell="B8" sqref="B8"/>
    </sheetView>
  </sheetViews>
  <sheetFormatPr defaultColWidth="8.89090909090909" defaultRowHeight="28.05" customHeight="1" outlineLevelRow="5"/>
  <cols>
    <col min="1" max="1" width="7.78181818181818" customWidth="1"/>
    <col min="2" max="2" width="9.55454545454545" customWidth="1"/>
    <col min="3" max="3" width="16.5545454545455" customWidth="1"/>
    <col min="4" max="4" width="15.6636363636364" customWidth="1"/>
    <col min="5" max="5" width="11.3363636363636" customWidth="1"/>
    <col min="6" max="6" width="12.7818181818182" customWidth="1"/>
    <col min="7" max="7" width="21.7818181818182" customWidth="1"/>
    <col min="8" max="8" width="21.8909090909091" customWidth="1"/>
    <col min="9" max="9" width="28.6636363636364" customWidth="1"/>
    <col min="10" max="10" width="13.7818181818182" hidden="1" customWidth="1"/>
    <col min="11" max="11" width="34.8909090909091" customWidth="1"/>
    <col min="12" max="12" width="23.2181818181818" customWidth="1"/>
    <col min="13" max="13" width="26" customWidth="1"/>
    <col min="15" max="15" width="18.8909090909091" customWidth="1"/>
  </cols>
  <sheetData>
    <row r="1" s="53" customFormat="1" customHeight="1" spans="1:13">
      <c r="A1" s="62" t="s">
        <v>54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="53" customFormat="1" ht="40.05" customHeight="1" spans="1:13">
      <c r="A2" s="2" t="s">
        <v>1</v>
      </c>
      <c r="B2" s="2" t="s">
        <v>55</v>
      </c>
      <c r="C2" s="2" t="s">
        <v>56</v>
      </c>
      <c r="D2" s="153" t="s">
        <v>57</v>
      </c>
      <c r="E2" s="2" t="s">
        <v>58</v>
      </c>
      <c r="F2" s="2" t="s">
        <v>59</v>
      </c>
      <c r="G2" s="2" t="s">
        <v>60</v>
      </c>
      <c r="H2" s="2" t="s">
        <v>61</v>
      </c>
      <c r="I2" s="2" t="s">
        <v>62</v>
      </c>
      <c r="J2" s="2" t="s">
        <v>63</v>
      </c>
      <c r="K2" s="2" t="s">
        <v>64</v>
      </c>
      <c r="L2" s="153" t="s">
        <v>65</v>
      </c>
      <c r="M2" s="153" t="s">
        <v>66</v>
      </c>
    </row>
    <row r="3" s="53" customFormat="1" ht="82.5" spans="1:13">
      <c r="A3" s="55"/>
      <c r="B3" s="55"/>
      <c r="C3" s="139" t="s">
        <v>67</v>
      </c>
      <c r="D3" s="55"/>
      <c r="E3" s="55"/>
      <c r="F3" s="55"/>
      <c r="G3" s="139" t="s">
        <v>68</v>
      </c>
      <c r="H3" s="139" t="s">
        <v>69</v>
      </c>
      <c r="I3" s="139" t="s">
        <v>70</v>
      </c>
      <c r="J3" s="55"/>
      <c r="K3" s="139" t="s">
        <v>71</v>
      </c>
      <c r="L3" s="139" t="s">
        <v>72</v>
      </c>
      <c r="M3" s="139" t="s">
        <v>73</v>
      </c>
    </row>
    <row r="4" s="53" customFormat="1" customHeight="1" spans="1:14">
      <c r="A4" s="7">
        <v>1</v>
      </c>
      <c r="B4" s="10" t="s">
        <v>74</v>
      </c>
      <c r="C4" s="10" t="s">
        <v>75</v>
      </c>
      <c r="D4" s="41">
        <v>2000</v>
      </c>
      <c r="E4" s="154">
        <v>45901</v>
      </c>
      <c r="F4" s="154">
        <f>DATE(YEAR(E4)+G4,MONTH(E4),DAY(E4))</f>
        <v>53206</v>
      </c>
      <c r="G4" s="10">
        <v>20</v>
      </c>
      <c r="H4" s="12">
        <f>2.12%*(1+A财务假设!$D$21)</f>
        <v>0.0212</v>
      </c>
      <c r="I4" s="91" t="s">
        <v>76</v>
      </c>
      <c r="J4" s="154">
        <f>IF(G4&lt;10,DATE(YEAR(E4)+1,MONTH(E4),DAY(E4)),DATE(YEAR(E4),MONTH(E4)+6,DAY(E4)))</f>
        <v>46082</v>
      </c>
      <c r="K4" s="56">
        <f>IF(G4&gt;4,D4*A财务假设!$D$16,D4*A财务假设!$D$15)</f>
        <v>1.6</v>
      </c>
      <c r="L4" s="43">
        <f>D4*A财务假设!$D$17</f>
        <v>0.128</v>
      </c>
      <c r="M4" s="11">
        <f>c借款还本付息计划表!C9</f>
        <v>0.1424</v>
      </c>
      <c r="N4" s="80" t="s">
        <v>77</v>
      </c>
    </row>
    <row r="5" s="53" customFormat="1" customHeight="1" spans="1:14">
      <c r="A5" s="7">
        <v>2</v>
      </c>
      <c r="B5" s="10" t="s">
        <v>78</v>
      </c>
      <c r="C5" s="10" t="s">
        <v>75</v>
      </c>
      <c r="D5" s="41">
        <v>10000</v>
      </c>
      <c r="E5" s="154">
        <v>46266</v>
      </c>
      <c r="F5" s="154">
        <f>DATE(YEAR(E5)+G5,MONTH(E5),DAY(E5))</f>
        <v>53571</v>
      </c>
      <c r="G5" s="10">
        <v>20</v>
      </c>
      <c r="H5" s="12">
        <f>2.12%*(1+A财务假设!$D$21)</f>
        <v>0.0212</v>
      </c>
      <c r="I5" s="91" t="s">
        <v>76</v>
      </c>
      <c r="J5" s="154">
        <f>IF(G5&lt;10,DATE(YEAR(E5)+1,MONTH(E5),DAY(E5)),DATE(YEAR(E5),MONTH(E5)+6,DAY(E5)))</f>
        <v>46447</v>
      </c>
      <c r="K5" s="56">
        <f>IF(G5&gt;4,D5*A财务假设!$D$16,D5*A财务假设!$D$15)</f>
        <v>8</v>
      </c>
      <c r="L5" s="43">
        <f>D5*A财务假设!$D$17</f>
        <v>0.64</v>
      </c>
      <c r="M5" s="11">
        <f>c借款还本付息计划表!C18</f>
        <v>0.712</v>
      </c>
      <c r="N5" s="80" t="s">
        <v>77</v>
      </c>
    </row>
    <row r="6" s="53" customFormat="1" customHeight="1" spans="1:14">
      <c r="A6" s="7">
        <v>3</v>
      </c>
      <c r="B6" s="10" t="s">
        <v>79</v>
      </c>
      <c r="C6" s="10" t="s">
        <v>75</v>
      </c>
      <c r="D6" s="41">
        <v>10000</v>
      </c>
      <c r="E6" s="154">
        <v>46631</v>
      </c>
      <c r="F6" s="154">
        <f>DATE(YEAR(E6)+G6,MONTH(E6),DAY(E6))</f>
        <v>53936</v>
      </c>
      <c r="G6" s="10">
        <v>20</v>
      </c>
      <c r="H6" s="12">
        <f>2.12%*(1+A财务假设!$D$21)</f>
        <v>0.0212</v>
      </c>
      <c r="I6" s="91" t="s">
        <v>76</v>
      </c>
      <c r="J6" s="154">
        <f>IF(G6&lt;10,DATE(YEAR(E6)+1,MONTH(E6),DAY(E6)),DATE(YEAR(E6),MONTH(E6)+6,DAY(E6)))</f>
        <v>46813</v>
      </c>
      <c r="K6" s="56">
        <f>IF(G6&gt;4,D6*A财务假设!$D$16,D6*A财务假设!$D$15)</f>
        <v>8</v>
      </c>
      <c r="L6" s="43">
        <f>D6*A财务假设!$D$17</f>
        <v>0.64</v>
      </c>
      <c r="M6" s="11">
        <f>c借款还本付息计划表!C27</f>
        <v>0.712</v>
      </c>
      <c r="N6" s="80" t="s">
        <v>77</v>
      </c>
    </row>
  </sheetData>
  <mergeCells count="1">
    <mergeCell ref="A1:M1"/>
  </mergeCells>
  <dataValidations count="1">
    <dataValidation type="list" allowBlank="1" showInputMessage="1" showErrorMessage="1" sqref="I4:I6">
      <formula1>"贷款期内本期等额本金还款,贷款期内本期等额本息还款,后五年每年还本20%,后十年每年还本10%,后二十年每年还本5%,到期一次性还清,自定义还款"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FFFF00"/>
  </sheetPr>
  <dimension ref="A1:E6"/>
  <sheetViews>
    <sheetView workbookViewId="0">
      <selection activeCell="I6" sqref="I6"/>
    </sheetView>
  </sheetViews>
  <sheetFormatPr defaultColWidth="15.3363636363636" defaultRowHeight="28.05" customHeight="1" outlineLevelRow="5" outlineLevelCol="4"/>
  <sheetData>
    <row r="1" customHeight="1" spans="1:5">
      <c r="A1" s="40" t="s">
        <v>80</v>
      </c>
      <c r="B1" s="40"/>
      <c r="C1" s="40"/>
      <c r="D1" s="40"/>
      <c r="E1" s="40"/>
    </row>
    <row r="2" s="150" customFormat="1" customHeight="1" spans="1:5">
      <c r="A2" s="2" t="s">
        <v>1</v>
      </c>
      <c r="B2" s="2" t="s">
        <v>81</v>
      </c>
      <c r="C2" s="36">
        <v>2025</v>
      </c>
      <c r="D2" s="36">
        <v>2026</v>
      </c>
      <c r="E2" s="36">
        <v>2027</v>
      </c>
    </row>
    <row r="3" customHeight="1" spans="1:5">
      <c r="A3" s="7">
        <v>1</v>
      </c>
      <c r="B3" s="10" t="s">
        <v>74</v>
      </c>
      <c r="C3" s="41">
        <f>C.1项目融资信息!D4</f>
        <v>2000</v>
      </c>
      <c r="D3" s="41"/>
      <c r="E3" s="41"/>
    </row>
    <row r="4" customHeight="1" spans="1:5">
      <c r="A4" s="7">
        <v>2</v>
      </c>
      <c r="B4" s="10" t="s">
        <v>78</v>
      </c>
      <c r="C4" s="41"/>
      <c r="D4" s="41">
        <f>C.1项目融资信息!D5</f>
        <v>10000</v>
      </c>
      <c r="E4" s="41"/>
    </row>
    <row r="5" customHeight="1" spans="1:5">
      <c r="A5" s="7">
        <v>2</v>
      </c>
      <c r="B5" s="10" t="s">
        <v>79</v>
      </c>
      <c r="C5" s="41"/>
      <c r="D5" s="41"/>
      <c r="E5" s="41">
        <v>10000</v>
      </c>
    </row>
    <row r="6" customHeight="1" spans="1:5">
      <c r="A6" s="151">
        <v>4</v>
      </c>
      <c r="B6" s="151" t="s">
        <v>82</v>
      </c>
      <c r="C6" s="152">
        <f>SUM(C3:C5)</f>
        <v>2000</v>
      </c>
      <c r="D6" s="152">
        <f t="shared" ref="D6:E6" si="0">SUM(D3:D5)</f>
        <v>10000</v>
      </c>
      <c r="E6" s="152">
        <f t="shared" si="0"/>
        <v>10000</v>
      </c>
    </row>
  </sheetData>
  <mergeCells count="1">
    <mergeCell ref="A1:E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0070C0"/>
  </sheetPr>
  <dimension ref="A1:E21"/>
  <sheetViews>
    <sheetView zoomScale="85" zoomScaleNormal="85" workbookViewId="0">
      <selection activeCell="F8" sqref="F8"/>
    </sheetView>
  </sheetViews>
  <sheetFormatPr defaultColWidth="8.89090909090909" defaultRowHeight="28.05" customHeight="1" outlineLevelCol="4"/>
  <cols>
    <col min="2" max="2" width="20.6636363636364" customWidth="1"/>
    <col min="3" max="3" width="55.6636363636364" customWidth="1"/>
    <col min="4" max="4" width="18.8909090909091" customWidth="1"/>
    <col min="7" max="7" width="10.4454545454545" customWidth="1"/>
  </cols>
  <sheetData>
    <row r="1" s="51" customFormat="1" customHeight="1" spans="1:5">
      <c r="A1" s="141" t="s">
        <v>83</v>
      </c>
      <c r="B1" s="142"/>
      <c r="C1" s="142"/>
      <c r="D1" s="143"/>
      <c r="E1" s="80" t="s">
        <v>84</v>
      </c>
    </row>
    <row r="2" s="51" customFormat="1" customHeight="1" spans="1:4">
      <c r="A2" s="2" t="str">
        <f>D.3建设投资分年计划表!A2</f>
        <v>序号</v>
      </c>
      <c r="B2" s="2" t="str">
        <f>D.3建设投资分年计划表!B2</f>
        <v>分项费用</v>
      </c>
      <c r="C2" s="2" t="str">
        <f>D.3建设投资分年计划表!C2</f>
        <v>说明</v>
      </c>
      <c r="D2" s="2" t="str">
        <f>D.3建设投资分年计划表!D2</f>
        <v>金额</v>
      </c>
    </row>
    <row r="3" s="51" customFormat="1" customHeight="1" spans="1:4">
      <c r="A3" s="7" t="str">
        <f>D.3建设投资分年计划表!A3</f>
        <v>一</v>
      </c>
      <c r="B3" s="7" t="str">
        <f>D.3建设投资分年计划表!B3</f>
        <v>工程建设费用</v>
      </c>
      <c r="C3" s="144" t="str">
        <f>IF(D.3建设投资分年计划表!C3=0,"",D.3建设投资分年计划表!C3)</f>
        <v/>
      </c>
      <c r="D3" s="145">
        <f>D.3建设投资分年计划表!D3</f>
        <v>1824</v>
      </c>
    </row>
    <row r="4" s="51" customFormat="1" customHeight="1" spans="1:4">
      <c r="A4" s="55">
        <f>D.3建设投资分年计划表!A4</f>
        <v>1</v>
      </c>
      <c r="B4" s="55" t="str">
        <f>D.3建设投资分年计划表!B4</f>
        <v>工程类费用</v>
      </c>
      <c r="C4" s="55" t="str">
        <f>IF(D.3建设投资分年计划表!C4=0,"",D.3建设投资分年计划表!C4)</f>
        <v/>
      </c>
      <c r="D4" s="146">
        <f>D.3建设投资分年计划表!D4</f>
        <v>1800</v>
      </c>
    </row>
    <row r="5" s="51" customFormat="1" ht="87" customHeight="1" spans="1:4">
      <c r="A5" s="7">
        <f>D.3建设投资分年计划表!A5</f>
        <v>1.1</v>
      </c>
      <c r="B5" s="10" t="str">
        <f>D.3建设投资分年计划表!B5</f>
        <v>建筑工程费</v>
      </c>
      <c r="C5" s="81" t="str">
        <f>IF(D.3建设投资分年计划表!C5=0,"",D.3建设投资分年计划表!C5)</f>
        <v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v>
      </c>
      <c r="D5" s="41">
        <f>D.3建设投资分年计划表!D5</f>
        <v>600</v>
      </c>
    </row>
    <row r="6" s="51" customFormat="1" customHeight="1" spans="1:4">
      <c r="A6" s="7">
        <f>D.3建设投资分年计划表!A6</f>
        <v>1.2</v>
      </c>
      <c r="B6" s="10" t="str">
        <f>D.3建设投资分年计划表!B6</f>
        <v>设备购置费</v>
      </c>
      <c r="C6" s="7" t="str">
        <f>IF(D.3建设投资分年计划表!C6=0,"",D.3建设投资分年计划表!C6)</f>
        <v/>
      </c>
      <c r="D6" s="41">
        <f>D.3建设投资分年计划表!D6</f>
        <v>600</v>
      </c>
    </row>
    <row r="7" s="51" customFormat="1" ht="46.95" customHeight="1" spans="1:4">
      <c r="A7" s="7">
        <f>D.3建设投资分年计划表!A7</f>
        <v>1.3</v>
      </c>
      <c r="B7" s="10" t="str">
        <f>D.3建设投资分年计划表!B7</f>
        <v>安装工程费</v>
      </c>
      <c r="C7" s="81" t="str">
        <f>IF(D.3建设投资分年计划表!C7=0,"",D.3建设投资分年计划表!C7)</f>
        <v>指的是建筑工程中的管线安装、设备安装（如空调、电线、水管等），以及室内装修、园林绿化等方面的费用。</v>
      </c>
      <c r="D7" s="41">
        <f>D.3建设投资分年计划表!D7</f>
        <v>600</v>
      </c>
    </row>
    <row r="8" s="51" customFormat="1" customHeight="1" spans="1:4">
      <c r="A8" s="55">
        <f>D.3建设投资分年计划表!A8</f>
        <v>2</v>
      </c>
      <c r="B8" s="55" t="str">
        <f>D.3建设投资分年计划表!B8</f>
        <v>信息化建设费用</v>
      </c>
      <c r="C8" s="55" t="str">
        <f>IF(D.3建设投资分年计划表!C8=0,"",D.3建设投资分年计划表!C8)</f>
        <v/>
      </c>
      <c r="D8" s="146">
        <f>D.3建设投资分年计划表!D8</f>
        <v>24</v>
      </c>
    </row>
    <row r="9" s="51" customFormat="1" ht="52.05" customHeight="1" spans="1:4">
      <c r="A9" s="7">
        <f>D.3建设投资分年计划表!A9</f>
        <v>2.1</v>
      </c>
      <c r="B9" s="10" t="str">
        <f>D.3建设投资分年计划表!B9</f>
        <v>硬件类</v>
      </c>
      <c r="C9" s="81" t="str">
        <f>IF(D.3建设投资分年计划表!C9=0,"",D.3建设投资分年计划表!C9)</f>
        <v>包括服务器、存储、网络等设备</v>
      </c>
      <c r="D9" s="41">
        <f>D.3建设投资分年计划表!D9</f>
        <v>6</v>
      </c>
    </row>
    <row r="10" s="51" customFormat="1" customHeight="1" spans="1:4">
      <c r="A10" s="7">
        <f>D.3建设投资分年计划表!A10</f>
        <v>2.2</v>
      </c>
      <c r="B10" s="10" t="str">
        <f>D.3建设投资分年计划表!B10</f>
        <v>软件类</v>
      </c>
      <c r="C10" s="7" t="str">
        <f>IF(D.3建设投资分年计划表!C10=0,"",D.3建设投资分年计划表!C10)</f>
        <v/>
      </c>
      <c r="D10" s="41">
        <f>D.3建设投资分年计划表!D10</f>
        <v>6</v>
      </c>
    </row>
    <row r="11" s="51" customFormat="1" customHeight="1" spans="1:4">
      <c r="A11" s="7">
        <f>D.3建设投资分年计划表!A11</f>
        <v>2.3</v>
      </c>
      <c r="B11" s="10" t="str">
        <f>D.3建设投资分年计划表!B11</f>
        <v>安全类</v>
      </c>
      <c r="C11" s="7" t="str">
        <f>IF(D.3建设投资分年计划表!C11=0,"",D.3建设投资分年计划表!C11)</f>
        <v/>
      </c>
      <c r="D11" s="41">
        <f>D.3建设投资分年计划表!D11</f>
        <v>6</v>
      </c>
    </row>
    <row r="12" s="51" customFormat="1" customHeight="1" spans="1:4">
      <c r="A12" s="7">
        <f>D.3建设投资分年计划表!A12</f>
        <v>2.4</v>
      </c>
      <c r="B12" s="10" t="str">
        <f>D.3建设投资分年计划表!B12</f>
        <v>数据类</v>
      </c>
      <c r="C12" s="7" t="str">
        <f>IF(D.3建设投资分年计划表!C12=0,"",D.3建设投资分年计划表!C12)</f>
        <v/>
      </c>
      <c r="D12" s="41">
        <f>D.3建设投资分年计划表!D12</f>
        <v>6</v>
      </c>
    </row>
    <row r="13" s="51" customFormat="1" customHeight="1" spans="1:4">
      <c r="A13" s="55" t="str">
        <f>D.3建设投资分年计划表!A13</f>
        <v>二</v>
      </c>
      <c r="B13" s="55" t="str">
        <f>D.3建设投资分年计划表!B13</f>
        <v>工程建设其他费用</v>
      </c>
      <c r="C13" s="55" t="str">
        <f>IF(D.3建设投资分年计划表!C13=0,"",D.3建设投资分年计划表!C13)</f>
        <v/>
      </c>
      <c r="D13" s="146">
        <f>D.3建设投资分年计划表!D13</f>
        <v>24</v>
      </c>
    </row>
    <row r="14" s="51" customFormat="1" customHeight="1" spans="1:4">
      <c r="A14" s="7">
        <f>D.3建设投资分年计划表!A14</f>
        <v>1</v>
      </c>
      <c r="B14" s="10" t="str">
        <f>D.3建设投资分年计划表!B14</f>
        <v>建设单位管理费</v>
      </c>
      <c r="C14" s="7" t="str">
        <f>IF(D.3建设投资分年计划表!C14=0,"",D.3建设投资分年计划表!C14)</f>
        <v/>
      </c>
      <c r="D14" s="41">
        <f>D.3建设投资分年计划表!D14</f>
        <v>6</v>
      </c>
    </row>
    <row r="15" s="51" customFormat="1" customHeight="1" spans="1:4">
      <c r="A15" s="7">
        <f>D.3建设投资分年计划表!A15</f>
        <v>2</v>
      </c>
      <c r="B15" s="10" t="str">
        <f>D.3建设投资分年计划表!B15</f>
        <v>前期咨询费</v>
      </c>
      <c r="C15" s="7" t="str">
        <f>IF(D.3建设投资分年计划表!C15=0,"",D.3建设投资分年计划表!C15)</f>
        <v/>
      </c>
      <c r="D15" s="41">
        <f>D.3建设投资分年计划表!D15</f>
        <v>6</v>
      </c>
    </row>
    <row r="16" s="51" customFormat="1" customHeight="1" spans="1:4">
      <c r="A16" s="7">
        <f>D.3建设投资分年计划表!A16</f>
        <v>3</v>
      </c>
      <c r="B16" s="10" t="str">
        <f>D.3建设投资分年计划表!B16</f>
        <v>工程设计费</v>
      </c>
      <c r="C16" s="7" t="str">
        <f>IF(D.3建设投资分年计划表!C16=0,"",D.3建设投资分年计划表!C16)</f>
        <v/>
      </c>
      <c r="D16" s="41">
        <f>D.3建设投资分年计划表!D16</f>
        <v>6</v>
      </c>
    </row>
    <row r="17" s="51" customFormat="1" customHeight="1" spans="1:4">
      <c r="A17" s="7">
        <f>D.3建设投资分年计划表!A17</f>
        <v>4</v>
      </c>
      <c r="B17" s="10" t="str">
        <f>D.3建设投资分年计划表!B17</f>
        <v>工程监理费</v>
      </c>
      <c r="C17" s="7" t="str">
        <f>IF(D.3建设投资分年计划表!C17=0,"",D.3建设投资分年计划表!C17)</f>
        <v/>
      </c>
      <c r="D17" s="41">
        <f>D.3建设投资分年计划表!D17</f>
        <v>6</v>
      </c>
    </row>
    <row r="18" s="51" customFormat="1" customHeight="1" spans="1:4">
      <c r="A18" s="7">
        <f>D.3建设投资分年计划表!A18</f>
        <v>5</v>
      </c>
      <c r="B18" s="10" t="str">
        <f>D.3建设投资分年计划表!B18</f>
        <v>......</v>
      </c>
      <c r="C18" s="7" t="str">
        <f>IF(D.3建设投资分年计划表!C18=0,"",D.3建设投资分年计划表!C18)</f>
        <v/>
      </c>
      <c r="D18" s="41">
        <f>D.3建设投资分年计划表!D18</f>
        <v>0</v>
      </c>
    </row>
    <row r="19" s="51" customFormat="1" customHeight="1" spans="1:4">
      <c r="A19" s="55" t="str">
        <f>D.3建设投资分年计划表!A19</f>
        <v>三</v>
      </c>
      <c r="B19" s="55" t="str">
        <f>D.3建设投资分年计划表!B19</f>
        <v>预备费</v>
      </c>
      <c r="C19" s="55" t="str">
        <f>IF(D.3建设投资分年计划表!C19=0,"",D.3建设投资分年计划表!C19)</f>
        <v/>
      </c>
      <c r="D19" s="146">
        <f>D.3建设投资分年计划表!D19</f>
        <v>6</v>
      </c>
    </row>
    <row r="20" s="51" customFormat="1" customHeight="1" spans="1:4">
      <c r="A20" s="7">
        <f>D.3建设投资分年计划表!A20</f>
        <v>1</v>
      </c>
      <c r="B20" s="7" t="str">
        <f>D.3建设投资分年计划表!B20</f>
        <v>基本预备费</v>
      </c>
      <c r="C20" s="7" t="str">
        <f>IF(D.3建设投资分年计划表!C20=0,"",D.3建设投资分年计划表!C20)</f>
        <v/>
      </c>
      <c r="D20" s="145">
        <f>D.3建设投资分年计划表!D20</f>
        <v>6</v>
      </c>
    </row>
    <row r="21" s="51" customFormat="1" customHeight="1" spans="1:4">
      <c r="A21" s="147" t="str">
        <f>D.3建设投资分年计划表!B21</f>
        <v>总计</v>
      </c>
      <c r="B21" s="148"/>
      <c r="C21" s="149"/>
      <c r="D21" s="145">
        <f>D.3建设投资分年计划表!D21</f>
        <v>1854</v>
      </c>
    </row>
  </sheetData>
  <mergeCells count="2">
    <mergeCell ref="A1:D1"/>
    <mergeCell ref="A21:C21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FFFF00"/>
  </sheetPr>
  <dimension ref="A1:K22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G2" sqref="G2"/>
    </sheetView>
  </sheetViews>
  <sheetFormatPr defaultColWidth="16" defaultRowHeight="28.05" customHeight="1"/>
  <cols>
    <col min="2" max="2" width="21.4454545454545" customWidth="1"/>
  </cols>
  <sheetData>
    <row r="1" s="53" customFormat="1" customHeight="1" spans="1:11">
      <c r="A1" s="136" t="s">
        <v>85</v>
      </c>
      <c r="B1" s="137"/>
      <c r="C1" s="137"/>
      <c r="D1" s="137"/>
      <c r="E1" s="137"/>
      <c r="F1" s="137"/>
      <c r="G1" s="137"/>
      <c r="H1" s="137"/>
      <c r="I1" s="137"/>
      <c r="J1"/>
      <c r="K1"/>
    </row>
    <row r="2" s="53" customFormat="1" customHeight="1" spans="1:11">
      <c r="A2" s="2" t="s">
        <v>1</v>
      </c>
      <c r="B2" s="2" t="s">
        <v>86</v>
      </c>
      <c r="C2" s="2" t="s">
        <v>82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36">
        <v>2030</v>
      </c>
      <c r="J2"/>
      <c r="K2"/>
    </row>
    <row r="3" s="53" customFormat="1" customHeight="1" spans="1:11">
      <c r="A3" s="55">
        <v>1</v>
      </c>
      <c r="B3" s="55" t="s">
        <v>87</v>
      </c>
      <c r="C3" s="105">
        <f>SUM(C4:C6)</f>
        <v>2339.10402682505</v>
      </c>
      <c r="D3" s="105">
        <f t="shared" ref="D3:I3" si="0">SUM(D4:D6)</f>
        <v>333.861333333333</v>
      </c>
      <c r="E3" s="105">
        <f t="shared" si="0"/>
        <v>749.02539343087</v>
      </c>
      <c r="F3" s="105">
        <f t="shared" si="0"/>
        <v>1252.22532777778</v>
      </c>
      <c r="G3" s="105">
        <f t="shared" si="0"/>
        <v>1.55366033139417</v>
      </c>
      <c r="H3" s="105">
        <f t="shared" si="0"/>
        <v>1.22239699806083</v>
      </c>
      <c r="I3" s="105">
        <f t="shared" si="0"/>
        <v>1.21591495361639</v>
      </c>
      <c r="J3"/>
      <c r="K3"/>
    </row>
    <row r="4" s="53" customFormat="1" customHeight="1" spans="1:11">
      <c r="A4" s="7">
        <v>1.1</v>
      </c>
      <c r="B4" s="7" t="s">
        <v>88</v>
      </c>
      <c r="C4" s="105">
        <f t="shared" ref="C4:C16" si="1">SUM(D4:I4)</f>
        <v>1854</v>
      </c>
      <c r="D4" s="13">
        <f>D.3建设投资分年计划表!E21</f>
        <v>318</v>
      </c>
      <c r="E4" s="13">
        <f>D.3建设投资分年计划表!F21</f>
        <v>618</v>
      </c>
      <c r="F4" s="13">
        <f>D.3建设投资分年计划表!G21</f>
        <v>918</v>
      </c>
      <c r="G4" s="13">
        <f>D.3建设投资分年计划表!H21</f>
        <v>0</v>
      </c>
      <c r="H4" s="13">
        <f>D.3建设投资分年计划表!I21</f>
        <v>0</v>
      </c>
      <c r="I4" s="13">
        <f>D.3建设投资分年计划表!J21</f>
        <v>0</v>
      </c>
      <c r="J4"/>
      <c r="K4"/>
    </row>
    <row r="5" s="53" customFormat="1" customHeight="1" spans="1:11">
      <c r="A5" s="7">
        <v>1.2</v>
      </c>
      <c r="B5" s="7" t="s">
        <v>89</v>
      </c>
      <c r="C5" s="105">
        <f t="shared" si="1"/>
        <v>471.274666666667</v>
      </c>
      <c r="D5" s="11">
        <f>c借款还本付息计划表!D38+c借款还本付息计划表!D37</f>
        <v>15.8613333333333</v>
      </c>
      <c r="E5" s="11">
        <f>c借款还本付息计划表!E38+c借款还本付息计划表!E37</f>
        <v>121.706666666667</v>
      </c>
      <c r="F5" s="11">
        <f>c借款还本付息计划表!F38+c借款还本付息计划表!F37</f>
        <v>333.706666666667</v>
      </c>
      <c r="G5" s="11"/>
      <c r="H5" s="11"/>
      <c r="I5" s="11"/>
      <c r="J5"/>
      <c r="K5"/>
    </row>
    <row r="6" s="53" customFormat="1" customHeight="1" spans="1:11">
      <c r="A6" s="7">
        <v>1.3</v>
      </c>
      <c r="B6" s="7" t="s">
        <v>90</v>
      </c>
      <c r="C6" s="105">
        <f t="shared" si="1"/>
        <v>13.8293601583861</v>
      </c>
      <c r="D6" s="13">
        <f>D.4流动资金估算表!E14</f>
        <v>0</v>
      </c>
      <c r="E6" s="13">
        <f>D.4流动资金估算表!F14</f>
        <v>9.31872676420362</v>
      </c>
      <c r="F6" s="13">
        <f>D.4流动资金估算表!G14</f>
        <v>0.518661111111111</v>
      </c>
      <c r="G6" s="13">
        <f>D.4流动资金估算表!H14</f>
        <v>1.55366033139417</v>
      </c>
      <c r="H6" s="13">
        <f>D.4流动资金估算表!I14</f>
        <v>1.22239699806083</v>
      </c>
      <c r="I6" s="13">
        <f>D.4流动资金估算表!J14</f>
        <v>1.21591495361639</v>
      </c>
      <c r="J6"/>
      <c r="K6"/>
    </row>
    <row r="7" s="53" customFormat="1" customHeight="1" spans="1:11">
      <c r="A7" s="55">
        <v>2</v>
      </c>
      <c r="B7" s="55" t="s">
        <v>91</v>
      </c>
      <c r="C7" s="105">
        <f t="shared" si="1"/>
        <v>2339.10402682506</v>
      </c>
      <c r="D7" s="105">
        <f>D8+D12+D16</f>
        <v>333.861333333333</v>
      </c>
      <c r="E7" s="105">
        <f t="shared" ref="E7:I7" si="2">E8+E12+E16</f>
        <v>749.025393430871</v>
      </c>
      <c r="F7" s="105">
        <f t="shared" si="2"/>
        <v>1252.22532777778</v>
      </c>
      <c r="G7" s="105">
        <f t="shared" si="2"/>
        <v>1.55366033139417</v>
      </c>
      <c r="H7" s="105">
        <f t="shared" si="2"/>
        <v>1.22239699806083</v>
      </c>
      <c r="I7" s="105">
        <f t="shared" si="2"/>
        <v>1.21591495361639</v>
      </c>
      <c r="J7"/>
      <c r="K7"/>
    </row>
    <row r="8" s="53" customFormat="1" customHeight="1" spans="1:11">
      <c r="A8" s="7">
        <v>2.1</v>
      </c>
      <c r="B8" s="7" t="s">
        <v>92</v>
      </c>
      <c r="C8" s="105">
        <f t="shared" si="1"/>
        <v>-19660.8959731749</v>
      </c>
      <c r="D8" s="13">
        <f>SUM(D9:D11)</f>
        <v>-1666.13866666667</v>
      </c>
      <c r="E8" s="13">
        <f t="shared" ref="E8:I8" si="3">SUM(E9:E11)</f>
        <v>-9250.97460656913</v>
      </c>
      <c r="F8" s="13">
        <f t="shared" si="3"/>
        <v>-8747.77467222222</v>
      </c>
      <c r="G8" s="13">
        <f t="shared" si="3"/>
        <v>1.55366033139417</v>
      </c>
      <c r="H8" s="13">
        <f t="shared" si="3"/>
        <v>1.22239699806083</v>
      </c>
      <c r="I8" s="13">
        <f t="shared" si="3"/>
        <v>1.21591495361639</v>
      </c>
      <c r="J8"/>
      <c r="K8"/>
    </row>
    <row r="9" s="53" customFormat="1" customHeight="1" spans="1:11">
      <c r="A9" s="7" t="s">
        <v>93</v>
      </c>
      <c r="B9" s="7" t="s">
        <v>94</v>
      </c>
      <c r="C9" s="105">
        <f t="shared" si="1"/>
        <v>-20146</v>
      </c>
      <c r="D9" s="54">
        <f t="shared" ref="D9" si="4">D4-D13</f>
        <v>-1682</v>
      </c>
      <c r="E9" s="54">
        <f t="shared" ref="E9:I9" si="5">E4-E13</f>
        <v>-9382</v>
      </c>
      <c r="F9" s="54">
        <f t="shared" si="5"/>
        <v>-9082</v>
      </c>
      <c r="G9" s="54">
        <f t="shared" si="5"/>
        <v>0</v>
      </c>
      <c r="H9" s="54">
        <f t="shared" si="5"/>
        <v>0</v>
      </c>
      <c r="I9" s="54">
        <f t="shared" si="5"/>
        <v>0</v>
      </c>
      <c r="J9"/>
      <c r="K9"/>
    </row>
    <row r="10" s="53" customFormat="1" customHeight="1" spans="1:11">
      <c r="A10" s="7" t="s">
        <v>95</v>
      </c>
      <c r="B10" s="7" t="s">
        <v>96</v>
      </c>
      <c r="C10" s="105">
        <f t="shared" si="1"/>
        <v>471.274666666667</v>
      </c>
      <c r="D10" s="41">
        <f t="shared" ref="D10" si="6">D5</f>
        <v>15.8613333333333</v>
      </c>
      <c r="E10" s="41">
        <f t="shared" ref="E10:I10" si="7">E5</f>
        <v>121.706666666667</v>
      </c>
      <c r="F10" s="41">
        <f t="shared" si="7"/>
        <v>333.706666666667</v>
      </c>
      <c r="G10" s="41">
        <f t="shared" si="7"/>
        <v>0</v>
      </c>
      <c r="H10" s="41">
        <f t="shared" si="7"/>
        <v>0</v>
      </c>
      <c r="I10" s="41">
        <f t="shared" si="7"/>
        <v>0</v>
      </c>
      <c r="J10"/>
      <c r="K10"/>
    </row>
    <row r="11" s="53" customFormat="1" customHeight="1" spans="1:11">
      <c r="A11" s="7" t="s">
        <v>97</v>
      </c>
      <c r="B11" s="7" t="s">
        <v>98</v>
      </c>
      <c r="C11" s="105">
        <f t="shared" si="1"/>
        <v>13.8293601583861</v>
      </c>
      <c r="D11" s="41">
        <f>D6*A财务假设!$D$13</f>
        <v>0</v>
      </c>
      <c r="E11" s="41">
        <f>E6*A财务假设!$D$13</f>
        <v>9.31872676420362</v>
      </c>
      <c r="F11" s="41">
        <f>F6*A财务假设!$D$13</f>
        <v>0.518661111111111</v>
      </c>
      <c r="G11" s="41">
        <f>G6*A财务假设!$D$13</f>
        <v>1.55366033139417</v>
      </c>
      <c r="H11" s="41">
        <f>H6*A财务假设!$D$13</f>
        <v>1.22239699806083</v>
      </c>
      <c r="I11" s="41">
        <f>I6*A财务假设!$D$13</f>
        <v>1.21591495361639</v>
      </c>
      <c r="J11"/>
      <c r="K11"/>
    </row>
    <row r="12" s="53" customFormat="1" customHeight="1" spans="1:11">
      <c r="A12" s="7">
        <v>2.2</v>
      </c>
      <c r="B12" s="7" t="s">
        <v>99</v>
      </c>
      <c r="C12" s="105">
        <f t="shared" si="1"/>
        <v>22000</v>
      </c>
      <c r="D12" s="13">
        <f>C.2项目每年借款信息!C6</f>
        <v>2000</v>
      </c>
      <c r="E12" s="13">
        <f>C.2项目每年借款信息!D6</f>
        <v>10000</v>
      </c>
      <c r="F12" s="13">
        <f>C.2项目每年借款信息!E6</f>
        <v>10000</v>
      </c>
      <c r="G12" s="13">
        <f>C.2项目每年借款信息!F6</f>
        <v>0</v>
      </c>
      <c r="H12" s="13">
        <f>C.2项目每年借款信息!G6</f>
        <v>0</v>
      </c>
      <c r="I12" s="13">
        <f>C.2项目每年借款信息!H6</f>
        <v>0</v>
      </c>
      <c r="J12"/>
      <c r="K12"/>
    </row>
    <row r="13" s="53" customFormat="1" customHeight="1" spans="1:11">
      <c r="A13" s="7" t="s">
        <v>100</v>
      </c>
      <c r="B13" s="7" t="s">
        <v>94</v>
      </c>
      <c r="C13" s="105">
        <f t="shared" si="1"/>
        <v>22000</v>
      </c>
      <c r="D13" s="54">
        <f t="shared" ref="D13" si="8">D12-D14-D15-D16</f>
        <v>2000</v>
      </c>
      <c r="E13" s="54">
        <f t="shared" ref="E13:I13" si="9">E12-E14-E15-E16</f>
        <v>10000</v>
      </c>
      <c r="F13" s="54">
        <f t="shared" si="9"/>
        <v>10000</v>
      </c>
      <c r="G13" s="54">
        <f t="shared" si="9"/>
        <v>0</v>
      </c>
      <c r="H13" s="54">
        <f t="shared" si="9"/>
        <v>0</v>
      </c>
      <c r="I13" s="54">
        <f t="shared" si="9"/>
        <v>0</v>
      </c>
      <c r="J13"/>
      <c r="K13"/>
    </row>
    <row r="14" s="53" customFormat="1" customHeight="1" spans="1:11">
      <c r="A14" s="7" t="s">
        <v>101</v>
      </c>
      <c r="B14" s="7" t="s">
        <v>96</v>
      </c>
      <c r="C14" s="105">
        <f t="shared" si="1"/>
        <v>0</v>
      </c>
      <c r="D14" s="41">
        <v>0</v>
      </c>
      <c r="E14" s="41">
        <v>0</v>
      </c>
      <c r="F14" s="41">
        <v>0</v>
      </c>
      <c r="G14" s="41">
        <v>0</v>
      </c>
      <c r="H14" s="41">
        <v>0</v>
      </c>
      <c r="I14" s="41">
        <v>0</v>
      </c>
      <c r="J14"/>
      <c r="K14"/>
    </row>
    <row r="15" s="53" customFormat="1" customHeight="1" spans="1:11">
      <c r="A15" s="7" t="s">
        <v>102</v>
      </c>
      <c r="B15" s="7" t="s">
        <v>98</v>
      </c>
      <c r="C15" s="105">
        <f t="shared" si="1"/>
        <v>0</v>
      </c>
      <c r="D15" s="41">
        <f>D6-D11</f>
        <v>0</v>
      </c>
      <c r="E15" s="41">
        <f t="shared" ref="E15:I15" si="10">E6-E11</f>
        <v>0</v>
      </c>
      <c r="F15" s="41">
        <f t="shared" si="10"/>
        <v>0</v>
      </c>
      <c r="G15" s="41">
        <f t="shared" si="10"/>
        <v>0</v>
      </c>
      <c r="H15" s="41">
        <f t="shared" si="10"/>
        <v>0</v>
      </c>
      <c r="I15" s="41">
        <f t="shared" si="10"/>
        <v>0</v>
      </c>
      <c r="J15"/>
      <c r="K15"/>
    </row>
    <row r="16" s="53" customFormat="1" customHeight="1" spans="1:11">
      <c r="A16" s="7">
        <v>2.3</v>
      </c>
      <c r="B16" s="7" t="s">
        <v>103</v>
      </c>
      <c r="C16" s="105">
        <f t="shared" si="1"/>
        <v>0</v>
      </c>
      <c r="D16" s="41">
        <v>0</v>
      </c>
      <c r="E16" s="41">
        <v>0</v>
      </c>
      <c r="F16" s="41">
        <v>0</v>
      </c>
      <c r="G16" s="41">
        <v>0</v>
      </c>
      <c r="H16" s="41">
        <v>0</v>
      </c>
      <c r="I16" s="41">
        <v>0</v>
      </c>
      <c r="J16"/>
      <c r="K16"/>
    </row>
    <row r="17" s="53" customFormat="1" customHeight="1" spans="1:11">
      <c r="A17" s="55">
        <v>3</v>
      </c>
      <c r="B17" s="55" t="s">
        <v>104</v>
      </c>
      <c r="C17" s="105">
        <f>SUM(C18:C20)</f>
        <v>-19660.8959731749</v>
      </c>
      <c r="D17" s="105" t="s">
        <v>105</v>
      </c>
      <c r="E17" s="105" t="s">
        <v>105</v>
      </c>
      <c r="F17" s="105" t="s">
        <v>105</v>
      </c>
      <c r="G17" s="105" t="s">
        <v>105</v>
      </c>
      <c r="H17" s="105" t="s">
        <v>105</v>
      </c>
      <c r="I17" s="105" t="s">
        <v>105</v>
      </c>
      <c r="J17"/>
      <c r="K17"/>
    </row>
    <row r="18" s="53" customFormat="1" customHeight="1" spans="1:11">
      <c r="A18" s="7">
        <v>3.1</v>
      </c>
      <c r="B18" s="7" t="s">
        <v>88</v>
      </c>
      <c r="C18" s="13">
        <f>C9</f>
        <v>-20146</v>
      </c>
      <c r="D18" s="13" t="s">
        <v>105</v>
      </c>
      <c r="E18" s="13" t="s">
        <v>105</v>
      </c>
      <c r="F18" s="13" t="s">
        <v>105</v>
      </c>
      <c r="G18" s="13" t="s">
        <v>105</v>
      </c>
      <c r="H18" s="13" t="s">
        <v>105</v>
      </c>
      <c r="I18" s="13" t="s">
        <v>105</v>
      </c>
      <c r="J18"/>
      <c r="K18"/>
    </row>
    <row r="19" s="53" customFormat="1" customHeight="1" spans="1:11">
      <c r="A19" s="7">
        <v>3.2</v>
      </c>
      <c r="B19" s="7" t="s">
        <v>89</v>
      </c>
      <c r="C19" s="13">
        <f>C10</f>
        <v>471.274666666667</v>
      </c>
      <c r="D19" s="13" t="s">
        <v>105</v>
      </c>
      <c r="E19" s="13" t="s">
        <v>105</v>
      </c>
      <c r="F19" s="13" t="s">
        <v>105</v>
      </c>
      <c r="G19" s="13" t="s">
        <v>105</v>
      </c>
      <c r="H19" s="13" t="s">
        <v>105</v>
      </c>
      <c r="I19" s="13" t="s">
        <v>105</v>
      </c>
      <c r="J19"/>
      <c r="K19"/>
    </row>
    <row r="20" s="53" customFormat="1" customHeight="1" spans="1:11">
      <c r="A20" s="7">
        <v>3.3</v>
      </c>
      <c r="B20" s="7" t="s">
        <v>106</v>
      </c>
      <c r="C20" s="13">
        <f>C11</f>
        <v>13.8293601583861</v>
      </c>
      <c r="D20" s="13" t="s">
        <v>105</v>
      </c>
      <c r="E20" s="13" t="s">
        <v>105</v>
      </c>
      <c r="F20" s="13" t="s">
        <v>105</v>
      </c>
      <c r="G20" s="13" t="s">
        <v>105</v>
      </c>
      <c r="H20" s="13" t="s">
        <v>105</v>
      </c>
      <c r="I20" s="13" t="s">
        <v>105</v>
      </c>
      <c r="J20"/>
      <c r="K20"/>
    </row>
    <row r="21" s="53" customFormat="1" ht="33" spans="1:11">
      <c r="A21" s="55">
        <v>4</v>
      </c>
      <c r="B21" s="139" t="s">
        <v>107</v>
      </c>
      <c r="C21" s="140">
        <f>C17/C3</f>
        <v>-8.40531064360629</v>
      </c>
      <c r="D21" s="140" t="s">
        <v>105</v>
      </c>
      <c r="E21" s="140" t="s">
        <v>105</v>
      </c>
      <c r="F21" s="140" t="s">
        <v>105</v>
      </c>
      <c r="G21" s="140" t="s">
        <v>105</v>
      </c>
      <c r="H21" s="140" t="s">
        <v>105</v>
      </c>
      <c r="I21" s="140" t="s">
        <v>105</v>
      </c>
      <c r="J21"/>
      <c r="K21"/>
    </row>
    <row r="22" s="135" customFormat="1" customHeight="1"/>
  </sheetData>
  <mergeCells count="1">
    <mergeCell ref="A1:I1"/>
  </mergeCell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FFFF00"/>
  </sheetPr>
  <dimension ref="A1:H21"/>
  <sheetViews>
    <sheetView zoomScale="85" zoomScaleNormal="85" topLeftCell="C1" workbookViewId="0">
      <selection activeCell="D20" sqref="D20"/>
    </sheetView>
  </sheetViews>
  <sheetFormatPr defaultColWidth="33.6636363636364" defaultRowHeight="14" outlineLevelCol="7"/>
  <cols>
    <col min="1" max="1" width="6" customWidth="1"/>
    <col min="2" max="2" width="19.3363636363636" customWidth="1"/>
    <col min="3" max="3" width="56.8909090909091" customWidth="1"/>
    <col min="4" max="4" width="14.5545454545455" customWidth="1"/>
    <col min="5" max="5" width="26.3363636363636" customWidth="1"/>
    <col min="6" max="6" width="27" customWidth="1"/>
    <col min="7" max="7" width="26" customWidth="1"/>
  </cols>
  <sheetData>
    <row r="1" s="53" customFormat="1" ht="22.5" spans="1:8">
      <c r="A1" s="62" t="s">
        <v>108</v>
      </c>
      <c r="B1" s="62"/>
      <c r="C1" s="62"/>
      <c r="D1" s="62"/>
      <c r="E1" s="62"/>
      <c r="F1" s="62"/>
      <c r="G1" s="62"/>
      <c r="H1"/>
    </row>
    <row r="2" s="53" customFormat="1" ht="16.5" spans="1:8">
      <c r="A2" s="2" t="s">
        <v>1</v>
      </c>
      <c r="B2" s="2" t="s">
        <v>109</v>
      </c>
      <c r="C2" s="2" t="s">
        <v>110</v>
      </c>
      <c r="D2" s="2" t="s">
        <v>111</v>
      </c>
      <c r="E2" s="36">
        <v>2025</v>
      </c>
      <c r="F2" s="36">
        <v>2026</v>
      </c>
      <c r="G2" s="36">
        <v>2027</v>
      </c>
      <c r="H2"/>
    </row>
    <row r="3" s="53" customFormat="1" ht="16.5" spans="1:8">
      <c r="A3" s="7" t="s">
        <v>112</v>
      </c>
      <c r="B3" s="7" t="s">
        <v>113</v>
      </c>
      <c r="C3" s="7"/>
      <c r="D3" s="13">
        <f>SUM(D4+D8)</f>
        <v>1824</v>
      </c>
      <c r="E3" s="13">
        <f>E4+E8</f>
        <v>308</v>
      </c>
      <c r="F3" s="13">
        <f>F4+F8</f>
        <v>608</v>
      </c>
      <c r="G3" s="13">
        <f>G4+G8</f>
        <v>908</v>
      </c>
      <c r="H3"/>
    </row>
    <row r="4" s="53" customFormat="1" ht="16.5" spans="1:8">
      <c r="A4" s="55">
        <v>1</v>
      </c>
      <c r="B4" s="55" t="s">
        <v>114</v>
      </c>
      <c r="C4" s="55"/>
      <c r="D4" s="105">
        <f>SUM(D5:D7)</f>
        <v>1800</v>
      </c>
      <c r="E4" s="105">
        <f>E5+E6+E7</f>
        <v>300</v>
      </c>
      <c r="F4" s="105">
        <f>F5+F6+F7</f>
        <v>600</v>
      </c>
      <c r="G4" s="105">
        <f>G5+G6+G7</f>
        <v>900</v>
      </c>
      <c r="H4"/>
    </row>
    <row r="5" s="53" customFormat="1" ht="66" spans="1:8">
      <c r="A5" s="7">
        <v>1.1</v>
      </c>
      <c r="B5" s="10" t="s">
        <v>115</v>
      </c>
      <c r="C5" s="81" t="s">
        <v>116</v>
      </c>
      <c r="D5" s="13">
        <f>SUM(E5:G5)</f>
        <v>600</v>
      </c>
      <c r="E5" s="41">
        <v>100</v>
      </c>
      <c r="F5" s="41">
        <v>200</v>
      </c>
      <c r="G5" s="41">
        <v>300</v>
      </c>
      <c r="H5"/>
    </row>
    <row r="6" s="53" customFormat="1" ht="16.5" spans="1:8">
      <c r="A6" s="7">
        <v>1.2</v>
      </c>
      <c r="B6" s="10" t="s">
        <v>117</v>
      </c>
      <c r="C6" s="7"/>
      <c r="D6" s="13">
        <f>SUM(E6:G6)</f>
        <v>600</v>
      </c>
      <c r="E6" s="41">
        <v>100</v>
      </c>
      <c r="F6" s="41">
        <v>200</v>
      </c>
      <c r="G6" s="41">
        <v>300</v>
      </c>
      <c r="H6"/>
    </row>
    <row r="7" s="53" customFormat="1" ht="33" spans="1:8">
      <c r="A7" s="7">
        <v>1.3</v>
      </c>
      <c r="B7" s="10" t="s">
        <v>118</v>
      </c>
      <c r="C7" s="81" t="s">
        <v>119</v>
      </c>
      <c r="D7" s="13">
        <f>SUM(E7:G7)</f>
        <v>600</v>
      </c>
      <c r="E7" s="41">
        <v>100</v>
      </c>
      <c r="F7" s="41">
        <v>200</v>
      </c>
      <c r="G7" s="41">
        <v>300</v>
      </c>
      <c r="H7"/>
    </row>
    <row r="8" s="53" customFormat="1" ht="16.5" spans="1:8">
      <c r="A8" s="55">
        <v>2</v>
      </c>
      <c r="B8" s="55" t="s">
        <v>120</v>
      </c>
      <c r="C8" s="55"/>
      <c r="D8" s="105">
        <f>SUM(D9:D12)</f>
        <v>24</v>
      </c>
      <c r="E8" s="105">
        <f>SUM(E9:E12)</f>
        <v>8</v>
      </c>
      <c r="F8" s="105">
        <f>SUM(F9:F12)</f>
        <v>8</v>
      </c>
      <c r="G8" s="105">
        <f>SUM(G9:G12)</f>
        <v>8</v>
      </c>
      <c r="H8"/>
    </row>
    <row r="9" s="53" customFormat="1" ht="16.5" spans="1:8">
      <c r="A9" s="7">
        <v>2.1</v>
      </c>
      <c r="B9" s="10" t="s">
        <v>121</v>
      </c>
      <c r="C9" s="7" t="s">
        <v>122</v>
      </c>
      <c r="D9" s="13">
        <f>SUM(E9:G9)</f>
        <v>6</v>
      </c>
      <c r="E9" s="41">
        <v>2</v>
      </c>
      <c r="F9" s="41">
        <v>2</v>
      </c>
      <c r="G9" s="41">
        <v>2</v>
      </c>
      <c r="H9"/>
    </row>
    <row r="10" s="53" customFormat="1" ht="16.5" spans="1:8">
      <c r="A10" s="7">
        <v>2.2</v>
      </c>
      <c r="B10" s="10" t="s">
        <v>123</v>
      </c>
      <c r="C10" s="7"/>
      <c r="D10" s="13">
        <f>SUM(E10:G10)</f>
        <v>6</v>
      </c>
      <c r="E10" s="41">
        <v>2</v>
      </c>
      <c r="F10" s="41">
        <v>2</v>
      </c>
      <c r="G10" s="41">
        <v>2</v>
      </c>
      <c r="H10"/>
    </row>
    <row r="11" s="53" customFormat="1" ht="16.5" spans="1:8">
      <c r="A11" s="7">
        <v>2.3</v>
      </c>
      <c r="B11" s="10" t="s">
        <v>124</v>
      </c>
      <c r="C11" s="7"/>
      <c r="D11" s="13">
        <f>SUM(E11:G11)</f>
        <v>6</v>
      </c>
      <c r="E11" s="41">
        <v>2</v>
      </c>
      <c r="F11" s="41">
        <v>2</v>
      </c>
      <c r="G11" s="41">
        <v>2</v>
      </c>
      <c r="H11"/>
    </row>
    <row r="12" s="53" customFormat="1" ht="16.5" spans="1:8">
      <c r="A12" s="7">
        <v>2.4</v>
      </c>
      <c r="B12" s="10" t="s">
        <v>125</v>
      </c>
      <c r="C12" s="7"/>
      <c r="D12" s="13">
        <f>SUM(E12:G12)</f>
        <v>6</v>
      </c>
      <c r="E12" s="41">
        <v>2</v>
      </c>
      <c r="F12" s="41">
        <v>2</v>
      </c>
      <c r="G12" s="41">
        <v>2</v>
      </c>
      <c r="H12"/>
    </row>
    <row r="13" s="53" customFormat="1" ht="16.5" spans="1:8">
      <c r="A13" s="55" t="s">
        <v>126</v>
      </c>
      <c r="B13" s="55" t="s">
        <v>127</v>
      </c>
      <c r="C13" s="55"/>
      <c r="D13" s="55">
        <f>SUM(D14:D18)</f>
        <v>24</v>
      </c>
      <c r="E13" s="55">
        <f>SUM(E14:E18)</f>
        <v>8</v>
      </c>
      <c r="F13" s="55">
        <f>SUM(F14:F18)</f>
        <v>8</v>
      </c>
      <c r="G13" s="55">
        <f>SUM(G14:G18)</f>
        <v>8</v>
      </c>
      <c r="H13"/>
    </row>
    <row r="14" s="53" customFormat="1" ht="16.5" spans="1:8">
      <c r="A14" s="7">
        <v>1</v>
      </c>
      <c r="B14" s="10" t="s">
        <v>128</v>
      </c>
      <c r="C14" s="7"/>
      <c r="D14" s="13">
        <f>SUM(E14:G14)</f>
        <v>6</v>
      </c>
      <c r="E14" s="41">
        <v>2</v>
      </c>
      <c r="F14" s="41">
        <v>2</v>
      </c>
      <c r="G14" s="41">
        <v>2</v>
      </c>
      <c r="H14"/>
    </row>
    <row r="15" s="53" customFormat="1" ht="16.5" spans="1:8">
      <c r="A15" s="7">
        <v>2</v>
      </c>
      <c r="B15" s="10" t="s">
        <v>129</v>
      </c>
      <c r="C15" s="7"/>
      <c r="D15" s="13">
        <f>SUM(E15:G15)</f>
        <v>6</v>
      </c>
      <c r="E15" s="41">
        <v>2</v>
      </c>
      <c r="F15" s="41">
        <v>2</v>
      </c>
      <c r="G15" s="41">
        <v>2</v>
      </c>
      <c r="H15"/>
    </row>
    <row r="16" s="53" customFormat="1" ht="16.5" spans="1:8">
      <c r="A16" s="7">
        <v>3</v>
      </c>
      <c r="B16" s="10" t="s">
        <v>130</v>
      </c>
      <c r="C16" s="7"/>
      <c r="D16" s="13">
        <f>SUM(E16:G16)</f>
        <v>6</v>
      </c>
      <c r="E16" s="41">
        <v>2</v>
      </c>
      <c r="F16" s="41">
        <v>2</v>
      </c>
      <c r="G16" s="41">
        <v>2</v>
      </c>
      <c r="H16"/>
    </row>
    <row r="17" s="53" customFormat="1" ht="16.5" spans="1:8">
      <c r="A17" s="7">
        <v>4</v>
      </c>
      <c r="B17" s="10" t="s">
        <v>131</v>
      </c>
      <c r="C17" s="7"/>
      <c r="D17" s="13">
        <f>SUM(E17:G17)</f>
        <v>6</v>
      </c>
      <c r="E17" s="41">
        <v>2</v>
      </c>
      <c r="F17" s="41">
        <v>2</v>
      </c>
      <c r="G17" s="41">
        <v>2</v>
      </c>
      <c r="H17"/>
    </row>
    <row r="18" s="53" customFormat="1" ht="16.5" spans="1:8">
      <c r="A18" s="7">
        <v>5</v>
      </c>
      <c r="B18" s="10" t="s">
        <v>132</v>
      </c>
      <c r="C18" s="7"/>
      <c r="D18" s="13">
        <f>SUM(E18:G18)</f>
        <v>0</v>
      </c>
      <c r="E18" s="41">
        <v>0</v>
      </c>
      <c r="F18" s="41">
        <v>0</v>
      </c>
      <c r="G18" s="41">
        <v>0</v>
      </c>
      <c r="H18"/>
    </row>
    <row r="19" s="53" customFormat="1" ht="16.5" spans="1:8">
      <c r="A19" s="55" t="s">
        <v>133</v>
      </c>
      <c r="B19" s="55" t="s">
        <v>134</v>
      </c>
      <c r="C19" s="55"/>
      <c r="D19" s="105">
        <f>D20</f>
        <v>6</v>
      </c>
      <c r="E19" s="105">
        <f>E20</f>
        <v>2</v>
      </c>
      <c r="F19" s="105">
        <f>F20</f>
        <v>2</v>
      </c>
      <c r="G19" s="105">
        <f>G20</f>
        <v>2</v>
      </c>
      <c r="H19"/>
    </row>
    <row r="20" s="53" customFormat="1" ht="16.5" spans="1:8">
      <c r="A20" s="7">
        <v>1</v>
      </c>
      <c r="B20" s="138" t="s">
        <v>135</v>
      </c>
      <c r="C20" s="138"/>
      <c r="D20" s="13">
        <f>SUM(E20:G20)</f>
        <v>6</v>
      </c>
      <c r="E20" s="41">
        <v>2</v>
      </c>
      <c r="F20" s="41">
        <v>2</v>
      </c>
      <c r="G20" s="41">
        <v>2</v>
      </c>
      <c r="H20"/>
    </row>
    <row r="21" s="53" customFormat="1" ht="16.5" spans="1:8">
      <c r="A21" s="7"/>
      <c r="B21" s="7" t="s">
        <v>136</v>
      </c>
      <c r="C21" s="7"/>
      <c r="D21" s="13">
        <f>SUM(E21:G21)</f>
        <v>1854</v>
      </c>
      <c r="E21" s="13">
        <f>E3+E13+E19</f>
        <v>318</v>
      </c>
      <c r="F21" s="13">
        <f t="shared" ref="F21:G21" si="0">F3+F13+F19</f>
        <v>618</v>
      </c>
      <c r="G21" s="13">
        <f t="shared" si="0"/>
        <v>918</v>
      </c>
      <c r="H21"/>
    </row>
  </sheetData>
  <mergeCells count="2">
    <mergeCell ref="A1:G1"/>
    <mergeCell ref="B21:C21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FFFF00"/>
  </sheetPr>
  <dimension ref="A1:K15"/>
  <sheetViews>
    <sheetView zoomScale="85" zoomScaleNormal="85" workbookViewId="0">
      <pane xSplit="4" ySplit="2" topLeftCell="E3" activePane="bottomRight" state="frozen"/>
      <selection/>
      <selection pane="topRight"/>
      <selection pane="bottomLeft"/>
      <selection pane="bottomRight" activeCell="K9" sqref="K9"/>
    </sheetView>
  </sheetViews>
  <sheetFormatPr defaultColWidth="8.89090909090909" defaultRowHeight="28.05" customHeight="1"/>
  <cols>
    <col min="1" max="1" width="6.66363636363636" customWidth="1"/>
    <col min="2" max="2" width="21.5545454545455" customWidth="1"/>
    <col min="3" max="3" width="18.6636363636364" customWidth="1"/>
    <col min="4" max="4" width="10.1090909090909" customWidth="1"/>
    <col min="5" max="6" width="6.89090909090909" customWidth="1"/>
    <col min="7" max="10" width="8" customWidth="1"/>
    <col min="11" max="11" width="85.3363636363636" customWidth="1"/>
    <col min="15" max="15" width="80.4454545454546" customWidth="1"/>
  </cols>
  <sheetData>
    <row r="1" s="53" customFormat="1" customHeight="1" spans="1:11">
      <c r="A1" s="136" t="s">
        <v>137</v>
      </c>
      <c r="B1" s="137"/>
      <c r="C1" s="137"/>
      <c r="D1" s="137"/>
      <c r="E1" s="137"/>
      <c r="F1" s="137"/>
      <c r="G1" s="137"/>
      <c r="H1" s="137"/>
      <c r="I1" s="137"/>
      <c r="J1" s="137"/>
      <c r="K1"/>
    </row>
    <row r="2" s="53" customFormat="1" ht="33" customHeight="1" spans="1:11">
      <c r="A2" s="2" t="s">
        <v>1</v>
      </c>
      <c r="B2" s="2" t="s">
        <v>138</v>
      </c>
      <c r="C2" s="2" t="s">
        <v>139</v>
      </c>
      <c r="D2" s="2" t="s">
        <v>140</v>
      </c>
      <c r="E2" s="36">
        <v>2025</v>
      </c>
      <c r="F2" s="36">
        <v>2026</v>
      </c>
      <c r="G2" s="36">
        <v>2027</v>
      </c>
      <c r="H2" s="36">
        <v>2028</v>
      </c>
      <c r="I2" s="36">
        <v>2029</v>
      </c>
      <c r="J2" s="36">
        <v>2030</v>
      </c>
      <c r="K2"/>
    </row>
    <row r="3" s="53" customFormat="1" customHeight="1" spans="1:11">
      <c r="A3" s="7">
        <v>1</v>
      </c>
      <c r="B3" s="7" t="s">
        <v>141</v>
      </c>
      <c r="C3" s="10">
        <v>2</v>
      </c>
      <c r="D3" s="7">
        <f t="shared" ref="D3:D15" si="0">360/C3</f>
        <v>180</v>
      </c>
      <c r="E3" s="123"/>
      <c r="F3" s="13">
        <f>F4+F5+F10</f>
        <v>9.56156927414667</v>
      </c>
      <c r="G3" s="13">
        <f t="shared" ref="G3:J3" si="1">G4+G5+G10</f>
        <v>10.0802303852578</v>
      </c>
      <c r="H3" s="13">
        <f t="shared" si="1"/>
        <v>11.6685825037867</v>
      </c>
      <c r="I3" s="13">
        <f t="shared" si="1"/>
        <v>12.9256712889822</v>
      </c>
      <c r="J3" s="13">
        <f t="shared" si="1"/>
        <v>14.1762780297333</v>
      </c>
      <c r="K3"/>
    </row>
    <row r="4" s="53" customFormat="1" customHeight="1" spans="1:11">
      <c r="A4" s="7">
        <v>1.1</v>
      </c>
      <c r="B4" s="7" t="s">
        <v>142</v>
      </c>
      <c r="C4" s="10">
        <v>1</v>
      </c>
      <c r="D4" s="7">
        <f t="shared" si="0"/>
        <v>360</v>
      </c>
      <c r="E4" s="123"/>
      <c r="F4" s="13">
        <f>F项目收入!E11/$D$4</f>
        <v>0.972222222222222</v>
      </c>
      <c r="G4" s="13">
        <f>F项目收入!F11/$D$4</f>
        <v>1.49</v>
      </c>
      <c r="H4" s="13">
        <f>F项目收入!G11/$D$4</f>
        <v>1.85044444444444</v>
      </c>
      <c r="I4" s="13">
        <f>F项目收入!H11/$D$4</f>
        <v>1.88050888888889</v>
      </c>
      <c r="J4" s="13">
        <f>F项目收入!I11/$D$4</f>
        <v>1.90409128888889</v>
      </c>
      <c r="K4"/>
    </row>
    <row r="5" s="53" customFormat="1" customHeight="1" spans="1:11">
      <c r="A5" s="7">
        <v>1.2</v>
      </c>
      <c r="B5" s="7" t="s">
        <v>143</v>
      </c>
      <c r="C5" s="10">
        <v>3</v>
      </c>
      <c r="D5" s="7">
        <f t="shared" si="0"/>
        <v>120</v>
      </c>
      <c r="E5" s="123"/>
      <c r="F5" s="13">
        <f>SUM(F6:F9)</f>
        <v>5.87706106315452</v>
      </c>
      <c r="G5" s="13">
        <f t="shared" ref="G5:J5" si="2">SUM(G6:G9)</f>
        <v>5.87750272982119</v>
      </c>
      <c r="H5" s="13">
        <f t="shared" si="2"/>
        <v>6.71751192931945</v>
      </c>
      <c r="I5" s="13">
        <f t="shared" si="2"/>
        <v>7.55707946215105</v>
      </c>
      <c r="J5" s="13">
        <f t="shared" si="2"/>
        <v>8.39664699498265</v>
      </c>
      <c r="K5"/>
    </row>
    <row r="6" s="53" customFormat="1" customHeight="1" spans="1:11">
      <c r="A6" s="7" t="s">
        <v>144</v>
      </c>
      <c r="B6" s="7" t="s">
        <v>145</v>
      </c>
      <c r="C6" s="10">
        <v>30</v>
      </c>
      <c r="D6" s="7">
        <f t="shared" si="0"/>
        <v>12</v>
      </c>
      <c r="E6" s="123"/>
      <c r="F6" s="13">
        <f>E总成本费用估算表!D3/$D$6</f>
        <v>0.543496410085156</v>
      </c>
      <c r="G6" s="13">
        <f>E总成本费用估算表!E3/$D$6</f>
        <v>0.543496410085156</v>
      </c>
      <c r="H6" s="13">
        <f>E总成本费用估算表!F3/$D$6</f>
        <v>0.621138754383036</v>
      </c>
      <c r="I6" s="13">
        <f>E总成本费用估算表!G3/$D$6</f>
        <v>0.698781098680915</v>
      </c>
      <c r="J6" s="13">
        <f>E总成本费用估算表!H3/$D$6</f>
        <v>0.776423442978794</v>
      </c>
      <c r="K6"/>
    </row>
    <row r="7" s="53" customFormat="1" customHeight="1" spans="1:11">
      <c r="A7" s="7" t="s">
        <v>146</v>
      </c>
      <c r="B7" s="7" t="s">
        <v>147</v>
      </c>
      <c r="C7" s="10">
        <v>15</v>
      </c>
      <c r="D7" s="7">
        <f t="shared" si="0"/>
        <v>24</v>
      </c>
      <c r="E7" s="123"/>
      <c r="F7" s="13">
        <f>E总成本费用估算表!D4/$D$7</f>
        <v>0.942464344672675</v>
      </c>
      <c r="G7" s="13">
        <f>E总成本费用估算表!E4/$D$7</f>
        <v>0.942464344672675</v>
      </c>
      <c r="H7" s="13">
        <f>E总成本费用估算表!F4/$D$7</f>
        <v>1.07710210819734</v>
      </c>
      <c r="I7" s="13">
        <f>E总成本费用估算表!G4/$D$7</f>
        <v>1.21173987172201</v>
      </c>
      <c r="J7" s="13">
        <f>E总成本费用估算表!H4/$D$7</f>
        <v>1.34637763524668</v>
      </c>
      <c r="K7"/>
    </row>
    <row r="8" s="53" customFormat="1" customHeight="1" spans="1:11">
      <c r="A8" s="7" t="s">
        <v>148</v>
      </c>
      <c r="B8" s="7" t="s">
        <v>149</v>
      </c>
      <c r="C8" s="10">
        <v>3</v>
      </c>
      <c r="D8" s="7">
        <f t="shared" si="0"/>
        <v>120</v>
      </c>
      <c r="E8" s="123"/>
      <c r="F8" s="41">
        <v>0</v>
      </c>
      <c r="G8" s="41">
        <v>0</v>
      </c>
      <c r="H8" s="41">
        <v>0</v>
      </c>
      <c r="I8" s="41">
        <v>0</v>
      </c>
      <c r="J8" s="41">
        <v>0</v>
      </c>
      <c r="K8"/>
    </row>
    <row r="9" s="53" customFormat="1" customHeight="1" spans="1:11">
      <c r="A9" s="7" t="s">
        <v>150</v>
      </c>
      <c r="B9" s="7" t="s">
        <v>151</v>
      </c>
      <c r="C9" s="10">
        <v>15</v>
      </c>
      <c r="D9" s="7">
        <f t="shared" si="0"/>
        <v>24</v>
      </c>
      <c r="E9" s="123"/>
      <c r="F9" s="13">
        <f>(E总成本费用估算表!D11-E总成本费用估算表!D10)/$D$9</f>
        <v>4.39110030839669</v>
      </c>
      <c r="G9" s="13">
        <f>(E总成本费用估算表!E11-E总成本费用估算表!E10)/$D$9</f>
        <v>4.39154197506336</v>
      </c>
      <c r="H9" s="13">
        <f>(E总成本费用估算表!F11-E总成本费用估算表!F10)/$D$9</f>
        <v>5.01927106673907</v>
      </c>
      <c r="I9" s="13">
        <f>(E总成本费用估算表!G11-E总成本费用估算表!G10)/$D$9</f>
        <v>5.64655849174812</v>
      </c>
      <c r="J9" s="13">
        <f>(E总成本费用估算表!H11-E总成本费用估算表!H10)/$D$9</f>
        <v>6.27384591675717</v>
      </c>
      <c r="K9"/>
    </row>
    <row r="10" s="53" customFormat="1" customHeight="1" spans="1:11">
      <c r="A10" s="7">
        <v>1.3</v>
      </c>
      <c r="B10" s="7" t="s">
        <v>152</v>
      </c>
      <c r="C10" s="10">
        <v>15</v>
      </c>
      <c r="D10" s="7">
        <f t="shared" si="0"/>
        <v>24</v>
      </c>
      <c r="E10" s="123"/>
      <c r="F10" s="13">
        <f>(E总成本费用估算表!D5+E总成本费用估算表!D7)/$D$10</f>
        <v>2.71228598876993</v>
      </c>
      <c r="G10" s="13">
        <f>(E总成本费用估算表!E5+E总成本费用估算表!E7)/$D$10</f>
        <v>2.7127276554366</v>
      </c>
      <c r="H10" s="13">
        <f>(E总成本费用估算表!F5+E总成本费用估算表!F7)/$D$10</f>
        <v>3.10062613002278</v>
      </c>
      <c r="I10" s="13">
        <f>(E总成本费用估算表!G5+E总成本费用估算表!G7)/$D$10</f>
        <v>3.48808293794229</v>
      </c>
      <c r="J10" s="13">
        <f>(E总成本费用估算表!H5+E总成本费用估算表!H7)/$D$10</f>
        <v>3.87553974586181</v>
      </c>
      <c r="K10"/>
    </row>
    <row r="11" s="53" customFormat="1" customHeight="1" spans="1:11">
      <c r="A11" s="7">
        <v>2</v>
      </c>
      <c r="B11" s="7" t="s">
        <v>153</v>
      </c>
      <c r="C11" s="10">
        <v>3</v>
      </c>
      <c r="D11" s="7">
        <f t="shared" si="0"/>
        <v>120</v>
      </c>
      <c r="E11" s="123"/>
      <c r="F11" s="13">
        <f>F12</f>
        <v>0.242842509943051</v>
      </c>
      <c r="G11" s="13">
        <f t="shared" ref="G11:J11" si="3">G12</f>
        <v>0.242842509943051</v>
      </c>
      <c r="H11" s="13">
        <f t="shared" si="3"/>
        <v>0.277534297077772</v>
      </c>
      <c r="I11" s="13">
        <f t="shared" si="3"/>
        <v>0.312226084212494</v>
      </c>
      <c r="J11" s="13">
        <f t="shared" si="3"/>
        <v>0.346917871347215</v>
      </c>
      <c r="K11"/>
    </row>
    <row r="12" s="53" customFormat="1" customHeight="1" spans="1:11">
      <c r="A12" s="7">
        <v>2.1</v>
      </c>
      <c r="B12" s="7" t="s">
        <v>154</v>
      </c>
      <c r="C12" s="10">
        <v>3</v>
      </c>
      <c r="D12" s="7">
        <f t="shared" si="0"/>
        <v>120</v>
      </c>
      <c r="E12" s="123"/>
      <c r="F12" s="13">
        <f>(E总成本费用估算表!D3+E总成本费用估算表!D4)/$D$12</f>
        <v>0.242842509943051</v>
      </c>
      <c r="G12" s="13">
        <f>(E总成本费用估算表!E3+E总成本费用估算表!E4)/$D$12</f>
        <v>0.242842509943051</v>
      </c>
      <c r="H12" s="13">
        <f>(E总成本费用估算表!F3+E总成本费用估算表!F4)/$D$12</f>
        <v>0.277534297077772</v>
      </c>
      <c r="I12" s="13">
        <f>(E总成本费用估算表!G3+E总成本费用估算表!G4)/$D$12</f>
        <v>0.312226084212494</v>
      </c>
      <c r="J12" s="13">
        <f>(E总成本费用估算表!H3+E总成本费用估算表!H4)/$D$12</f>
        <v>0.346917871347215</v>
      </c>
      <c r="K12"/>
    </row>
    <row r="13" s="53" customFormat="1" customHeight="1" spans="1:11">
      <c r="A13" s="7">
        <v>3</v>
      </c>
      <c r="B13" s="7" t="s">
        <v>155</v>
      </c>
      <c r="C13" s="10">
        <v>3</v>
      </c>
      <c r="D13" s="7">
        <f t="shared" si="0"/>
        <v>120</v>
      </c>
      <c r="E13" s="123"/>
      <c r="F13" s="13">
        <f>F3-F11</f>
        <v>9.31872676420362</v>
      </c>
      <c r="G13" s="13">
        <f t="shared" ref="G13:J13" si="4">G3-G11</f>
        <v>9.83738787531473</v>
      </c>
      <c r="H13" s="13">
        <f t="shared" si="4"/>
        <v>11.3910482067089</v>
      </c>
      <c r="I13" s="13">
        <f t="shared" si="4"/>
        <v>12.6134452047697</v>
      </c>
      <c r="J13" s="13">
        <f t="shared" si="4"/>
        <v>13.8293601583861</v>
      </c>
      <c r="K13"/>
    </row>
    <row r="14" s="53" customFormat="1" customHeight="1" spans="1:11">
      <c r="A14" s="7">
        <v>4</v>
      </c>
      <c r="B14" s="7" t="s">
        <v>156</v>
      </c>
      <c r="C14" s="10">
        <v>3</v>
      </c>
      <c r="D14" s="7">
        <f t="shared" si="0"/>
        <v>120</v>
      </c>
      <c r="E14" s="123"/>
      <c r="F14" s="13">
        <f>F13-E13</f>
        <v>9.31872676420362</v>
      </c>
      <c r="G14" s="13">
        <f t="shared" ref="G14:J14" si="5">G13-F13</f>
        <v>0.518661111111111</v>
      </c>
      <c r="H14" s="13">
        <f t="shared" si="5"/>
        <v>1.55366033139417</v>
      </c>
      <c r="I14" s="13">
        <f t="shared" si="5"/>
        <v>1.22239699806083</v>
      </c>
      <c r="J14" s="13">
        <f t="shared" si="5"/>
        <v>1.21591495361639</v>
      </c>
      <c r="K14"/>
    </row>
    <row r="15" s="53" customFormat="1" customHeight="1" spans="1:11">
      <c r="A15" s="7">
        <v>5</v>
      </c>
      <c r="B15" s="7" t="s">
        <v>157</v>
      </c>
      <c r="C15" s="10">
        <v>3</v>
      </c>
      <c r="D15" s="7">
        <f t="shared" si="0"/>
        <v>120</v>
      </c>
      <c r="E15" s="8"/>
      <c r="F15" s="13">
        <f>D.2项目总投资使用计划与资金筹措表!E15</f>
        <v>0</v>
      </c>
      <c r="G15" s="13">
        <f>D.2项目总投资使用计划与资金筹措表!F15</f>
        <v>0</v>
      </c>
      <c r="H15" s="13">
        <f>D.2项目总投资使用计划与资金筹措表!G15</f>
        <v>0</v>
      </c>
      <c r="I15" s="13">
        <f>D.2项目总投资使用计划与资金筹措表!H15</f>
        <v>0</v>
      </c>
      <c r="J15" s="13">
        <f>D.2项目总投资使用计划与资金筹措表!I15</f>
        <v>0</v>
      </c>
      <c r="K15"/>
    </row>
  </sheetData>
  <mergeCells count="1">
    <mergeCell ref="A1:J1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tabColor theme="4" tint="-0.249977111117893"/>
  </sheetPr>
  <dimension ref="A1:I18"/>
  <sheetViews>
    <sheetView zoomScale="85" zoomScaleNormal="85" workbookViewId="0">
      <pane xSplit="2" ySplit="2" topLeftCell="C3" activePane="bottomRight" state="frozen"/>
      <selection/>
      <selection pane="topRight"/>
      <selection pane="bottomLeft"/>
      <selection pane="bottomRight" activeCell="H21" sqref="H21"/>
    </sheetView>
  </sheetViews>
  <sheetFormatPr defaultColWidth="8.89090909090909" defaultRowHeight="28.05" customHeight="1"/>
  <cols>
    <col min="1" max="1" width="6.89090909090909" customWidth="1"/>
    <col min="2" max="2" width="33" customWidth="1"/>
    <col min="3" max="3" width="6.89090909090909" customWidth="1"/>
    <col min="4" max="8" width="9.33636363636364" customWidth="1"/>
    <col min="9" max="9" width="73.5545454545454" customWidth="1"/>
  </cols>
  <sheetData>
    <row r="1" s="53" customFormat="1" customHeight="1" spans="1:9">
      <c r="A1" s="62" t="s">
        <v>158</v>
      </c>
      <c r="B1" s="62"/>
      <c r="C1" s="62"/>
      <c r="D1" s="62"/>
      <c r="E1" s="62"/>
      <c r="F1" s="62"/>
      <c r="G1" s="62"/>
      <c r="H1" s="62"/>
      <c r="I1"/>
    </row>
    <row r="2" s="53" customFormat="1" ht="28.2" customHeight="1" spans="1:9">
      <c r="A2" s="2" t="s">
        <v>1</v>
      </c>
      <c r="B2" s="2" t="s">
        <v>86</v>
      </c>
      <c r="C2" s="36">
        <v>2025</v>
      </c>
      <c r="D2" s="36">
        <v>2026</v>
      </c>
      <c r="E2" s="36">
        <v>2027</v>
      </c>
      <c r="F2" s="36">
        <v>2028</v>
      </c>
      <c r="G2" s="36">
        <v>2029</v>
      </c>
      <c r="H2" s="36">
        <v>2030</v>
      </c>
      <c r="I2"/>
    </row>
    <row r="3" s="53" customFormat="1" customHeight="1" spans="1:9">
      <c r="A3" s="7">
        <v>1</v>
      </c>
      <c r="B3" s="7" t="s">
        <v>159</v>
      </c>
      <c r="C3" s="8"/>
      <c r="D3" s="42">
        <f>'E.1.1项目运营期费用(不含税）'!I7+'E.1.1项目运营期费用(不含税）'!I13</f>
        <v>6.52195692102187</v>
      </c>
      <c r="E3" s="42">
        <f>'E.1.1项目运营期费用(不含税）'!J7+'E.1.1项目运营期费用(不含税）'!J13</f>
        <v>6.52195692102187</v>
      </c>
      <c r="F3" s="42">
        <f>'E.1.1项目运营期费用(不含税）'!K7+'E.1.1项目运营期费用(不含税）'!K13</f>
        <v>7.45366505259643</v>
      </c>
      <c r="G3" s="42">
        <f>'E.1.1项目运营期费用(不含税）'!L7+'E.1.1项目运营期费用(不含税）'!L13</f>
        <v>8.38537318417098</v>
      </c>
      <c r="H3" s="42">
        <f>'E.1.1项目运营期费用(不含税）'!M7+'E.1.1项目运营期费用(不含税）'!M13</f>
        <v>9.31708131574553</v>
      </c>
      <c r="I3"/>
    </row>
    <row r="4" s="53" customFormat="1" customHeight="1" spans="1:9">
      <c r="A4" s="7">
        <v>2</v>
      </c>
      <c r="B4" s="7" t="s">
        <v>160</v>
      </c>
      <c r="C4" s="8"/>
      <c r="D4" s="42">
        <f>'E.1.1项目运营期费用(不含税）'!I8+'E.1.1项目运营期费用(不含税）'!I9+'E.1.1项目运营期费用(不含税）'!I10</f>
        <v>22.6191442721442</v>
      </c>
      <c r="E4" s="42">
        <f>'E.1.1项目运营期费用(不含税）'!J8+'E.1.1项目运营期费用(不含税）'!J9+'E.1.1项目运营期费用(不含税）'!J10</f>
        <v>22.6191442721442</v>
      </c>
      <c r="F4" s="42">
        <f>'E.1.1项目运营期费用(不含税）'!K8+'E.1.1项目运营期费用(不含税）'!K9+'E.1.1项目运营期费用(不含税）'!K10</f>
        <v>25.8504505967362</v>
      </c>
      <c r="G4" s="42">
        <f>'E.1.1项目运营期费用(不含税）'!L8+'E.1.1项目运营期费用(不含税）'!L9+'E.1.1项目运营期费用(不含税）'!L10</f>
        <v>29.0817569213282</v>
      </c>
      <c r="H4" s="42">
        <f>'E.1.1项目运营期费用(不含税）'!M8+'E.1.1项目运营期费用(不含税）'!M9+'E.1.1项目运营期费用(不含税）'!M10</f>
        <v>32.3130632459203</v>
      </c>
      <c r="I4"/>
    </row>
    <row r="5" s="53" customFormat="1" customHeight="1" spans="1:9">
      <c r="A5" s="7">
        <v>3</v>
      </c>
      <c r="B5" s="7" t="s">
        <v>161</v>
      </c>
      <c r="C5" s="8"/>
      <c r="D5" s="42">
        <f>'E.1.1项目运营期费用(不含税）'!I16</f>
        <v>4.2</v>
      </c>
      <c r="E5" s="42">
        <f>'E.1.1项目运营期费用(不含税）'!J16</f>
        <v>4.2</v>
      </c>
      <c r="F5" s="42">
        <f>'E.1.1项目运营期费用(不含税）'!K16</f>
        <v>4.8</v>
      </c>
      <c r="G5" s="42">
        <f>'E.1.1项目运营期费用(不含税）'!L16</f>
        <v>5.4</v>
      </c>
      <c r="H5" s="42">
        <f>'E.1.1项目运营期费用(不含税）'!M16</f>
        <v>6</v>
      </c>
      <c r="I5"/>
    </row>
    <row r="6" s="53" customFormat="1" customHeight="1" spans="1:9">
      <c r="A6" s="7">
        <v>4</v>
      </c>
      <c r="B6" s="7" t="s">
        <v>162</v>
      </c>
      <c r="C6" s="8"/>
      <c r="D6" s="42">
        <f>'E.1.1项目运营期费用(不含税）'!I5+'E.1.1项目运营期费用(不含税）'!I12</f>
        <v>13.7919519118384</v>
      </c>
      <c r="E6" s="42">
        <f>'E.1.1项目运营期费用(不含税）'!J5+'E.1.1项目运营期费用(不含税）'!J12</f>
        <v>13.7919519118384</v>
      </c>
      <c r="F6" s="42">
        <f>'E.1.1项目运营期费用(不含税）'!K5+'E.1.1项目运营期费用(不含税）'!K12</f>
        <v>15.7622307563867</v>
      </c>
      <c r="G6" s="42">
        <f>'E.1.1项目运营期费用(不含税）'!L5+'E.1.1项目运营期费用(不含税）'!L12</f>
        <v>17.732509600935</v>
      </c>
      <c r="H6" s="42">
        <f>'E.1.1项目运营期费用(不含税）'!M5+'E.1.1项目运营期费用(不含税）'!M12</f>
        <v>19.7027884454834</v>
      </c>
      <c r="I6"/>
    </row>
    <row r="7" s="53" customFormat="1" customHeight="1" spans="1:9">
      <c r="A7" s="7">
        <v>5</v>
      </c>
      <c r="B7" s="7" t="s">
        <v>163</v>
      </c>
      <c r="C7" s="8"/>
      <c r="D7" s="54">
        <f>D8+D9+D10</f>
        <v>60.8948637304784</v>
      </c>
      <c r="E7" s="54">
        <f t="shared" ref="E7:H7" si="0">E8+E9+E10</f>
        <v>60.9054637304784</v>
      </c>
      <c r="F7" s="54">
        <f t="shared" si="0"/>
        <v>69.6150271205467</v>
      </c>
      <c r="G7" s="54">
        <f t="shared" si="0"/>
        <v>78.313990510615</v>
      </c>
      <c r="H7" s="54">
        <f t="shared" si="0"/>
        <v>87.0129539006833</v>
      </c>
      <c r="I7"/>
    </row>
    <row r="8" s="53" customFormat="1" customHeight="1" spans="1:9">
      <c r="A8" s="7">
        <v>5.1</v>
      </c>
      <c r="B8" s="7" t="s">
        <v>164</v>
      </c>
      <c r="C8" s="8"/>
      <c r="D8" s="42">
        <f>'E.1.1项目运营期费用(不含税）'!I4+'E.1.1项目运营期费用(不含税）'!I14</f>
        <v>3.92591310368703</v>
      </c>
      <c r="E8" s="42">
        <f>'E.1.1项目运营期费用(不含税）'!J4+'E.1.1项目运营期费用(不含税）'!J14</f>
        <v>3.92591310368703</v>
      </c>
      <c r="F8" s="42">
        <f>'E.1.1项目运营期费用(不含税）'!K4+'E.1.1项目运营期费用(不含税）'!K14</f>
        <v>4.48675783278518</v>
      </c>
      <c r="G8" s="42">
        <f>'E.1.1项目运营期费用(不含税）'!L4+'E.1.1项目运营期费用(不含税）'!L14</f>
        <v>5.04760256188333</v>
      </c>
      <c r="H8" s="42">
        <f>'E.1.1项目运营期费用(不含税）'!M4+'E.1.1项目运营期费用(不含税）'!M14</f>
        <v>5.60844729098148</v>
      </c>
      <c r="I8"/>
    </row>
    <row r="9" s="53" customFormat="1" customHeight="1" spans="1:9">
      <c r="A9" s="7">
        <v>5.2</v>
      </c>
      <c r="B9" s="7" t="s">
        <v>165</v>
      </c>
      <c r="C9" s="8"/>
      <c r="D9" s="42">
        <f>'E.1.1项目运营期费用(不含税）'!I6+'E.1.1项目运营期费用(不含税）'!I11+'E.1.1项目运营期费用(不含税）'!I17+'E.1.1项目运营期费用(不含税）'!I18+'E.1.1项目运营期费用(不含税）'!I19+'E.1.1项目运营期费用(不含税）'!I20+'E.1.1项目运营期费用(不含税）'!I21+'E.1.1项目运营期费用(不含税）'!I22+'E.1.1项目运营期费用(不含税）'!I23+c借款还本付息计划表!E36</f>
        <v>54.3274411928291</v>
      </c>
      <c r="E9" s="42">
        <f>'E.1.1项目运营期费用(不含税）'!J6+'E.1.1项目运营期费用(不含税）'!J11+'E.1.1项目运营期费用(不含税）'!J17+'E.1.1项目运营期费用(不含税）'!J18+'E.1.1项目运营期费用(不含税）'!J19+'E.1.1项目运营期费用(不含税）'!J20+'E.1.1项目运营期费用(不含税）'!J21+'E.1.1项目运营期费用(不含税）'!J22+'E.1.1项目运营期费用(不含税）'!J23+c借款还本付息计划表!F36</f>
        <v>54.3380411928291</v>
      </c>
      <c r="F9" s="42">
        <f>'E.1.1项目运营期费用(不含税）'!K6+'E.1.1项目运营期费用(不含税）'!K11+'E.1.1项目运营期费用(不含税）'!K17+'E.1.1项目运营期费用(不含税）'!K18+'E.1.1项目运营期费用(不含税）'!K19+'E.1.1项目运营期费用(不含税）'!K20+'E.1.1项目运营期费用(不含税）'!K21+'E.1.1项目运营期费用(不含税）'!K22+'E.1.1项目运营期费用(不含税）'!K23+c借款还本付息计划表!G36</f>
        <v>62.1094013632332</v>
      </c>
      <c r="G9" s="42">
        <f>'E.1.1项目运营期费用(不含税）'!L6+'E.1.1项目运营期费用(不含税）'!L11+'E.1.1项目运营期费用(不含税）'!L17+'E.1.1项目运营期费用(不含税）'!L18+'E.1.1项目运营期费用(不含税）'!L19+'E.1.1项目运营期费用(不含税）'!L20+'E.1.1项目运营期费用(不含税）'!L21+'E.1.1项目运营期费用(不含税）'!L22+'E.1.1项目运营期费用(不含税）'!L23+c借款还本付息计划表!H36</f>
        <v>69.8701615336374</v>
      </c>
      <c r="H9" s="42">
        <f>'E.1.1项目运营期费用(不含税）'!M6+'E.1.1项目运营期费用(不含税）'!M11+'E.1.1项目运营期费用(不含税）'!M17+'E.1.1项目运营期费用(不含税）'!M18+'E.1.1项目运营期费用(不含税）'!M19+'E.1.1项目运营期费用(不含税）'!M20+'E.1.1项目运营期费用(不含税）'!M21+'E.1.1项目运营期费用(不含税）'!M22+'E.1.1项目运营期费用(不含税）'!M23+c借款还本付息计划表!I36</f>
        <v>77.6309217040415</v>
      </c>
      <c r="I9"/>
    </row>
    <row r="10" s="53" customFormat="1" customHeight="1" spans="1:9">
      <c r="A10" s="7">
        <v>5.3</v>
      </c>
      <c r="B10" s="7" t="s">
        <v>166</v>
      </c>
      <c r="C10" s="8"/>
      <c r="D10" s="42">
        <f>'E.1.1项目运营期费用(不含税）'!I15</f>
        <v>2.64150943396226</v>
      </c>
      <c r="E10" s="42">
        <f>'E.1.1项目运营期费用(不含税）'!J15</f>
        <v>2.64150943396226</v>
      </c>
      <c r="F10" s="42">
        <f>'E.1.1项目运营期费用(不含税）'!K15</f>
        <v>3.0188679245283</v>
      </c>
      <c r="G10" s="42">
        <f>'E.1.1项目运营期费用(不含税）'!L15</f>
        <v>3.39622641509434</v>
      </c>
      <c r="H10" s="42">
        <f>'E.1.1项目运营期费用(不含税）'!M15</f>
        <v>3.77358490566038</v>
      </c>
      <c r="I10"/>
    </row>
    <row r="11" s="53" customFormat="1" customHeight="1" spans="1:9">
      <c r="A11" s="7">
        <v>6</v>
      </c>
      <c r="B11" s="7" t="s">
        <v>167</v>
      </c>
      <c r="C11" s="8"/>
      <c r="D11" s="13">
        <f>D3+D4+D5+D6+D7</f>
        <v>108.027916835483</v>
      </c>
      <c r="E11" s="13">
        <f t="shared" ref="E11:H11" si="1">E3+E4+E5+E6+E7</f>
        <v>108.038516835483</v>
      </c>
      <c r="F11" s="13">
        <f t="shared" si="1"/>
        <v>123.481373526266</v>
      </c>
      <c r="G11" s="13">
        <f t="shared" si="1"/>
        <v>138.913630217049</v>
      </c>
      <c r="H11" s="13">
        <f t="shared" si="1"/>
        <v>154.345886907833</v>
      </c>
      <c r="I11"/>
    </row>
    <row r="12" s="53" customFormat="1" customHeight="1" spans="1:9">
      <c r="A12" s="7">
        <v>7</v>
      </c>
      <c r="B12" s="7" t="s">
        <v>168</v>
      </c>
      <c r="C12" s="54"/>
      <c r="D12" s="11">
        <f>E.2固定资产折旧费估算表!G12</f>
        <v>12.9182825901049</v>
      </c>
      <c r="E12" s="11">
        <f>E.2固定资产折旧费估算表!H12</f>
        <v>43.5439019574694</v>
      </c>
      <c r="F12" s="11">
        <f>E.2固定资产折旧费估算表!I12</f>
        <v>98.6899384464862</v>
      </c>
      <c r="G12" s="11">
        <f>E.2固定资产折旧费估算表!J12</f>
        <v>98.6899384464862</v>
      </c>
      <c r="H12" s="11">
        <f>E.2固定资产折旧费估算表!K12</f>
        <v>98.6899384464862</v>
      </c>
      <c r="I12"/>
    </row>
    <row r="13" s="53" customFormat="1" customHeight="1" spans="1:9">
      <c r="A13" s="7">
        <v>8</v>
      </c>
      <c r="B13" s="7" t="s">
        <v>169</v>
      </c>
      <c r="C13" s="134"/>
      <c r="D13" s="11">
        <f>E.3无形资产和其他资产摊销费估算表!G48</f>
        <v>0.251977109549325</v>
      </c>
      <c r="E13" s="11">
        <f>E.3无形资产和其他资产摊销费估算表!H48</f>
        <v>0.51595312907719</v>
      </c>
      <c r="F13" s="11">
        <f>E.3无形资产和其他资产摊销费估算表!I48</f>
        <v>0.793127949581447</v>
      </c>
      <c r="G13" s="11">
        <f>E.3无形资产和其他资产摊销费估算表!J48</f>
        <v>0.793127949581447</v>
      </c>
      <c r="H13" s="11">
        <f>E.3无形资产和其他资产摊销费估算表!K48</f>
        <v>0.793127949581447</v>
      </c>
      <c r="I13"/>
    </row>
    <row r="14" s="53" customFormat="1" customHeight="1" spans="1:9">
      <c r="A14" s="7">
        <v>9</v>
      </c>
      <c r="B14" s="7" t="s">
        <v>170</v>
      </c>
      <c r="C14" s="8"/>
      <c r="D14" s="11"/>
      <c r="E14" s="11"/>
      <c r="F14" s="11">
        <f>c借款还本付息计划表!G38+c借款还本付息计划表!G36</f>
        <v>466.42332</v>
      </c>
      <c r="G14" s="11">
        <f>c借款还本付息计划表!H38+c借款还本付息计划表!H36</f>
        <v>466.42332</v>
      </c>
      <c r="H14" s="11">
        <f>c借款还本付息计划表!I38+c借款还本付息计划表!I36</f>
        <v>466.42332</v>
      </c>
      <c r="I14"/>
    </row>
    <row r="15" s="53" customFormat="1" customHeight="1" spans="1:9">
      <c r="A15" s="7">
        <v>10</v>
      </c>
      <c r="B15" s="7" t="s">
        <v>171</v>
      </c>
      <c r="C15" s="8"/>
      <c r="D15" s="13">
        <f>D11+D12+D13+D14</f>
        <v>121.198176535137</v>
      </c>
      <c r="E15" s="13">
        <f t="shared" ref="E15:H15" si="2">E11+E12+E13+E14</f>
        <v>152.09837192203</v>
      </c>
      <c r="F15" s="13">
        <f t="shared" si="2"/>
        <v>689.387759922334</v>
      </c>
      <c r="G15" s="13">
        <f t="shared" si="2"/>
        <v>704.820016613117</v>
      </c>
      <c r="H15" s="13">
        <f t="shared" si="2"/>
        <v>720.252273303901</v>
      </c>
      <c r="I15"/>
    </row>
    <row r="16" s="53" customFormat="1" customHeight="1" spans="1:9">
      <c r="A16" s="7">
        <v>10.1</v>
      </c>
      <c r="B16" s="7" t="s">
        <v>172</v>
      </c>
      <c r="C16" s="8"/>
      <c r="D16" s="13">
        <f>D15-D17</f>
        <v>85.2155659080089</v>
      </c>
      <c r="E16" s="13">
        <f t="shared" ref="E16:H16" si="3">E15-E17</f>
        <v>116.115761294901</v>
      </c>
      <c r="F16" s="13">
        <f t="shared" si="3"/>
        <v>648.264776348473</v>
      </c>
      <c r="G16" s="13">
        <f t="shared" si="3"/>
        <v>658.556660092523</v>
      </c>
      <c r="H16" s="13">
        <f t="shared" si="3"/>
        <v>668.848543836574</v>
      </c>
      <c r="I16"/>
    </row>
    <row r="17" s="53" customFormat="1" customHeight="1" spans="1:9">
      <c r="A17" s="7">
        <v>10.2</v>
      </c>
      <c r="B17" s="7" t="s">
        <v>173</v>
      </c>
      <c r="C17" s="8"/>
      <c r="D17" s="13">
        <f>D3+D4+D5+D10</f>
        <v>35.9826106271283</v>
      </c>
      <c r="E17" s="13">
        <f t="shared" ref="E17:H17" si="4">E3+E4+E5+E10</f>
        <v>35.9826106271283</v>
      </c>
      <c r="F17" s="13">
        <f t="shared" si="4"/>
        <v>41.122983573861</v>
      </c>
      <c r="G17" s="13">
        <f t="shared" si="4"/>
        <v>46.2633565205936</v>
      </c>
      <c r="H17" s="13">
        <f t="shared" si="4"/>
        <v>51.4037294673262</v>
      </c>
      <c r="I17"/>
    </row>
    <row r="18" customHeight="1" spans="3:3">
      <c r="C18" s="135"/>
    </row>
  </sheetData>
  <mergeCells count="1">
    <mergeCell ref="A1:H1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FFFF00"/>
  </sheetPr>
  <dimension ref="A1:N23"/>
  <sheetViews>
    <sheetView zoomScale="70" zoomScaleNormal="70" workbookViewId="0">
      <pane xSplit="7" ySplit="3" topLeftCell="H4" activePane="bottomRight" state="frozen"/>
      <selection/>
      <selection pane="topRight"/>
      <selection pane="bottomLeft"/>
      <selection pane="bottomRight" activeCell="L5" sqref="L5"/>
    </sheetView>
  </sheetViews>
  <sheetFormatPr defaultColWidth="8.89090909090909" defaultRowHeight="28.05" customHeight="1"/>
  <cols>
    <col min="1" max="1" width="19.8909090909091" customWidth="1"/>
    <col min="2" max="2" width="6.33636363636364" customWidth="1"/>
    <col min="3" max="3" width="32.2181818181818" customWidth="1"/>
    <col min="4" max="4" width="56.1090909090909" customWidth="1"/>
    <col min="5" max="6" width="7" customWidth="1"/>
    <col min="7" max="7" width="12.6636363636364" customWidth="1"/>
    <col min="8" max="8" width="10.4454545454545" customWidth="1"/>
    <col min="9" max="10" width="9.44545454545455" customWidth="1"/>
    <col min="11" max="11" width="8.21818181818182" customWidth="1"/>
    <col min="12" max="12" width="9.44545454545455" customWidth="1"/>
    <col min="13" max="13" width="10.6636363636364" customWidth="1"/>
    <col min="14" max="14" width="9.44545454545455" customWidth="1"/>
  </cols>
  <sheetData>
    <row r="1" s="53" customFormat="1" customHeight="1" spans="1:14">
      <c r="A1" s="109" t="s">
        <v>174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</row>
    <row r="2" s="53" customFormat="1" customHeight="1" spans="1:14">
      <c r="A2" s="20" t="s">
        <v>175</v>
      </c>
      <c r="B2" s="20" t="s">
        <v>1</v>
      </c>
      <c r="C2" s="20" t="s">
        <v>86</v>
      </c>
      <c r="D2" s="20" t="s">
        <v>176</v>
      </c>
      <c r="E2" s="20" t="s">
        <v>177</v>
      </c>
      <c r="F2" s="21" t="s">
        <v>178</v>
      </c>
      <c r="G2" s="21" t="s">
        <v>179</v>
      </c>
      <c r="H2" s="22">
        <v>2025</v>
      </c>
      <c r="I2" s="26">
        <v>2026</v>
      </c>
      <c r="J2" s="22">
        <v>2027</v>
      </c>
      <c r="K2" s="26">
        <v>2028</v>
      </c>
      <c r="L2" s="22">
        <v>2029</v>
      </c>
      <c r="M2" s="26">
        <v>2030</v>
      </c>
      <c r="N2" s="17" t="s">
        <v>82</v>
      </c>
    </row>
    <row r="3" s="53" customFormat="1" customHeight="1" spans="1:14">
      <c r="A3" s="17"/>
      <c r="B3" s="17"/>
      <c r="C3" s="17"/>
      <c r="D3" s="17"/>
      <c r="E3" s="17"/>
      <c r="F3" s="17"/>
      <c r="G3" s="17"/>
      <c r="H3" s="24" t="s">
        <v>180</v>
      </c>
      <c r="I3" s="12">
        <v>0.7</v>
      </c>
      <c r="J3" s="12">
        <v>0.7</v>
      </c>
      <c r="K3" s="72">
        <v>0.8</v>
      </c>
      <c r="L3" s="12">
        <v>0.9</v>
      </c>
      <c r="M3" s="12">
        <v>1</v>
      </c>
      <c r="N3" s="7" t="s">
        <v>105</v>
      </c>
    </row>
    <row r="4" s="53" customFormat="1" customHeight="1" spans="1:14">
      <c r="A4" s="10" t="s">
        <v>181</v>
      </c>
      <c r="B4" s="10">
        <v>1</v>
      </c>
      <c r="C4" s="10" t="s">
        <v>182</v>
      </c>
      <c r="D4" s="10" t="s">
        <v>183</v>
      </c>
      <c r="E4" s="41">
        <v>1</v>
      </c>
      <c r="F4" s="41">
        <v>2</v>
      </c>
      <c r="G4" s="96">
        <f>F4*(1+A财务假设!$D$19)</f>
        <v>2</v>
      </c>
      <c r="H4" s="133"/>
      <c r="I4" s="96">
        <f>$E4*$G4*I$3</f>
        <v>1.4</v>
      </c>
      <c r="J4" s="96">
        <f t="shared" ref="J4:M16" si="0">$E4*$G4*J$3</f>
        <v>1.4</v>
      </c>
      <c r="K4" s="96">
        <f t="shared" si="0"/>
        <v>1.6</v>
      </c>
      <c r="L4" s="96">
        <f t="shared" si="0"/>
        <v>1.8</v>
      </c>
      <c r="M4" s="96">
        <f t="shared" si="0"/>
        <v>2</v>
      </c>
      <c r="N4" s="13">
        <f t="shared" ref="N4:N23" si="1">SUM(H4:M4)</f>
        <v>8.2</v>
      </c>
    </row>
    <row r="5" s="53" customFormat="1" ht="48" customHeight="1" spans="1:14">
      <c r="A5" s="10"/>
      <c r="B5" s="10">
        <v>2</v>
      </c>
      <c r="C5" s="25" t="s">
        <v>184</v>
      </c>
      <c r="D5" s="10" t="s">
        <v>185</v>
      </c>
      <c r="E5" s="41">
        <v>2</v>
      </c>
      <c r="F5" s="41">
        <v>2</v>
      </c>
      <c r="G5" s="96">
        <f>F5*(1+A财务假设!$D$19)</f>
        <v>2</v>
      </c>
      <c r="H5" s="133"/>
      <c r="I5" s="96">
        <f t="shared" ref="I5:M23" si="2">$E5*$G5*I$3</f>
        <v>2.8</v>
      </c>
      <c r="J5" s="96">
        <f t="shared" si="2"/>
        <v>2.8</v>
      </c>
      <c r="K5" s="96">
        <f t="shared" si="2"/>
        <v>3.2</v>
      </c>
      <c r="L5" s="96">
        <f t="shared" si="2"/>
        <v>3.6</v>
      </c>
      <c r="M5" s="96">
        <f t="shared" si="2"/>
        <v>4</v>
      </c>
      <c r="N5" s="13">
        <f t="shared" si="1"/>
        <v>16.4</v>
      </c>
    </row>
    <row r="6" s="53" customFormat="1" customHeight="1" spans="1:14">
      <c r="A6" s="10"/>
      <c r="B6" s="10">
        <v>3</v>
      </c>
      <c r="C6" s="10" t="s">
        <v>186</v>
      </c>
      <c r="D6" s="10" t="s">
        <v>187</v>
      </c>
      <c r="E6" s="41">
        <v>3</v>
      </c>
      <c r="F6" s="41">
        <v>2</v>
      </c>
      <c r="G6" s="96">
        <f>F6*(1+A财务假设!$D$19)</f>
        <v>2</v>
      </c>
      <c r="H6" s="133"/>
      <c r="I6" s="96">
        <f t="shared" si="2"/>
        <v>4.2</v>
      </c>
      <c r="J6" s="96">
        <f t="shared" si="0"/>
        <v>4.2</v>
      </c>
      <c r="K6" s="96">
        <f t="shared" si="0"/>
        <v>4.8</v>
      </c>
      <c r="L6" s="96">
        <f t="shared" si="0"/>
        <v>5.4</v>
      </c>
      <c r="M6" s="96">
        <f t="shared" si="0"/>
        <v>6</v>
      </c>
      <c r="N6" s="13">
        <f t="shared" si="1"/>
        <v>24.6</v>
      </c>
    </row>
    <row r="7" s="53" customFormat="1" customHeight="1" spans="1:14">
      <c r="A7" s="10"/>
      <c r="B7" s="10">
        <v>4</v>
      </c>
      <c r="C7" s="10" t="s">
        <v>188</v>
      </c>
      <c r="D7" s="10" t="s">
        <v>189</v>
      </c>
      <c r="E7" s="41">
        <v>4</v>
      </c>
      <c r="F7" s="41">
        <v>2</v>
      </c>
      <c r="G7" s="96">
        <f>F7*(1+A财务假设!$D$19)</f>
        <v>2</v>
      </c>
      <c r="H7" s="133"/>
      <c r="I7" s="96">
        <f t="shared" si="2"/>
        <v>5.6</v>
      </c>
      <c r="J7" s="96">
        <f t="shared" si="0"/>
        <v>5.6</v>
      </c>
      <c r="K7" s="96">
        <f t="shared" si="0"/>
        <v>6.4</v>
      </c>
      <c r="L7" s="96">
        <f t="shared" si="0"/>
        <v>7.2</v>
      </c>
      <c r="M7" s="96">
        <f t="shared" si="0"/>
        <v>8</v>
      </c>
      <c r="N7" s="13">
        <f t="shared" si="1"/>
        <v>32.8</v>
      </c>
    </row>
    <row r="8" s="53" customFormat="1" customHeight="1" spans="1:14">
      <c r="A8" s="10" t="s">
        <v>190</v>
      </c>
      <c r="B8" s="10">
        <v>5</v>
      </c>
      <c r="C8" s="10" t="s">
        <v>191</v>
      </c>
      <c r="D8" s="10" t="s">
        <v>192</v>
      </c>
      <c r="E8" s="41">
        <v>5</v>
      </c>
      <c r="F8" s="41">
        <v>2</v>
      </c>
      <c r="G8" s="96">
        <f>F8*(1+A财务假设!$D$19)</f>
        <v>2</v>
      </c>
      <c r="H8" s="133"/>
      <c r="I8" s="96">
        <f t="shared" si="2"/>
        <v>7</v>
      </c>
      <c r="J8" s="96">
        <f t="shared" si="0"/>
        <v>7</v>
      </c>
      <c r="K8" s="96">
        <f t="shared" si="0"/>
        <v>8</v>
      </c>
      <c r="L8" s="96">
        <f t="shared" si="0"/>
        <v>9</v>
      </c>
      <c r="M8" s="96">
        <f t="shared" si="0"/>
        <v>10</v>
      </c>
      <c r="N8" s="13">
        <f t="shared" si="1"/>
        <v>41</v>
      </c>
    </row>
    <row r="9" s="53" customFormat="1" customHeight="1" spans="1:14">
      <c r="A9" s="10"/>
      <c r="B9" s="10">
        <v>6</v>
      </c>
      <c r="C9" s="10" t="s">
        <v>193</v>
      </c>
      <c r="D9" s="10" t="s">
        <v>194</v>
      </c>
      <c r="E9" s="41">
        <v>6</v>
      </c>
      <c r="F9" s="41">
        <v>2</v>
      </c>
      <c r="G9" s="96">
        <f>F9*(1+A财务假设!$D$19)</f>
        <v>2</v>
      </c>
      <c r="H9" s="133"/>
      <c r="I9" s="96">
        <f t="shared" si="2"/>
        <v>8.4</v>
      </c>
      <c r="J9" s="96">
        <f t="shared" si="0"/>
        <v>8.4</v>
      </c>
      <c r="K9" s="96">
        <f t="shared" si="0"/>
        <v>9.6</v>
      </c>
      <c r="L9" s="96">
        <f t="shared" si="0"/>
        <v>10.8</v>
      </c>
      <c r="M9" s="96">
        <f t="shared" si="0"/>
        <v>12</v>
      </c>
      <c r="N9" s="13">
        <f t="shared" si="1"/>
        <v>49.2</v>
      </c>
    </row>
    <row r="10" s="53" customFormat="1" customHeight="1" spans="1:14">
      <c r="A10" s="10"/>
      <c r="B10" s="10">
        <v>7</v>
      </c>
      <c r="C10" s="10" t="s">
        <v>195</v>
      </c>
      <c r="D10" s="10" t="s">
        <v>196</v>
      </c>
      <c r="E10" s="41">
        <v>7</v>
      </c>
      <c r="F10" s="41">
        <v>2</v>
      </c>
      <c r="G10" s="96">
        <f>F10*(1+A财务假设!$D$19)</f>
        <v>2</v>
      </c>
      <c r="H10" s="133"/>
      <c r="I10" s="96">
        <f t="shared" si="2"/>
        <v>9.8</v>
      </c>
      <c r="J10" s="96">
        <f t="shared" si="0"/>
        <v>9.8</v>
      </c>
      <c r="K10" s="96">
        <f t="shared" si="0"/>
        <v>11.2</v>
      </c>
      <c r="L10" s="96">
        <f t="shared" si="0"/>
        <v>12.6</v>
      </c>
      <c r="M10" s="96">
        <f t="shared" si="0"/>
        <v>14</v>
      </c>
      <c r="N10" s="13">
        <f t="shared" si="1"/>
        <v>57.4</v>
      </c>
    </row>
    <row r="11" s="53" customFormat="1" customHeight="1" spans="1:14">
      <c r="A11" s="10" t="s">
        <v>197</v>
      </c>
      <c r="B11" s="10">
        <v>8</v>
      </c>
      <c r="C11" s="10" t="s">
        <v>198</v>
      </c>
      <c r="D11" s="10" t="s">
        <v>199</v>
      </c>
      <c r="E11" s="41">
        <v>8</v>
      </c>
      <c r="F11" s="41">
        <v>2</v>
      </c>
      <c r="G11" s="96">
        <f>F11*(1+A财务假设!$D$19)</f>
        <v>2</v>
      </c>
      <c r="H11" s="133"/>
      <c r="I11" s="96">
        <f t="shared" si="2"/>
        <v>11.2</v>
      </c>
      <c r="J11" s="96">
        <f t="shared" si="0"/>
        <v>11.2</v>
      </c>
      <c r="K11" s="96">
        <f t="shared" si="0"/>
        <v>12.8</v>
      </c>
      <c r="L11" s="96">
        <f t="shared" si="0"/>
        <v>14.4</v>
      </c>
      <c r="M11" s="96">
        <f t="shared" si="0"/>
        <v>16</v>
      </c>
      <c r="N11" s="13">
        <f t="shared" si="1"/>
        <v>65.6</v>
      </c>
    </row>
    <row r="12" s="53" customFormat="1" customHeight="1" spans="1:14">
      <c r="A12" s="10" t="s">
        <v>200</v>
      </c>
      <c r="B12" s="10">
        <v>9</v>
      </c>
      <c r="C12" s="10" t="s">
        <v>201</v>
      </c>
      <c r="D12" s="10" t="s">
        <v>202</v>
      </c>
      <c r="E12" s="41">
        <v>9</v>
      </c>
      <c r="F12" s="41">
        <v>2</v>
      </c>
      <c r="G12" s="96">
        <f>F12*(1+A财务假设!$D$19)</f>
        <v>2</v>
      </c>
      <c r="H12" s="133"/>
      <c r="I12" s="96">
        <f t="shared" si="2"/>
        <v>12.6</v>
      </c>
      <c r="J12" s="96">
        <f t="shared" si="0"/>
        <v>12.6</v>
      </c>
      <c r="K12" s="96">
        <f t="shared" si="0"/>
        <v>14.4</v>
      </c>
      <c r="L12" s="96">
        <f t="shared" si="0"/>
        <v>16.2</v>
      </c>
      <c r="M12" s="96">
        <f t="shared" si="0"/>
        <v>18</v>
      </c>
      <c r="N12" s="13">
        <f t="shared" si="1"/>
        <v>73.8</v>
      </c>
    </row>
    <row r="13" s="53" customFormat="1" customHeight="1" spans="1:14">
      <c r="A13" s="10"/>
      <c r="B13" s="10">
        <v>10</v>
      </c>
      <c r="C13" s="10" t="s">
        <v>203</v>
      </c>
      <c r="D13" s="10" t="s">
        <v>204</v>
      </c>
      <c r="E13" s="41">
        <v>1</v>
      </c>
      <c r="F13" s="41">
        <v>2</v>
      </c>
      <c r="G13" s="96">
        <f>F13*(1+A财务假设!$D$19)</f>
        <v>2</v>
      </c>
      <c r="H13" s="133"/>
      <c r="I13" s="96">
        <f t="shared" si="2"/>
        <v>1.4</v>
      </c>
      <c r="J13" s="96">
        <f t="shared" si="0"/>
        <v>1.4</v>
      </c>
      <c r="K13" s="96">
        <f t="shared" si="0"/>
        <v>1.6</v>
      </c>
      <c r="L13" s="96">
        <f t="shared" si="0"/>
        <v>1.8</v>
      </c>
      <c r="M13" s="96">
        <f t="shared" si="0"/>
        <v>2</v>
      </c>
      <c r="N13" s="13">
        <f t="shared" si="1"/>
        <v>8.2</v>
      </c>
    </row>
    <row r="14" s="53" customFormat="1" customHeight="1" spans="1:14">
      <c r="A14" s="10" t="s">
        <v>205</v>
      </c>
      <c r="B14" s="10">
        <v>11</v>
      </c>
      <c r="C14" s="10" t="s">
        <v>206</v>
      </c>
      <c r="D14" s="10" t="s">
        <v>207</v>
      </c>
      <c r="E14" s="41">
        <v>2</v>
      </c>
      <c r="F14" s="41">
        <v>2</v>
      </c>
      <c r="G14" s="96">
        <f>F14*(1+A财务假设!$D$19)</f>
        <v>2</v>
      </c>
      <c r="H14" s="133"/>
      <c r="I14" s="96">
        <f t="shared" si="2"/>
        <v>2.8</v>
      </c>
      <c r="J14" s="96">
        <f t="shared" si="0"/>
        <v>2.8</v>
      </c>
      <c r="K14" s="96">
        <f t="shared" si="0"/>
        <v>3.2</v>
      </c>
      <c r="L14" s="96">
        <f t="shared" si="0"/>
        <v>3.6</v>
      </c>
      <c r="M14" s="96">
        <f t="shared" si="0"/>
        <v>4</v>
      </c>
      <c r="N14" s="13">
        <f t="shared" si="1"/>
        <v>16.4</v>
      </c>
    </row>
    <row r="15" s="53" customFormat="1" customHeight="1" spans="1:14">
      <c r="A15" s="10" t="s">
        <v>208</v>
      </c>
      <c r="B15" s="10">
        <v>12</v>
      </c>
      <c r="C15" s="10" t="s">
        <v>209</v>
      </c>
      <c r="D15" s="10" t="s">
        <v>210</v>
      </c>
      <c r="E15" s="41">
        <v>2</v>
      </c>
      <c r="F15" s="41">
        <v>2</v>
      </c>
      <c r="G15" s="96">
        <f>F15*(1+A财务假设!$D$19)</f>
        <v>2</v>
      </c>
      <c r="H15" s="133"/>
      <c r="I15" s="96">
        <f t="shared" si="2"/>
        <v>2.8</v>
      </c>
      <c r="J15" s="96">
        <f t="shared" si="0"/>
        <v>2.8</v>
      </c>
      <c r="K15" s="96">
        <f t="shared" si="0"/>
        <v>3.2</v>
      </c>
      <c r="L15" s="96">
        <f t="shared" si="0"/>
        <v>3.6</v>
      </c>
      <c r="M15" s="96">
        <f t="shared" si="0"/>
        <v>4</v>
      </c>
      <c r="N15" s="13">
        <f t="shared" si="1"/>
        <v>16.4</v>
      </c>
    </row>
    <row r="16" s="53" customFormat="1" customHeight="1" spans="1:14">
      <c r="A16" s="10" t="s">
        <v>211</v>
      </c>
      <c r="B16" s="10">
        <v>13</v>
      </c>
      <c r="C16" s="10" t="s">
        <v>212</v>
      </c>
      <c r="D16" s="10" t="s">
        <v>213</v>
      </c>
      <c r="E16" s="41">
        <v>3</v>
      </c>
      <c r="F16" s="41">
        <v>2</v>
      </c>
      <c r="G16" s="96">
        <f>F16*(1+A财务假设!$D$19)</f>
        <v>2</v>
      </c>
      <c r="H16" s="133"/>
      <c r="I16" s="96">
        <f t="shared" si="2"/>
        <v>4.2</v>
      </c>
      <c r="J16" s="96">
        <f t="shared" si="0"/>
        <v>4.2</v>
      </c>
      <c r="K16" s="96">
        <f t="shared" si="0"/>
        <v>4.8</v>
      </c>
      <c r="L16" s="96">
        <f t="shared" si="0"/>
        <v>5.4</v>
      </c>
      <c r="M16" s="96">
        <f t="shared" si="0"/>
        <v>6</v>
      </c>
      <c r="N16" s="13">
        <f t="shared" si="1"/>
        <v>24.6</v>
      </c>
    </row>
    <row r="17" s="53" customFormat="1" customHeight="1" spans="1:14">
      <c r="A17" s="10"/>
      <c r="B17" s="10">
        <v>14</v>
      </c>
      <c r="C17" s="10" t="s">
        <v>214</v>
      </c>
      <c r="D17" s="10" t="s">
        <v>215</v>
      </c>
      <c r="E17" s="41">
        <v>3</v>
      </c>
      <c r="F17" s="41">
        <v>2</v>
      </c>
      <c r="G17" s="96">
        <f>F17*(1+A财务假设!$D$19)</f>
        <v>2</v>
      </c>
      <c r="H17" s="133"/>
      <c r="I17" s="96">
        <f t="shared" si="2"/>
        <v>4.2</v>
      </c>
      <c r="J17" s="96">
        <f t="shared" ref="J17:M23" si="3">$E17*$G17*J$3</f>
        <v>4.2</v>
      </c>
      <c r="K17" s="96">
        <f t="shared" si="3"/>
        <v>4.8</v>
      </c>
      <c r="L17" s="96">
        <f t="shared" si="3"/>
        <v>5.4</v>
      </c>
      <c r="M17" s="96">
        <f t="shared" si="3"/>
        <v>6</v>
      </c>
      <c r="N17" s="13">
        <f t="shared" si="1"/>
        <v>24.6</v>
      </c>
    </row>
    <row r="18" s="53" customFormat="1" customHeight="1" spans="1:14">
      <c r="A18" s="10"/>
      <c r="B18" s="10">
        <v>15</v>
      </c>
      <c r="C18" s="10" t="s">
        <v>216</v>
      </c>
      <c r="D18" s="10" t="s">
        <v>217</v>
      </c>
      <c r="E18" s="41">
        <v>4</v>
      </c>
      <c r="F18" s="41">
        <v>2</v>
      </c>
      <c r="G18" s="96">
        <f>F18*(1+A财务假设!$D$19)</f>
        <v>2</v>
      </c>
      <c r="H18" s="133"/>
      <c r="I18" s="96">
        <f t="shared" si="2"/>
        <v>5.6</v>
      </c>
      <c r="J18" s="96">
        <f t="shared" si="3"/>
        <v>5.6</v>
      </c>
      <c r="K18" s="96">
        <f t="shared" si="3"/>
        <v>6.4</v>
      </c>
      <c r="L18" s="96">
        <f t="shared" si="3"/>
        <v>7.2</v>
      </c>
      <c r="M18" s="96">
        <f t="shared" si="3"/>
        <v>8</v>
      </c>
      <c r="N18" s="13">
        <f t="shared" si="1"/>
        <v>32.8</v>
      </c>
    </row>
    <row r="19" s="53" customFormat="1" customHeight="1" spans="1:14">
      <c r="A19" s="10" t="s">
        <v>218</v>
      </c>
      <c r="B19" s="10">
        <v>16</v>
      </c>
      <c r="C19" s="10" t="s">
        <v>219</v>
      </c>
      <c r="D19" s="10" t="s">
        <v>220</v>
      </c>
      <c r="E19" s="41">
        <v>1</v>
      </c>
      <c r="F19" s="41">
        <v>2</v>
      </c>
      <c r="G19" s="96">
        <f>F19*(1+A财务假设!$D$19)</f>
        <v>2</v>
      </c>
      <c r="H19" s="133"/>
      <c r="I19" s="96">
        <f t="shared" si="2"/>
        <v>1.4</v>
      </c>
      <c r="J19" s="96">
        <f t="shared" si="3"/>
        <v>1.4</v>
      </c>
      <c r="K19" s="96">
        <f t="shared" si="3"/>
        <v>1.6</v>
      </c>
      <c r="L19" s="96">
        <f t="shared" si="3"/>
        <v>1.8</v>
      </c>
      <c r="M19" s="96">
        <f t="shared" si="3"/>
        <v>2</v>
      </c>
      <c r="N19" s="13">
        <f t="shared" si="1"/>
        <v>8.2</v>
      </c>
    </row>
    <row r="20" s="53" customFormat="1" customHeight="1" spans="1:14">
      <c r="A20" s="10"/>
      <c r="B20" s="10">
        <v>17</v>
      </c>
      <c r="C20" s="10" t="s">
        <v>221</v>
      </c>
      <c r="D20" s="10" t="s">
        <v>222</v>
      </c>
      <c r="E20" s="41">
        <v>4</v>
      </c>
      <c r="F20" s="41">
        <v>2</v>
      </c>
      <c r="G20" s="96">
        <f>F20*(1+A财务假设!$D$19)</f>
        <v>2</v>
      </c>
      <c r="H20" s="133"/>
      <c r="I20" s="96">
        <f t="shared" si="2"/>
        <v>5.6</v>
      </c>
      <c r="J20" s="96">
        <f t="shared" si="3"/>
        <v>5.6</v>
      </c>
      <c r="K20" s="96">
        <f t="shared" si="3"/>
        <v>6.4</v>
      </c>
      <c r="L20" s="96">
        <f t="shared" si="3"/>
        <v>7.2</v>
      </c>
      <c r="M20" s="96">
        <f t="shared" si="3"/>
        <v>8</v>
      </c>
      <c r="N20" s="13">
        <f t="shared" si="1"/>
        <v>32.8</v>
      </c>
    </row>
    <row r="21" s="53" customFormat="1" customHeight="1" spans="1:14">
      <c r="A21" s="10"/>
      <c r="B21" s="10">
        <v>18</v>
      </c>
      <c r="C21" s="10" t="s">
        <v>223</v>
      </c>
      <c r="D21" s="10" t="s">
        <v>224</v>
      </c>
      <c r="E21" s="41">
        <v>8</v>
      </c>
      <c r="F21" s="41">
        <v>2</v>
      </c>
      <c r="G21" s="96">
        <f>F21*(1+A财务假设!$D$19)</f>
        <v>2</v>
      </c>
      <c r="H21" s="133"/>
      <c r="I21" s="96">
        <f t="shared" si="2"/>
        <v>11.2</v>
      </c>
      <c r="J21" s="96">
        <f t="shared" si="3"/>
        <v>11.2</v>
      </c>
      <c r="K21" s="96">
        <f t="shared" si="3"/>
        <v>12.8</v>
      </c>
      <c r="L21" s="96">
        <f t="shared" si="3"/>
        <v>14.4</v>
      </c>
      <c r="M21" s="96">
        <f t="shared" si="3"/>
        <v>16</v>
      </c>
      <c r="N21" s="13">
        <f t="shared" si="1"/>
        <v>65.6</v>
      </c>
    </row>
    <row r="22" s="53" customFormat="1" customHeight="1" spans="1:14">
      <c r="A22" s="10" t="s">
        <v>225</v>
      </c>
      <c r="B22" s="10">
        <v>19</v>
      </c>
      <c r="C22" s="10" t="s">
        <v>226</v>
      </c>
      <c r="D22" s="10" t="s">
        <v>227</v>
      </c>
      <c r="E22" s="41">
        <v>1</v>
      </c>
      <c r="F22" s="41">
        <v>2</v>
      </c>
      <c r="G22" s="96">
        <f>F22*(1+A财务假设!$D$19)</f>
        <v>2</v>
      </c>
      <c r="H22" s="133"/>
      <c r="I22" s="96">
        <f t="shared" si="2"/>
        <v>1.4</v>
      </c>
      <c r="J22" s="96">
        <f t="shared" si="3"/>
        <v>1.4</v>
      </c>
      <c r="K22" s="96">
        <f t="shared" si="3"/>
        <v>1.6</v>
      </c>
      <c r="L22" s="96">
        <f t="shared" si="3"/>
        <v>1.8</v>
      </c>
      <c r="M22" s="96">
        <f t="shared" si="3"/>
        <v>2</v>
      </c>
      <c r="N22" s="13">
        <f t="shared" si="1"/>
        <v>8.2</v>
      </c>
    </row>
    <row r="23" s="53" customFormat="1" customHeight="1" spans="1:14">
      <c r="A23" s="10"/>
      <c r="B23" s="10">
        <v>20</v>
      </c>
      <c r="C23" s="10" t="s">
        <v>228</v>
      </c>
      <c r="D23" s="10" t="s">
        <v>229</v>
      </c>
      <c r="E23" s="41">
        <v>9</v>
      </c>
      <c r="F23" s="41">
        <v>2</v>
      </c>
      <c r="G23" s="96">
        <f>F23*(1+A财务假设!$D$19)</f>
        <v>2</v>
      </c>
      <c r="H23" s="133"/>
      <c r="I23" s="96">
        <f t="shared" si="2"/>
        <v>12.6</v>
      </c>
      <c r="J23" s="96">
        <f t="shared" si="3"/>
        <v>12.6</v>
      </c>
      <c r="K23" s="96">
        <f t="shared" si="3"/>
        <v>14.4</v>
      </c>
      <c r="L23" s="96">
        <f t="shared" si="3"/>
        <v>16.2</v>
      </c>
      <c r="M23" s="96">
        <f t="shared" si="3"/>
        <v>18</v>
      </c>
      <c r="N23" s="13">
        <f t="shared" si="1"/>
        <v>73.8</v>
      </c>
    </row>
  </sheetData>
  <mergeCells count="14">
    <mergeCell ref="A1:N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tabColor rgb="FF0070C0"/>
  </sheetPr>
  <dimension ref="A1:N23"/>
  <sheetViews>
    <sheetView showZeros="0" zoomScale="70" zoomScaleNormal="70" workbookViewId="0">
      <pane xSplit="7" ySplit="3" topLeftCell="H4" activePane="bottomRight" state="frozen"/>
      <selection/>
      <selection pane="topRight"/>
      <selection pane="bottomLeft"/>
      <selection pane="bottomRight" activeCell="P15" sqref="P15"/>
    </sheetView>
  </sheetViews>
  <sheetFormatPr defaultColWidth="20.7818181818182" defaultRowHeight="14"/>
  <cols>
    <col min="1" max="1" width="18.4454545454545" customWidth="1"/>
    <col min="2" max="2" width="13.3363636363636" customWidth="1"/>
    <col min="3" max="3" width="24.7818181818182" style="18" customWidth="1"/>
    <col min="4" max="4" width="23.8909090909091" style="18" customWidth="1"/>
    <col min="5" max="6" width="6.78181818181818" customWidth="1"/>
    <col min="7" max="7" width="12.3363636363636" customWidth="1"/>
    <col min="8" max="8" width="10.1090909090909" customWidth="1"/>
    <col min="9" max="10" width="9.33636363636364" customWidth="1"/>
    <col min="11" max="11" width="8" customWidth="1"/>
    <col min="12" max="12" width="9.33636363636364" customWidth="1"/>
    <col min="13" max="13" width="10.5545454545455" customWidth="1"/>
    <col min="14" max="14" width="9.33636363636364" customWidth="1"/>
  </cols>
  <sheetData>
    <row r="1" ht="22.5" spans="1:14">
      <c r="A1" s="109" t="s">
        <v>230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</row>
    <row r="2" ht="16.5" spans="1:14">
      <c r="A2" s="20" t="str">
        <f t="array" ref="A2:G23">E.1项目运营期费用!A2:G23</f>
        <v>成本类别</v>
      </c>
      <c r="B2" s="20" t="str">
        <v>序号</v>
      </c>
      <c r="C2" s="20" t="str">
        <v>科目</v>
      </c>
      <c r="D2" s="20" t="str">
        <v>取费计算方式</v>
      </c>
      <c r="E2" s="20" t="str">
        <v>数量</v>
      </c>
      <c r="F2" s="20" t="str">
        <v>单价</v>
      </c>
      <c r="G2" s="20" t="str">
        <v>浮动后单价</v>
      </c>
      <c r="H2" s="22">
        <v>2025</v>
      </c>
      <c r="I2" s="26">
        <v>2026</v>
      </c>
      <c r="J2" s="22">
        <v>2027</v>
      </c>
      <c r="K2" s="26">
        <v>2028</v>
      </c>
      <c r="L2" s="22">
        <v>2029</v>
      </c>
      <c r="M2" s="26">
        <v>2030</v>
      </c>
      <c r="N2" s="17" t="s">
        <v>82</v>
      </c>
    </row>
    <row r="3" ht="16.5" spans="1:14">
      <c r="A3" s="38">
        <v>0</v>
      </c>
      <c r="B3" s="38">
        <v>0</v>
      </c>
      <c r="C3" s="38">
        <v>0</v>
      </c>
      <c r="D3" s="38">
        <v>0</v>
      </c>
      <c r="E3" s="38">
        <v>0</v>
      </c>
      <c r="F3" s="38">
        <v>0</v>
      </c>
      <c r="G3" s="38">
        <v>0</v>
      </c>
      <c r="H3" s="24" t="s">
        <v>180</v>
      </c>
      <c r="I3" s="27">
        <f>E.1项目运营期费用!I3</f>
        <v>0.7</v>
      </c>
      <c r="J3" s="27">
        <f>E.1项目运营期费用!J3</f>
        <v>0.7</v>
      </c>
      <c r="K3" s="107">
        <f>E.1项目运营期费用!K3</f>
        <v>0.8</v>
      </c>
      <c r="L3" s="27">
        <f>E.1项目运营期费用!L3</f>
        <v>0.9</v>
      </c>
      <c r="M3" s="27">
        <f>E.1项目运营期费用!M3</f>
        <v>1</v>
      </c>
      <c r="N3" s="7" t="s">
        <v>105</v>
      </c>
    </row>
    <row r="4" ht="16.5" spans="1:14">
      <c r="A4" s="38" t="str">
        <v>场地维护成本</v>
      </c>
      <c r="B4" s="38">
        <v>1</v>
      </c>
      <c r="C4" s="38" t="str">
        <v>场地租金</v>
      </c>
      <c r="D4" s="38" t="str">
        <v>按面积×租金单价</v>
      </c>
      <c r="E4" s="38">
        <v>1</v>
      </c>
      <c r="F4" s="38">
        <v>2</v>
      </c>
      <c r="G4" s="38">
        <v>2</v>
      </c>
      <c r="H4" s="115"/>
      <c r="I4" s="11">
        <f>$E4*$G4*I$3/(1+'G.2进项增值税率-运营成本'!$C3)</f>
        <v>1.28440366972477</v>
      </c>
      <c r="J4" s="11">
        <f>$E4*$G4*J$3/(1+'G.2进项增值税率-运营成本'!$C3)</f>
        <v>1.28440366972477</v>
      </c>
      <c r="K4" s="11">
        <f>$E4*$G4*K$3/(1+'G.2进项增值税率-运营成本'!$C3)</f>
        <v>1.46788990825688</v>
      </c>
      <c r="L4" s="11">
        <f>$E4*$G4*L$3/(1+'G.2进项增值税率-运营成本'!$C3)</f>
        <v>1.65137614678899</v>
      </c>
      <c r="M4" s="11">
        <f>$E4*$G4*M$3/(1+'G.2进项增值税率-运营成本'!$C3)</f>
        <v>1.8348623853211</v>
      </c>
      <c r="N4" s="11">
        <f t="shared" ref="N4:N23" si="0">SUM(H4:M4)</f>
        <v>7.52293577981651</v>
      </c>
    </row>
    <row r="5" ht="49.5" spans="1:14">
      <c r="A5" s="38">
        <v>0</v>
      </c>
      <c r="B5" s="38">
        <v>2</v>
      </c>
      <c r="C5" s="38" t="str">
        <v>场地日常维护（停机坪/起降场/交通枢纽/飞行营地/指挥中心等）</v>
      </c>
      <c r="D5" s="38" t="str">
        <v>按面积 × 单位维护单价（元 / ㎡・年）</v>
      </c>
      <c r="E5" s="38">
        <v>2</v>
      </c>
      <c r="F5" s="38">
        <v>2</v>
      </c>
      <c r="G5" s="38">
        <v>2</v>
      </c>
      <c r="H5" s="115"/>
      <c r="I5" s="11">
        <f>$E5*$G5*I$3/(1+'G.2进项增值税率-运营成本'!$C4)</f>
        <v>2.64150943396226</v>
      </c>
      <c r="J5" s="11">
        <f>$E5*$G5*J$3/(1+'G.2进项增值税率-运营成本'!$C4)</f>
        <v>2.64150943396226</v>
      </c>
      <c r="K5" s="11">
        <f>$E5*$G5*K$3/(1+'G.2进项增值税率-运营成本'!$C4)</f>
        <v>3.0188679245283</v>
      </c>
      <c r="L5" s="11">
        <f>$E5*$G5*L$3/(1+'G.2进项增值税率-运营成本'!$C4)</f>
        <v>3.39622641509434</v>
      </c>
      <c r="M5" s="11">
        <f>$E5*$G5*M$3/(1+'G.2进项增值税率-运营成本'!$C4)</f>
        <v>3.77358490566038</v>
      </c>
      <c r="N5" s="11">
        <f t="shared" si="0"/>
        <v>15.4716981132075</v>
      </c>
    </row>
    <row r="6" ht="33" spans="1:14">
      <c r="A6" s="38">
        <v>0</v>
      </c>
      <c r="B6" s="38">
        <v>3</v>
      </c>
      <c r="C6" s="38" t="str">
        <v>消防设施年检</v>
      </c>
      <c r="D6" s="38" t="str">
        <v>按设备数量 × 单台年检费（元 / 台・次）</v>
      </c>
      <c r="E6" s="38">
        <v>3</v>
      </c>
      <c r="F6" s="38">
        <v>2</v>
      </c>
      <c r="G6" s="38">
        <v>2</v>
      </c>
      <c r="H6" s="115"/>
      <c r="I6" s="11">
        <f>$E6*$G6*I$3/(1+'G.2进项增值税率-运营成本'!$C5)</f>
        <v>3.9622641509434</v>
      </c>
      <c r="J6" s="11">
        <f>$E6*$G6*J$3/(1+'G.2进项增值税率-运营成本'!$C5)</f>
        <v>3.9622641509434</v>
      </c>
      <c r="K6" s="11">
        <f>$E6*$G6*K$3/(1+'G.2进项增值税率-运营成本'!$C5)</f>
        <v>4.52830188679245</v>
      </c>
      <c r="L6" s="11">
        <f>$E6*$G6*L$3/(1+'G.2进项增值税率-运营成本'!$C5)</f>
        <v>5.09433962264151</v>
      </c>
      <c r="M6" s="11">
        <f>$E6*$G6*M$3/(1+'G.2进项增值税率-运营成本'!$C5)</f>
        <v>5.66037735849057</v>
      </c>
      <c r="N6" s="11">
        <f t="shared" si="0"/>
        <v>23.2075471698113</v>
      </c>
    </row>
    <row r="7" ht="49.5" spans="1:14">
      <c r="A7" s="38">
        <v>0</v>
      </c>
      <c r="B7" s="38">
        <v>4</v>
      </c>
      <c r="C7" s="38" t="str">
        <v>防鸟措施（驱鸟器维护）</v>
      </c>
      <c r="D7" s="38" t="str">
        <v>按套数 × 年费（元 / 套・年）+ 耗材费（如驱鸟剂）</v>
      </c>
      <c r="E7" s="38">
        <v>4</v>
      </c>
      <c r="F7" s="38">
        <v>2</v>
      </c>
      <c r="G7" s="38">
        <v>2</v>
      </c>
      <c r="H7" s="115"/>
      <c r="I7" s="11">
        <f>$E7*$G7*I$3/(1+'G.2进项增值税率-运营成本'!$C6)</f>
        <v>5.28301886792453</v>
      </c>
      <c r="J7" s="11">
        <f>$E7*$G7*J$3/(1+'G.2进项增值税率-运营成本'!$C6)</f>
        <v>5.28301886792453</v>
      </c>
      <c r="K7" s="11">
        <f>$E7*$G7*K$3/(1+'G.2进项增值税率-运营成本'!$C6)</f>
        <v>6.0377358490566</v>
      </c>
      <c r="L7" s="11">
        <f>$E7*$G7*L$3/(1+'G.2进项增值税率-运营成本'!$C6)</f>
        <v>6.79245283018868</v>
      </c>
      <c r="M7" s="11">
        <f>$E7*$G7*M$3/(1+'G.2进项增值税率-运营成本'!$C6)</f>
        <v>7.54716981132075</v>
      </c>
      <c r="N7" s="11">
        <f t="shared" si="0"/>
        <v>30.9433962264151</v>
      </c>
    </row>
    <row r="8" ht="16.5" spans="1:14">
      <c r="A8" s="38" t="str">
        <v>燃料动力费</v>
      </c>
      <c r="B8" s="38">
        <v>5</v>
      </c>
      <c r="C8" s="38" t="str">
        <v>飞行器能耗</v>
      </c>
      <c r="D8" s="38" t="str">
        <v>按电耗或油耗计算</v>
      </c>
      <c r="E8" s="38">
        <v>5</v>
      </c>
      <c r="F8" s="38">
        <v>2</v>
      </c>
      <c r="G8" s="38">
        <v>2</v>
      </c>
      <c r="H8" s="115"/>
      <c r="I8" s="11">
        <f>$E8*$G8*I$3/(1+'G.2进项增值税率-运营成本'!$C7)</f>
        <v>6.19469026548673</v>
      </c>
      <c r="J8" s="11">
        <f>$E8*$G8*J$3/(1+'G.2进项增值税率-运营成本'!$C7)</f>
        <v>6.19469026548673</v>
      </c>
      <c r="K8" s="11">
        <f>$E8*$G8*K$3/(1+'G.2进项增值税率-运营成本'!$C7)</f>
        <v>7.07964601769912</v>
      </c>
      <c r="L8" s="11">
        <f>$E8*$G8*L$3/(1+'G.2进项增值税率-运营成本'!$C7)</f>
        <v>7.96460176991151</v>
      </c>
      <c r="M8" s="11">
        <f>$E8*$G8*M$3/(1+'G.2进项增值税率-运营成本'!$C7)</f>
        <v>8.8495575221239</v>
      </c>
      <c r="N8" s="11">
        <f t="shared" si="0"/>
        <v>36.283185840708</v>
      </c>
    </row>
    <row r="9" ht="33" spans="1:14">
      <c r="A9" s="38">
        <v>0</v>
      </c>
      <c r="B9" s="38">
        <v>6</v>
      </c>
      <c r="C9" s="38" t="str">
        <v>核心设备电力能耗</v>
      </c>
      <c r="D9" s="38" t="str">
        <v>按实际用电量 × 电价（元 / 千瓦 时）</v>
      </c>
      <c r="E9" s="38">
        <v>6</v>
      </c>
      <c r="F9" s="38">
        <v>2</v>
      </c>
      <c r="G9" s="38">
        <v>2</v>
      </c>
      <c r="H9" s="115"/>
      <c r="I9" s="11">
        <f>$E9*$G9*I$3/(1+'G.2进项增值税率-运营成本'!$C8)</f>
        <v>7.43362831858407</v>
      </c>
      <c r="J9" s="11">
        <f>$E9*$G9*J$3/(1+'G.2进项增值税率-运营成本'!$C8)</f>
        <v>7.43362831858407</v>
      </c>
      <c r="K9" s="11">
        <f>$E9*$G9*K$3/(1+'G.2进项增值税率-运营成本'!$C8)</f>
        <v>8.49557522123894</v>
      </c>
      <c r="L9" s="11">
        <f>$E9*$G9*L$3/(1+'G.2进项增值税率-运营成本'!$C8)</f>
        <v>9.55752212389381</v>
      </c>
      <c r="M9" s="11">
        <f>$E9*$G9*M$3/(1+'G.2进项增值税率-运营成本'!$C8)</f>
        <v>10.6194690265487</v>
      </c>
      <c r="N9" s="11">
        <f t="shared" si="0"/>
        <v>43.5398230088496</v>
      </c>
    </row>
    <row r="10" ht="16.5" spans="1:14">
      <c r="A10" s="38">
        <v>0</v>
      </c>
      <c r="B10" s="38">
        <v>7</v>
      </c>
      <c r="C10" s="38" t="str">
        <v>水电能耗</v>
      </c>
      <c r="D10" s="38" t="str">
        <v>按面积估算</v>
      </c>
      <c r="E10" s="38">
        <v>7</v>
      </c>
      <c r="F10" s="38">
        <v>2</v>
      </c>
      <c r="G10" s="38">
        <v>2</v>
      </c>
      <c r="H10" s="115"/>
      <c r="I10" s="11">
        <f>$E10*$G10*I$3/(1+'G.2进项增值税率-运营成本'!$C9)</f>
        <v>8.99082568807339</v>
      </c>
      <c r="J10" s="11">
        <f>$E10*$G10*J$3/(1+'G.2进项增值税率-运营成本'!$C9)</f>
        <v>8.99082568807339</v>
      </c>
      <c r="K10" s="11">
        <f>$E10*$G10*K$3/(1+'G.2进项增值税率-运营成本'!$C9)</f>
        <v>10.2752293577982</v>
      </c>
      <c r="L10" s="11">
        <f>$E10*$G10*L$3/(1+'G.2进项增值税率-运营成本'!$C9)</f>
        <v>11.5596330275229</v>
      </c>
      <c r="M10" s="11">
        <f>$E10*$G10*M$3/(1+'G.2进项增值税率-运营成本'!$C9)</f>
        <v>12.8440366972477</v>
      </c>
      <c r="N10" s="11">
        <f t="shared" si="0"/>
        <v>52.6605504587156</v>
      </c>
    </row>
    <row r="11" ht="16.5" spans="1:14">
      <c r="A11" s="38" t="str">
        <v>网络费</v>
      </c>
      <c r="B11" s="38">
        <v>8</v>
      </c>
      <c r="C11" s="38" t="str">
        <v>网络通信费用</v>
      </c>
      <c r="D11" s="38" t="str">
        <v>按年计算租金</v>
      </c>
      <c r="E11" s="38">
        <v>8</v>
      </c>
      <c r="F11" s="38">
        <v>2</v>
      </c>
      <c r="G11" s="38">
        <v>2</v>
      </c>
      <c r="H11" s="115"/>
      <c r="I11" s="11">
        <f>$E11*$G11*I$3/(1+'G.2进项增值税率-运营成本'!$C10)</f>
        <v>10.2752293577982</v>
      </c>
      <c r="J11" s="11">
        <f>$E11*$G11*J$3/(1+'G.2进项增值税率-运营成本'!$C10)</f>
        <v>10.2752293577982</v>
      </c>
      <c r="K11" s="11">
        <f>$E11*$G11*K$3/(1+'G.2进项增值税率-运营成本'!$C10)</f>
        <v>11.743119266055</v>
      </c>
      <c r="L11" s="11">
        <f>$E11*$G11*L$3/(1+'G.2进项增值税率-运营成本'!$C10)</f>
        <v>13.2110091743119</v>
      </c>
      <c r="M11" s="11">
        <f>$E11*$G11*M$3/(1+'G.2进项增值税率-运营成本'!$C10)</f>
        <v>14.6788990825688</v>
      </c>
      <c r="N11" s="11">
        <f t="shared" si="0"/>
        <v>60.1834862385321</v>
      </c>
    </row>
    <row r="12" ht="16.5" spans="1:14">
      <c r="A12" s="38" t="str">
        <v>硬件维护成本</v>
      </c>
      <c r="B12" s="38">
        <v>9</v>
      </c>
      <c r="C12" s="38" t="str">
        <v>硬件设备维护</v>
      </c>
      <c r="D12" s="38" t="str">
        <v>按照固定资产15%计算</v>
      </c>
      <c r="E12" s="38">
        <v>9</v>
      </c>
      <c r="F12" s="38">
        <v>2</v>
      </c>
      <c r="G12" s="38">
        <v>2</v>
      </c>
      <c r="H12" s="115"/>
      <c r="I12" s="11">
        <f>$E12*$G12*I$3/(1+'G.2进项增值税率-运营成本'!$C11)</f>
        <v>11.1504424778761</v>
      </c>
      <c r="J12" s="11">
        <f>$E12*$G12*J$3/(1+'G.2进项增值税率-运营成本'!$C11)</f>
        <v>11.1504424778761</v>
      </c>
      <c r="K12" s="11">
        <f>$E12*$G12*K$3/(1+'G.2进项增值税率-运营成本'!$C11)</f>
        <v>12.7433628318584</v>
      </c>
      <c r="L12" s="11">
        <f>$E12*$G12*L$3/(1+'G.2进项增值税率-运营成本'!$C11)</f>
        <v>14.3362831858407</v>
      </c>
      <c r="M12" s="11">
        <f>$E12*$G12*M$3/(1+'G.2进项增值税率-运营成本'!$C11)</f>
        <v>15.929203539823</v>
      </c>
      <c r="N12" s="11">
        <f t="shared" si="0"/>
        <v>65.3097345132743</v>
      </c>
    </row>
    <row r="13" ht="33" spans="1:14">
      <c r="A13" s="38">
        <v>0</v>
      </c>
      <c r="B13" s="38">
        <v>10</v>
      </c>
      <c r="C13" s="38" t="str">
        <v>备品备件储备</v>
      </c>
      <c r="D13" s="38" t="str">
        <v>按年度设备维护预算 × 储备比例 （10%-20%）</v>
      </c>
      <c r="E13" s="38">
        <v>1</v>
      </c>
      <c r="F13" s="38">
        <v>2</v>
      </c>
      <c r="G13" s="38">
        <v>2</v>
      </c>
      <c r="H13" s="115"/>
      <c r="I13" s="11">
        <f>$E13*$G13*I$3/(1+'G.2进项增值税率-运营成本'!$C12)</f>
        <v>1.23893805309735</v>
      </c>
      <c r="J13" s="11">
        <f>$E13*$G13*J$3/(1+'G.2进项增值税率-运营成本'!$C12)</f>
        <v>1.23893805309735</v>
      </c>
      <c r="K13" s="11">
        <f>$E13*$G13*K$3/(1+'G.2进项增值税率-运营成本'!$C12)</f>
        <v>1.41592920353982</v>
      </c>
      <c r="L13" s="11">
        <f>$E13*$G13*L$3/(1+'G.2进项增值税率-运营成本'!$C12)</f>
        <v>1.5929203539823</v>
      </c>
      <c r="M13" s="11">
        <f>$E13*$G13*M$3/(1+'G.2进项增值税率-运营成本'!$C12)</f>
        <v>1.76991150442478</v>
      </c>
      <c r="N13" s="11">
        <f t="shared" si="0"/>
        <v>7.25663716814159</v>
      </c>
    </row>
    <row r="14" ht="33" spans="1:14">
      <c r="A14" s="38" t="str">
        <v>软件维护费</v>
      </c>
      <c r="B14" s="38">
        <v>11</v>
      </c>
      <c r="C14" s="38" t="str">
        <v>软件维护</v>
      </c>
      <c r="D14" s="38" t="str">
        <v>按无形资产造价的20%计算</v>
      </c>
      <c r="E14" s="38">
        <v>2</v>
      </c>
      <c r="F14" s="38">
        <v>2</v>
      </c>
      <c r="G14" s="38">
        <v>2</v>
      </c>
      <c r="H14" s="115"/>
      <c r="I14" s="11">
        <f>$E14*$G14*I$3/(1+'G.2进项增值税率-运营成本'!$C13)</f>
        <v>2.64150943396226</v>
      </c>
      <c r="J14" s="11">
        <f>$E14*$G14*J$3/(1+'G.2进项增值税率-运营成本'!$C13)</f>
        <v>2.64150943396226</v>
      </c>
      <c r="K14" s="11">
        <f>$E14*$G14*K$3/(1+'G.2进项增值税率-运营成本'!$C13)</f>
        <v>3.0188679245283</v>
      </c>
      <c r="L14" s="11">
        <f>$E14*$G14*L$3/(1+'G.2进项增值税率-运营成本'!$C13)</f>
        <v>3.39622641509434</v>
      </c>
      <c r="M14" s="11">
        <f>$E14*$G14*M$3/(1+'G.2进项增值税率-运营成本'!$C13)</f>
        <v>3.77358490566038</v>
      </c>
      <c r="N14" s="11">
        <f t="shared" si="0"/>
        <v>15.4716981132075</v>
      </c>
    </row>
    <row r="15" ht="33" spans="1:14">
      <c r="A15" s="38" t="str">
        <v>营销费用</v>
      </c>
      <c r="B15" s="38">
        <v>12</v>
      </c>
      <c r="C15" s="38" t="str">
        <v>营销及活动</v>
      </c>
      <c r="D15" s="38" t="str">
        <v>按年平均营业收入的2%计算</v>
      </c>
      <c r="E15" s="38">
        <v>2</v>
      </c>
      <c r="F15" s="38">
        <v>2</v>
      </c>
      <c r="G15" s="38">
        <v>2</v>
      </c>
      <c r="H15" s="115"/>
      <c r="I15" s="11">
        <f>$E15*$G15*I$3/(1+'G.2进项增值税率-运营成本'!$C14)</f>
        <v>2.64150943396226</v>
      </c>
      <c r="J15" s="11">
        <f>$E15*$G15*J$3/(1+'G.2进项增值税率-运营成本'!$C14)</f>
        <v>2.64150943396226</v>
      </c>
      <c r="K15" s="11">
        <f>$E15*$G15*K$3/(1+'G.2进项增值税率-运营成本'!$C14)</f>
        <v>3.0188679245283</v>
      </c>
      <c r="L15" s="11">
        <f>$E15*$G15*L$3/(1+'G.2进项增值税率-运营成本'!$C14)</f>
        <v>3.39622641509434</v>
      </c>
      <c r="M15" s="11">
        <f>$E15*$G15*M$3/(1+'G.2进项增值税率-运营成本'!$C14)</f>
        <v>3.77358490566038</v>
      </c>
      <c r="N15" s="11">
        <f t="shared" si="0"/>
        <v>15.4716981132075</v>
      </c>
    </row>
    <row r="16" ht="33" spans="1:14">
      <c r="A16" s="38" t="str">
        <v>工资及福利费</v>
      </c>
      <c r="B16" s="38">
        <v>13</v>
      </c>
      <c r="C16" s="38" t="str">
        <v>人员薪酬</v>
      </c>
      <c r="D16" s="38" t="str">
        <v>按岗位月薪 ×12 + 福利（月薪 ×20%-30%）</v>
      </c>
      <c r="E16" s="38">
        <v>3</v>
      </c>
      <c r="F16" s="38">
        <v>2</v>
      </c>
      <c r="G16" s="38">
        <v>2</v>
      </c>
      <c r="H16" s="115"/>
      <c r="I16" s="11">
        <f>$E16*$G16*I$3/(1+'G.2进项增值税率-运营成本'!$C15)</f>
        <v>4.2</v>
      </c>
      <c r="J16" s="11">
        <f>$E16*$G16*J$3/(1+'G.2进项增值税率-运营成本'!$C15)</f>
        <v>4.2</v>
      </c>
      <c r="K16" s="11">
        <f>$E16*$G16*K$3/(1+'G.2进项增值税率-运营成本'!$C15)</f>
        <v>4.8</v>
      </c>
      <c r="L16" s="11">
        <f>$E16*$G16*L$3/(1+'G.2进项增值税率-运营成本'!$C15)</f>
        <v>5.4</v>
      </c>
      <c r="M16" s="11">
        <f>$E16*$G16*M$3/(1+'G.2进项增值税率-运营成本'!$C15)</f>
        <v>6</v>
      </c>
      <c r="N16" s="11">
        <f t="shared" si="0"/>
        <v>24.6</v>
      </c>
    </row>
    <row r="17" ht="33" spans="1:14">
      <c r="A17" s="38">
        <v>0</v>
      </c>
      <c r="B17" s="38">
        <v>14</v>
      </c>
      <c r="C17" s="38" t="str">
        <v>培训与资质认证</v>
      </c>
      <c r="D17" s="38" t="str">
        <v>按人次 × 人均培训费（元 / 人 次）</v>
      </c>
      <c r="E17" s="38">
        <v>3</v>
      </c>
      <c r="F17" s="38">
        <v>2</v>
      </c>
      <c r="G17" s="38">
        <v>2</v>
      </c>
      <c r="H17" s="115"/>
      <c r="I17" s="11">
        <f>$E17*$G17*I$3/(1+'G.2进项增值税率-运营成本'!$C16)</f>
        <v>3.9622641509434</v>
      </c>
      <c r="J17" s="11">
        <f>$E17*$G17*J$3/(1+'G.2进项增值税率-运营成本'!$C16)</f>
        <v>3.9622641509434</v>
      </c>
      <c r="K17" s="11">
        <f>$E17*$G17*K$3/(1+'G.2进项增值税率-运营成本'!$C16)</f>
        <v>4.52830188679245</v>
      </c>
      <c r="L17" s="11">
        <f>$E17*$G17*L$3/(1+'G.2进项增值税率-运营成本'!$C16)</f>
        <v>5.09433962264151</v>
      </c>
      <c r="M17" s="11">
        <f>$E17*$G17*M$3/(1+'G.2进项增值税率-运营成本'!$C16)</f>
        <v>5.66037735849057</v>
      </c>
      <c r="N17" s="11">
        <f t="shared" si="0"/>
        <v>23.2075471698113</v>
      </c>
    </row>
    <row r="18" ht="33" spans="1:14">
      <c r="A18" s="38">
        <v>0</v>
      </c>
      <c r="B18" s="38">
        <v>15</v>
      </c>
      <c r="C18" s="38" t="str">
        <v>办公与行政支出</v>
      </c>
      <c r="D18" s="38" t="str">
        <v>按人员数量 × 人均办公费（元 / 人・月）</v>
      </c>
      <c r="E18" s="38">
        <v>4</v>
      </c>
      <c r="F18" s="38">
        <v>2</v>
      </c>
      <c r="G18" s="38">
        <v>2</v>
      </c>
      <c r="H18" s="115"/>
      <c r="I18" s="11">
        <f>$E18*$G18*I$3/(1+'G.2进项增值税率-运营成本'!$C17)</f>
        <v>4.95575221238938</v>
      </c>
      <c r="J18" s="11">
        <f>$E18*$G18*J$3/(1+'G.2进项增值税率-运营成本'!$C17)</f>
        <v>4.95575221238938</v>
      </c>
      <c r="K18" s="11">
        <f>$E18*$G18*K$3/(1+'G.2进项增值税率-运营成本'!$C17)</f>
        <v>5.66371681415929</v>
      </c>
      <c r="L18" s="11">
        <f>$E18*$G18*L$3/(1+'G.2进项增值税率-运营成本'!$C17)</f>
        <v>6.3716814159292</v>
      </c>
      <c r="M18" s="11">
        <f>$E18*$G18*M$3/(1+'G.2进项增值税率-运营成本'!$C17)</f>
        <v>7.07964601769912</v>
      </c>
      <c r="N18" s="11">
        <f t="shared" si="0"/>
        <v>29.0265486725664</v>
      </c>
    </row>
    <row r="19" ht="33" spans="1:14">
      <c r="A19" s="38" t="str">
        <v>合规性与安全成本</v>
      </c>
      <c r="B19" s="38">
        <v>16</v>
      </c>
      <c r="C19" s="38" t="str">
        <v>空域使用审批费</v>
      </c>
      <c r="D19" s="38" t="str">
        <v>按空域面积 × 年费率（元 / 平方 公里・年）</v>
      </c>
      <c r="E19" s="38">
        <v>1</v>
      </c>
      <c r="F19" s="38">
        <v>2</v>
      </c>
      <c r="G19" s="38">
        <v>2</v>
      </c>
      <c r="H19" s="115"/>
      <c r="I19" s="11">
        <f>$E19*$G19*I$3/(1+'G.2进项增值税率-运营成本'!$C18)</f>
        <v>1.4</v>
      </c>
      <c r="J19" s="11">
        <f>$E19*$G19*J$3/(1+'G.2进项增值税率-运营成本'!$C18)</f>
        <v>1.4</v>
      </c>
      <c r="K19" s="11">
        <f>$E19*$G19*K$3/(1+'G.2进项增值税率-运营成本'!$C18)</f>
        <v>1.6</v>
      </c>
      <c r="L19" s="11">
        <f>$E19*$G19*L$3/(1+'G.2进项增值税率-运营成本'!$C18)</f>
        <v>1.8</v>
      </c>
      <c r="M19" s="11">
        <f>$E19*$G19*M$3/(1+'G.2进项增值税率-运营成本'!$C18)</f>
        <v>2</v>
      </c>
      <c r="N19" s="11">
        <f t="shared" si="0"/>
        <v>8.2</v>
      </c>
    </row>
    <row r="20" ht="33" spans="1:14">
      <c r="A20" s="38">
        <v>0</v>
      </c>
      <c r="B20" s="38">
        <v>17</v>
      </c>
      <c r="C20" s="38" t="str">
        <v>场地责任险</v>
      </c>
      <c r="D20" s="38" t="str">
        <v>按保额 × 保险费率（年费率 0.1%-0.3%）</v>
      </c>
      <c r="E20" s="38">
        <v>4</v>
      </c>
      <c r="F20" s="38">
        <v>2</v>
      </c>
      <c r="G20" s="38">
        <v>2</v>
      </c>
      <c r="H20" s="115"/>
      <c r="I20" s="11">
        <f>$E20*$G20*I$3/(1+'G.2进项增值税率-运营成本'!$C19)</f>
        <v>5.28301886792453</v>
      </c>
      <c r="J20" s="11">
        <f>$E20*$G20*J$3/(1+'G.2进项增值税率-运营成本'!$C19)</f>
        <v>5.28301886792453</v>
      </c>
      <c r="K20" s="11">
        <f>$E20*$G20*K$3/(1+'G.2进项增值税率-运营成本'!$C19)</f>
        <v>6.0377358490566</v>
      </c>
      <c r="L20" s="11">
        <f>$E20*$G20*L$3/(1+'G.2进项增值税率-运营成本'!$C19)</f>
        <v>6.79245283018868</v>
      </c>
      <c r="M20" s="11">
        <f>$E20*$G20*M$3/(1+'G.2进项增值税率-运营成本'!$C19)</f>
        <v>7.54716981132075</v>
      </c>
      <c r="N20" s="11">
        <f t="shared" si="0"/>
        <v>30.9433962264151</v>
      </c>
    </row>
    <row r="21" ht="33" spans="1:14">
      <c r="A21" s="38">
        <v>0</v>
      </c>
      <c r="B21" s="38">
        <v>18</v>
      </c>
      <c r="C21" s="38" t="str">
        <v>安全演练与应急处置</v>
      </c>
      <c r="D21" s="38" t="str">
        <v>按次数 × 单次演练成本（元 / 次）</v>
      </c>
      <c r="E21" s="38">
        <v>8</v>
      </c>
      <c r="F21" s="38">
        <v>2</v>
      </c>
      <c r="G21" s="38">
        <v>2</v>
      </c>
      <c r="H21" s="115"/>
      <c r="I21" s="11">
        <f>$E21*$G21*I$3/(1+'G.2进项增值税率-运营成本'!$C20)</f>
        <v>10.5660377358491</v>
      </c>
      <c r="J21" s="11">
        <f>$E21*$G21*J$3/(1+'G.2进项增值税率-运营成本'!$C20)</f>
        <v>10.5660377358491</v>
      </c>
      <c r="K21" s="11">
        <f>$E21*$G21*K$3/(1+'G.2进项增值税率-运营成本'!$C20)</f>
        <v>12.0754716981132</v>
      </c>
      <c r="L21" s="11">
        <f>$E21*$G21*L$3/(1+'G.2进项增值税率-运营成本'!$C20)</f>
        <v>13.5849056603774</v>
      </c>
      <c r="M21" s="11">
        <f>$E21*$G21*M$3/(1+'G.2进项增值税率-运营成本'!$C20)</f>
        <v>15.0943396226415</v>
      </c>
      <c r="N21" s="11">
        <f t="shared" si="0"/>
        <v>61.8867924528302</v>
      </c>
    </row>
    <row r="22" ht="33" spans="1:14">
      <c r="A22" s="38" t="str">
        <v>其他费用</v>
      </c>
      <c r="B22" s="38">
        <v>19</v>
      </c>
      <c r="C22" s="38" t="str">
        <v>第三方安全评估</v>
      </c>
      <c r="D22" s="38" t="str">
        <v>按项目投资额 × 评估费率 （0.1%-0.3%）</v>
      </c>
      <c r="E22" s="38">
        <v>1</v>
      </c>
      <c r="F22" s="38">
        <v>2</v>
      </c>
      <c r="G22" s="38">
        <v>2</v>
      </c>
      <c r="H22" s="115"/>
      <c r="I22" s="11">
        <f>$E22*$G22*I$3/(1+'G.2进项增值税率-运营成本'!$C21)</f>
        <v>1.32075471698113</v>
      </c>
      <c r="J22" s="11">
        <f>$E22*$G22*J$3/(1+'G.2进项增值税率-运营成本'!$C21)</f>
        <v>1.32075471698113</v>
      </c>
      <c r="K22" s="11">
        <f>$E22*$G22*K$3/(1+'G.2进项增值税率-运营成本'!$C21)</f>
        <v>1.50943396226415</v>
      </c>
      <c r="L22" s="11">
        <f>$E22*$G22*L$3/(1+'G.2进项增值税率-运营成本'!$C21)</f>
        <v>1.69811320754717</v>
      </c>
      <c r="M22" s="11">
        <f>$E22*$G22*M$3/(1+'G.2进项增值税率-运营成本'!$C21)</f>
        <v>1.88679245283019</v>
      </c>
      <c r="N22" s="11">
        <f t="shared" si="0"/>
        <v>7.73584905660377</v>
      </c>
    </row>
    <row r="23" ht="33" spans="1:14">
      <c r="A23" s="38">
        <v>0</v>
      </c>
      <c r="B23" s="38">
        <v>20</v>
      </c>
      <c r="C23" s="38" t="str">
        <v>不可预见支出</v>
      </c>
      <c r="D23" s="38" t="str">
        <v>按年度总成本 × 计提比例 （5%-10%）</v>
      </c>
      <c r="E23" s="38">
        <v>9</v>
      </c>
      <c r="F23" s="38">
        <v>2</v>
      </c>
      <c r="G23" s="38">
        <v>2</v>
      </c>
      <c r="H23" s="115"/>
      <c r="I23" s="11">
        <f>$E23*$G23*I$3/(1+'G.2进项增值税率-运营成本'!$C22)</f>
        <v>12.6</v>
      </c>
      <c r="J23" s="11">
        <f>$E23*$G23*J$3/(1+'G.2进项增值税率-运营成本'!$C22)</f>
        <v>12.6</v>
      </c>
      <c r="K23" s="11">
        <f>$E23*$G23*K$3/(1+'G.2进项增值税率-运营成本'!$C22)</f>
        <v>14.4</v>
      </c>
      <c r="L23" s="11">
        <f>$E23*$G23*L$3/(1+'G.2进项增值税率-运营成本'!$C22)</f>
        <v>16.2</v>
      </c>
      <c r="M23" s="11">
        <f>$E23*$G23*M$3/(1+'G.2进项增值税率-运营成本'!$C22)</f>
        <v>18</v>
      </c>
      <c r="N23" s="11">
        <f t="shared" si="0"/>
        <v>73.8</v>
      </c>
    </row>
  </sheetData>
  <mergeCells count="1">
    <mergeCell ref="A1:N1"/>
  </mergeCells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tabColor rgb="FFFFFF00"/>
  </sheetPr>
  <dimension ref="A1:N12"/>
  <sheetViews>
    <sheetView workbookViewId="0">
      <pane xSplit="5" ySplit="3" topLeftCell="F4" activePane="bottomRight" state="frozen"/>
      <selection/>
      <selection pane="topRight"/>
      <selection pane="bottomLeft"/>
      <selection pane="bottomRight" activeCell="F17" sqref="F17"/>
    </sheetView>
  </sheetViews>
  <sheetFormatPr defaultColWidth="8.89090909090909" defaultRowHeight="14"/>
  <cols>
    <col min="1" max="1" width="12.4454545454545" customWidth="1"/>
    <col min="2" max="2" width="15.5545454545455" customWidth="1"/>
    <col min="3" max="3" width="22.2181818181818" customWidth="1"/>
    <col min="4" max="4" width="14.2181818181818" customWidth="1"/>
    <col min="5" max="5" width="17.5545454545455" customWidth="1"/>
    <col min="6" max="6" width="6.44545454545455" customWidth="1"/>
    <col min="7" max="8" width="8.66363636363636" customWidth="1"/>
    <col min="9" max="11" width="9.89090909090909" customWidth="1"/>
  </cols>
  <sheetData>
    <row r="1" s="53" customFormat="1" ht="20" spans="1:14">
      <c r="A1" s="40" t="s">
        <v>231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/>
      <c r="M1"/>
      <c r="N1"/>
    </row>
    <row r="2" s="53" customFormat="1" ht="16.5" spans="1:14">
      <c r="A2" s="124" t="s">
        <v>1</v>
      </c>
      <c r="B2" s="124" t="s">
        <v>138</v>
      </c>
      <c r="C2" s="124" t="s">
        <v>232</v>
      </c>
      <c r="D2" s="124" t="s">
        <v>233</v>
      </c>
      <c r="E2" s="124" t="s">
        <v>234</v>
      </c>
      <c r="F2" s="125" t="s">
        <v>235</v>
      </c>
      <c r="G2" s="126"/>
      <c r="H2" s="126"/>
      <c r="I2" s="126"/>
      <c r="J2" s="126"/>
      <c r="K2" s="126"/>
      <c r="L2"/>
      <c r="M2"/>
      <c r="N2"/>
    </row>
    <row r="3" s="53" customFormat="1" ht="66" spans="1:14">
      <c r="A3" s="7"/>
      <c r="B3" s="7"/>
      <c r="C3" s="81" t="s">
        <v>236</v>
      </c>
      <c r="D3" s="81" t="s">
        <v>237</v>
      </c>
      <c r="E3" s="81" t="s">
        <v>238</v>
      </c>
      <c r="F3" s="25">
        <v>2025</v>
      </c>
      <c r="G3" s="25">
        <v>2026</v>
      </c>
      <c r="H3" s="25">
        <v>2027</v>
      </c>
      <c r="I3" s="25">
        <v>2028</v>
      </c>
      <c r="J3" s="25">
        <v>2029</v>
      </c>
      <c r="K3" s="25">
        <v>2030</v>
      </c>
      <c r="L3"/>
      <c r="M3"/>
      <c r="N3"/>
    </row>
    <row r="4" s="53" customFormat="1" ht="16.5" spans="1:14">
      <c r="A4" s="10" t="s">
        <v>239</v>
      </c>
      <c r="B4" s="7" t="s">
        <v>240</v>
      </c>
      <c r="C4" s="127">
        <f>E.4建设投资税后金额表!H4+E.4建设投资税后金额表!H9+E.4建设投资税后金额表!H13+E.4建设投资税后金额表!H19+c借款还本付息计划表!D37+c借款还本付息计划表!D38</f>
        <v>299.160228402428</v>
      </c>
      <c r="D4" s="128">
        <f>1/B项目信息!$D$8*100%</f>
        <v>0.0454545454545455</v>
      </c>
      <c r="E4" s="115">
        <f>C4*(1-A财务假设!$D$12)*D4</f>
        <v>12.9182825901049</v>
      </c>
      <c r="F4" s="115"/>
      <c r="G4" s="129">
        <f>$C4-$E4*(G3-$F$3)</f>
        <v>286.241945812323</v>
      </c>
      <c r="H4" s="129">
        <f t="shared" ref="H4:I4" si="0">$C4-$E4*(H3-$F$3)</f>
        <v>273.323663222218</v>
      </c>
      <c r="I4" s="129">
        <f t="shared" si="0"/>
        <v>260.405380632113</v>
      </c>
      <c r="J4" s="129">
        <f t="shared" ref="J4:K4" si="1">$C4-$E4*(J3-$F$3)</f>
        <v>247.487098042008</v>
      </c>
      <c r="K4" s="129">
        <f t="shared" si="1"/>
        <v>234.568815451904</v>
      </c>
      <c r="L4"/>
      <c r="M4"/>
      <c r="N4"/>
    </row>
    <row r="5" s="53" customFormat="1" ht="16.5" spans="1:14">
      <c r="A5" s="10" t="s">
        <v>241</v>
      </c>
      <c r="B5" s="7" t="s">
        <v>240</v>
      </c>
      <c r="C5" s="127">
        <f>E.4建设投资税后金额表!I4+E.4建设投资税后金额表!I9+E.4建设投资税后金额表!I13+E.4建设投资税后金额表!I19+c借款还本付息计划表!E38+c借款还本付息计划表!E37</f>
        <v>676.98737548911</v>
      </c>
      <c r="D5" s="128">
        <f>1/B项目信息!$D$14*100%</f>
        <v>0.0476190476190476</v>
      </c>
      <c r="E5" s="115">
        <f>C5*(1-A财务假设!$D$12)*D5</f>
        <v>30.6256193673645</v>
      </c>
      <c r="F5" s="115"/>
      <c r="G5" s="129"/>
      <c r="H5" s="129">
        <f>$C5-$E5*(H3-$G$3)</f>
        <v>646.361756121746</v>
      </c>
      <c r="I5" s="129">
        <f t="shared" ref="I5:K5" si="2">$C5-$E5*(I3-$G$3)</f>
        <v>615.736136754381</v>
      </c>
      <c r="J5" s="129">
        <f t="shared" si="2"/>
        <v>585.110517387017</v>
      </c>
      <c r="K5" s="129">
        <f t="shared" si="2"/>
        <v>554.484898019652</v>
      </c>
      <c r="L5"/>
      <c r="M5"/>
      <c r="N5"/>
    </row>
    <row r="6" s="53" customFormat="1" ht="16.5" spans="1:14">
      <c r="A6" s="10" t="s">
        <v>242</v>
      </c>
      <c r="B6" s="7" t="s">
        <v>240</v>
      </c>
      <c r="C6" s="127">
        <f>E.4建设投资税后金额表!J4+E.4建设投资税后金额表!J9+E.4建设投资税后金额表!J13+E.4建设投资税后金额表!J19+c借款还本付息计划表!F38+c借款还本付息计划表!F37</f>
        <v>1160.96918924246</v>
      </c>
      <c r="D6" s="128">
        <f>1/B项目信息!$D$20*100%</f>
        <v>0.05</v>
      </c>
      <c r="E6" s="115">
        <f>C6*(1-A财务假设!$D$12)*D6</f>
        <v>55.1460364890168</v>
      </c>
      <c r="F6" s="115"/>
      <c r="G6" s="129"/>
      <c r="H6" s="129"/>
      <c r="I6" s="129">
        <f>$C6-$E6*(I3-$H$3)</f>
        <v>1105.82315275344</v>
      </c>
      <c r="J6" s="129">
        <f t="shared" ref="J6:K6" si="3">$C6-$E6*(J3-$H$3)</f>
        <v>1050.67711626443</v>
      </c>
      <c r="K6" s="129">
        <f t="shared" si="3"/>
        <v>995.531079775409</v>
      </c>
      <c r="L6"/>
      <c r="M6"/>
      <c r="N6"/>
    </row>
    <row r="7" s="53" customFormat="1" ht="16.5" spans="1:14">
      <c r="A7" s="7" t="s">
        <v>243</v>
      </c>
      <c r="B7" s="7" t="s">
        <v>240</v>
      </c>
      <c r="C7" s="82">
        <f>SUM(C4:C6)</f>
        <v>2137.116793134</v>
      </c>
      <c r="D7" s="27" t="s">
        <v>105</v>
      </c>
      <c r="E7" s="82">
        <f>SUM(E4:E6)</f>
        <v>98.6899384464862</v>
      </c>
      <c r="F7" s="82">
        <f t="shared" ref="F7:J7" si="4">SUM(F4:F6)</f>
        <v>0</v>
      </c>
      <c r="G7" s="82">
        <f t="shared" si="4"/>
        <v>286.241945812323</v>
      </c>
      <c r="H7" s="82">
        <f t="shared" si="4"/>
        <v>919.685419343964</v>
      </c>
      <c r="I7" s="82">
        <f t="shared" si="4"/>
        <v>1981.96467013993</v>
      </c>
      <c r="J7" s="82">
        <f t="shared" si="4"/>
        <v>1883.27473169346</v>
      </c>
      <c r="K7" s="82">
        <f t="shared" ref="K7" si="5">SUM(K4:K6)</f>
        <v>1784.58479324696</v>
      </c>
      <c r="L7"/>
      <c r="M7"/>
      <c r="N7"/>
    </row>
    <row r="8" s="53" customFormat="1" ht="16.5" spans="1:14">
      <c r="A8" s="7"/>
      <c r="B8" s="7"/>
      <c r="C8" s="82"/>
      <c r="D8" s="27"/>
      <c r="E8" s="82"/>
      <c r="F8" s="82"/>
      <c r="G8" s="82"/>
      <c r="H8" s="82"/>
      <c r="I8" s="82"/>
      <c r="J8" s="82"/>
      <c r="K8" s="82"/>
      <c r="L8"/>
      <c r="M8"/>
      <c r="N8"/>
    </row>
    <row r="9" s="53" customFormat="1" ht="16.5" spans="1:14">
      <c r="A9" s="10" t="s">
        <v>239</v>
      </c>
      <c r="B9" s="7" t="s">
        <v>240</v>
      </c>
      <c r="C9" s="129"/>
      <c r="D9" s="130"/>
      <c r="E9" s="131">
        <f>SUM(F9:K9)</f>
        <v>64.5914129505243</v>
      </c>
      <c r="F9" s="131" t="str">
        <f>IF(F4&lt;&gt;"",$E4,"")</f>
        <v/>
      </c>
      <c r="G9" s="131">
        <f t="shared" ref="G9:K9" si="6">IF(G4&lt;&gt;"",$E4,"")</f>
        <v>12.9182825901049</v>
      </c>
      <c r="H9" s="131">
        <f t="shared" si="6"/>
        <v>12.9182825901049</v>
      </c>
      <c r="I9" s="131">
        <f t="shared" si="6"/>
        <v>12.9182825901049</v>
      </c>
      <c r="J9" s="131">
        <f t="shared" si="6"/>
        <v>12.9182825901049</v>
      </c>
      <c r="K9" s="131">
        <f t="shared" si="6"/>
        <v>12.9182825901049</v>
      </c>
      <c r="L9"/>
      <c r="M9"/>
      <c r="N9"/>
    </row>
    <row r="10" s="53" customFormat="1" ht="16.5" spans="1:14">
      <c r="A10" s="10" t="s">
        <v>241</v>
      </c>
      <c r="B10" s="7" t="s">
        <v>240</v>
      </c>
      <c r="C10" s="129"/>
      <c r="D10" s="130"/>
      <c r="E10" s="131">
        <f>SUM(F10:K10)</f>
        <v>122.502477469458</v>
      </c>
      <c r="F10" s="131" t="str">
        <f t="shared" ref="F10:K10" si="7">IF(F5&lt;&gt;"",$E5,"")</f>
        <v/>
      </c>
      <c r="G10" s="131" t="str">
        <f t="shared" si="7"/>
        <v/>
      </c>
      <c r="H10" s="131">
        <f t="shared" si="7"/>
        <v>30.6256193673645</v>
      </c>
      <c r="I10" s="131">
        <f t="shared" si="7"/>
        <v>30.6256193673645</v>
      </c>
      <c r="J10" s="131">
        <f t="shared" si="7"/>
        <v>30.6256193673645</v>
      </c>
      <c r="K10" s="131">
        <f t="shared" si="7"/>
        <v>30.6256193673645</v>
      </c>
      <c r="L10"/>
      <c r="M10"/>
      <c r="N10"/>
    </row>
    <row r="11" s="53" customFormat="1" ht="16.5" spans="1:14">
      <c r="A11" s="10" t="s">
        <v>242</v>
      </c>
      <c r="B11" s="7" t="s">
        <v>240</v>
      </c>
      <c r="C11" s="129"/>
      <c r="D11" s="130"/>
      <c r="E11" s="131">
        <f>SUM(F11:K11)</f>
        <v>165.43810946705</v>
      </c>
      <c r="F11" s="131" t="str">
        <f t="shared" ref="F11:K11" si="8">IF(F6&lt;&gt;"",$E6,"")</f>
        <v/>
      </c>
      <c r="G11" s="131" t="str">
        <f t="shared" si="8"/>
        <v/>
      </c>
      <c r="H11" s="131" t="str">
        <f t="shared" si="8"/>
        <v/>
      </c>
      <c r="I11" s="131">
        <f t="shared" si="8"/>
        <v>55.1460364890168</v>
      </c>
      <c r="J11" s="131">
        <f t="shared" si="8"/>
        <v>55.1460364890168</v>
      </c>
      <c r="K11" s="131">
        <f t="shared" si="8"/>
        <v>55.1460364890168</v>
      </c>
      <c r="L11"/>
      <c r="M11"/>
      <c r="N11"/>
    </row>
    <row r="12" s="51" customFormat="1" ht="16.5" spans="1:14">
      <c r="A12" s="7" t="s">
        <v>244</v>
      </c>
      <c r="B12" s="7" t="s">
        <v>240</v>
      </c>
      <c r="C12" s="64"/>
      <c r="D12" s="64"/>
      <c r="E12" s="132">
        <f>SUM(E9:E11)</f>
        <v>352.531999887032</v>
      </c>
      <c r="F12" s="132">
        <f t="shared" ref="F12:K12" si="9">SUM(F9:F11)</f>
        <v>0</v>
      </c>
      <c r="G12" s="132">
        <f t="shared" si="9"/>
        <v>12.9182825901049</v>
      </c>
      <c r="H12" s="132">
        <f t="shared" si="9"/>
        <v>43.5439019574694</v>
      </c>
      <c r="I12" s="132">
        <f t="shared" si="9"/>
        <v>98.6899384464862</v>
      </c>
      <c r="J12" s="132">
        <f t="shared" si="9"/>
        <v>98.6899384464862</v>
      </c>
      <c r="K12" s="132">
        <f t="shared" si="9"/>
        <v>98.6899384464862</v>
      </c>
      <c r="L12"/>
      <c r="M12"/>
      <c r="N12"/>
    </row>
  </sheetData>
  <mergeCells count="2">
    <mergeCell ref="A1:K1"/>
    <mergeCell ref="F2:K2"/>
  </mergeCells>
  <pageMargins left="0.75" right="0.75" top="1" bottom="1" header="0.5" footer="0.5"/>
  <headerFooter/>
  <ignoredErrors>
    <ignoredError sqref="F7" formulaRange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tabColor rgb="FFFFFF00"/>
  </sheetPr>
  <dimension ref="A1:L50"/>
  <sheetViews>
    <sheetView zoomScale="60" zoomScaleNormal="60" workbookViewId="0">
      <pane xSplit="5" ySplit="3" topLeftCell="F4" activePane="bottomRight" state="frozen"/>
      <selection/>
      <selection pane="topRight"/>
      <selection pane="bottomLeft"/>
      <selection pane="bottomRight" activeCell="L23" sqref="L23"/>
    </sheetView>
  </sheetViews>
  <sheetFormatPr defaultColWidth="30.7818181818182" defaultRowHeight="16.5"/>
  <cols>
    <col min="1" max="1" width="9.21818181818182" style="53" customWidth="1"/>
    <col min="2" max="2" width="21.6636363636364" style="53" customWidth="1"/>
    <col min="3" max="3" width="34.8909090909091" style="53" customWidth="1"/>
    <col min="4" max="4" width="28.7818181818182" style="53" customWidth="1"/>
    <col min="5" max="5" width="16.4454545454545" style="53" customWidth="1"/>
    <col min="6" max="6" width="6.55454545454545" style="53" customWidth="1"/>
    <col min="7" max="7" width="6.55454545454545" style="108" customWidth="1"/>
    <col min="8" max="11" width="7.66363636363636" style="108" customWidth="1"/>
    <col min="12" max="12" width="142.445454545455" style="53" customWidth="1"/>
    <col min="13" max="16384" width="30.7818181818182" style="53"/>
  </cols>
  <sheetData>
    <row r="1" ht="22.5" spans="1:12">
      <c r="A1" s="109" t="s">
        <v>245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/>
    </row>
    <row r="2" spans="1:12">
      <c r="A2" s="2" t="s">
        <v>1</v>
      </c>
      <c r="B2" s="2" t="s">
        <v>138</v>
      </c>
      <c r="C2" s="2" t="s">
        <v>232</v>
      </c>
      <c r="D2" s="2" t="s">
        <v>233</v>
      </c>
      <c r="E2" s="2" t="s">
        <v>234</v>
      </c>
      <c r="F2" s="111" t="s">
        <v>246</v>
      </c>
      <c r="G2" s="112"/>
      <c r="H2" s="112"/>
      <c r="I2" s="112"/>
      <c r="J2" s="112"/>
      <c r="K2" s="112"/>
      <c r="L2"/>
    </row>
    <row r="3" ht="49.5" spans="1:12">
      <c r="A3" s="7"/>
      <c r="B3" s="7"/>
      <c r="C3" s="38" t="s">
        <v>247</v>
      </c>
      <c r="D3" s="113" t="s">
        <v>237</v>
      </c>
      <c r="E3" s="38" t="s">
        <v>248</v>
      </c>
      <c r="F3" s="25">
        <v>2025</v>
      </c>
      <c r="G3" s="25">
        <v>2026</v>
      </c>
      <c r="H3" s="25">
        <v>2027</v>
      </c>
      <c r="I3" s="25">
        <v>2028</v>
      </c>
      <c r="J3" s="25">
        <v>2029</v>
      </c>
      <c r="K3" s="25">
        <v>2030</v>
      </c>
      <c r="L3"/>
    </row>
    <row r="4" spans="1:12">
      <c r="A4" s="10" t="s">
        <v>239</v>
      </c>
      <c r="B4" s="114" t="s">
        <v>249</v>
      </c>
      <c r="C4" s="115">
        <f>C5+C9</f>
        <v>5.54349641008516</v>
      </c>
      <c r="D4" s="113" t="s">
        <v>105</v>
      </c>
      <c r="E4" s="82">
        <f>E5+E9</f>
        <v>0.251977109549325</v>
      </c>
      <c r="F4" s="82"/>
      <c r="G4" s="82">
        <f t="shared" ref="G4:I4" si="0">G5+G9</f>
        <v>5.29151930053583</v>
      </c>
      <c r="H4" s="82">
        <f t="shared" si="0"/>
        <v>5.0395421909865</v>
      </c>
      <c r="I4" s="82">
        <f t="shared" si="0"/>
        <v>4.78756508143718</v>
      </c>
      <c r="J4" s="82">
        <f t="shared" ref="J4:K4" si="1">J5+J9</f>
        <v>4.53558797188785</v>
      </c>
      <c r="K4" s="82">
        <f t="shared" si="1"/>
        <v>4.28361086233853</v>
      </c>
      <c r="L4"/>
    </row>
    <row r="5" spans="1:12">
      <c r="A5" s="7">
        <v>1.1</v>
      </c>
      <c r="B5" s="7" t="s">
        <v>250</v>
      </c>
      <c r="C5" s="13">
        <f>SUM(C6:C8)</f>
        <v>5.54349641008516</v>
      </c>
      <c r="D5" s="116" t="s">
        <v>105</v>
      </c>
      <c r="E5" s="13">
        <f>SUM(E6:E8)</f>
        <v>0.251977109549325</v>
      </c>
      <c r="F5" s="13"/>
      <c r="G5" s="13">
        <f t="shared" ref="G5:I5" si="2">SUM(G6:G8)</f>
        <v>5.29151930053583</v>
      </c>
      <c r="H5" s="13">
        <f t="shared" si="2"/>
        <v>5.0395421909865</v>
      </c>
      <c r="I5" s="13">
        <f t="shared" si="2"/>
        <v>4.78756508143718</v>
      </c>
      <c r="J5" s="13">
        <f t="shared" ref="J5:K5" si="3">SUM(J6:J8)</f>
        <v>4.53558797188785</v>
      </c>
      <c r="K5" s="13">
        <f t="shared" si="3"/>
        <v>4.28361086233853</v>
      </c>
      <c r="L5"/>
    </row>
    <row r="6" spans="1:12">
      <c r="A6" s="7" t="s">
        <v>251</v>
      </c>
      <c r="B6" s="7" t="s">
        <v>252</v>
      </c>
      <c r="C6" s="41">
        <v>0</v>
      </c>
      <c r="D6" s="95">
        <f>$D$8</f>
        <v>0.0454545454545455</v>
      </c>
      <c r="E6" s="13">
        <f>C6*D6</f>
        <v>0</v>
      </c>
      <c r="F6" s="13"/>
      <c r="G6" s="41">
        <f t="shared" ref="G6:K7" si="4">$C6-$E6*(G$3-$F$3)</f>
        <v>0</v>
      </c>
      <c r="H6" s="41">
        <f t="shared" si="4"/>
        <v>0</v>
      </c>
      <c r="I6" s="41">
        <f t="shared" si="4"/>
        <v>0</v>
      </c>
      <c r="J6" s="41">
        <f t="shared" si="4"/>
        <v>0</v>
      </c>
      <c r="K6" s="41">
        <f t="shared" si="4"/>
        <v>0</v>
      </c>
      <c r="L6"/>
    </row>
    <row r="7" spans="1:12">
      <c r="A7" s="7" t="s">
        <v>253</v>
      </c>
      <c r="B7" s="7" t="s">
        <v>254</v>
      </c>
      <c r="C7" s="41">
        <v>0</v>
      </c>
      <c r="D7" s="95">
        <f>$D$8</f>
        <v>0.0454545454545455</v>
      </c>
      <c r="E7" s="13">
        <f t="shared" ref="E7:E8" si="5">C7*D7</f>
        <v>0</v>
      </c>
      <c r="F7" s="13"/>
      <c r="G7" s="41">
        <f t="shared" si="4"/>
        <v>0</v>
      </c>
      <c r="H7" s="41">
        <f t="shared" si="4"/>
        <v>0</v>
      </c>
      <c r="I7" s="41">
        <f t="shared" si="4"/>
        <v>0</v>
      </c>
      <c r="J7" s="41">
        <f t="shared" ref="J7:K8" si="6">$C7-$E7*(J$3-$F$3)</f>
        <v>0</v>
      </c>
      <c r="K7" s="41">
        <f t="shared" si="6"/>
        <v>0</v>
      </c>
      <c r="L7"/>
    </row>
    <row r="8" spans="1:12">
      <c r="A8" s="7" t="s">
        <v>255</v>
      </c>
      <c r="B8" s="38" t="s">
        <v>256</v>
      </c>
      <c r="C8" s="117">
        <f>E.4建设投资税后金额表!H10+E.4建设投资税后金额表!H11+E.4建设投资税后金额表!H12</f>
        <v>5.54349641008516</v>
      </c>
      <c r="D8" s="118">
        <f>1/B项目信息!$D$8*100%</f>
        <v>0.0454545454545455</v>
      </c>
      <c r="E8" s="13">
        <f t="shared" si="5"/>
        <v>0.251977109549325</v>
      </c>
      <c r="F8" s="13"/>
      <c r="G8" s="42">
        <f t="shared" ref="G8:I8" si="7">$C8-$E8*(G$3-$F$3)</f>
        <v>5.29151930053583</v>
      </c>
      <c r="H8" s="42">
        <f t="shared" si="7"/>
        <v>5.0395421909865</v>
      </c>
      <c r="I8" s="42">
        <f t="shared" si="7"/>
        <v>4.78756508143718</v>
      </c>
      <c r="J8" s="42">
        <f t="shared" si="6"/>
        <v>4.53558797188785</v>
      </c>
      <c r="K8" s="42">
        <f t="shared" si="6"/>
        <v>4.28361086233853</v>
      </c>
      <c r="L8"/>
    </row>
    <row r="9" spans="1:12">
      <c r="A9" s="7">
        <v>1.2</v>
      </c>
      <c r="B9" s="7" t="s">
        <v>257</v>
      </c>
      <c r="C9" s="13">
        <f>C10</f>
        <v>0</v>
      </c>
      <c r="D9" s="119" t="s">
        <v>105</v>
      </c>
      <c r="E9" s="13">
        <f>E10</f>
        <v>0</v>
      </c>
      <c r="F9" s="13"/>
      <c r="G9" s="13">
        <f t="shared" ref="G9:K9" si="8">G10</f>
        <v>0</v>
      </c>
      <c r="H9" s="13">
        <f t="shared" si="8"/>
        <v>0</v>
      </c>
      <c r="I9" s="13">
        <f t="shared" si="8"/>
        <v>0</v>
      </c>
      <c r="J9" s="13">
        <f t="shared" si="8"/>
        <v>0</v>
      </c>
      <c r="K9" s="13">
        <f t="shared" si="8"/>
        <v>0</v>
      </c>
      <c r="L9"/>
    </row>
    <row r="10" spans="1:12">
      <c r="A10" s="7" t="s">
        <v>144</v>
      </c>
      <c r="B10" s="7" t="s">
        <v>258</v>
      </c>
      <c r="C10" s="41">
        <v>0</v>
      </c>
      <c r="D10" s="95">
        <f>$D$8</f>
        <v>0.0454545454545455</v>
      </c>
      <c r="E10" s="13">
        <f>C10*D10</f>
        <v>0</v>
      </c>
      <c r="F10" s="13"/>
      <c r="G10" s="41">
        <f t="shared" ref="G10:I10" si="9">$C10-$E10*(G$3-$F$3)</f>
        <v>0</v>
      </c>
      <c r="H10" s="41">
        <f t="shared" si="9"/>
        <v>0</v>
      </c>
      <c r="I10" s="41">
        <f t="shared" si="9"/>
        <v>0</v>
      </c>
      <c r="J10" s="41">
        <f t="shared" ref="J10:K10" si="10">$C10-$E10*(J$3-$F$3)</f>
        <v>0</v>
      </c>
      <c r="K10" s="41">
        <f t="shared" si="10"/>
        <v>0</v>
      </c>
      <c r="L10"/>
    </row>
    <row r="11" spans="1:12">
      <c r="A11" s="10" t="s">
        <v>241</v>
      </c>
      <c r="B11" s="114" t="s">
        <v>259</v>
      </c>
      <c r="C11" s="13">
        <f>C12+C16</f>
        <v>5.54349641008516</v>
      </c>
      <c r="D11" s="43"/>
      <c r="E11" s="13">
        <f>E12+E16</f>
        <v>0.263976019527865</v>
      </c>
      <c r="F11" s="13"/>
      <c r="G11" s="13">
        <f t="shared" ref="G11:I11" si="11">G12+G16</f>
        <v>0</v>
      </c>
      <c r="H11" s="13">
        <f t="shared" si="11"/>
        <v>5.27952039055729</v>
      </c>
      <c r="I11" s="13">
        <f t="shared" si="11"/>
        <v>5.01554437102943</v>
      </c>
      <c r="J11" s="13">
        <f t="shared" ref="J11:K11" si="12">J12+J16</f>
        <v>4.75156835150156</v>
      </c>
      <c r="K11" s="13">
        <f t="shared" si="12"/>
        <v>4.4875923319737</v>
      </c>
      <c r="L11"/>
    </row>
    <row r="12" spans="1:12">
      <c r="A12" s="7">
        <v>2.1</v>
      </c>
      <c r="B12" s="7" t="s">
        <v>250</v>
      </c>
      <c r="C12" s="13">
        <f>SUM(C13:C15)</f>
        <v>5.54349641008516</v>
      </c>
      <c r="D12" s="43" t="s">
        <v>105</v>
      </c>
      <c r="E12" s="13">
        <f>SUM(E13:E15)</f>
        <v>0.263976019527865</v>
      </c>
      <c r="F12" s="13"/>
      <c r="G12" s="13"/>
      <c r="H12" s="41">
        <f t="shared" ref="H12:I12" si="13">SUM(H13:H15)</f>
        <v>5.27952039055729</v>
      </c>
      <c r="I12" s="41">
        <f t="shared" si="13"/>
        <v>5.01554437102943</v>
      </c>
      <c r="J12" s="41">
        <f t="shared" ref="J12:K12" si="14">SUM(J13:J15)</f>
        <v>4.75156835150156</v>
      </c>
      <c r="K12" s="41">
        <f t="shared" si="14"/>
        <v>4.4875923319737</v>
      </c>
      <c r="L12"/>
    </row>
    <row r="13" spans="1:12">
      <c r="A13" s="7" t="s">
        <v>93</v>
      </c>
      <c r="B13" s="7" t="s">
        <v>252</v>
      </c>
      <c r="C13" s="41">
        <v>0</v>
      </c>
      <c r="D13" s="95">
        <f>$D$15</f>
        <v>0.0476190476190476</v>
      </c>
      <c r="E13" s="13">
        <f>C13*D13</f>
        <v>0</v>
      </c>
      <c r="F13" s="13"/>
      <c r="G13" s="13"/>
      <c r="H13" s="41">
        <f>$C13-$E13*(H$3-$G$3)</f>
        <v>0</v>
      </c>
      <c r="I13" s="41">
        <f t="shared" ref="I13:K14" si="15">$C13-$E13*(I$3-$G$3)</f>
        <v>0</v>
      </c>
      <c r="J13" s="41">
        <f t="shared" si="15"/>
        <v>0</v>
      </c>
      <c r="K13" s="41">
        <f t="shared" si="15"/>
        <v>0</v>
      </c>
      <c r="L13"/>
    </row>
    <row r="14" spans="1:12">
      <c r="A14" s="7" t="s">
        <v>95</v>
      </c>
      <c r="B14" s="7" t="s">
        <v>254</v>
      </c>
      <c r="C14" s="41">
        <v>0</v>
      </c>
      <c r="D14" s="95">
        <f>$D$15</f>
        <v>0.0476190476190476</v>
      </c>
      <c r="E14" s="13">
        <f>C14*D14</f>
        <v>0</v>
      </c>
      <c r="F14" s="13"/>
      <c r="G14" s="13"/>
      <c r="H14" s="41">
        <f>$C14-$E14*(H$3-$G$3)</f>
        <v>0</v>
      </c>
      <c r="I14" s="41">
        <f t="shared" si="15"/>
        <v>0</v>
      </c>
      <c r="J14" s="41">
        <f t="shared" si="15"/>
        <v>0</v>
      </c>
      <c r="K14" s="41">
        <f t="shared" si="15"/>
        <v>0</v>
      </c>
      <c r="L14"/>
    </row>
    <row r="15" spans="1:12">
      <c r="A15" s="7" t="s">
        <v>97</v>
      </c>
      <c r="B15" s="38" t="s">
        <v>256</v>
      </c>
      <c r="C15" s="42">
        <f>E.4建设投资税后金额表!I10+E.4建设投资税后金额表!I11+E.4建设投资税后金额表!I12</f>
        <v>5.54349641008516</v>
      </c>
      <c r="D15" s="118">
        <f>1/B项目信息!$D$14*100%</f>
        <v>0.0476190476190476</v>
      </c>
      <c r="E15" s="13">
        <f>C15*D15</f>
        <v>0.263976019527865</v>
      </c>
      <c r="F15" s="13"/>
      <c r="G15" s="13"/>
      <c r="H15" s="42">
        <f>$C15-$E15*(H$3-$G$3)</f>
        <v>5.27952039055729</v>
      </c>
      <c r="I15" s="42">
        <f t="shared" ref="I15:K15" si="16">$C15-$E15*(I$3-$G$3)</f>
        <v>5.01554437102943</v>
      </c>
      <c r="J15" s="42">
        <f t="shared" si="16"/>
        <v>4.75156835150156</v>
      </c>
      <c r="K15" s="42">
        <f t="shared" si="16"/>
        <v>4.4875923319737</v>
      </c>
      <c r="L15"/>
    </row>
    <row r="16" spans="1:12">
      <c r="A16" s="7">
        <v>2.2</v>
      </c>
      <c r="B16" s="7" t="s">
        <v>257</v>
      </c>
      <c r="C16" s="13">
        <f>C17</f>
        <v>0</v>
      </c>
      <c r="D16" s="95"/>
      <c r="E16" s="13">
        <f>E17</f>
        <v>0</v>
      </c>
      <c r="F16" s="13"/>
      <c r="G16" s="13"/>
      <c r="H16" s="13">
        <f>H17</f>
        <v>0</v>
      </c>
      <c r="I16" s="13">
        <f>I17</f>
        <v>0</v>
      </c>
      <c r="J16" s="13">
        <f t="shared" ref="J16:K16" si="17">J17</f>
        <v>0</v>
      </c>
      <c r="K16" s="13">
        <f t="shared" si="17"/>
        <v>0</v>
      </c>
      <c r="L16"/>
    </row>
    <row r="17" spans="1:12">
      <c r="A17" s="7" t="s">
        <v>100</v>
      </c>
      <c r="B17" s="7" t="s">
        <v>258</v>
      </c>
      <c r="C17" s="41">
        <v>0</v>
      </c>
      <c r="D17" s="95">
        <f>$D$15</f>
        <v>0.0476190476190476</v>
      </c>
      <c r="E17" s="13">
        <f>C17*D17</f>
        <v>0</v>
      </c>
      <c r="F17" s="13"/>
      <c r="G17" s="13"/>
      <c r="H17" s="41">
        <f>$C$17-$E$17*(H$3-$G$3)</f>
        <v>0</v>
      </c>
      <c r="I17" s="41">
        <f t="shared" ref="I17:K17" si="18">$C$17-$E$17*(I$3-$G$3)</f>
        <v>0</v>
      </c>
      <c r="J17" s="41">
        <f t="shared" si="18"/>
        <v>0</v>
      </c>
      <c r="K17" s="41">
        <f t="shared" si="18"/>
        <v>0</v>
      </c>
      <c r="L17"/>
    </row>
    <row r="18" spans="1:12">
      <c r="A18" s="10" t="s">
        <v>242</v>
      </c>
      <c r="B18" s="114" t="s">
        <v>260</v>
      </c>
      <c r="C18" s="13">
        <f>C19+C23</f>
        <v>5.54349641008516</v>
      </c>
      <c r="D18" s="91"/>
      <c r="E18" s="13">
        <f>E19+E23</f>
        <v>0.277174820504258</v>
      </c>
      <c r="F18" s="13"/>
      <c r="G18" s="13">
        <f t="shared" ref="G18:K18" si="19">G19+G23</f>
        <v>0</v>
      </c>
      <c r="H18" s="13">
        <f t="shared" si="19"/>
        <v>0</v>
      </c>
      <c r="I18" s="13">
        <f t="shared" si="19"/>
        <v>5.2663215895809</v>
      </c>
      <c r="J18" s="13">
        <f t="shared" si="19"/>
        <v>4.98914676907664</v>
      </c>
      <c r="K18" s="13">
        <f t="shared" si="19"/>
        <v>4.71197194857238</v>
      </c>
      <c r="L18"/>
    </row>
    <row r="19" spans="1:12">
      <c r="A19" s="7">
        <v>2.1</v>
      </c>
      <c r="B19" s="7" t="s">
        <v>250</v>
      </c>
      <c r="C19" s="13">
        <f>SUM(C20:C22)</f>
        <v>5.54349641008516</v>
      </c>
      <c r="D19" s="120" t="s">
        <v>105</v>
      </c>
      <c r="E19" s="13">
        <f>SUM(E20:E22)</f>
        <v>0.277174820504258</v>
      </c>
      <c r="F19" s="13"/>
      <c r="G19" s="13"/>
      <c r="H19" s="13"/>
      <c r="I19" s="41">
        <f t="shared" ref="I19:K19" si="20">SUM(I20:I22)</f>
        <v>5.2663215895809</v>
      </c>
      <c r="J19" s="41">
        <f t="shared" si="20"/>
        <v>4.98914676907664</v>
      </c>
      <c r="K19" s="41">
        <f t="shared" si="20"/>
        <v>4.71197194857238</v>
      </c>
      <c r="L19"/>
    </row>
    <row r="20" spans="1:12">
      <c r="A20" s="7" t="s">
        <v>93</v>
      </c>
      <c r="B20" s="7" t="s">
        <v>252</v>
      </c>
      <c r="C20" s="41">
        <v>0</v>
      </c>
      <c r="D20" s="95">
        <f>$D$22</f>
        <v>0.05</v>
      </c>
      <c r="E20" s="13">
        <f>C20*D20</f>
        <v>0</v>
      </c>
      <c r="F20" s="13"/>
      <c r="G20" s="13"/>
      <c r="H20" s="13"/>
      <c r="I20" s="41">
        <f>$C20-$E20*(I$3-$H$3)</f>
        <v>0</v>
      </c>
      <c r="J20" s="41">
        <f t="shared" ref="J20:K22" si="21">$C20-$E20*(J$3-$H$3)</f>
        <v>0</v>
      </c>
      <c r="K20" s="41">
        <f t="shared" si="21"/>
        <v>0</v>
      </c>
      <c r="L20"/>
    </row>
    <row r="21" spans="1:12">
      <c r="A21" s="7" t="s">
        <v>95</v>
      </c>
      <c r="B21" s="7" t="s">
        <v>254</v>
      </c>
      <c r="C21" s="41">
        <v>0</v>
      </c>
      <c r="D21" s="95">
        <f>$D$22</f>
        <v>0.05</v>
      </c>
      <c r="E21" s="13">
        <f>C21*D21</f>
        <v>0</v>
      </c>
      <c r="F21" s="13"/>
      <c r="G21" s="13"/>
      <c r="H21" s="13"/>
      <c r="I21" s="41">
        <f>$C21-$E21*(I$3-$H$3)</f>
        <v>0</v>
      </c>
      <c r="J21" s="41">
        <f t="shared" si="21"/>
        <v>0</v>
      </c>
      <c r="K21" s="41">
        <f t="shared" si="21"/>
        <v>0</v>
      </c>
      <c r="L21"/>
    </row>
    <row r="22" spans="1:12">
      <c r="A22" s="7" t="s">
        <v>97</v>
      </c>
      <c r="B22" s="38" t="s">
        <v>256</v>
      </c>
      <c r="C22" s="42">
        <f>E.4建设投资税后金额表!J10+E.4建设投资税后金额表!J11+E.4建设投资税后金额表!J12</f>
        <v>5.54349641008516</v>
      </c>
      <c r="D22" s="118">
        <f>1/B项目信息!$D$20*100%</f>
        <v>0.05</v>
      </c>
      <c r="E22" s="13">
        <f>C22*D22</f>
        <v>0.277174820504258</v>
      </c>
      <c r="F22" s="13"/>
      <c r="G22" s="13"/>
      <c r="H22" s="13"/>
      <c r="I22" s="42">
        <f>$C22-$E22*(I$3-$H$3)</f>
        <v>5.2663215895809</v>
      </c>
      <c r="J22" s="42">
        <f t="shared" si="21"/>
        <v>4.98914676907664</v>
      </c>
      <c r="K22" s="42">
        <f t="shared" si="21"/>
        <v>4.71197194857238</v>
      </c>
      <c r="L22"/>
    </row>
    <row r="23" spans="1:12">
      <c r="A23" s="7">
        <v>2.2</v>
      </c>
      <c r="B23" s="7" t="s">
        <v>257</v>
      </c>
      <c r="C23" s="13">
        <f>C24</f>
        <v>0</v>
      </c>
      <c r="D23" s="95" t="s">
        <v>105</v>
      </c>
      <c r="E23" s="13">
        <f>E24</f>
        <v>0</v>
      </c>
      <c r="F23" s="13"/>
      <c r="G23" s="13"/>
      <c r="H23" s="13"/>
      <c r="I23" s="13">
        <f>I24</f>
        <v>0</v>
      </c>
      <c r="J23" s="13">
        <f t="shared" ref="J23" si="22">J24</f>
        <v>0</v>
      </c>
      <c r="K23" s="13">
        <f t="shared" ref="K23" si="23">K24</f>
        <v>0</v>
      </c>
      <c r="L23"/>
    </row>
    <row r="24" spans="1:12">
      <c r="A24" s="7" t="s">
        <v>100</v>
      </c>
      <c r="B24" s="7" t="s">
        <v>258</v>
      </c>
      <c r="C24" s="41">
        <v>0</v>
      </c>
      <c r="D24" s="95">
        <f>$D$22</f>
        <v>0.05</v>
      </c>
      <c r="E24" s="13">
        <f>C24*D24</f>
        <v>0</v>
      </c>
      <c r="F24" s="13"/>
      <c r="G24" s="13"/>
      <c r="H24" s="13"/>
      <c r="I24" s="41">
        <f>$C$17-$E$17*(I$3-$H$3)</f>
        <v>0</v>
      </c>
      <c r="J24" s="41">
        <f t="shared" ref="J24:K24" si="24">$C$17-$E$17*(J$3-$H$3)</f>
        <v>0</v>
      </c>
      <c r="K24" s="41">
        <f t="shared" si="24"/>
        <v>0</v>
      </c>
      <c r="L24"/>
    </row>
    <row r="25" spans="1:12">
      <c r="A25" s="100" t="s">
        <v>243</v>
      </c>
      <c r="B25" s="101"/>
      <c r="C25" s="11">
        <f>C4+C11+C18</f>
        <v>16.6304892302555</v>
      </c>
      <c r="D25" s="43" t="s">
        <v>105</v>
      </c>
      <c r="E25" s="11">
        <f>E4+E11</f>
        <v>0.51595312907719</v>
      </c>
      <c r="F25" s="11">
        <f>F4+F11+F18</f>
        <v>0</v>
      </c>
      <c r="G25" s="11">
        <f t="shared" ref="G25:K25" si="25">G4+G11+G18</f>
        <v>5.29151930053583</v>
      </c>
      <c r="H25" s="11">
        <f t="shared" si="25"/>
        <v>10.3190625815438</v>
      </c>
      <c r="I25" s="11">
        <f t="shared" si="25"/>
        <v>15.0694310420475</v>
      </c>
      <c r="J25" s="11">
        <f t="shared" si="25"/>
        <v>14.2763030924661</v>
      </c>
      <c r="K25" s="11">
        <f t="shared" si="25"/>
        <v>13.4831751428846</v>
      </c>
      <c r="L25"/>
    </row>
    <row r="26" spans="12:12">
      <c r="L26"/>
    </row>
    <row r="27" spans="1:12">
      <c r="A27" s="10" t="s">
        <v>239</v>
      </c>
      <c r="B27" s="114" t="s">
        <v>249</v>
      </c>
      <c r="C27" s="115"/>
      <c r="D27" s="38"/>
      <c r="E27" s="82"/>
      <c r="F27" s="121"/>
      <c r="G27" s="121">
        <f t="shared" ref="G27:K27" si="26">G28+G32</f>
        <v>0.251977109549325</v>
      </c>
      <c r="H27" s="121">
        <f t="shared" si="26"/>
        <v>0.251977109549325</v>
      </c>
      <c r="I27" s="121">
        <f t="shared" si="26"/>
        <v>0.251977109549325</v>
      </c>
      <c r="J27" s="121">
        <f t="shared" si="26"/>
        <v>0.251977109549325</v>
      </c>
      <c r="K27" s="121">
        <f t="shared" si="26"/>
        <v>0.251977109549325</v>
      </c>
      <c r="L27"/>
    </row>
    <row r="28" spans="1:12">
      <c r="A28" s="7">
        <v>1.1</v>
      </c>
      <c r="B28" s="7" t="s">
        <v>250</v>
      </c>
      <c r="C28" s="13"/>
      <c r="D28" s="27"/>
      <c r="E28" s="13"/>
      <c r="F28" s="11">
        <f>SUM(F29:F31)</f>
        <v>0</v>
      </c>
      <c r="G28" s="11">
        <f t="shared" ref="G28:K28" si="27">SUM(G29:G31)</f>
        <v>0.251977109549325</v>
      </c>
      <c r="H28" s="11">
        <f t="shared" si="27"/>
        <v>0.251977109549325</v>
      </c>
      <c r="I28" s="11">
        <f t="shared" si="27"/>
        <v>0.251977109549325</v>
      </c>
      <c r="J28" s="11">
        <f t="shared" si="27"/>
        <v>0.251977109549325</v>
      </c>
      <c r="K28" s="11">
        <f t="shared" si="27"/>
        <v>0.251977109549325</v>
      </c>
      <c r="L28"/>
    </row>
    <row r="29" spans="1:12">
      <c r="A29" s="7" t="s">
        <v>251</v>
      </c>
      <c r="B29" s="7" t="s">
        <v>252</v>
      </c>
      <c r="C29" s="41"/>
      <c r="D29" s="12"/>
      <c r="E29" s="13"/>
      <c r="F29" s="11" t="str">
        <f>IF(F4&lt;&gt;"",$E6,"")</f>
        <v/>
      </c>
      <c r="G29" s="11">
        <f>IF(G6&lt;&gt;"",$E6,0)</f>
        <v>0</v>
      </c>
      <c r="H29" s="11">
        <f t="shared" ref="H29:K29" si="28">IF(H6&lt;&gt;"",$E6,0)</f>
        <v>0</v>
      </c>
      <c r="I29" s="11">
        <f t="shared" si="28"/>
        <v>0</v>
      </c>
      <c r="J29" s="11">
        <f t="shared" si="28"/>
        <v>0</v>
      </c>
      <c r="K29" s="11">
        <f t="shared" si="28"/>
        <v>0</v>
      </c>
      <c r="L29"/>
    </row>
    <row r="30" spans="1:12">
      <c r="A30" s="7" t="s">
        <v>253</v>
      </c>
      <c r="B30" s="7" t="s">
        <v>254</v>
      </c>
      <c r="C30" s="41"/>
      <c r="D30" s="12"/>
      <c r="E30" s="13"/>
      <c r="F30" s="11" t="str">
        <f t="shared" ref="F30" si="29">IF(F5&lt;&gt;"",$E7,"")</f>
        <v/>
      </c>
      <c r="G30" s="11">
        <f t="shared" ref="G30:K30" si="30">IF(G7&lt;&gt;"",$E7,0)</f>
        <v>0</v>
      </c>
      <c r="H30" s="11">
        <f t="shared" si="30"/>
        <v>0</v>
      </c>
      <c r="I30" s="11">
        <f t="shared" si="30"/>
        <v>0</v>
      </c>
      <c r="J30" s="11">
        <f t="shared" si="30"/>
        <v>0</v>
      </c>
      <c r="K30" s="11">
        <f t="shared" si="30"/>
        <v>0</v>
      </c>
      <c r="L30"/>
    </row>
    <row r="31" spans="1:12">
      <c r="A31" s="7" t="s">
        <v>255</v>
      </c>
      <c r="B31" s="38" t="s">
        <v>256</v>
      </c>
      <c r="C31" s="86"/>
      <c r="D31" s="12"/>
      <c r="E31" s="13"/>
      <c r="F31" s="11" t="str">
        <f t="shared" ref="F31:F33" si="31">IF(F6&lt;&gt;"",$E8,"")</f>
        <v/>
      </c>
      <c r="G31" s="11">
        <f t="shared" ref="G31:K33" si="32">IF(G8&lt;&gt;"",$E8,0)</f>
        <v>0.251977109549325</v>
      </c>
      <c r="H31" s="11">
        <f t="shared" si="32"/>
        <v>0.251977109549325</v>
      </c>
      <c r="I31" s="11">
        <f t="shared" si="32"/>
        <v>0.251977109549325</v>
      </c>
      <c r="J31" s="11">
        <f t="shared" si="32"/>
        <v>0.251977109549325</v>
      </c>
      <c r="K31" s="11">
        <f t="shared" si="32"/>
        <v>0.251977109549325</v>
      </c>
      <c r="L31"/>
    </row>
    <row r="32" spans="1:12">
      <c r="A32" s="7">
        <v>1.2</v>
      </c>
      <c r="B32" s="7" t="s">
        <v>257</v>
      </c>
      <c r="C32" s="13"/>
      <c r="D32" s="122"/>
      <c r="E32" s="13"/>
      <c r="F32" s="11" t="str">
        <f>F33</f>
        <v/>
      </c>
      <c r="G32" s="11">
        <f t="shared" ref="G32:K32" si="33">G33</f>
        <v>0</v>
      </c>
      <c r="H32" s="11">
        <f t="shared" si="33"/>
        <v>0</v>
      </c>
      <c r="I32" s="11">
        <f t="shared" si="33"/>
        <v>0</v>
      </c>
      <c r="J32" s="11">
        <f t="shared" si="33"/>
        <v>0</v>
      </c>
      <c r="K32" s="11">
        <f t="shared" si="33"/>
        <v>0</v>
      </c>
      <c r="L32"/>
    </row>
    <row r="33" spans="1:12">
      <c r="A33" s="7" t="s">
        <v>144</v>
      </c>
      <c r="B33" s="7" t="s">
        <v>258</v>
      </c>
      <c r="C33" s="41"/>
      <c r="D33" s="12"/>
      <c r="E33" s="13"/>
      <c r="F33" s="11" t="str">
        <f t="shared" si="31"/>
        <v/>
      </c>
      <c r="G33" s="11">
        <f t="shared" si="32"/>
        <v>0</v>
      </c>
      <c r="H33" s="11">
        <f t="shared" si="32"/>
        <v>0</v>
      </c>
      <c r="I33" s="11">
        <f t="shared" si="32"/>
        <v>0</v>
      </c>
      <c r="J33" s="11">
        <f t="shared" si="32"/>
        <v>0</v>
      </c>
      <c r="K33" s="11">
        <f t="shared" si="32"/>
        <v>0</v>
      </c>
      <c r="L33"/>
    </row>
    <row r="34" spans="1:12">
      <c r="A34" s="10" t="s">
        <v>241</v>
      </c>
      <c r="B34" s="114" t="s">
        <v>259</v>
      </c>
      <c r="C34" s="13"/>
      <c r="D34" s="7"/>
      <c r="E34" s="13"/>
      <c r="F34" s="121"/>
      <c r="G34" s="121">
        <f t="shared" ref="G34" si="34">G35+G39</f>
        <v>0</v>
      </c>
      <c r="H34" s="121">
        <f t="shared" ref="H34" si="35">H35+H39</f>
        <v>0.263976019527865</v>
      </c>
      <c r="I34" s="121">
        <f t="shared" ref="I34" si="36">I35+I39</f>
        <v>0.263976019527865</v>
      </c>
      <c r="J34" s="121">
        <f t="shared" ref="J34" si="37">J35+J39</f>
        <v>0.263976019527865</v>
      </c>
      <c r="K34" s="121">
        <f t="shared" ref="K34" si="38">K35+K39</f>
        <v>0.263976019527865</v>
      </c>
      <c r="L34"/>
    </row>
    <row r="35" spans="1:12">
      <c r="A35" s="7">
        <v>2.1</v>
      </c>
      <c r="B35" s="7" t="s">
        <v>250</v>
      </c>
      <c r="C35" s="13"/>
      <c r="D35" s="7"/>
      <c r="E35" s="13"/>
      <c r="F35" s="11">
        <f>SUM(F36:F38)</f>
        <v>0</v>
      </c>
      <c r="G35" s="11">
        <f t="shared" ref="G35" si="39">SUM(G36:G38)</f>
        <v>0</v>
      </c>
      <c r="H35" s="11">
        <f t="shared" ref="H35" si="40">SUM(H36:H38)</f>
        <v>0.263976019527865</v>
      </c>
      <c r="I35" s="11">
        <f t="shared" ref="I35" si="41">SUM(I36:I38)</f>
        <v>0.263976019527865</v>
      </c>
      <c r="J35" s="11">
        <f t="shared" ref="J35" si="42">SUM(J36:J38)</f>
        <v>0.263976019527865</v>
      </c>
      <c r="K35" s="11">
        <f t="shared" ref="K35" si="43">SUM(K36:K38)</f>
        <v>0.263976019527865</v>
      </c>
      <c r="L35"/>
    </row>
    <row r="36" spans="1:12">
      <c r="A36" s="7" t="s">
        <v>93</v>
      </c>
      <c r="B36" s="7" t="s">
        <v>252</v>
      </c>
      <c r="C36" s="41"/>
      <c r="D36" s="12"/>
      <c r="E36" s="13"/>
      <c r="F36" s="11" t="str">
        <f>IF(F11&lt;&gt;"",$E13,"")</f>
        <v/>
      </c>
      <c r="G36" s="11">
        <f>IF(G13&lt;&gt;"",$E13,0)</f>
        <v>0</v>
      </c>
      <c r="H36" s="11">
        <f t="shared" ref="H36:K36" si="44">IF(H13&lt;&gt;"",$E13,0)</f>
        <v>0</v>
      </c>
      <c r="I36" s="11">
        <f t="shared" si="44"/>
        <v>0</v>
      </c>
      <c r="J36" s="11">
        <f t="shared" si="44"/>
        <v>0</v>
      </c>
      <c r="K36" s="11">
        <f t="shared" si="44"/>
        <v>0</v>
      </c>
      <c r="L36"/>
    </row>
    <row r="37" spans="1:12">
      <c r="A37" s="7" t="s">
        <v>95</v>
      </c>
      <c r="B37" s="7" t="s">
        <v>254</v>
      </c>
      <c r="C37" s="41"/>
      <c r="D37" s="12"/>
      <c r="E37" s="13"/>
      <c r="F37" s="11" t="str">
        <f t="shared" ref="F37" si="45">IF(F12&lt;&gt;"",$E14,"")</f>
        <v/>
      </c>
      <c r="G37" s="11">
        <f t="shared" ref="G37:K37" si="46">IF(G14&lt;&gt;"",$E14,0)</f>
        <v>0</v>
      </c>
      <c r="H37" s="11">
        <f t="shared" si="46"/>
        <v>0</v>
      </c>
      <c r="I37" s="11">
        <f t="shared" si="46"/>
        <v>0</v>
      </c>
      <c r="J37" s="11">
        <f t="shared" si="46"/>
        <v>0</v>
      </c>
      <c r="K37" s="11">
        <f t="shared" si="46"/>
        <v>0</v>
      </c>
      <c r="L37"/>
    </row>
    <row r="38" spans="1:12">
      <c r="A38" s="7" t="s">
        <v>97</v>
      </c>
      <c r="B38" s="38" t="s">
        <v>256</v>
      </c>
      <c r="C38" s="41"/>
      <c r="D38" s="12"/>
      <c r="E38" s="13"/>
      <c r="F38" s="11" t="str">
        <f t="shared" ref="F38" si="47">IF(F13&lt;&gt;"",$E15,"")</f>
        <v/>
      </c>
      <c r="G38" s="11">
        <f t="shared" ref="G38:K38" si="48">IF(G15&lt;&gt;"",$E15,0)</f>
        <v>0</v>
      </c>
      <c r="H38" s="11">
        <f t="shared" si="48"/>
        <v>0.263976019527865</v>
      </c>
      <c r="I38" s="11">
        <f t="shared" si="48"/>
        <v>0.263976019527865</v>
      </c>
      <c r="J38" s="11">
        <f t="shared" si="48"/>
        <v>0.263976019527865</v>
      </c>
      <c r="K38" s="11">
        <f t="shared" si="48"/>
        <v>0.263976019527865</v>
      </c>
      <c r="L38"/>
    </row>
    <row r="39" spans="1:12">
      <c r="A39" s="7">
        <v>2.2</v>
      </c>
      <c r="B39" s="7" t="s">
        <v>257</v>
      </c>
      <c r="C39" s="13"/>
      <c r="D39" s="12"/>
      <c r="E39" s="13"/>
      <c r="F39" s="11" t="str">
        <f>F40</f>
        <v/>
      </c>
      <c r="G39" s="11">
        <f t="shared" ref="G39" si="49">G40</f>
        <v>0</v>
      </c>
      <c r="H39" s="11">
        <f t="shared" ref="H39" si="50">H40</f>
        <v>0</v>
      </c>
      <c r="I39" s="11">
        <f t="shared" ref="I39" si="51">I40</f>
        <v>0</v>
      </c>
      <c r="J39" s="11">
        <f t="shared" ref="J39" si="52">J40</f>
        <v>0</v>
      </c>
      <c r="K39" s="11">
        <f t="shared" ref="K39" si="53">K40</f>
        <v>0</v>
      </c>
      <c r="L39"/>
    </row>
    <row r="40" spans="1:12">
      <c r="A40" s="7" t="s">
        <v>100</v>
      </c>
      <c r="B40" s="7" t="s">
        <v>258</v>
      </c>
      <c r="C40" s="41"/>
      <c r="D40" s="12"/>
      <c r="E40" s="13"/>
      <c r="F40" s="11" t="str">
        <f t="shared" ref="F40" si="54">IF(F15&lt;&gt;"",$E17,"")</f>
        <v/>
      </c>
      <c r="G40" s="11">
        <f t="shared" ref="G40:K40" si="55">IF(G17&lt;&gt;"",$E17,0)</f>
        <v>0</v>
      </c>
      <c r="H40" s="11">
        <f t="shared" si="55"/>
        <v>0</v>
      </c>
      <c r="I40" s="11">
        <f t="shared" si="55"/>
        <v>0</v>
      </c>
      <c r="J40" s="11">
        <f t="shared" si="55"/>
        <v>0</v>
      </c>
      <c r="K40" s="11">
        <f t="shared" si="55"/>
        <v>0</v>
      </c>
      <c r="L40"/>
    </row>
    <row r="41" spans="1:12">
      <c r="A41" s="10" t="s">
        <v>242</v>
      </c>
      <c r="B41" s="114" t="s">
        <v>260</v>
      </c>
      <c r="C41" s="13"/>
      <c r="D41" s="10"/>
      <c r="E41" s="13"/>
      <c r="F41" s="121"/>
      <c r="G41" s="121">
        <f t="shared" ref="G41" si="56">G42+G46</f>
        <v>0</v>
      </c>
      <c r="H41" s="121">
        <f t="shared" ref="H41" si="57">H42+H46</f>
        <v>0</v>
      </c>
      <c r="I41" s="121">
        <f t="shared" ref="I41" si="58">I42+I46</f>
        <v>0.277174820504258</v>
      </c>
      <c r="J41" s="121">
        <f t="shared" ref="J41" si="59">J42+J46</f>
        <v>0.277174820504258</v>
      </c>
      <c r="K41" s="121">
        <f t="shared" ref="K41" si="60">K42+K46</f>
        <v>0.277174820504258</v>
      </c>
      <c r="L41"/>
    </row>
    <row r="42" spans="1:12">
      <c r="A42" s="7">
        <v>2.1</v>
      </c>
      <c r="B42" s="7" t="s">
        <v>250</v>
      </c>
      <c r="C42" s="13"/>
      <c r="D42" s="123"/>
      <c r="E42" s="13"/>
      <c r="F42" s="11">
        <f>SUM(F43:F45)</f>
        <v>0</v>
      </c>
      <c r="G42" s="11">
        <f t="shared" ref="G42" si="61">SUM(G43:G45)</f>
        <v>0</v>
      </c>
      <c r="H42" s="11">
        <f t="shared" ref="H42" si="62">SUM(H43:H45)</f>
        <v>0</v>
      </c>
      <c r="I42" s="11">
        <f t="shared" ref="I42" si="63">SUM(I43:I45)</f>
        <v>0.277174820504258</v>
      </c>
      <c r="J42" s="11">
        <f t="shared" ref="J42" si="64">SUM(J43:J45)</f>
        <v>0.277174820504258</v>
      </c>
      <c r="K42" s="11">
        <f t="shared" ref="K42" si="65">SUM(K43:K45)</f>
        <v>0.277174820504258</v>
      </c>
      <c r="L42"/>
    </row>
    <row r="43" spans="1:12">
      <c r="A43" s="7" t="s">
        <v>93</v>
      </c>
      <c r="B43" s="7" t="s">
        <v>252</v>
      </c>
      <c r="C43" s="41"/>
      <c r="D43" s="12"/>
      <c r="E43" s="13"/>
      <c r="F43" s="11" t="str">
        <f>IF(F18&lt;&gt;"",$E20,"")</f>
        <v/>
      </c>
      <c r="G43" s="11">
        <f>IF(G20&lt;&gt;"",$E20,0)</f>
        <v>0</v>
      </c>
      <c r="H43" s="11">
        <f t="shared" ref="H43:K43" si="66">IF(H20&lt;&gt;"",$E20,0)</f>
        <v>0</v>
      </c>
      <c r="I43" s="11">
        <f t="shared" si="66"/>
        <v>0</v>
      </c>
      <c r="J43" s="11">
        <f t="shared" si="66"/>
        <v>0</v>
      </c>
      <c r="K43" s="11">
        <f t="shared" si="66"/>
        <v>0</v>
      </c>
      <c r="L43"/>
    </row>
    <row r="44" spans="1:12">
      <c r="A44" s="7" t="s">
        <v>95</v>
      </c>
      <c r="B44" s="7" t="s">
        <v>254</v>
      </c>
      <c r="C44" s="41"/>
      <c r="D44" s="12"/>
      <c r="E44" s="13"/>
      <c r="F44" s="11" t="str">
        <f t="shared" ref="F44" si="67">IF(F19&lt;&gt;"",$E21,"")</f>
        <v/>
      </c>
      <c r="G44" s="11">
        <f t="shared" ref="G44:K44" si="68">IF(G21&lt;&gt;"",$E21,0)</f>
        <v>0</v>
      </c>
      <c r="H44" s="11">
        <f t="shared" si="68"/>
        <v>0</v>
      </c>
      <c r="I44" s="11">
        <f t="shared" si="68"/>
        <v>0</v>
      </c>
      <c r="J44" s="11">
        <f t="shared" si="68"/>
        <v>0</v>
      </c>
      <c r="K44" s="11">
        <f t="shared" si="68"/>
        <v>0</v>
      </c>
      <c r="L44"/>
    </row>
    <row r="45" spans="1:12">
      <c r="A45" s="7" t="s">
        <v>97</v>
      </c>
      <c r="B45" s="38" t="s">
        <v>256</v>
      </c>
      <c r="C45" s="41"/>
      <c r="D45" s="12"/>
      <c r="E45" s="13"/>
      <c r="F45" s="11" t="str">
        <f t="shared" ref="F45" si="69">IF(F20&lt;&gt;"",$E22,"")</f>
        <v/>
      </c>
      <c r="G45" s="11">
        <f t="shared" ref="G45:K45" si="70">IF(G22&lt;&gt;"",$E22,0)</f>
        <v>0</v>
      </c>
      <c r="H45" s="11">
        <f t="shared" si="70"/>
        <v>0</v>
      </c>
      <c r="I45" s="11">
        <f t="shared" si="70"/>
        <v>0.277174820504258</v>
      </c>
      <c r="J45" s="11">
        <f t="shared" si="70"/>
        <v>0.277174820504258</v>
      </c>
      <c r="K45" s="11">
        <f t="shared" si="70"/>
        <v>0.277174820504258</v>
      </c>
      <c r="L45"/>
    </row>
    <row r="46" spans="1:12">
      <c r="A46" s="7">
        <v>2.2</v>
      </c>
      <c r="B46" s="7" t="s">
        <v>257</v>
      </c>
      <c r="C46" s="13"/>
      <c r="D46" s="12"/>
      <c r="E46" s="13"/>
      <c r="F46" s="11" t="str">
        <f>F47</f>
        <v/>
      </c>
      <c r="G46" s="11">
        <f t="shared" ref="G46" si="71">G47</f>
        <v>0</v>
      </c>
      <c r="H46" s="11">
        <f t="shared" ref="H46" si="72">H47</f>
        <v>0</v>
      </c>
      <c r="I46" s="11">
        <f t="shared" ref="I46" si="73">I47</f>
        <v>0</v>
      </c>
      <c r="J46" s="11">
        <f t="shared" ref="J46" si="74">J47</f>
        <v>0</v>
      </c>
      <c r="K46" s="11">
        <f t="shared" ref="K46" si="75">K47</f>
        <v>0</v>
      </c>
      <c r="L46"/>
    </row>
    <row r="47" spans="1:12">
      <c r="A47" s="7" t="s">
        <v>100</v>
      </c>
      <c r="B47" s="7" t="s">
        <v>258</v>
      </c>
      <c r="C47" s="41"/>
      <c r="D47" s="12"/>
      <c r="E47" s="13"/>
      <c r="F47" s="11" t="str">
        <f t="shared" ref="F47" si="76">IF(F22&lt;&gt;"",$E24,"")</f>
        <v/>
      </c>
      <c r="G47" s="11">
        <f t="shared" ref="G47:K47" si="77">IF(G24&lt;&gt;"",$E24,0)</f>
        <v>0</v>
      </c>
      <c r="H47" s="11">
        <f t="shared" si="77"/>
        <v>0</v>
      </c>
      <c r="I47" s="11">
        <f t="shared" si="77"/>
        <v>0</v>
      </c>
      <c r="J47" s="11">
        <f t="shared" si="77"/>
        <v>0</v>
      </c>
      <c r="K47" s="11">
        <f t="shared" si="77"/>
        <v>0</v>
      </c>
      <c r="L47"/>
    </row>
    <row r="48" spans="1:12">
      <c r="A48" s="100" t="s">
        <v>244</v>
      </c>
      <c r="B48" s="101"/>
      <c r="C48" s="13"/>
      <c r="D48" s="7"/>
      <c r="E48" s="13"/>
      <c r="F48" s="11">
        <f>F27+F34+F41</f>
        <v>0</v>
      </c>
      <c r="G48" s="11">
        <f t="shared" ref="G48:K48" si="78">G27+G34+G41</f>
        <v>0.251977109549325</v>
      </c>
      <c r="H48" s="11">
        <f t="shared" si="78"/>
        <v>0.51595312907719</v>
      </c>
      <c r="I48" s="11">
        <f t="shared" si="78"/>
        <v>0.793127949581447</v>
      </c>
      <c r="J48" s="11">
        <f t="shared" si="78"/>
        <v>0.793127949581447</v>
      </c>
      <c r="K48" s="11">
        <f t="shared" si="78"/>
        <v>0.793127949581447</v>
      </c>
      <c r="L48"/>
    </row>
    <row r="49" spans="12:12">
      <c r="L49"/>
    </row>
    <row r="50" spans="12:12">
      <c r="L50"/>
    </row>
  </sheetData>
  <mergeCells count="2">
    <mergeCell ref="A1:K1"/>
    <mergeCell ref="F2:K2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tabColor rgb="FF0070C0"/>
  </sheetPr>
  <dimension ref="A1:K21"/>
  <sheetViews>
    <sheetView workbookViewId="0">
      <selection activeCell="B4" sqref="B4"/>
    </sheetView>
  </sheetViews>
  <sheetFormatPr defaultColWidth="8.89090909090909" defaultRowHeight="14"/>
  <cols>
    <col min="2" max="2" width="18.3363636363636" customWidth="1"/>
    <col min="3" max="3" width="14.1090909090909" customWidth="1"/>
    <col min="4" max="4" width="9.55454545454545"/>
    <col min="7" max="7" width="9.89090909090909"/>
    <col min="8" max="8" width="10.3363636363636" customWidth="1"/>
    <col min="9" max="9" width="9.78181818181818" customWidth="1"/>
    <col min="10" max="10" width="10.4454545454545" customWidth="1"/>
  </cols>
  <sheetData>
    <row r="1" s="53" customFormat="1" ht="20" spans="1:11">
      <c r="A1" s="102" t="s">
        <v>261</v>
      </c>
      <c r="B1" s="46"/>
      <c r="C1" s="46"/>
      <c r="D1" s="46"/>
      <c r="E1" s="46"/>
      <c r="F1" s="46"/>
      <c r="G1" s="103"/>
      <c r="H1" s="46"/>
      <c r="I1" s="46"/>
      <c r="J1" s="46"/>
      <c r="K1" s="80" t="s">
        <v>262</v>
      </c>
    </row>
    <row r="2" s="53" customFormat="1" ht="33" spans="1:10">
      <c r="A2" s="17" t="str">
        <f>D.3建设投资分年计划表!A2</f>
        <v>序号</v>
      </c>
      <c r="B2" s="17" t="str">
        <f>D.3建设投资分年计划表!B2</f>
        <v>分项费用</v>
      </c>
      <c r="C2" s="17" t="str">
        <f>D.3建设投资分年计划表!D2</f>
        <v>金额</v>
      </c>
      <c r="D2" s="26">
        <f>D.3建设投资分年计划表!E2</f>
        <v>2025</v>
      </c>
      <c r="E2" s="26">
        <f>D.3建设投资分年计划表!F2</f>
        <v>2026</v>
      </c>
      <c r="F2" s="26">
        <f>D.3建设投资分年计划表!G2</f>
        <v>2027</v>
      </c>
      <c r="G2" s="17" t="s">
        <v>263</v>
      </c>
      <c r="H2" s="104" t="s">
        <v>264</v>
      </c>
      <c r="I2" s="104" t="s">
        <v>265</v>
      </c>
      <c r="J2" s="104" t="s">
        <v>266</v>
      </c>
    </row>
    <row r="3" s="53" customFormat="1" ht="16.5" spans="1:10">
      <c r="A3" s="7" t="str">
        <f>D.3建设投资分年计划表!A3</f>
        <v>一</v>
      </c>
      <c r="B3" s="7" t="str">
        <f>D.3建设投资分年计划表!B3</f>
        <v>工程建设费用</v>
      </c>
      <c r="C3" s="13">
        <f>D.3建设投资分年计划表!D3</f>
        <v>1824</v>
      </c>
      <c r="D3" s="13">
        <f>D.3建设投资分年计划表!E3</f>
        <v>308</v>
      </c>
      <c r="E3" s="13">
        <f>D.3建设投资分年计划表!F3</f>
        <v>608</v>
      </c>
      <c r="F3" s="13">
        <f>D.3建设投资分年计划表!G3</f>
        <v>908</v>
      </c>
      <c r="G3" s="7" t="str">
        <f>'G.1进项增值税率-建设投资'!E3</f>
        <v>/</v>
      </c>
      <c r="H3" s="8">
        <f>H4+H8</f>
        <v>279.295221667859</v>
      </c>
      <c r="I3" s="8">
        <f>I4+I8</f>
        <v>551.277035421208</v>
      </c>
      <c r="J3" s="8">
        <f>J4+J8</f>
        <v>823.258849174557</v>
      </c>
    </row>
    <row r="4" s="53" customFormat="1" ht="16.5" spans="1:10">
      <c r="A4" s="55">
        <f>D.3建设投资分年计划表!A4</f>
        <v>1</v>
      </c>
      <c r="B4" s="55" t="str">
        <f>D.3建设投资分年计划表!B4</f>
        <v>工程类费用</v>
      </c>
      <c r="C4" s="105">
        <f>D.3建设投资分年计划表!D4</f>
        <v>1800</v>
      </c>
      <c r="D4" s="105">
        <f>D.3建设投资分年计划表!E4</f>
        <v>300</v>
      </c>
      <c r="E4" s="105">
        <f>D.3建设投资分年计划表!F4</f>
        <v>600</v>
      </c>
      <c r="F4" s="105">
        <f>D.3建设投资分年计划表!G4</f>
        <v>900</v>
      </c>
      <c r="G4" s="55" t="str">
        <f>'G.1进项增值税率-建设投资'!E4</f>
        <v>/</v>
      </c>
      <c r="H4" s="106">
        <f>SUM(H5:H7)</f>
        <v>271.981813753349</v>
      </c>
      <c r="I4" s="106">
        <f>SUM(I5:I7)</f>
        <v>543.963627506698</v>
      </c>
      <c r="J4" s="106">
        <f>SUM(J5:J7)</f>
        <v>815.945441260047</v>
      </c>
    </row>
    <row r="5" s="53" customFormat="1" ht="16.5" spans="1:11">
      <c r="A5" s="7">
        <f>D.3建设投资分年计划表!A5</f>
        <v>1.1</v>
      </c>
      <c r="B5" s="10" t="str">
        <f>D.3建设投资分年计划表!B5</f>
        <v>建筑工程费</v>
      </c>
      <c r="C5" s="13">
        <f>D.3建设投资分年计划表!D5</f>
        <v>600</v>
      </c>
      <c r="D5" s="37">
        <f>D.3建设投资分年计划表!E5</f>
        <v>100</v>
      </c>
      <c r="E5" s="37">
        <f>D.3建设投资分年计划表!F5</f>
        <v>200</v>
      </c>
      <c r="F5" s="37">
        <f>D.3建设投资分年计划表!G5</f>
        <v>300</v>
      </c>
      <c r="G5" s="107">
        <f>'G.1进项增值税率-建设投资'!$E$5</f>
        <v>0.09</v>
      </c>
      <c r="H5" s="37">
        <f>D5/(1+'G.1进项增值税率-建设投资'!$E5)</f>
        <v>91.743119266055</v>
      </c>
      <c r="I5" s="37">
        <f>E5/(1+'G.1进项增值税率-建设投资'!$E5)</f>
        <v>183.48623853211</v>
      </c>
      <c r="J5" s="37">
        <f>F5/(1+'G.1进项增值税率-建设投资'!$E5)</f>
        <v>275.229357798165</v>
      </c>
      <c r="K5" s="80" t="s">
        <v>267</v>
      </c>
    </row>
    <row r="6" s="53" customFormat="1" ht="16.5" spans="1:10">
      <c r="A6" s="7">
        <f>D.3建设投资分年计划表!A6</f>
        <v>1.2</v>
      </c>
      <c r="B6" s="10" t="str">
        <f>D.3建设投资分年计划表!B6</f>
        <v>设备购置费</v>
      </c>
      <c r="C6" s="13">
        <f>D.3建设投资分年计划表!D6</f>
        <v>600</v>
      </c>
      <c r="D6" s="37">
        <f>D.3建设投资分年计划表!E6</f>
        <v>100</v>
      </c>
      <c r="E6" s="37">
        <f>D.3建设投资分年计划表!F6</f>
        <v>200</v>
      </c>
      <c r="F6" s="37">
        <f>D.3建设投资分年计划表!G6</f>
        <v>300</v>
      </c>
      <c r="G6" s="107">
        <f>'G.1进项增值税率-建设投资'!$E$6</f>
        <v>0.13</v>
      </c>
      <c r="H6" s="37">
        <f>D6/(1+'G.1进项增值税率-建设投资'!$E6)</f>
        <v>88.495575221239</v>
      </c>
      <c r="I6" s="37">
        <f>E6/(1+'G.1进项增值税率-建设投资'!$E6)</f>
        <v>176.991150442478</v>
      </c>
      <c r="J6" s="37">
        <f>F6/(1+'G.1进项增值税率-建设投资'!$E6)</f>
        <v>265.486725663717</v>
      </c>
    </row>
    <row r="7" s="53" customFormat="1" ht="16.5" spans="1:10">
      <c r="A7" s="7">
        <f>D.3建设投资分年计划表!A7</f>
        <v>1.3</v>
      </c>
      <c r="B7" s="10" t="str">
        <f>D.3建设投资分年计划表!B7</f>
        <v>安装工程费</v>
      </c>
      <c r="C7" s="13">
        <f>D.3建设投资分年计划表!D7</f>
        <v>600</v>
      </c>
      <c r="D7" s="37">
        <f>D.3建设投资分年计划表!E7</f>
        <v>100</v>
      </c>
      <c r="E7" s="37">
        <f>D.3建设投资分年计划表!F7</f>
        <v>200</v>
      </c>
      <c r="F7" s="37">
        <f>D.3建设投资分年计划表!G7</f>
        <v>300</v>
      </c>
      <c r="G7" s="107">
        <f>'G.1进项增值税率-建设投资'!$E$7</f>
        <v>0.09</v>
      </c>
      <c r="H7" s="37">
        <f>D7/(1+'G.1进项增值税率-建设投资'!$E7)</f>
        <v>91.743119266055</v>
      </c>
      <c r="I7" s="37">
        <f>E7/(1+'G.1进项增值税率-建设投资'!$E7)</f>
        <v>183.48623853211</v>
      </c>
      <c r="J7" s="37">
        <f>F7/(1+'G.1进项增值税率-建设投资'!$E7)</f>
        <v>275.229357798165</v>
      </c>
    </row>
    <row r="8" s="53" customFormat="1" ht="16.5" spans="1:10">
      <c r="A8" s="55">
        <f>D.3建设投资分年计划表!A8</f>
        <v>2</v>
      </c>
      <c r="B8" s="55" t="str">
        <f>D.3建设投资分年计划表!B8</f>
        <v>信息化建设费用</v>
      </c>
      <c r="C8" s="105">
        <f>D.3建设投资分年计划表!D8</f>
        <v>24</v>
      </c>
      <c r="D8" s="105">
        <f>D.3建设投资分年计划表!E8</f>
        <v>8</v>
      </c>
      <c r="E8" s="105">
        <f>D.3建设投资分年计划表!F8</f>
        <v>8</v>
      </c>
      <c r="F8" s="105">
        <f>D.3建设投资分年计划表!G8</f>
        <v>8</v>
      </c>
      <c r="G8" s="55" t="str">
        <f>'G.1进项增值税率-建设投资'!E8</f>
        <v>/</v>
      </c>
      <c r="H8" s="106">
        <f>SUM(H9:H12)</f>
        <v>7.31340791450993</v>
      </c>
      <c r="I8" s="106">
        <f>SUM(I9:I12)</f>
        <v>7.31340791450993</v>
      </c>
      <c r="J8" s="106">
        <f>SUM(J9:J12)</f>
        <v>7.31340791450993</v>
      </c>
    </row>
    <row r="9" s="53" customFormat="1" ht="16.5" spans="1:10">
      <c r="A9" s="7">
        <f>D.3建设投资分年计划表!A9</f>
        <v>2.1</v>
      </c>
      <c r="B9" s="10" t="str">
        <f>D.3建设投资分年计划表!B9</f>
        <v>硬件类</v>
      </c>
      <c r="C9" s="13">
        <f>D.3建设投资分年计划表!D9</f>
        <v>6</v>
      </c>
      <c r="D9" s="37">
        <f>D.3建设投资分年计划表!E9</f>
        <v>2</v>
      </c>
      <c r="E9" s="37">
        <f>D.3建设投资分年计划表!F9</f>
        <v>2</v>
      </c>
      <c r="F9" s="37">
        <f>D.3建设投资分年计划表!G9</f>
        <v>2</v>
      </c>
      <c r="G9" s="107">
        <f>'G.1进项增值税率-建设投资'!$E$9</f>
        <v>0.13</v>
      </c>
      <c r="H9" s="37">
        <f>D9/(1+'G.1进项增值税率-建设投资'!$E9)</f>
        <v>1.76991150442478</v>
      </c>
      <c r="I9" s="37">
        <f>E9/(1+'G.1进项增值税率-建设投资'!$E9)</f>
        <v>1.76991150442478</v>
      </c>
      <c r="J9" s="37">
        <f>F9/(1+'G.1进项增值税率-建设投资'!$E9)</f>
        <v>1.76991150442478</v>
      </c>
    </row>
    <row r="10" s="53" customFormat="1" ht="16.5" spans="1:10">
      <c r="A10" s="7">
        <f>D.3建设投资分年计划表!A10</f>
        <v>2.2</v>
      </c>
      <c r="B10" s="10" t="str">
        <f>D.3建设投资分年计划表!B10</f>
        <v>软件类</v>
      </c>
      <c r="C10" s="13">
        <f>D.3建设投资分年计划表!D10</f>
        <v>6</v>
      </c>
      <c r="D10" s="37">
        <f>D.3建设投资分年计划表!E10</f>
        <v>2</v>
      </c>
      <c r="E10" s="37">
        <f>D.3建设投资分年计划表!F10</f>
        <v>2</v>
      </c>
      <c r="F10" s="37">
        <f>D.3建设投资分年计划表!G10</f>
        <v>2</v>
      </c>
      <c r="G10" s="107">
        <f>'G.1进项增值税率-建设投资'!$E$10</f>
        <v>0.06</v>
      </c>
      <c r="H10" s="37">
        <f>D10/(1+'G.1进项增值税率-建设投资'!$E10)</f>
        <v>1.88679245283019</v>
      </c>
      <c r="I10" s="37">
        <f>E10/(1+'G.1进项增值税率-建设投资'!$E10)</f>
        <v>1.88679245283019</v>
      </c>
      <c r="J10" s="37">
        <f>F10/(1+'G.1进项增值税率-建设投资'!$E10)</f>
        <v>1.88679245283019</v>
      </c>
    </row>
    <row r="11" s="53" customFormat="1" ht="16.5" spans="1:10">
      <c r="A11" s="7">
        <f>D.3建设投资分年计划表!A11</f>
        <v>2.3</v>
      </c>
      <c r="B11" s="10" t="str">
        <f>D.3建设投资分年计划表!B11</f>
        <v>安全类</v>
      </c>
      <c r="C11" s="13">
        <f>D.3建设投资分年计划表!D11</f>
        <v>6</v>
      </c>
      <c r="D11" s="37">
        <f>D.3建设投资分年计划表!E11</f>
        <v>2</v>
      </c>
      <c r="E11" s="37">
        <f>D.3建设投资分年计划表!F11</f>
        <v>2</v>
      </c>
      <c r="F11" s="37">
        <f>D.3建设投资分年计划表!G11</f>
        <v>2</v>
      </c>
      <c r="G11" s="107">
        <f>'G.1进项增值税率-建设投资'!$E$11</f>
        <v>0.13</v>
      </c>
      <c r="H11" s="37">
        <f>D11/(1+'G.1进项增值税率-建设投资'!$E11)</f>
        <v>1.76991150442478</v>
      </c>
      <c r="I11" s="37">
        <f>E11/(1+'G.1进项增值税率-建设投资'!$E11)</f>
        <v>1.76991150442478</v>
      </c>
      <c r="J11" s="37">
        <f>F11/(1+'G.1进项增值税率-建设投资'!$E11)</f>
        <v>1.76991150442478</v>
      </c>
    </row>
    <row r="12" s="53" customFormat="1" ht="16.5" spans="1:10">
      <c r="A12" s="7">
        <f>D.3建设投资分年计划表!A12</f>
        <v>2.4</v>
      </c>
      <c r="B12" s="10" t="str">
        <f>D.3建设投资分年计划表!B12</f>
        <v>数据类</v>
      </c>
      <c r="C12" s="13">
        <f>D.3建设投资分年计划表!D12</f>
        <v>6</v>
      </c>
      <c r="D12" s="37">
        <f>D.3建设投资分年计划表!E12</f>
        <v>2</v>
      </c>
      <c r="E12" s="37">
        <f>D.3建设投资分年计划表!F12</f>
        <v>2</v>
      </c>
      <c r="F12" s="37">
        <f>D.3建设投资分年计划表!G12</f>
        <v>2</v>
      </c>
      <c r="G12" s="107">
        <f>'G.1进项增值税率-建设投资'!$E$12</f>
        <v>0.06</v>
      </c>
      <c r="H12" s="37">
        <f>D12/(1+'G.1进项增值税率-建设投资'!$E12)</f>
        <v>1.88679245283019</v>
      </c>
      <c r="I12" s="37">
        <f>E12/(1+'G.1进项增值税率-建设投资'!$E12)</f>
        <v>1.88679245283019</v>
      </c>
      <c r="J12" s="37">
        <f>F12/(1+'G.1进项增值税率-建设投资'!$E12)</f>
        <v>1.88679245283019</v>
      </c>
    </row>
    <row r="13" s="53" customFormat="1" ht="16.5" spans="1:10">
      <c r="A13" s="55" t="str">
        <f>D.3建设投资分年计划表!A13</f>
        <v>二</v>
      </c>
      <c r="B13" s="55" t="str">
        <f>D.3建设投资分年计划表!B13</f>
        <v>工程建设其他费用</v>
      </c>
      <c r="C13" s="105">
        <f>D.3建设投资分年计划表!D13</f>
        <v>24</v>
      </c>
      <c r="D13" s="105">
        <f>D.3建设投资分年计划表!E13</f>
        <v>8</v>
      </c>
      <c r="E13" s="105">
        <f>D.3建设投资分年计划表!F13</f>
        <v>8</v>
      </c>
      <c r="F13" s="105">
        <f>D.3建设投资分年计划表!G13</f>
        <v>8</v>
      </c>
      <c r="G13" s="55" t="str">
        <f>'G.1进项增值税率-建设投资'!E13</f>
        <v>/</v>
      </c>
      <c r="H13" s="106">
        <f>SUM(H14:H18)</f>
        <v>7.54716981132076</v>
      </c>
      <c r="I13" s="106">
        <f>SUM(I14:I18)</f>
        <v>7.54716981132075</v>
      </c>
      <c r="J13" s="106">
        <f>SUM(J14:J18)</f>
        <v>7.54716981132075</v>
      </c>
    </row>
    <row r="14" s="53" customFormat="1" ht="16.5" spans="1:10">
      <c r="A14" s="7">
        <f>D.3建设投资分年计划表!A14</f>
        <v>1</v>
      </c>
      <c r="B14" s="7" t="str">
        <f>D.3建设投资分年计划表!B14</f>
        <v>建设单位管理费</v>
      </c>
      <c r="C14" s="13">
        <f>D.3建设投资分年计划表!D14</f>
        <v>6</v>
      </c>
      <c r="D14" s="37">
        <f>D.3建设投资分年计划表!E14</f>
        <v>2</v>
      </c>
      <c r="E14" s="37">
        <f>D.3建设投资分年计划表!F14</f>
        <v>2</v>
      </c>
      <c r="F14" s="37">
        <f>D.3建设投资分年计划表!G14</f>
        <v>2</v>
      </c>
      <c r="G14" s="107">
        <f>'G.1进项增值税率-建设投资'!$E$14</f>
        <v>0.06</v>
      </c>
      <c r="H14" s="37">
        <f>D14/(1+'G.1进项增值税率-建设投资'!$E14)</f>
        <v>1.88679245283019</v>
      </c>
      <c r="I14" s="37">
        <f>E14/(1+'G.1进项增值税率-建设投资'!$E14)</f>
        <v>1.88679245283019</v>
      </c>
      <c r="J14" s="37">
        <f>F14/(1+'G.1进项增值税率-建设投资'!$E14)</f>
        <v>1.88679245283019</v>
      </c>
    </row>
    <row r="15" s="53" customFormat="1" ht="16.5" spans="1:10">
      <c r="A15" s="7">
        <f>D.3建设投资分年计划表!A15</f>
        <v>2</v>
      </c>
      <c r="B15" s="10" t="str">
        <f>D.3建设投资分年计划表!B15</f>
        <v>前期咨询费</v>
      </c>
      <c r="C15" s="13">
        <f>D.3建设投资分年计划表!D15</f>
        <v>6</v>
      </c>
      <c r="D15" s="37">
        <f>D.3建设投资分年计划表!E15</f>
        <v>2</v>
      </c>
      <c r="E15" s="37">
        <f>D.3建设投资分年计划表!F15</f>
        <v>2</v>
      </c>
      <c r="F15" s="37">
        <f>D.3建设投资分年计划表!G15</f>
        <v>2</v>
      </c>
      <c r="G15" s="107">
        <f>'G.1进项增值税率-建设投资'!$E$15</f>
        <v>0.06</v>
      </c>
      <c r="H15" s="37">
        <f>D15/(1+'G.1进项增值税率-建设投资'!$E15)</f>
        <v>1.88679245283019</v>
      </c>
      <c r="I15" s="37">
        <f>E15/(1+'G.1进项增值税率-建设投资'!$E15)</f>
        <v>1.88679245283019</v>
      </c>
      <c r="J15" s="37">
        <f>F15/(1+'G.1进项增值税率-建设投资'!$E15)</f>
        <v>1.88679245283019</v>
      </c>
    </row>
    <row r="16" s="53" customFormat="1" ht="16.5" spans="1:10">
      <c r="A16" s="7">
        <f>D.3建设投资分年计划表!A16</f>
        <v>3</v>
      </c>
      <c r="B16" s="10" t="str">
        <f>D.3建设投资分年计划表!B16</f>
        <v>工程设计费</v>
      </c>
      <c r="C16" s="13">
        <f>D.3建设投资分年计划表!D16</f>
        <v>6</v>
      </c>
      <c r="D16" s="37">
        <f>D.3建设投资分年计划表!E16</f>
        <v>2</v>
      </c>
      <c r="E16" s="37">
        <f>D.3建设投资分年计划表!F16</f>
        <v>2</v>
      </c>
      <c r="F16" s="37">
        <f>D.3建设投资分年计划表!G16</f>
        <v>2</v>
      </c>
      <c r="G16" s="107">
        <f>'G.1进项增值税率-建设投资'!$E$16</f>
        <v>0.06</v>
      </c>
      <c r="H16" s="37">
        <f>D16/(1+'G.1进项增值税率-建设投资'!$E16)</f>
        <v>1.88679245283019</v>
      </c>
      <c r="I16" s="37">
        <f>E16/(1+'G.1进项增值税率-建设投资'!$E16)</f>
        <v>1.88679245283019</v>
      </c>
      <c r="J16" s="37">
        <f>F16/(1+'G.1进项增值税率-建设投资'!$E16)</f>
        <v>1.88679245283019</v>
      </c>
    </row>
    <row r="17" s="53" customFormat="1" ht="16.5" spans="1:10">
      <c r="A17" s="7">
        <f>D.3建设投资分年计划表!A17</f>
        <v>4</v>
      </c>
      <c r="B17" s="10" t="str">
        <f>D.3建设投资分年计划表!B17</f>
        <v>工程监理费</v>
      </c>
      <c r="C17" s="13">
        <f>D.3建设投资分年计划表!D17</f>
        <v>6</v>
      </c>
      <c r="D17" s="37">
        <f>D.3建设投资分年计划表!E17</f>
        <v>2</v>
      </c>
      <c r="E17" s="37">
        <f>D.3建设投资分年计划表!F17</f>
        <v>2</v>
      </c>
      <c r="F17" s="37">
        <f>D.3建设投资分年计划表!G17</f>
        <v>2</v>
      </c>
      <c r="G17" s="107">
        <f>'G.1进项增值税率-建设投资'!$E$17</f>
        <v>0.06</v>
      </c>
      <c r="H17" s="37">
        <f>D17/(1+'G.1进项增值税率-建设投资'!$E17)</f>
        <v>1.88679245283019</v>
      </c>
      <c r="I17" s="37">
        <f>E17/(1+'G.1进项增值税率-建设投资'!$E17)</f>
        <v>1.88679245283019</v>
      </c>
      <c r="J17" s="37">
        <f>F17/(1+'G.1进项增值税率-建设投资'!$E17)</f>
        <v>1.88679245283019</v>
      </c>
    </row>
    <row r="18" s="53" customFormat="1" ht="16.5" spans="1:10">
      <c r="A18" s="7">
        <f>D.3建设投资分年计划表!A18</f>
        <v>5</v>
      </c>
      <c r="B18" s="10" t="str">
        <f>D.3建设投资分年计划表!B18</f>
        <v>......</v>
      </c>
      <c r="C18" s="13">
        <f>D.3建设投资分年计划表!D18</f>
        <v>0</v>
      </c>
      <c r="D18" s="37">
        <f>D.3建设投资分年计划表!E18</f>
        <v>0</v>
      </c>
      <c r="E18" s="37">
        <f>D.3建设投资分年计划表!F18</f>
        <v>0</v>
      </c>
      <c r="F18" s="37">
        <f>D.3建设投资分年计划表!G18</f>
        <v>0</v>
      </c>
      <c r="G18" s="107">
        <f>'G.1进项增值税率-建设投资'!$E$18</f>
        <v>0.06</v>
      </c>
      <c r="H18" s="37">
        <f>D18/(1+'G.1进项增值税率-建设投资'!$E18)</f>
        <v>0</v>
      </c>
      <c r="I18" s="37">
        <f>E18/(1+'G.1进项增值税率-建设投资'!$E18)</f>
        <v>0</v>
      </c>
      <c r="J18" s="37">
        <f>F18/(1+'G.1进项增值税率-建设投资'!$E18)</f>
        <v>0</v>
      </c>
    </row>
    <row r="19" s="53" customFormat="1" ht="16.5" spans="1:10">
      <c r="A19" s="55" t="str">
        <f>D.3建设投资分年计划表!A19</f>
        <v>三</v>
      </c>
      <c r="B19" s="55" t="str">
        <f>D.3建设投资分年计划表!B19</f>
        <v>预备费</v>
      </c>
      <c r="C19" s="105">
        <f>D.3建设投资分年计划表!D19</f>
        <v>6</v>
      </c>
      <c r="D19" s="105">
        <f>D.3建设投资分年计划表!E19</f>
        <v>2</v>
      </c>
      <c r="E19" s="105">
        <f>D.3建设投资分年计划表!F19</f>
        <v>2</v>
      </c>
      <c r="F19" s="105">
        <f>D.3建设投资分年计划表!G19</f>
        <v>2</v>
      </c>
      <c r="G19" s="55" t="str">
        <f>'G.1进项增值税率-建设投资'!E19</f>
        <v>/</v>
      </c>
      <c r="H19" s="106">
        <f>H20</f>
        <v>2</v>
      </c>
      <c r="I19" s="106">
        <f>I20</f>
        <v>2</v>
      </c>
      <c r="J19" s="106">
        <f>J20</f>
        <v>2</v>
      </c>
    </row>
    <row r="20" s="53" customFormat="1" ht="16.5" spans="1:10">
      <c r="A20" s="7">
        <f>D.3建设投资分年计划表!A20</f>
        <v>1</v>
      </c>
      <c r="B20" s="10" t="str">
        <f>D.3建设投资分年计划表!B20</f>
        <v>基本预备费</v>
      </c>
      <c r="C20" s="13">
        <f>D.3建设投资分年计划表!D20</f>
        <v>6</v>
      </c>
      <c r="D20" s="37">
        <f>D.3建设投资分年计划表!E20</f>
        <v>2</v>
      </c>
      <c r="E20" s="37">
        <f>D.3建设投资分年计划表!F20</f>
        <v>2</v>
      </c>
      <c r="F20" s="37">
        <f>D.3建设投资分年计划表!G20</f>
        <v>2</v>
      </c>
      <c r="G20" s="107">
        <f>'G.1进项增值税率-建设投资'!$E$20</f>
        <v>0</v>
      </c>
      <c r="H20" s="37">
        <f>D20/(1+'G.1进项增值税率-建设投资'!$E20)</f>
        <v>2</v>
      </c>
      <c r="I20" s="37">
        <f>E20/(1+'G.1进项增值税率-建设投资'!$E20)</f>
        <v>2</v>
      </c>
      <c r="J20" s="37">
        <f>F20/(1+'G.1进项增值税率-建设投资'!$E20)</f>
        <v>2</v>
      </c>
    </row>
    <row r="21" s="53" customFormat="1" ht="16.5" spans="1:10">
      <c r="A21" s="7"/>
      <c r="B21" s="7" t="str">
        <f>D.3建设投资分年计划表!B21</f>
        <v>总计</v>
      </c>
      <c r="C21" s="13">
        <f>D.3建设投资分年计划表!D21</f>
        <v>1854</v>
      </c>
      <c r="D21" s="13">
        <f>D.3建设投资分年计划表!E21</f>
        <v>318</v>
      </c>
      <c r="E21" s="13">
        <f>D.3建设投资分年计划表!F21</f>
        <v>618</v>
      </c>
      <c r="F21" s="13">
        <f>D.3建设投资分年计划表!G21</f>
        <v>918</v>
      </c>
      <c r="G21" s="13" t="s">
        <v>105</v>
      </c>
      <c r="H21" s="13">
        <f>H3+H13+H19</f>
        <v>288.84239147918</v>
      </c>
      <c r="I21" s="13">
        <f t="shared" ref="I21:J21" si="0">I3+I13+I19</f>
        <v>560.824205232529</v>
      </c>
      <c r="J21" s="13">
        <f t="shared" si="0"/>
        <v>832.806018985878</v>
      </c>
    </row>
  </sheetData>
  <mergeCells count="1">
    <mergeCell ref="A1:J1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tabColor rgb="FFFFFF00"/>
  </sheetPr>
  <dimension ref="A1:M13"/>
  <sheetViews>
    <sheetView workbookViewId="0">
      <pane xSplit="3" ySplit="2" topLeftCell="D3" activePane="bottomRight" state="frozen"/>
      <selection/>
      <selection pane="topRight"/>
      <selection pane="bottomLeft"/>
      <selection pane="bottomRight" activeCell="N7" sqref="N7"/>
    </sheetView>
  </sheetViews>
  <sheetFormatPr defaultColWidth="8.89090909090909" defaultRowHeight="28.05" customHeight="1"/>
  <cols>
    <col min="1" max="1" width="8.89090909090909" style="53"/>
    <col min="2" max="2" width="13" style="53" customWidth="1"/>
    <col min="3" max="3" width="12.8909090909091" style="53" customWidth="1"/>
    <col min="4" max="4" width="6.44545454545455" style="53" customWidth="1"/>
    <col min="5" max="9" width="9.89090909090909" style="53" customWidth="1"/>
    <col min="10" max="16384" width="8.89090909090909" style="53"/>
  </cols>
  <sheetData>
    <row r="1" customHeight="1" spans="1:9">
      <c r="A1" s="40" t="s">
        <v>268</v>
      </c>
      <c r="B1" s="40"/>
      <c r="C1" s="40"/>
      <c r="D1" s="40"/>
      <c r="E1" s="40"/>
      <c r="F1" s="40"/>
      <c r="G1" s="40"/>
      <c r="H1" s="40"/>
      <c r="I1" s="40"/>
    </row>
    <row r="2" customHeight="1" spans="1:9">
      <c r="A2" s="2" t="s">
        <v>1</v>
      </c>
      <c r="B2" s="2" t="s">
        <v>269</v>
      </c>
      <c r="C2" s="2" t="s">
        <v>270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36">
        <v>2030</v>
      </c>
    </row>
    <row r="3" customHeight="1" spans="1:9">
      <c r="A3" s="90">
        <v>1</v>
      </c>
      <c r="B3" s="90" t="str">
        <f>F.1项目单项收入信息!B3</f>
        <v>租赁收入</v>
      </c>
      <c r="C3" s="7" t="s">
        <v>271</v>
      </c>
      <c r="D3" s="13">
        <f>F.1项目单项收入信息!H3</f>
        <v>0</v>
      </c>
      <c r="E3" s="13">
        <f>F.1项目单项收入信息!I3</f>
        <v>100</v>
      </c>
      <c r="F3" s="13">
        <f>F.1项目单项收入信息!J3</f>
        <v>160</v>
      </c>
      <c r="G3" s="13">
        <f>F.1项目单项收入信息!K3</f>
        <v>200</v>
      </c>
      <c r="H3" s="13">
        <f>F.1项目单项收入信息!L3</f>
        <v>200</v>
      </c>
      <c r="I3" s="13">
        <f>F.1项目单项收入信息!M3</f>
        <v>200</v>
      </c>
    </row>
    <row r="4" customHeight="1" spans="1:9">
      <c r="A4" s="93"/>
      <c r="B4" s="93"/>
      <c r="C4" s="7" t="s">
        <v>272</v>
      </c>
      <c r="D4" s="54">
        <f>D3/(1+G.3销项增值税率!$C$3)</f>
        <v>0</v>
      </c>
      <c r="E4" s="54">
        <f>E3/(1+G.3销项增值税率!$C$3)</f>
        <v>91.743119266055</v>
      </c>
      <c r="F4" s="54">
        <f>F3/(1+G.3销项增值税率!$C$3)</f>
        <v>146.788990825688</v>
      </c>
      <c r="G4" s="54">
        <f>G3/(1+G.3销项增值税率!$C$3)</f>
        <v>183.48623853211</v>
      </c>
      <c r="H4" s="54">
        <f>H3/(1+G.3销项增值税率!$C$3)</f>
        <v>183.48623853211</v>
      </c>
      <c r="I4" s="54">
        <f>I3/(1+G.3销项增值税率!$C$3)</f>
        <v>183.48623853211</v>
      </c>
    </row>
    <row r="5" customHeight="1" spans="1:9">
      <c r="A5" s="90">
        <v>2</v>
      </c>
      <c r="B5" s="90" t="str">
        <f>F.1项目单项收入信息!B5</f>
        <v>停车收入</v>
      </c>
      <c r="C5" s="7" t="s">
        <v>271</v>
      </c>
      <c r="D5" s="13">
        <f>F.1项目单项收入信息!H5</f>
        <v>0</v>
      </c>
      <c r="E5" s="13">
        <f>F.1项目单项收入信息!I5</f>
        <v>200</v>
      </c>
      <c r="F5" s="13">
        <f>F.1项目单项收入信息!J5</f>
        <v>326.4</v>
      </c>
      <c r="G5" s="13">
        <f>F.1项目单项收入信息!K5</f>
        <v>416.16</v>
      </c>
      <c r="H5" s="13">
        <f>F.1项目单项收入信息!L5</f>
        <v>424.4832</v>
      </c>
      <c r="I5" s="13">
        <f>F.1项目单项收入信息!M5</f>
        <v>432.972864</v>
      </c>
    </row>
    <row r="6" customHeight="1" spans="1:9">
      <c r="A6" s="93"/>
      <c r="B6" s="93"/>
      <c r="C6" s="7" t="s">
        <v>272</v>
      </c>
      <c r="D6" s="13">
        <f>D5/(1+G.3销项增值税率!$C$4)</f>
        <v>0</v>
      </c>
      <c r="E6" s="13">
        <f>E5/(1+G.3销项增值税率!$C$4)</f>
        <v>183.48623853211</v>
      </c>
      <c r="F6" s="13">
        <f>F5/(1+G.3销项增值税率!$C$4)</f>
        <v>299.449541284404</v>
      </c>
      <c r="G6" s="13">
        <f>G5/(1+G.3销项增值税率!$C$4)</f>
        <v>381.798165137615</v>
      </c>
      <c r="H6" s="13">
        <f>H5/(1+G.3销项增值税率!$C$4)</f>
        <v>389.434128440367</v>
      </c>
      <c r="I6" s="13">
        <f>I5/(1+G.3销项增值税率!$C$4)</f>
        <v>397.222811009174</v>
      </c>
    </row>
    <row r="7" customHeight="1" spans="1:9">
      <c r="A7" s="90">
        <v>3</v>
      </c>
      <c r="B7" s="90" t="str">
        <f>F.1项目单项收入信息!B7</f>
        <v>充电桩收入</v>
      </c>
      <c r="C7" s="7" t="s">
        <v>271</v>
      </c>
      <c r="D7" s="13">
        <f>F.1项目单项收入信息!H7</f>
        <v>0</v>
      </c>
      <c r="E7" s="13">
        <f>F.1项目单项收入信息!I7</f>
        <v>50</v>
      </c>
      <c r="F7" s="13">
        <f>F.1项目单项收入信息!J7</f>
        <v>50</v>
      </c>
      <c r="G7" s="13">
        <f>F.1项目单项收入信息!K7</f>
        <v>50</v>
      </c>
      <c r="H7" s="13">
        <f>F.1项目单项收入信息!L7</f>
        <v>52.5</v>
      </c>
      <c r="I7" s="13">
        <f>F.1项目单项收入信息!M7</f>
        <v>52.5</v>
      </c>
    </row>
    <row r="8" customHeight="1" spans="1:9">
      <c r="A8" s="93"/>
      <c r="B8" s="93"/>
      <c r="C8" s="7" t="s">
        <v>272</v>
      </c>
      <c r="D8" s="13">
        <f>D7/(1+G.3销项增值税率!$C$5)</f>
        <v>0</v>
      </c>
      <c r="E8" s="13">
        <f>E7/(1+G.3销项增值税率!$C$5)</f>
        <v>47.1698113207547</v>
      </c>
      <c r="F8" s="13">
        <f>F7/(1+G.3销项增值税率!$C$5)</f>
        <v>47.1698113207547</v>
      </c>
      <c r="G8" s="13">
        <f>G7/(1+G.3销项增值税率!$C$5)</f>
        <v>47.1698113207547</v>
      </c>
      <c r="H8" s="13">
        <f>H7/(1+G.3销项增值税率!$C$5)</f>
        <v>49.5283018867924</v>
      </c>
      <c r="I8" s="13">
        <f>I7/(1+G.3销项增值税率!$C$5)</f>
        <v>49.5283018867924</v>
      </c>
    </row>
    <row r="9" customHeight="1" spans="1:13">
      <c r="A9" s="10"/>
      <c r="B9" s="97" t="s">
        <v>273</v>
      </c>
      <c r="C9" s="7"/>
      <c r="D9" s="7"/>
      <c r="E9" s="41"/>
      <c r="F9" s="41"/>
      <c r="G9" s="41"/>
      <c r="H9" s="41"/>
      <c r="I9" s="41"/>
      <c r="J9"/>
      <c r="K9"/>
      <c r="L9"/>
      <c r="M9"/>
    </row>
    <row r="10" customHeight="1" spans="1:13">
      <c r="A10" s="10">
        <v>4</v>
      </c>
      <c r="B10" s="10" t="s">
        <v>274</v>
      </c>
      <c r="C10" s="7"/>
      <c r="D10" s="7">
        <v>0</v>
      </c>
      <c r="E10" s="41">
        <v>0</v>
      </c>
      <c r="F10" s="41">
        <v>0</v>
      </c>
      <c r="G10" s="41">
        <v>0</v>
      </c>
      <c r="H10" s="41">
        <v>0</v>
      </c>
      <c r="I10" s="41">
        <v>0</v>
      </c>
      <c r="J10"/>
      <c r="K10"/>
      <c r="L10"/>
      <c r="M10"/>
    </row>
    <row r="11" customHeight="1" spans="1:13">
      <c r="A11" s="10">
        <v>5</v>
      </c>
      <c r="B11" s="98" t="s">
        <v>275</v>
      </c>
      <c r="C11" s="99"/>
      <c r="D11" s="42">
        <f t="shared" ref="D11:I11" si="0">D3+D5+D7+D10</f>
        <v>0</v>
      </c>
      <c r="E11" s="42">
        <f t="shared" si="0"/>
        <v>350</v>
      </c>
      <c r="F11" s="42">
        <f t="shared" si="0"/>
        <v>536.4</v>
      </c>
      <c r="G11" s="42">
        <f t="shared" si="0"/>
        <v>666.16</v>
      </c>
      <c r="H11" s="42">
        <f t="shared" si="0"/>
        <v>676.9832</v>
      </c>
      <c r="I11" s="42">
        <f t="shared" si="0"/>
        <v>685.472864</v>
      </c>
      <c r="J11"/>
      <c r="K11"/>
      <c r="L11"/>
      <c r="M11"/>
    </row>
    <row r="12" customHeight="1" spans="1:13">
      <c r="A12" s="10">
        <v>6</v>
      </c>
      <c r="B12" s="100" t="s">
        <v>276</v>
      </c>
      <c r="C12" s="101"/>
      <c r="D12" s="42">
        <f t="shared" ref="D12:I12" si="1">D4+D6+D8+D10</f>
        <v>0</v>
      </c>
      <c r="E12" s="42">
        <f t="shared" si="1"/>
        <v>322.39916911892</v>
      </c>
      <c r="F12" s="42">
        <f t="shared" si="1"/>
        <v>493.408343430846</v>
      </c>
      <c r="G12" s="42">
        <f t="shared" si="1"/>
        <v>612.454214990479</v>
      </c>
      <c r="H12" s="42">
        <f t="shared" si="1"/>
        <v>622.448668859269</v>
      </c>
      <c r="I12" s="42">
        <f t="shared" si="1"/>
        <v>630.237351428077</v>
      </c>
      <c r="J12"/>
      <c r="K12"/>
      <c r="L12"/>
      <c r="M12"/>
    </row>
    <row r="13" customHeight="1" spans="10:13">
      <c r="J13"/>
      <c r="K13"/>
      <c r="L13"/>
      <c r="M13"/>
    </row>
  </sheetData>
  <mergeCells count="7">
    <mergeCell ref="A1:I1"/>
    <mergeCell ref="A3:A4"/>
    <mergeCell ref="A5:A6"/>
    <mergeCell ref="A7:A8"/>
    <mergeCell ref="B3:B4"/>
    <mergeCell ref="B5:B6"/>
    <mergeCell ref="B7:B8"/>
  </mergeCells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tabColor rgb="FFFFFF00"/>
  </sheetPr>
  <dimension ref="A1:M11"/>
  <sheetViews>
    <sheetView workbookViewId="0">
      <pane xSplit="7" ySplit="2" topLeftCell="I3" activePane="bottomRight" state="frozen"/>
      <selection/>
      <selection pane="topRight"/>
      <selection pane="bottomLeft"/>
      <selection pane="bottomRight" activeCell="N12" sqref="N12"/>
    </sheetView>
  </sheetViews>
  <sheetFormatPr defaultColWidth="8.89090909090909" defaultRowHeight="28.05" customHeight="1"/>
  <cols>
    <col min="1" max="1" width="6" customWidth="1"/>
    <col min="2" max="2" width="12.3363636363636" customWidth="1"/>
    <col min="3" max="3" width="6" customWidth="1"/>
    <col min="4" max="4" width="18" customWidth="1"/>
    <col min="5" max="5" width="21.5545454545455" customWidth="1"/>
    <col min="6" max="6" width="16.8909090909091" customWidth="1"/>
    <col min="7" max="7" width="10.1090909090909" customWidth="1"/>
    <col min="8" max="8" width="6.89090909090909" customWidth="1"/>
    <col min="9" max="13" width="10.5545454545455" customWidth="1"/>
    <col min="14" max="14" width="67.8909090909091" customWidth="1"/>
  </cols>
  <sheetData>
    <row r="1" customHeight="1" spans="1:13">
      <c r="A1" s="77" t="s">
        <v>277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</row>
    <row r="2" customHeight="1" spans="1:13">
      <c r="A2" s="2" t="s">
        <v>1</v>
      </c>
      <c r="B2" s="2" t="s">
        <v>269</v>
      </c>
      <c r="C2" s="2" t="s">
        <v>177</v>
      </c>
      <c r="D2" s="2" t="s">
        <v>278</v>
      </c>
      <c r="E2" s="2" t="s">
        <v>279</v>
      </c>
      <c r="F2" s="2" t="s">
        <v>280</v>
      </c>
      <c r="G2" s="2" t="s">
        <v>281</v>
      </c>
      <c r="H2" s="36">
        <v>2025</v>
      </c>
      <c r="I2" s="36">
        <v>2026</v>
      </c>
      <c r="J2" s="36">
        <v>2027</v>
      </c>
      <c r="K2" s="36">
        <v>2028</v>
      </c>
      <c r="L2" s="36">
        <v>2029</v>
      </c>
      <c r="M2" s="36">
        <v>2030</v>
      </c>
    </row>
    <row r="3" customHeight="1" spans="1:13">
      <c r="A3" s="10">
        <v>1</v>
      </c>
      <c r="B3" s="90" t="s">
        <v>282</v>
      </c>
      <c r="C3" s="10">
        <v>2</v>
      </c>
      <c r="D3" s="41">
        <v>100</v>
      </c>
      <c r="E3" s="13">
        <f>D3*(1+A财务假设!$D$20)</f>
        <v>100</v>
      </c>
      <c r="F3" s="91" t="s">
        <v>283</v>
      </c>
      <c r="G3" s="12">
        <v>0</v>
      </c>
      <c r="H3" s="92"/>
      <c r="I3" s="94">
        <f>$C3*$E3*I4</f>
        <v>100</v>
      </c>
      <c r="J3" s="94">
        <f>$C3*$E3*J4</f>
        <v>160</v>
      </c>
      <c r="K3" s="94">
        <f t="shared" ref="K3:M3" si="0">$C3*$E3*K4</f>
        <v>200</v>
      </c>
      <c r="L3" s="94">
        <f t="shared" si="0"/>
        <v>200</v>
      </c>
      <c r="M3" s="94">
        <f t="shared" si="0"/>
        <v>200</v>
      </c>
    </row>
    <row r="4" customHeight="1" spans="1:13">
      <c r="A4" s="10"/>
      <c r="B4" s="93"/>
      <c r="C4" s="7" t="s">
        <v>284</v>
      </c>
      <c r="D4" s="7"/>
      <c r="E4" s="7"/>
      <c r="F4" s="7"/>
      <c r="G4" s="7"/>
      <c r="H4" s="92"/>
      <c r="I4" s="95">
        <v>0.5</v>
      </c>
      <c r="J4" s="95">
        <v>0.8</v>
      </c>
      <c r="K4" s="95">
        <v>1</v>
      </c>
      <c r="L4" s="95">
        <v>1</v>
      </c>
      <c r="M4" s="95">
        <v>1</v>
      </c>
    </row>
    <row r="5" customHeight="1" spans="1:13">
      <c r="A5" s="10">
        <v>2</v>
      </c>
      <c r="B5" s="90" t="s">
        <v>285</v>
      </c>
      <c r="C5" s="10">
        <v>2</v>
      </c>
      <c r="D5" s="41">
        <v>200</v>
      </c>
      <c r="E5" s="13">
        <f>D5*(1+A财务假设!$D$20)</f>
        <v>200</v>
      </c>
      <c r="F5" s="91" t="s">
        <v>286</v>
      </c>
      <c r="G5" s="12">
        <v>0.02</v>
      </c>
      <c r="H5" s="92"/>
      <c r="I5" s="96">
        <f>I6*$C5*$E5*POWER(1+$G5,I$2-$I$2)</f>
        <v>200</v>
      </c>
      <c r="J5" s="96">
        <f t="shared" ref="J5:M5" si="1">J6*$C5*$E5*POWER(1+$G5,J$2-$I$2)</f>
        <v>326.4</v>
      </c>
      <c r="K5" s="96">
        <f t="shared" si="1"/>
        <v>416.16</v>
      </c>
      <c r="L5" s="96">
        <f t="shared" si="1"/>
        <v>424.4832</v>
      </c>
      <c r="M5" s="96">
        <f t="shared" si="1"/>
        <v>432.972864</v>
      </c>
    </row>
    <row r="6" customHeight="1" spans="1:13">
      <c r="A6" s="10"/>
      <c r="B6" s="93"/>
      <c r="C6" s="7" t="s">
        <v>284</v>
      </c>
      <c r="D6" s="7"/>
      <c r="E6" s="7"/>
      <c r="F6" s="7"/>
      <c r="G6" s="7"/>
      <c r="H6" s="92"/>
      <c r="I6" s="95">
        <v>0.5</v>
      </c>
      <c r="J6" s="95">
        <v>0.8</v>
      </c>
      <c r="K6" s="95">
        <v>1</v>
      </c>
      <c r="L6" s="95">
        <v>1</v>
      </c>
      <c r="M6" s="95">
        <v>1</v>
      </c>
    </row>
    <row r="7" customHeight="1" spans="1:13">
      <c r="A7" s="10">
        <v>3</v>
      </c>
      <c r="B7" s="90" t="s">
        <v>287</v>
      </c>
      <c r="C7" s="10">
        <v>1</v>
      </c>
      <c r="D7" s="41">
        <v>50</v>
      </c>
      <c r="E7" s="13">
        <f>D7*(1+A财务假设!$D$20)</f>
        <v>50</v>
      </c>
      <c r="F7" s="91" t="s">
        <v>288</v>
      </c>
      <c r="G7" s="72">
        <v>0.05</v>
      </c>
      <c r="H7" s="92"/>
      <c r="I7" s="96">
        <f>I8*$C7*$E7*POWER(1+$G7,ROUNDUP((I$2-$H$2)/3,0)-1)</f>
        <v>50</v>
      </c>
      <c r="J7" s="96">
        <f t="shared" ref="J7:M7" si="2">J8*$C7*$E7*POWER(1+$G7,ROUNDUP((J$2-$H$2)/3,0)-1)</f>
        <v>50</v>
      </c>
      <c r="K7" s="96">
        <f t="shared" si="2"/>
        <v>50</v>
      </c>
      <c r="L7" s="96">
        <f t="shared" si="2"/>
        <v>52.5</v>
      </c>
      <c r="M7" s="96">
        <f t="shared" si="2"/>
        <v>52.5</v>
      </c>
    </row>
    <row r="8" customHeight="1" spans="1:13">
      <c r="A8" s="10"/>
      <c r="B8" s="93"/>
      <c r="C8" s="7" t="s">
        <v>284</v>
      </c>
      <c r="D8" s="7"/>
      <c r="E8" s="7"/>
      <c r="F8" s="7"/>
      <c r="G8" s="7"/>
      <c r="H8" s="92"/>
      <c r="I8" s="95">
        <v>1</v>
      </c>
      <c r="J8" s="95">
        <v>1</v>
      </c>
      <c r="K8" s="95">
        <v>1</v>
      </c>
      <c r="L8" s="95">
        <v>1</v>
      </c>
      <c r="M8" s="95">
        <v>1</v>
      </c>
    </row>
    <row r="9" customHeight="1" spans="1:13">
      <c r="A9" s="10">
        <v>4</v>
      </c>
      <c r="B9" s="90" t="s">
        <v>289</v>
      </c>
      <c r="C9" s="10">
        <v>5</v>
      </c>
      <c r="D9" s="41">
        <v>20</v>
      </c>
      <c r="E9" s="13">
        <f>D9*(1+A财务假设!$D$20)</f>
        <v>20</v>
      </c>
      <c r="F9" s="91" t="s">
        <v>290</v>
      </c>
      <c r="G9" s="72">
        <v>0.05</v>
      </c>
      <c r="H9" s="92"/>
      <c r="I9" s="96">
        <f>I10*$C9*$E9*POWER(1+$G9,ROUNDUP((I$2-$H$2)/5,0)-1)</f>
        <v>100</v>
      </c>
      <c r="J9" s="96">
        <f t="shared" ref="J9:M9" si="3">J10*$C9*$E9*POWER(1+$G9,ROUNDUP((J$2-$H$2)/5,0)-1)</f>
        <v>100</v>
      </c>
      <c r="K9" s="96">
        <f t="shared" si="3"/>
        <v>100</v>
      </c>
      <c r="L9" s="96">
        <f t="shared" si="3"/>
        <v>100</v>
      </c>
      <c r="M9" s="96">
        <f t="shared" si="3"/>
        <v>100</v>
      </c>
    </row>
    <row r="10" customHeight="1" spans="1:13">
      <c r="A10" s="10"/>
      <c r="B10" s="93"/>
      <c r="C10" s="7" t="s">
        <v>284</v>
      </c>
      <c r="D10" s="7"/>
      <c r="E10" s="7"/>
      <c r="F10" s="7"/>
      <c r="G10" s="7"/>
      <c r="H10" s="92"/>
      <c r="I10" s="95">
        <v>1</v>
      </c>
      <c r="J10" s="95">
        <v>1</v>
      </c>
      <c r="K10" s="95">
        <v>1</v>
      </c>
      <c r="L10" s="95">
        <v>1</v>
      </c>
      <c r="M10" s="95">
        <v>1</v>
      </c>
    </row>
    <row r="11" customHeight="1" spans="1:13">
      <c r="A11" s="7" t="s">
        <v>291</v>
      </c>
      <c r="B11" s="7"/>
      <c r="C11" s="7"/>
      <c r="D11" s="7"/>
      <c r="E11" s="7"/>
      <c r="F11" s="7"/>
      <c r="G11" s="7"/>
      <c r="H11" s="7"/>
      <c r="I11" s="43"/>
      <c r="J11" s="43"/>
      <c r="K11" s="7"/>
      <c r="L11" s="43"/>
      <c r="M11" s="43"/>
    </row>
  </sheetData>
  <mergeCells count="13">
    <mergeCell ref="A1:M1"/>
    <mergeCell ref="C4:G4"/>
    <mergeCell ref="C6:G6"/>
    <mergeCell ref="C8:G8"/>
    <mergeCell ref="C10:G10"/>
    <mergeCell ref="A3:A4"/>
    <mergeCell ref="A5:A6"/>
    <mergeCell ref="A7:A8"/>
    <mergeCell ref="A9:A10"/>
    <mergeCell ref="B3:B4"/>
    <mergeCell ref="B5:B6"/>
    <mergeCell ref="B7:B8"/>
    <mergeCell ref="B9:B10"/>
  </mergeCells>
  <dataValidations count="2">
    <dataValidation type="list" allowBlank="1" showInputMessage="1" showErrorMessage="1" sqref="F3">
      <formula1>"不增长,每2年增长,每3年增长,每5年增长,自定义增长"</formula1>
    </dataValidation>
    <dataValidation type="list" allowBlank="1" showInputMessage="1" showErrorMessage="1" sqref="F5 F7 F9">
      <formula1>"不增长,每年增长,每2年增长,每3年增长,每5年增长,自定义增长"</formula1>
    </dataValidation>
  </dataValidations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tabColor rgb="FFFFFF00"/>
  </sheetPr>
  <dimension ref="A1:J32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I3" sqref="I3"/>
    </sheetView>
  </sheetViews>
  <sheetFormatPr defaultColWidth="8.89090909090909" defaultRowHeight="14"/>
  <cols>
    <col min="1" max="1" width="13.1090909090909" customWidth="1"/>
    <col min="2" max="2" width="33.2181818181818" customWidth="1"/>
    <col min="3" max="3" width="25.7818181818182" customWidth="1"/>
    <col min="4" max="4" width="14.7818181818182" customWidth="1"/>
    <col min="5" max="5" width="13.8909090909091" customWidth="1"/>
    <col min="6" max="6" width="14.7818181818182" customWidth="1"/>
    <col min="7" max="7" width="17.1090909090909"/>
    <col min="8" max="8" width="14.7818181818182" customWidth="1"/>
    <col min="9" max="9" width="13.8909090909091" customWidth="1"/>
    <col min="10" max="10" width="8.89090909090909" style="45"/>
  </cols>
  <sheetData>
    <row r="1" ht="20" spans="1:10">
      <c r="A1" s="77" t="s">
        <v>292</v>
      </c>
      <c r="B1" s="78"/>
      <c r="C1" s="78"/>
      <c r="D1" s="78"/>
      <c r="E1" s="78"/>
      <c r="F1" s="78"/>
      <c r="G1" s="78"/>
      <c r="H1" s="78"/>
      <c r="I1" s="79"/>
      <c r="J1"/>
    </row>
    <row r="2" ht="16.5" spans="1:10">
      <c r="A2" s="2" t="s">
        <v>1</v>
      </c>
      <c r="B2" s="2" t="s">
        <v>86</v>
      </c>
      <c r="C2" s="2" t="s">
        <v>293</v>
      </c>
      <c r="D2" s="36" t="s">
        <v>294</v>
      </c>
      <c r="E2" s="36" t="s">
        <v>295</v>
      </c>
      <c r="F2" s="36" t="s">
        <v>296</v>
      </c>
      <c r="G2" s="36" t="s">
        <v>297</v>
      </c>
      <c r="H2" s="36" t="s">
        <v>298</v>
      </c>
      <c r="I2" s="36" t="s">
        <v>299</v>
      </c>
      <c r="J2"/>
    </row>
    <row r="3" ht="33" spans="1:10">
      <c r="A3" s="7"/>
      <c r="B3" s="7"/>
      <c r="C3" s="38" t="s">
        <v>300</v>
      </c>
      <c r="D3" s="66">
        <f>'G.1进项增值税率-建设投资'!F21</f>
        <v>189.72</v>
      </c>
      <c r="E3" s="83">
        <f>IF(D29=0,ABS(D25-D4-D3),0)</f>
        <v>189.72</v>
      </c>
      <c r="F3" s="83">
        <f t="shared" ref="F3:I3" si="0">IF(E29=0,ABS(E25-E4-E3),0)</f>
        <v>170.293372283437</v>
      </c>
      <c r="G3" s="83">
        <f t="shared" si="0"/>
        <v>135.475918878801</v>
      </c>
      <c r="H3" s="66">
        <f t="shared" si="0"/>
        <v>91.1120803430142</v>
      </c>
      <c r="I3" s="66">
        <f t="shared" si="0"/>
        <v>47.0872389852344</v>
      </c>
      <c r="J3"/>
    </row>
    <row r="4" ht="16.5" spans="1:10">
      <c r="A4" s="7">
        <v>1</v>
      </c>
      <c r="B4" s="7" t="s">
        <v>301</v>
      </c>
      <c r="C4" s="7"/>
      <c r="D4" s="13">
        <f t="shared" ref="D4:E4" si="1">SUM(D5:D24)</f>
        <v>0</v>
      </c>
      <c r="E4" s="13">
        <f t="shared" si="1"/>
        <v>8.17420316451721</v>
      </c>
      <c r="F4" s="13">
        <f t="shared" ref="F4:I4" si="2">SUM(F5:F24)</f>
        <v>8.17420316451721</v>
      </c>
      <c r="G4" s="13">
        <f t="shared" si="2"/>
        <v>9.34194647373396</v>
      </c>
      <c r="H4" s="13">
        <f t="shared" si="2"/>
        <v>10.5096897829507</v>
      </c>
      <c r="I4" s="13">
        <f t="shared" si="2"/>
        <v>11.6774330921674</v>
      </c>
      <c r="J4"/>
    </row>
    <row r="5" ht="16.5" spans="1:10">
      <c r="A5" s="7"/>
      <c r="B5" s="84" t="str">
        <f>E.1项目运营期费用!C4</f>
        <v>场地租金</v>
      </c>
      <c r="C5" s="7"/>
      <c r="D5" s="85">
        <f>E.1项目运营期费用!H4*'G.2进项增值税率-运营成本'!$C3/(1+'G.2进项增值税率-运营成本'!$C3)</f>
        <v>0</v>
      </c>
      <c r="E5" s="86">
        <f>E.1项目运营期费用!I4*'G.2进项增值税率-运营成本'!$C3/(1+'G.2进项增值税率-运营成本'!$C3)</f>
        <v>0.115596330275229</v>
      </c>
      <c r="F5" s="86">
        <f>E.1项目运营期费用!J4*'G.2进项增值税率-运营成本'!$C3/(1+'G.2进项增值税率-运营成本'!$C3)</f>
        <v>0.115596330275229</v>
      </c>
      <c r="G5" s="86">
        <f>E.1项目运营期费用!K4*'G.2进项增值税率-运营成本'!$C3/(1+'G.2进项增值税率-运营成本'!$C3)</f>
        <v>0.132110091743119</v>
      </c>
      <c r="H5" s="86">
        <f>E.1项目运营期费用!L4*'G.2进项增值税率-运营成本'!$C3/(1+'G.2进项增值税率-运营成本'!$C3)</f>
        <v>0.148623853211009</v>
      </c>
      <c r="I5" s="86">
        <f>E.1项目运营期费用!M4*'G.2进项增值税率-运营成本'!$C3/(1+'G.2进项增值税率-运营成本'!$C3)</f>
        <v>0.165137614678899</v>
      </c>
      <c r="J5"/>
    </row>
    <row r="6" ht="29" spans="1:10">
      <c r="A6" s="7"/>
      <c r="B6" s="87" t="str">
        <f>E.1项目运营期费用!C5</f>
        <v>场地日常维护（停机坪/起降场/交通枢纽/飞行营地/指挥中心等）</v>
      </c>
      <c r="C6" s="7"/>
      <c r="D6" s="85">
        <f>E.1项目运营期费用!H5*'G.2进项增值税率-运营成本'!$C4/(1+'G.2进项增值税率-运营成本'!$C4)</f>
        <v>0</v>
      </c>
      <c r="E6" s="86">
        <f>E.1项目运营期费用!I5*'G.2进项增值税率-运营成本'!$C4/(1+'G.2进项增值税率-运营成本'!$C4)</f>
        <v>0.158490566037736</v>
      </c>
      <c r="F6" s="86">
        <f>E.1项目运营期费用!J5*'G.2进项增值税率-运营成本'!$C4/(1+'G.2进项增值税率-运营成本'!$C4)</f>
        <v>0.158490566037736</v>
      </c>
      <c r="G6" s="86">
        <f>E.1项目运营期费用!K5*'G.2进项增值税率-运营成本'!$C4/(1+'G.2进项增值税率-运营成本'!$C4)</f>
        <v>0.181132075471698</v>
      </c>
      <c r="H6" s="86">
        <f>E.1项目运营期费用!L5*'G.2进项增值税率-运营成本'!$C4/(1+'G.2进项增值税率-运营成本'!$C4)</f>
        <v>0.20377358490566</v>
      </c>
      <c r="I6" s="86">
        <f>E.1项目运营期费用!M5*'G.2进项增值税率-运营成本'!$C4/(1+'G.2进项增值税率-运营成本'!$C4)</f>
        <v>0.226415094339623</v>
      </c>
      <c r="J6"/>
    </row>
    <row r="7" ht="16.5" spans="1:10">
      <c r="A7" s="7"/>
      <c r="B7" s="84" t="str">
        <f>E.1项目运营期费用!C6</f>
        <v>消防设施年检</v>
      </c>
      <c r="C7" s="7"/>
      <c r="D7" s="85">
        <f>E.1项目运营期费用!H6*'G.2进项增值税率-运营成本'!$C5/(1+'G.2进项增值税率-运营成本'!$C5)</f>
        <v>0</v>
      </c>
      <c r="E7" s="86">
        <f>E.1项目运营期费用!I6*'G.2进项增值税率-运营成本'!$C5/(1+'G.2进项增值税率-运营成本'!$C5)</f>
        <v>0.237735849056604</v>
      </c>
      <c r="F7" s="86">
        <f>E.1项目运营期费用!J6*'G.2进项增值税率-运营成本'!$C5/(1+'G.2进项增值税率-运营成本'!$C5)</f>
        <v>0.237735849056604</v>
      </c>
      <c r="G7" s="86">
        <f>E.1项目运营期费用!K6*'G.2进项增值税率-运营成本'!$C5/(1+'G.2进项增值税率-运营成本'!$C5)</f>
        <v>0.271698113207547</v>
      </c>
      <c r="H7" s="86">
        <f>E.1项目运营期费用!L6*'G.2进项增值税率-运营成本'!$C5/(1+'G.2进项增值税率-运营成本'!$C5)</f>
        <v>0.305660377358491</v>
      </c>
      <c r="I7" s="86">
        <f>E.1项目运营期费用!M6*'G.2进项增值税率-运营成本'!$C5/(1+'G.2进项增值税率-运营成本'!$C5)</f>
        <v>0.339622641509434</v>
      </c>
      <c r="J7"/>
    </row>
    <row r="8" ht="16.5" spans="1:10">
      <c r="A8" s="7"/>
      <c r="B8" s="84" t="str">
        <f>E.1项目运营期费用!C7</f>
        <v>防鸟措施（驱鸟器维护）</v>
      </c>
      <c r="C8" s="7"/>
      <c r="D8" s="85">
        <f>E.1项目运营期费用!H7*'G.2进项增值税率-运营成本'!$C6/(1+'G.2进项增值税率-运营成本'!$C6)</f>
        <v>0</v>
      </c>
      <c r="E8" s="86">
        <f>E.1项目运营期费用!I7*'G.2进项增值税率-运营成本'!$C6/(1+'G.2进项增值税率-运营成本'!$C6)</f>
        <v>0.316981132075472</v>
      </c>
      <c r="F8" s="86">
        <f>E.1项目运营期费用!J7*'G.2进项增值税率-运营成本'!$C6/(1+'G.2进项增值税率-运营成本'!$C6)</f>
        <v>0.316981132075472</v>
      </c>
      <c r="G8" s="86">
        <f>E.1项目运营期费用!K7*'G.2进项增值税率-运营成本'!$C6/(1+'G.2进项增值税率-运营成本'!$C6)</f>
        <v>0.362264150943396</v>
      </c>
      <c r="H8" s="86">
        <f>E.1项目运营期费用!L7*'G.2进项增值税率-运营成本'!$C6/(1+'G.2进项增值税率-运营成本'!$C6)</f>
        <v>0.407547169811321</v>
      </c>
      <c r="I8" s="86">
        <f>E.1项目运营期费用!M7*'G.2进项增值税率-运营成本'!$C6/(1+'G.2进项增值税率-运营成本'!$C6)</f>
        <v>0.452830188679245</v>
      </c>
      <c r="J8"/>
    </row>
    <row r="9" ht="16.5" spans="1:10">
      <c r="A9" s="7"/>
      <c r="B9" s="84" t="str">
        <f>E.1项目运营期费用!C8</f>
        <v>飞行器能耗</v>
      </c>
      <c r="C9" s="7"/>
      <c r="D9" s="85">
        <f>E.1项目运营期费用!H8*'G.2进项增值税率-运营成本'!$C7/(1+'G.2进项增值税率-运营成本'!$C7)</f>
        <v>0</v>
      </c>
      <c r="E9" s="86">
        <f>E.1项目运营期费用!I8*'G.2进项增值税率-运营成本'!$C7/(1+'G.2进项增值税率-运营成本'!$C7)</f>
        <v>0.805309734513274</v>
      </c>
      <c r="F9" s="86">
        <f>E.1项目运营期费用!J8*'G.2进项增值税率-运营成本'!$C7/(1+'G.2进项增值税率-运营成本'!$C7)</f>
        <v>0.805309734513274</v>
      </c>
      <c r="G9" s="86">
        <f>E.1项目运营期费用!K8*'G.2进项增值税率-运营成本'!$C7/(1+'G.2进项增值税率-运营成本'!$C7)</f>
        <v>0.920353982300885</v>
      </c>
      <c r="H9" s="86">
        <f>E.1项目运营期费用!L8*'G.2进项增值税率-运营成本'!$C7/(1+'G.2进项增值税率-运营成本'!$C7)</f>
        <v>1.0353982300885</v>
      </c>
      <c r="I9" s="86">
        <f>E.1项目运营期费用!M8*'G.2进项增值税率-运营成本'!$C7/(1+'G.2进项增值税率-运营成本'!$C7)</f>
        <v>1.15044247787611</v>
      </c>
      <c r="J9"/>
    </row>
    <row r="10" ht="16.5" spans="1:10">
      <c r="A10" s="7"/>
      <c r="B10" s="84" t="str">
        <f>E.1项目运营期费用!C9</f>
        <v>核心设备电力能耗</v>
      </c>
      <c r="C10" s="7"/>
      <c r="D10" s="85">
        <f>E.1项目运营期费用!H9*'G.2进项增值税率-运营成本'!$C8/(1+'G.2进项增值税率-运营成本'!$C8)</f>
        <v>0</v>
      </c>
      <c r="E10" s="86">
        <f>E.1项目运营期费用!I9*'G.2进项增值税率-运营成本'!$C8/(1+'G.2进项增值税率-运营成本'!$C8)</f>
        <v>0.966371681415929</v>
      </c>
      <c r="F10" s="86">
        <f>E.1项目运营期费用!J9*'G.2进项增值税率-运营成本'!$C8/(1+'G.2进项增值税率-运营成本'!$C8)</f>
        <v>0.966371681415929</v>
      </c>
      <c r="G10" s="86">
        <f>E.1项目运营期费用!K9*'G.2进项增值税率-运营成本'!$C8/(1+'G.2进项增值税率-运营成本'!$C8)</f>
        <v>1.10442477876106</v>
      </c>
      <c r="H10" s="86">
        <f>E.1项目运营期费用!L9*'G.2进项增值税率-运营成本'!$C8/(1+'G.2进项增值税率-运营成本'!$C8)</f>
        <v>1.24247787610619</v>
      </c>
      <c r="I10" s="86">
        <f>E.1项目运营期费用!M9*'G.2进项增值税率-运营成本'!$C8/(1+'G.2进项增值税率-运营成本'!$C8)</f>
        <v>1.38053097345133</v>
      </c>
      <c r="J10"/>
    </row>
    <row r="11" ht="16.5" spans="1:10">
      <c r="A11" s="7"/>
      <c r="B11" s="84" t="str">
        <f>E.1项目运营期费用!C10</f>
        <v>水电能耗</v>
      </c>
      <c r="C11" s="7"/>
      <c r="D11" s="85">
        <f>E.1项目运营期费用!H10*'G.2进项增值税率-运营成本'!$C9/(1+'G.2进项增值税率-运营成本'!$C9)</f>
        <v>0</v>
      </c>
      <c r="E11" s="86">
        <f>E.1项目运营期费用!I10*'G.2进项增值税率-运营成本'!$C9/(1+'G.2进项增值税率-运营成本'!$C9)</f>
        <v>0.809174311926605</v>
      </c>
      <c r="F11" s="86">
        <f>E.1项目运营期费用!J10*'G.2进项增值税率-运营成本'!$C9/(1+'G.2进项增值税率-运营成本'!$C9)</f>
        <v>0.809174311926605</v>
      </c>
      <c r="G11" s="86">
        <f>E.1项目运营期费用!K10*'G.2进项增值税率-运营成本'!$C9/(1+'G.2进项增值税率-运营成本'!$C9)</f>
        <v>0.924770642201835</v>
      </c>
      <c r="H11" s="86">
        <f>E.1项目运营期费用!L10*'G.2进项增值税率-运营成本'!$C9/(1+'G.2进项增值税率-运营成本'!$C9)</f>
        <v>1.04036697247706</v>
      </c>
      <c r="I11" s="86">
        <f>E.1项目运营期费用!M10*'G.2进项增值税率-运营成本'!$C9/(1+'G.2进项增值税率-运营成本'!$C9)</f>
        <v>1.15596330275229</v>
      </c>
      <c r="J11"/>
    </row>
    <row r="12" ht="16.5" spans="1:10">
      <c r="A12" s="7"/>
      <c r="B12" s="84" t="str">
        <f>E.1项目运营期费用!C11</f>
        <v>网络通信费用</v>
      </c>
      <c r="C12" s="7"/>
      <c r="D12" s="85">
        <f>E.1项目运营期费用!H11*'G.2进项增值税率-运营成本'!$C10/(1+'G.2进项增值税率-运营成本'!$C10)</f>
        <v>0</v>
      </c>
      <c r="E12" s="86">
        <f>E.1项目运营期费用!I11*'G.2进项增值税率-运营成本'!$C10/(1+'G.2进项增值税率-运营成本'!$C10)</f>
        <v>0.924770642201835</v>
      </c>
      <c r="F12" s="86">
        <f>E.1项目运营期费用!J11*'G.2进项增值税率-运营成本'!$C10/(1+'G.2进项增值税率-运营成本'!$C10)</f>
        <v>0.924770642201835</v>
      </c>
      <c r="G12" s="86">
        <f>E.1项目运营期费用!K11*'G.2进项增值税率-运营成本'!$C10/(1+'G.2进项增值税率-运营成本'!$C10)</f>
        <v>1.05688073394495</v>
      </c>
      <c r="H12" s="86">
        <f>E.1项目运营期费用!L11*'G.2进项增值税率-运营成本'!$C10/(1+'G.2进项增值税率-运营成本'!$C10)</f>
        <v>1.18899082568807</v>
      </c>
      <c r="I12" s="86">
        <f>E.1项目运营期费用!M11*'G.2进项增值税率-运营成本'!$C10/(1+'G.2进项增值税率-运营成本'!$C10)</f>
        <v>1.32110091743119</v>
      </c>
      <c r="J12"/>
    </row>
    <row r="13" ht="16.5" spans="1:10">
      <c r="A13" s="7"/>
      <c r="B13" s="84" t="str">
        <f>E.1项目运营期费用!C12</f>
        <v>硬件设备维护</v>
      </c>
      <c r="C13" s="7"/>
      <c r="D13" s="85">
        <f>E.1项目运营期费用!H12*'G.2进项增值税率-运营成本'!$C11/(1+'G.2进项增值税率-运营成本'!$C11)</f>
        <v>0</v>
      </c>
      <c r="E13" s="86">
        <f>E.1项目运营期费用!I12*'G.2进项增值税率-运营成本'!$C11/(1+'G.2进项增值税率-运营成本'!$C11)</f>
        <v>1.44955752212389</v>
      </c>
      <c r="F13" s="86">
        <f>E.1项目运营期费用!J12*'G.2进项增值税率-运营成本'!$C11/(1+'G.2进项增值税率-运营成本'!$C11)</f>
        <v>1.44955752212389</v>
      </c>
      <c r="G13" s="86">
        <f>E.1项目运营期费用!K12*'G.2进项增值税率-运营成本'!$C11/(1+'G.2进项增值税率-运营成本'!$C11)</f>
        <v>1.65663716814159</v>
      </c>
      <c r="H13" s="86">
        <f>E.1项目运营期费用!L12*'G.2进项增值税率-运营成本'!$C11/(1+'G.2进项增值税率-运营成本'!$C11)</f>
        <v>1.86371681415929</v>
      </c>
      <c r="I13" s="86">
        <f>E.1项目运营期费用!M12*'G.2进项增值税率-运营成本'!$C11/(1+'G.2进项增值税率-运营成本'!$C11)</f>
        <v>2.07079646017699</v>
      </c>
      <c r="J13"/>
    </row>
    <row r="14" ht="16.5" spans="1:10">
      <c r="A14" s="7"/>
      <c r="B14" s="84" t="str">
        <f>E.1项目运营期费用!C13</f>
        <v>备品备件储备</v>
      </c>
      <c r="C14" s="7"/>
      <c r="D14" s="85">
        <f>E.1项目运营期费用!H13*'G.2进项增值税率-运营成本'!$C12/(1+'G.2进项增值税率-运营成本'!$C12)</f>
        <v>0</v>
      </c>
      <c r="E14" s="86">
        <f>E.1项目运营期费用!I13*'G.2进项增值税率-运营成本'!$C12/(1+'G.2进项增值税率-运营成本'!$C12)</f>
        <v>0.161061946902655</v>
      </c>
      <c r="F14" s="86">
        <f>E.1项目运营期费用!J13*'G.2进项增值税率-运营成本'!$C12/(1+'G.2进项增值税率-运营成本'!$C12)</f>
        <v>0.161061946902655</v>
      </c>
      <c r="G14" s="86">
        <f>E.1项目运营期费用!K13*'G.2进项增值税率-运营成本'!$C12/(1+'G.2进项增值税率-运营成本'!$C12)</f>
        <v>0.184070796460177</v>
      </c>
      <c r="H14" s="86">
        <f>E.1项目运营期费用!L13*'G.2进项增值税率-运营成本'!$C12/(1+'G.2进项增值税率-运营成本'!$C12)</f>
        <v>0.207079646017699</v>
      </c>
      <c r="I14" s="86">
        <f>E.1项目运营期费用!M13*'G.2进项增值税率-运营成本'!$C12/(1+'G.2进项增值税率-运营成本'!$C12)</f>
        <v>0.230088495575221</v>
      </c>
      <c r="J14"/>
    </row>
    <row r="15" ht="16.5" spans="1:10">
      <c r="A15" s="7"/>
      <c r="B15" s="84" t="str">
        <f>E.1项目运营期费用!C14</f>
        <v>软件维护</v>
      </c>
      <c r="C15" s="7"/>
      <c r="D15" s="85">
        <f>E.1项目运营期费用!H14*'G.2进项增值税率-运营成本'!$C13/(1+'G.2进项增值税率-运营成本'!$C13)</f>
        <v>0</v>
      </c>
      <c r="E15" s="86">
        <f>E.1项目运营期费用!I14*'G.2进项增值税率-运营成本'!$C13/(1+'G.2进项增值税率-运营成本'!$C13)</f>
        <v>0.158490566037736</v>
      </c>
      <c r="F15" s="86">
        <f>E.1项目运营期费用!J14*'G.2进项增值税率-运营成本'!$C13/(1+'G.2进项增值税率-运营成本'!$C13)</f>
        <v>0.158490566037736</v>
      </c>
      <c r="G15" s="86">
        <f>E.1项目运营期费用!K14*'G.2进项增值税率-运营成本'!$C13/(1+'G.2进项增值税率-运营成本'!$C13)</f>
        <v>0.181132075471698</v>
      </c>
      <c r="H15" s="86">
        <f>E.1项目运营期费用!L14*'G.2进项增值税率-运营成本'!$C13/(1+'G.2进项增值税率-运营成本'!$C13)</f>
        <v>0.20377358490566</v>
      </c>
      <c r="I15" s="86">
        <f>E.1项目运营期费用!M14*'G.2进项增值税率-运营成本'!$C13/(1+'G.2进项增值税率-运营成本'!$C13)</f>
        <v>0.226415094339623</v>
      </c>
      <c r="J15"/>
    </row>
    <row r="16" ht="16.5" spans="1:10">
      <c r="A16" s="7"/>
      <c r="B16" s="84" t="str">
        <f>E.1项目运营期费用!C15</f>
        <v>营销及活动</v>
      </c>
      <c r="C16" s="7"/>
      <c r="D16" s="85">
        <f>E.1项目运营期费用!H15*'G.2进项增值税率-运营成本'!$C14/(1+'G.2进项增值税率-运营成本'!$C14)</f>
        <v>0</v>
      </c>
      <c r="E16" s="86">
        <f>E.1项目运营期费用!I15*'G.2进项增值税率-运营成本'!$C14/(1+'G.2进项增值税率-运营成本'!$C14)</f>
        <v>0.158490566037736</v>
      </c>
      <c r="F16" s="86">
        <f>E.1项目运营期费用!J15*'G.2进项增值税率-运营成本'!$C14/(1+'G.2进项增值税率-运营成本'!$C14)</f>
        <v>0.158490566037736</v>
      </c>
      <c r="G16" s="86">
        <f>E.1项目运营期费用!K15*'G.2进项增值税率-运营成本'!$C14/(1+'G.2进项增值税率-运营成本'!$C14)</f>
        <v>0.181132075471698</v>
      </c>
      <c r="H16" s="86">
        <f>E.1项目运营期费用!L15*'G.2进项增值税率-运营成本'!$C14/(1+'G.2进项增值税率-运营成本'!$C14)</f>
        <v>0.20377358490566</v>
      </c>
      <c r="I16" s="86">
        <f>E.1项目运营期费用!M15*'G.2进项增值税率-运营成本'!$C14/(1+'G.2进项增值税率-运营成本'!$C14)</f>
        <v>0.226415094339623</v>
      </c>
      <c r="J16"/>
    </row>
    <row r="17" ht="16.5" spans="1:10">
      <c r="A17" s="7"/>
      <c r="B17" s="84" t="str">
        <f>E.1项目运营期费用!C16</f>
        <v>人员薪酬</v>
      </c>
      <c r="C17" s="7"/>
      <c r="D17" s="85">
        <f>E.1项目运营期费用!H16*'G.2进项增值税率-运营成本'!$C15/(1+'G.2进项增值税率-运营成本'!$C15)</f>
        <v>0</v>
      </c>
      <c r="E17" s="86">
        <f>E.1项目运营期费用!I16*'G.2进项增值税率-运营成本'!$C15/(1+'G.2进项增值税率-运营成本'!$C15)</f>
        <v>0</v>
      </c>
      <c r="F17" s="86">
        <f>E.1项目运营期费用!J16*'G.2进项增值税率-运营成本'!$C15/(1+'G.2进项增值税率-运营成本'!$C15)</f>
        <v>0</v>
      </c>
      <c r="G17" s="86">
        <f>E.1项目运营期费用!K16*'G.2进项增值税率-运营成本'!$C15/(1+'G.2进项增值税率-运营成本'!$C15)</f>
        <v>0</v>
      </c>
      <c r="H17" s="86">
        <f>E.1项目运营期费用!L16*'G.2进项增值税率-运营成本'!$C15/(1+'G.2进项增值税率-运营成本'!$C15)</f>
        <v>0</v>
      </c>
      <c r="I17" s="86">
        <f>E.1项目运营期费用!M16*'G.2进项增值税率-运营成本'!$C15/(1+'G.2进项增值税率-运营成本'!$C15)</f>
        <v>0</v>
      </c>
      <c r="J17"/>
    </row>
    <row r="18" ht="16.5" spans="1:10">
      <c r="A18" s="7"/>
      <c r="B18" s="84" t="str">
        <f>E.1项目运营期费用!C17</f>
        <v>培训与资质认证</v>
      </c>
      <c r="C18" s="7"/>
      <c r="D18" s="85">
        <f>E.1项目运营期费用!H17*'G.2进项增值税率-运营成本'!$C16/(1+'G.2进项增值税率-运营成本'!$C16)</f>
        <v>0</v>
      </c>
      <c r="E18" s="86">
        <f>E.1项目运营期费用!I17*'G.2进项增值税率-运营成本'!$C16/(1+'G.2进项增值税率-运营成本'!$C16)</f>
        <v>0.237735849056604</v>
      </c>
      <c r="F18" s="86">
        <f>E.1项目运营期费用!J17*'G.2进项增值税率-运营成本'!$C16/(1+'G.2进项增值税率-运营成本'!$C16)</f>
        <v>0.237735849056604</v>
      </c>
      <c r="G18" s="86">
        <f>E.1项目运营期费用!K17*'G.2进项增值税率-运营成本'!$C16/(1+'G.2进项增值税率-运营成本'!$C16)</f>
        <v>0.271698113207547</v>
      </c>
      <c r="H18" s="86">
        <f>E.1项目运营期费用!L17*'G.2进项增值税率-运营成本'!$C16/(1+'G.2进项增值税率-运营成本'!$C16)</f>
        <v>0.305660377358491</v>
      </c>
      <c r="I18" s="86">
        <f>E.1项目运营期费用!M17*'G.2进项增值税率-运营成本'!$C16/(1+'G.2进项增值税率-运营成本'!$C16)</f>
        <v>0.339622641509434</v>
      </c>
      <c r="J18"/>
    </row>
    <row r="19" ht="16.5" spans="1:10">
      <c r="A19" s="7"/>
      <c r="B19" s="84" t="str">
        <f>E.1项目运营期费用!C18</f>
        <v>办公与行政支出</v>
      </c>
      <c r="C19" s="7"/>
      <c r="D19" s="85">
        <f>E.1项目运营期费用!H18*'G.2进项增值税率-运营成本'!$C17/(1+'G.2进项增值税率-运营成本'!$C17)</f>
        <v>0</v>
      </c>
      <c r="E19" s="86">
        <f>E.1项目运营期费用!I18*'G.2进项增值税率-运营成本'!$C17/(1+'G.2进项增值税率-运营成本'!$C17)</f>
        <v>0.64424778761062</v>
      </c>
      <c r="F19" s="86">
        <f>E.1项目运营期费用!J18*'G.2进项增值税率-运营成本'!$C17/(1+'G.2进项增值税率-运营成本'!$C17)</f>
        <v>0.64424778761062</v>
      </c>
      <c r="G19" s="86">
        <f>E.1项目运营期费用!K18*'G.2进项增值税率-运营成本'!$C17/(1+'G.2进项增值税率-运营成本'!$C17)</f>
        <v>0.736283185840708</v>
      </c>
      <c r="H19" s="86">
        <f>E.1项目运营期费用!L18*'G.2进项增值税率-运营成本'!$C17/(1+'G.2进项增值税率-运营成本'!$C17)</f>
        <v>0.828318584070797</v>
      </c>
      <c r="I19" s="86">
        <f>E.1项目运营期费用!M18*'G.2进项增值税率-运营成本'!$C17/(1+'G.2进项增值税率-运营成本'!$C17)</f>
        <v>0.920353982300885</v>
      </c>
      <c r="J19"/>
    </row>
    <row r="20" ht="16.5" spans="1:10">
      <c r="A20" s="7"/>
      <c r="B20" s="84" t="str">
        <f>E.1项目运营期费用!C19</f>
        <v>空域使用审批费</v>
      </c>
      <c r="C20" s="7"/>
      <c r="D20" s="85">
        <f>E.1项目运营期费用!H19*'G.2进项增值税率-运营成本'!$C18/(1+'G.2进项增值税率-运营成本'!$C18)</f>
        <v>0</v>
      </c>
      <c r="E20" s="86">
        <f>E.1项目运营期费用!I19*'G.2进项增值税率-运营成本'!$C18/(1+'G.2进项增值税率-运营成本'!$C18)</f>
        <v>0</v>
      </c>
      <c r="F20" s="86">
        <f>E.1项目运营期费用!J19*'G.2进项增值税率-运营成本'!$C18/(1+'G.2进项增值税率-运营成本'!$C18)</f>
        <v>0</v>
      </c>
      <c r="G20" s="86">
        <f>E.1项目运营期费用!K19*'G.2进项增值税率-运营成本'!$C18/(1+'G.2进项增值税率-运营成本'!$C18)</f>
        <v>0</v>
      </c>
      <c r="H20" s="86">
        <f>E.1项目运营期费用!L19*'G.2进项增值税率-运营成本'!$C18/(1+'G.2进项增值税率-运营成本'!$C18)</f>
        <v>0</v>
      </c>
      <c r="I20" s="86">
        <f>E.1项目运营期费用!M19*'G.2进项增值税率-运营成本'!$C18/(1+'G.2进项增值税率-运营成本'!$C18)</f>
        <v>0</v>
      </c>
      <c r="J20"/>
    </row>
    <row r="21" ht="16.5" spans="1:10">
      <c r="A21" s="7"/>
      <c r="B21" s="84" t="str">
        <f>E.1项目运营期费用!C20</f>
        <v>场地责任险</v>
      </c>
      <c r="C21" s="7"/>
      <c r="D21" s="85">
        <f>E.1项目运营期费用!H20*'G.2进项增值税率-运营成本'!$C19/(1+'G.2进项增值税率-运营成本'!$C19)</f>
        <v>0</v>
      </c>
      <c r="E21" s="86">
        <f>E.1项目运营期费用!I20*'G.2进项增值税率-运营成本'!$C19/(1+'G.2进项增值税率-运营成本'!$C19)</f>
        <v>0.316981132075472</v>
      </c>
      <c r="F21" s="86">
        <f>E.1项目运营期费用!J20*'G.2进项增值税率-运营成本'!$C19/(1+'G.2进项增值税率-运营成本'!$C19)</f>
        <v>0.316981132075472</v>
      </c>
      <c r="G21" s="86">
        <f>E.1项目运营期费用!K20*'G.2进项增值税率-运营成本'!$C19/(1+'G.2进项增值税率-运营成本'!$C19)</f>
        <v>0.362264150943396</v>
      </c>
      <c r="H21" s="86">
        <f>E.1项目运营期费用!L20*'G.2进项增值税率-运营成本'!$C19/(1+'G.2进项增值税率-运营成本'!$C19)</f>
        <v>0.407547169811321</v>
      </c>
      <c r="I21" s="86">
        <f>E.1项目运营期费用!M20*'G.2进项增值税率-运营成本'!$C19/(1+'G.2进项增值税率-运营成本'!$C19)</f>
        <v>0.452830188679245</v>
      </c>
      <c r="J21"/>
    </row>
    <row r="22" ht="16.5" spans="1:10">
      <c r="A22" s="7"/>
      <c r="B22" s="84" t="str">
        <f>E.1项目运营期费用!C21</f>
        <v>安全演练与应急处置</v>
      </c>
      <c r="C22" s="7"/>
      <c r="D22" s="85">
        <f>E.1项目运营期费用!H21*'G.2进项增值税率-运营成本'!$C20/(1+'G.2进项增值税率-运营成本'!$C20)</f>
        <v>0</v>
      </c>
      <c r="E22" s="86">
        <f>E.1项目运营期费用!I21*'G.2进项增值税率-运营成本'!$C20/(1+'G.2进项增值税率-运营成本'!$C20)</f>
        <v>0.633962264150943</v>
      </c>
      <c r="F22" s="86">
        <f>E.1项目运营期费用!J21*'G.2进项增值税率-运营成本'!$C20/(1+'G.2进项增值税率-运营成本'!$C20)</f>
        <v>0.633962264150943</v>
      </c>
      <c r="G22" s="86">
        <f>E.1项目运营期费用!K21*'G.2进项增值税率-运营成本'!$C20/(1+'G.2进项增值税率-运营成本'!$C20)</f>
        <v>0.724528301886792</v>
      </c>
      <c r="H22" s="86">
        <f>E.1项目运营期费用!L21*'G.2进项增值税率-运营成本'!$C20/(1+'G.2进项增值税率-运营成本'!$C20)</f>
        <v>0.815094339622641</v>
      </c>
      <c r="I22" s="86">
        <f>E.1项目运营期费用!M21*'G.2进项增值税率-运营成本'!$C20/(1+'G.2进项增值税率-运营成本'!$C20)</f>
        <v>0.90566037735849</v>
      </c>
      <c r="J22"/>
    </row>
    <row r="23" ht="16.5" spans="1:10">
      <c r="A23" s="7"/>
      <c r="B23" s="84" t="str">
        <f>E.1项目运营期费用!C22</f>
        <v>第三方安全评估</v>
      </c>
      <c r="C23" s="7"/>
      <c r="D23" s="85">
        <f>E.1项目运营期费用!H22*'G.2进项增值税率-运营成本'!$C21/(1+'G.2进项增值税率-运营成本'!$C21)</f>
        <v>0</v>
      </c>
      <c r="E23" s="86">
        <f>E.1项目运营期费用!I22*'G.2进项增值税率-运营成本'!$C21/(1+'G.2进项增值税率-运营成本'!$C21)</f>
        <v>0.0792452830188679</v>
      </c>
      <c r="F23" s="86">
        <f>E.1项目运营期费用!J22*'G.2进项增值税率-运营成本'!$C21/(1+'G.2进项增值税率-运营成本'!$C21)</f>
        <v>0.0792452830188679</v>
      </c>
      <c r="G23" s="86">
        <f>E.1项目运营期费用!K22*'G.2进项增值税率-运营成本'!$C21/(1+'G.2进项增值税率-运营成本'!$C21)</f>
        <v>0.0905660377358491</v>
      </c>
      <c r="H23" s="86">
        <f>E.1项目运营期费用!L22*'G.2进项增值税率-运营成本'!$C21/(1+'G.2进项增值税率-运营成本'!$C21)</f>
        <v>0.10188679245283</v>
      </c>
      <c r="I23" s="86">
        <f>E.1项目运营期费用!M22*'G.2进项增值税率-运营成本'!$C21/(1+'G.2进项增值税率-运营成本'!$C21)</f>
        <v>0.113207547169811</v>
      </c>
      <c r="J23"/>
    </row>
    <row r="24" ht="16.5" spans="1:10">
      <c r="A24" s="7"/>
      <c r="B24" s="84" t="str">
        <f>E.1项目运营期费用!C23</f>
        <v>不可预见支出</v>
      </c>
      <c r="C24" s="7"/>
      <c r="D24" s="85">
        <f>E.1项目运营期费用!H23*'G.2进项增值税率-运营成本'!$C22/(1+'G.2进项增值税率-运营成本'!$C22)</f>
        <v>0</v>
      </c>
      <c r="E24" s="86">
        <f>E.1项目运营期费用!I23*'G.2进项增值税率-运营成本'!$C22/(1+'G.2进项增值税率-运营成本'!$C22)</f>
        <v>0</v>
      </c>
      <c r="F24" s="86">
        <f>E.1项目运营期费用!J23*'G.2进项增值税率-运营成本'!$C22/(1+'G.2进项增值税率-运营成本'!$C22)</f>
        <v>0</v>
      </c>
      <c r="G24" s="86">
        <f>E.1项目运营期费用!K23*'G.2进项增值税率-运营成本'!$C22/(1+'G.2进项增值税率-运营成本'!$C22)</f>
        <v>0</v>
      </c>
      <c r="H24" s="86">
        <f>E.1项目运营期费用!L23*'G.2进项增值税率-运营成本'!$C22/(1+'G.2进项增值税率-运营成本'!$C22)</f>
        <v>0</v>
      </c>
      <c r="I24" s="86">
        <f>E.1项目运营期费用!M23*'G.2进项增值税率-运营成本'!$C22/(1+'G.2进项增值税率-运营成本'!$C22)</f>
        <v>0</v>
      </c>
      <c r="J24"/>
    </row>
    <row r="25" ht="16.5" spans="1:10">
      <c r="A25" s="7">
        <v>2</v>
      </c>
      <c r="B25" s="7" t="s">
        <v>302</v>
      </c>
      <c r="C25" s="7"/>
      <c r="D25" s="88">
        <f t="shared" ref="D25:E25" si="3">SUM(D26:D28)</f>
        <v>0</v>
      </c>
      <c r="E25" s="54">
        <f t="shared" si="3"/>
        <v>27.6008308810801</v>
      </c>
      <c r="F25" s="54">
        <f t="shared" ref="F25:I25" si="4">SUM(F26:F28)</f>
        <v>42.9916565691535</v>
      </c>
      <c r="G25" s="54">
        <f t="shared" si="4"/>
        <v>53.7057850095205</v>
      </c>
      <c r="H25" s="54">
        <f t="shared" si="4"/>
        <v>54.5345311407305</v>
      </c>
      <c r="I25" s="54">
        <f t="shared" si="4"/>
        <v>55.2355125719231</v>
      </c>
      <c r="J25"/>
    </row>
    <row r="26" ht="16.5" spans="1:10">
      <c r="A26" s="7"/>
      <c r="B26" s="84" t="str">
        <f>F项目收入!B3</f>
        <v>租赁收入</v>
      </c>
      <c r="C26" s="7"/>
      <c r="D26" s="89">
        <f>F项目收入!D3*G.3销项增值税率!$C3/(1+G.3销项增值税率!$C3)</f>
        <v>0</v>
      </c>
      <c r="E26" s="41">
        <f>F项目收入!E3*G.3销项增值税率!$C3/(1+G.3销项增值税率!$C3)</f>
        <v>8.25688073394495</v>
      </c>
      <c r="F26" s="41">
        <f>F项目收入!F3*G.3销项增值税率!$C3/(1+G.3销项增值税率!$C3)</f>
        <v>13.2110091743119</v>
      </c>
      <c r="G26" s="41">
        <f>F项目收入!G3*G.3销项增值税率!$C3/(1+G.3销项增值税率!$C3)</f>
        <v>16.5137614678899</v>
      </c>
      <c r="H26" s="41">
        <f>F项目收入!H3*G.3销项增值税率!$C3/(1+G.3销项增值税率!$C3)</f>
        <v>16.5137614678899</v>
      </c>
      <c r="I26" s="41">
        <f>F项目收入!I3*G.3销项增值税率!$C3/(1+G.3销项增值税率!$C3)</f>
        <v>16.5137614678899</v>
      </c>
      <c r="J26"/>
    </row>
    <row r="27" ht="16.5" spans="1:10">
      <c r="A27" s="7"/>
      <c r="B27" s="84" t="str">
        <f>F项目收入!B5</f>
        <v>停车收入</v>
      </c>
      <c r="C27" s="7"/>
      <c r="D27" s="89">
        <f>F项目收入!D5*G.3销项增值税率!$C4/(1+G.3销项增值税率!$C4)</f>
        <v>0</v>
      </c>
      <c r="E27" s="41">
        <f>F项目收入!E5*G.3销项增值税率!$C4/(1+G.3销项增值税率!$C4)</f>
        <v>16.5137614678899</v>
      </c>
      <c r="F27" s="41">
        <f>F项目收入!F5*G.3销项增值税率!$C4/(1+G.3销项增值税率!$C4)</f>
        <v>26.9504587155963</v>
      </c>
      <c r="G27" s="41">
        <f>F项目收入!G5*G.3销项增值税率!$C4/(1+G.3销项增值税率!$C4)</f>
        <v>34.3618348623853</v>
      </c>
      <c r="H27" s="41">
        <f>F项目收入!H5*G.3销项增值税率!$C4/(1+G.3销项增值税率!$C4)</f>
        <v>35.049071559633</v>
      </c>
      <c r="I27" s="41">
        <f>F项目收入!I5*G.3销项增值税率!$C4/(1+G.3销项增值税率!$C4)</f>
        <v>35.7500529908257</v>
      </c>
      <c r="J27"/>
    </row>
    <row r="28" ht="16.5" spans="1:10">
      <c r="A28" s="7"/>
      <c r="B28" s="84" t="str">
        <f>F项目收入!B7</f>
        <v>充电桩收入</v>
      </c>
      <c r="C28" s="7"/>
      <c r="D28" s="89">
        <f>F项目收入!D7*G.3销项增值税率!$C5/(1+G.3销项增值税率!$C5)</f>
        <v>0</v>
      </c>
      <c r="E28" s="41">
        <f>F项目收入!E7*G.3销项增值税率!$C5/(1+G.3销项增值税率!$C5)</f>
        <v>2.83018867924528</v>
      </c>
      <c r="F28" s="41">
        <f>F项目收入!F7*G.3销项增值税率!$C5/(1+G.3销项增值税率!$C5)</f>
        <v>2.83018867924528</v>
      </c>
      <c r="G28" s="41">
        <f>F项目收入!G7*G.3销项增值税率!$C5/(1+G.3销项增值税率!$C5)</f>
        <v>2.83018867924528</v>
      </c>
      <c r="H28" s="41">
        <f>F项目收入!H7*G.3销项增值税率!$C5/(1+G.3销项增值税率!$C5)</f>
        <v>2.97169811320755</v>
      </c>
      <c r="I28" s="41">
        <f>F项目收入!I7*G.3销项增值税率!$C5/(1+G.3销项增值税率!$C5)</f>
        <v>2.97169811320755</v>
      </c>
      <c r="J28"/>
    </row>
    <row r="29" ht="16.5" spans="1:10">
      <c r="A29" s="7">
        <v>3</v>
      </c>
      <c r="B29" s="38" t="s">
        <v>303</v>
      </c>
      <c r="C29" s="7"/>
      <c r="D29" s="38">
        <v>0</v>
      </c>
      <c r="E29" s="54">
        <f>MAX(E25-E4-E3,0)</f>
        <v>0</v>
      </c>
      <c r="F29" s="54">
        <f t="shared" ref="F29:I29" si="5">MAX(F25-F4-F3,0)</f>
        <v>0</v>
      </c>
      <c r="G29" s="54">
        <f t="shared" si="5"/>
        <v>0</v>
      </c>
      <c r="H29" s="54">
        <f t="shared" si="5"/>
        <v>0</v>
      </c>
      <c r="I29" s="54">
        <f t="shared" si="5"/>
        <v>0</v>
      </c>
      <c r="J29"/>
    </row>
    <row r="30" ht="16.5" spans="1:10">
      <c r="A30" s="7">
        <v>4</v>
      </c>
      <c r="B30" s="38" t="s">
        <v>304</v>
      </c>
      <c r="C30" s="7"/>
      <c r="D30" s="38">
        <v>0</v>
      </c>
      <c r="E30" s="54">
        <f>E29*(A财务假设!$D$6+A财务假设!$D$7+A财务假设!$D$8)</f>
        <v>0</v>
      </c>
      <c r="F30" s="54">
        <f>F29*(A财务假设!$D$6+A财务假设!$D$7+A财务假设!$D$8)</f>
        <v>0</v>
      </c>
      <c r="G30" s="54">
        <f>G29*(A财务假设!$D$6+A财务假设!$D$7+A财务假设!$D$8)</f>
        <v>0</v>
      </c>
      <c r="H30" s="54">
        <f>H29*(A财务假设!$D$6+A财务假设!$D$7+A财务假设!$D$8)</f>
        <v>0</v>
      </c>
      <c r="I30" s="54">
        <f>I29*(A财务假设!$D$6+A财务假设!$D$7+A财务假设!$D$8)</f>
        <v>0</v>
      </c>
      <c r="J30"/>
    </row>
    <row r="31" ht="16.5" spans="1:10">
      <c r="A31" s="7"/>
      <c r="B31" s="7" t="s">
        <v>82</v>
      </c>
      <c r="C31" s="7"/>
      <c r="D31" s="38">
        <v>0</v>
      </c>
      <c r="E31" s="11">
        <f>E30+E29</f>
        <v>0</v>
      </c>
      <c r="F31" s="11">
        <f t="shared" ref="F31:I31" si="6">F30+F29</f>
        <v>0</v>
      </c>
      <c r="G31" s="11">
        <f t="shared" si="6"/>
        <v>0</v>
      </c>
      <c r="H31" s="11">
        <f t="shared" si="6"/>
        <v>0</v>
      </c>
      <c r="I31" s="11">
        <f t="shared" si="6"/>
        <v>0</v>
      </c>
      <c r="J31"/>
    </row>
    <row r="32" spans="10:10">
      <c r="J32"/>
    </row>
  </sheetData>
  <mergeCells count="1">
    <mergeCell ref="A1:I1"/>
  </mergeCells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tabColor rgb="FFFFFF00"/>
  </sheetPr>
  <dimension ref="A1:G21"/>
  <sheetViews>
    <sheetView zoomScale="70" zoomScaleNormal="70" workbookViewId="0">
      <selection activeCell="H22" sqref="H22"/>
    </sheetView>
  </sheetViews>
  <sheetFormatPr defaultColWidth="8.89090909090909" defaultRowHeight="28.05" customHeight="1" outlineLevelCol="6"/>
  <cols>
    <col min="1" max="1" width="8.89090909090909" style="53"/>
    <col min="2" max="2" width="17.6636363636364" style="53" customWidth="1"/>
    <col min="3" max="3" width="37.5545454545455" style="53" customWidth="1"/>
    <col min="4" max="4" width="15.1090909090909" style="53" customWidth="1"/>
    <col min="5" max="5" width="10.4454545454545" style="53" customWidth="1"/>
    <col min="6" max="6" width="14.8909090909091" style="53" customWidth="1"/>
    <col min="7" max="16384" width="8.89090909090909" style="53"/>
  </cols>
  <sheetData>
    <row r="1" customHeight="1" spans="1:7">
      <c r="A1" s="77" t="s">
        <v>305</v>
      </c>
      <c r="B1" s="78"/>
      <c r="C1" s="78"/>
      <c r="D1" s="78"/>
      <c r="E1" s="78"/>
      <c r="F1" s="79"/>
      <c r="G1" s="80" t="s">
        <v>306</v>
      </c>
    </row>
    <row r="2" customHeight="1" spans="1:6">
      <c r="A2" s="2" t="str">
        <f>D.3建设投资分年计划表!A2</f>
        <v>序号</v>
      </c>
      <c r="B2" s="2" t="str">
        <f>D.3建设投资分年计划表!B2</f>
        <v>分项费用</v>
      </c>
      <c r="C2" s="2" t="str">
        <f>D.3建设投资分年计划表!C2</f>
        <v>说明</v>
      </c>
      <c r="D2" s="2" t="str">
        <f>D.3建设投资分年计划表!D2</f>
        <v>金额</v>
      </c>
      <c r="E2" s="2" t="s">
        <v>263</v>
      </c>
      <c r="F2" s="2" t="s">
        <v>307</v>
      </c>
    </row>
    <row r="3" customHeight="1" spans="1:6">
      <c r="A3" s="7" t="str">
        <f>D.3建设投资分年计划表!A3</f>
        <v>一</v>
      </c>
      <c r="B3" s="7" t="str">
        <f>D.3建设投资分年计划表!B3</f>
        <v>工程建设费用</v>
      </c>
      <c r="C3" s="7" t="str">
        <f>IF(D.3建设投资分年计划表!C3=0,"",D.3建设投资分年计划表!C3)</f>
        <v/>
      </c>
      <c r="D3" s="41">
        <f>D.3建设投资分年计划表!D3</f>
        <v>1824</v>
      </c>
      <c r="E3" s="7" t="s">
        <v>105</v>
      </c>
      <c r="F3" s="13">
        <f>F4+F8</f>
        <v>188.28</v>
      </c>
    </row>
    <row r="4" customHeight="1" spans="1:6">
      <c r="A4" s="7">
        <f>D.3建设投资分年计划表!A4</f>
        <v>1</v>
      </c>
      <c r="B4" s="7" t="str">
        <f>D.3建设投资分年计划表!B4</f>
        <v>工程类费用</v>
      </c>
      <c r="C4" s="7" t="str">
        <f>IF(D.3建设投资分年计划表!C4=0,"",D.3建设投资分年计划表!C4)</f>
        <v/>
      </c>
      <c r="D4" s="41">
        <f>D.3建设投资分年计划表!D4</f>
        <v>1800</v>
      </c>
      <c r="E4" s="7" t="s">
        <v>105</v>
      </c>
      <c r="F4" s="13">
        <f>SUM(F5:F7)</f>
        <v>186</v>
      </c>
    </row>
    <row r="5" ht="112.95" customHeight="1" spans="1:6">
      <c r="A5" s="7">
        <f>D.3建设投资分年计划表!A5</f>
        <v>1.1</v>
      </c>
      <c r="B5" s="10" t="str">
        <f>D.3建设投资分年计划表!B5</f>
        <v>建筑工程费</v>
      </c>
      <c r="C5" s="81" t="str">
        <f>IF(D.3建设投资分年计划表!C5=0,"",D.3建设投资分年计划表!C5)</f>
        <v>建筑工程费分为直接费和间接费。其中，直接费是指直接与工程物料、施工人工、机器设备等有关的费用，例如建筑材料、人工工资、机械设备租赁费等。间接费则是指与工程间接有关的费用，包括施工单位管理费、安全费、教育培训费等。</v>
      </c>
      <c r="D5" s="41">
        <f>D.3建设投资分年计划表!D5</f>
        <v>600</v>
      </c>
      <c r="E5" s="72">
        <v>0.09</v>
      </c>
      <c r="F5" s="82">
        <f>D5*E5</f>
        <v>54</v>
      </c>
    </row>
    <row r="6" customHeight="1" spans="1:6">
      <c r="A6" s="7">
        <f>D.3建设投资分年计划表!A6</f>
        <v>1.2</v>
      </c>
      <c r="B6" s="10" t="str">
        <f>D.3建设投资分年计划表!B6</f>
        <v>设备购置费</v>
      </c>
      <c r="C6" s="7" t="str">
        <f>IF(D.3建设投资分年计划表!C6=0,"",D.3建设投资分年计划表!C6)</f>
        <v/>
      </c>
      <c r="D6" s="41">
        <f>D.3建设投资分年计划表!D6</f>
        <v>600</v>
      </c>
      <c r="E6" s="72">
        <v>0.13</v>
      </c>
      <c r="F6" s="13">
        <f>D6*E6</f>
        <v>78</v>
      </c>
    </row>
    <row r="7" ht="64.05" customHeight="1" spans="1:6">
      <c r="A7" s="7">
        <f>D.3建设投资分年计划表!A7</f>
        <v>1.3</v>
      </c>
      <c r="B7" s="10" t="str">
        <f>D.3建设投资分年计划表!B7</f>
        <v>安装工程费</v>
      </c>
      <c r="C7" s="81" t="str">
        <f>IF(D.3建设投资分年计划表!C7=0,"",D.3建设投资分年计划表!C7)</f>
        <v>指的是建筑工程中的管线安装、设备安装（如空调、电线、水管等），以及室内装修、园林绿化等方面的费用。</v>
      </c>
      <c r="D7" s="41">
        <f>D.3建设投资分年计划表!D7</f>
        <v>600</v>
      </c>
      <c r="E7" s="72">
        <v>0.09</v>
      </c>
      <c r="F7" s="13">
        <f>D7*E7</f>
        <v>54</v>
      </c>
    </row>
    <row r="8" customHeight="1" spans="1:6">
      <c r="A8" s="7">
        <f>D.3建设投资分年计划表!A8</f>
        <v>2</v>
      </c>
      <c r="B8" s="7" t="str">
        <f>D.3建设投资分年计划表!B8</f>
        <v>信息化建设费用</v>
      </c>
      <c r="C8" s="7" t="str">
        <f>IF(D.3建设投资分年计划表!C8=0,"",D.3建设投资分年计划表!C8)</f>
        <v/>
      </c>
      <c r="D8" s="41">
        <f>D.3建设投资分年计划表!D8</f>
        <v>24</v>
      </c>
      <c r="E8" s="7" t="s">
        <v>105</v>
      </c>
      <c r="F8" s="13">
        <f>SUM(F9:F12)</f>
        <v>2.28</v>
      </c>
    </row>
    <row r="9" customHeight="1" spans="1:6">
      <c r="A9" s="7">
        <f>D.3建设投资分年计划表!A9</f>
        <v>2.1</v>
      </c>
      <c r="B9" s="10" t="str">
        <f>D.3建设投资分年计划表!B9</f>
        <v>硬件类</v>
      </c>
      <c r="C9" s="7" t="str">
        <f>IF(D.3建设投资分年计划表!C9=0,"",D.3建设投资分年计划表!C9)</f>
        <v>包括服务器、存储、网络等设备</v>
      </c>
      <c r="D9" s="41">
        <f>D.3建设投资分年计划表!D9</f>
        <v>6</v>
      </c>
      <c r="E9" s="72">
        <v>0.13</v>
      </c>
      <c r="F9" s="13">
        <f>D9*E9</f>
        <v>0.78</v>
      </c>
    </row>
    <row r="10" customHeight="1" spans="1:6">
      <c r="A10" s="7">
        <f>D.3建设投资分年计划表!A10</f>
        <v>2.2</v>
      </c>
      <c r="B10" s="10" t="str">
        <f>D.3建设投资分年计划表!B10</f>
        <v>软件类</v>
      </c>
      <c r="C10" s="7" t="str">
        <f>IF(D.3建设投资分年计划表!C10=0,"",D.3建设投资分年计划表!C10)</f>
        <v/>
      </c>
      <c r="D10" s="41">
        <f>D.3建设投资分年计划表!D10</f>
        <v>6</v>
      </c>
      <c r="E10" s="72">
        <v>0.06</v>
      </c>
      <c r="F10" s="13">
        <f>D10*E10</f>
        <v>0.36</v>
      </c>
    </row>
    <row r="11" customHeight="1" spans="1:6">
      <c r="A11" s="7">
        <f>D.3建设投资分年计划表!A11</f>
        <v>2.3</v>
      </c>
      <c r="B11" s="10" t="str">
        <f>D.3建设投资分年计划表!B11</f>
        <v>安全类</v>
      </c>
      <c r="C11" s="7" t="str">
        <f>IF(D.3建设投资分年计划表!C11=0,"",D.3建设投资分年计划表!C11)</f>
        <v/>
      </c>
      <c r="D11" s="41">
        <f>D.3建设投资分年计划表!D11</f>
        <v>6</v>
      </c>
      <c r="E11" s="72">
        <v>0.13</v>
      </c>
      <c r="F11" s="13">
        <f>D11*E11</f>
        <v>0.78</v>
      </c>
    </row>
    <row r="12" customHeight="1" spans="1:6">
      <c r="A12" s="7">
        <f>D.3建设投资分年计划表!A12</f>
        <v>2.4</v>
      </c>
      <c r="B12" s="10" t="str">
        <f>D.3建设投资分年计划表!B12</f>
        <v>数据类</v>
      </c>
      <c r="C12" s="7" t="str">
        <f>IF(D.3建设投资分年计划表!C12=0,"",D.3建设投资分年计划表!C12)</f>
        <v/>
      </c>
      <c r="D12" s="41">
        <f>D.3建设投资分年计划表!D12</f>
        <v>6</v>
      </c>
      <c r="E12" s="72">
        <v>0.06</v>
      </c>
      <c r="F12" s="13">
        <f>D12*E12</f>
        <v>0.36</v>
      </c>
    </row>
    <row r="13" customHeight="1" spans="1:6">
      <c r="A13" s="7" t="str">
        <f>D.3建设投资分年计划表!A13</f>
        <v>二</v>
      </c>
      <c r="B13" s="7" t="str">
        <f>D.3建设投资分年计划表!B13</f>
        <v>工程建设其他费用</v>
      </c>
      <c r="C13" s="7" t="str">
        <f>IF(D.3建设投资分年计划表!C13=0,"",D.3建设投资分年计划表!C13)</f>
        <v/>
      </c>
      <c r="D13" s="41">
        <f>D.3建设投资分年计划表!D13</f>
        <v>24</v>
      </c>
      <c r="E13" s="7" t="s">
        <v>105</v>
      </c>
      <c r="F13" s="13">
        <f>SUM(F14:F18)</f>
        <v>1.44</v>
      </c>
    </row>
    <row r="14" customHeight="1" spans="1:6">
      <c r="A14" s="7">
        <f>D.3建设投资分年计划表!A14</f>
        <v>1</v>
      </c>
      <c r="B14" s="10" t="str">
        <f>D.3建设投资分年计划表!B14</f>
        <v>建设单位管理费</v>
      </c>
      <c r="C14" s="7" t="str">
        <f>IF(D.3建设投资分年计划表!C14=0,"",D.3建设投资分年计划表!C14)</f>
        <v/>
      </c>
      <c r="D14" s="41">
        <f>D.3建设投资分年计划表!D14</f>
        <v>6</v>
      </c>
      <c r="E14" s="72">
        <v>0.06</v>
      </c>
      <c r="F14" s="13">
        <f>D14*E14</f>
        <v>0.36</v>
      </c>
    </row>
    <row r="15" customHeight="1" spans="1:6">
      <c r="A15" s="7">
        <f>D.3建设投资分年计划表!A15</f>
        <v>2</v>
      </c>
      <c r="B15" s="10" t="str">
        <f>D.3建设投资分年计划表!B15</f>
        <v>前期咨询费</v>
      </c>
      <c r="C15" s="7" t="str">
        <f>IF(D.3建设投资分年计划表!C15=0,"",D.3建设投资分年计划表!C15)</f>
        <v/>
      </c>
      <c r="D15" s="41">
        <f>D.3建设投资分年计划表!D15</f>
        <v>6</v>
      </c>
      <c r="E15" s="72">
        <v>0.06</v>
      </c>
      <c r="F15" s="13">
        <f>D15*E15</f>
        <v>0.36</v>
      </c>
    </row>
    <row r="16" customHeight="1" spans="1:6">
      <c r="A16" s="7">
        <f>D.3建设投资分年计划表!A16</f>
        <v>3</v>
      </c>
      <c r="B16" s="10" t="str">
        <f>D.3建设投资分年计划表!B16</f>
        <v>工程设计费</v>
      </c>
      <c r="C16" s="7" t="str">
        <f>IF(D.3建设投资分年计划表!C16=0,"",D.3建设投资分年计划表!C16)</f>
        <v/>
      </c>
      <c r="D16" s="41">
        <f>D.3建设投资分年计划表!D16</f>
        <v>6</v>
      </c>
      <c r="E16" s="72">
        <v>0.06</v>
      </c>
      <c r="F16" s="13">
        <f>D16*E16</f>
        <v>0.36</v>
      </c>
    </row>
    <row r="17" customHeight="1" spans="1:6">
      <c r="A17" s="7">
        <f>D.3建设投资分年计划表!A17</f>
        <v>4</v>
      </c>
      <c r="B17" s="10" t="str">
        <f>D.3建设投资分年计划表!B17</f>
        <v>工程监理费</v>
      </c>
      <c r="C17" s="7" t="str">
        <f>IF(D.3建设投资分年计划表!C17=0,"",D.3建设投资分年计划表!C17)</f>
        <v/>
      </c>
      <c r="D17" s="41">
        <f>D.3建设投资分年计划表!D17</f>
        <v>6</v>
      </c>
      <c r="E17" s="72">
        <v>0.06</v>
      </c>
      <c r="F17" s="13">
        <f>D17*E17</f>
        <v>0.36</v>
      </c>
    </row>
    <row r="18" customHeight="1" spans="1:6">
      <c r="A18" s="7">
        <f>D.3建设投资分年计划表!A18</f>
        <v>5</v>
      </c>
      <c r="B18" s="10" t="str">
        <f>D.3建设投资分年计划表!B18</f>
        <v>......</v>
      </c>
      <c r="C18" s="7" t="str">
        <f>IF(D.3建设投资分年计划表!C18=0,"",D.3建设投资分年计划表!C18)</f>
        <v/>
      </c>
      <c r="D18" s="41">
        <f>D.3建设投资分年计划表!D18</f>
        <v>0</v>
      </c>
      <c r="E18" s="72">
        <v>0.06</v>
      </c>
      <c r="F18" s="13">
        <f>D18*E18</f>
        <v>0</v>
      </c>
    </row>
    <row r="19" customHeight="1" spans="1:6">
      <c r="A19" s="7" t="str">
        <f>D.3建设投资分年计划表!A19</f>
        <v>三</v>
      </c>
      <c r="B19" s="7" t="str">
        <f>D.3建设投资分年计划表!B19</f>
        <v>预备费</v>
      </c>
      <c r="C19" s="7" t="str">
        <f>IF(D.3建设投资分年计划表!C19=0,"",D.3建设投资分年计划表!C19)</f>
        <v/>
      </c>
      <c r="D19" s="41">
        <f>D.3建设投资分年计划表!D19</f>
        <v>6</v>
      </c>
      <c r="E19" s="7" t="s">
        <v>105</v>
      </c>
      <c r="F19" s="13">
        <f>F20</f>
        <v>0</v>
      </c>
    </row>
    <row r="20" customHeight="1" spans="1:6">
      <c r="A20" s="7">
        <f>D.3建设投资分年计划表!A20</f>
        <v>1</v>
      </c>
      <c r="B20" s="7" t="str">
        <f>D.3建设投资分年计划表!B20</f>
        <v>基本预备费</v>
      </c>
      <c r="C20" s="7" t="str">
        <f>IF(D.3建设投资分年计划表!C20=0,"",D.3建设投资分年计划表!C20)</f>
        <v/>
      </c>
      <c r="D20" s="41">
        <f>D.3建设投资分年计划表!D20</f>
        <v>6</v>
      </c>
      <c r="E20" s="72">
        <v>0</v>
      </c>
      <c r="F20" s="13">
        <f>D20*E20</f>
        <v>0</v>
      </c>
    </row>
    <row r="21" customHeight="1" spans="1:6">
      <c r="A21" s="7"/>
      <c r="B21" s="7" t="s">
        <v>308</v>
      </c>
      <c r="C21" s="7"/>
      <c r="D21" s="7"/>
      <c r="E21" s="7"/>
      <c r="F21" s="13">
        <f>F3+F13+F19</f>
        <v>189.72</v>
      </c>
    </row>
  </sheetData>
  <mergeCells count="2">
    <mergeCell ref="A1:F1"/>
    <mergeCell ref="B21:C21"/>
  </mergeCell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tabColor rgb="FFFFFF00"/>
  </sheetPr>
  <dimension ref="A1:D22"/>
  <sheetViews>
    <sheetView zoomScale="70" zoomScaleNormal="70" workbookViewId="0">
      <selection activeCell="E11" sqref="E11"/>
    </sheetView>
  </sheetViews>
  <sheetFormatPr defaultColWidth="8.89090909090909" defaultRowHeight="28.05" customHeight="1" outlineLevelCol="3"/>
  <cols>
    <col min="2" max="2" width="67.5545454545454" customWidth="1"/>
    <col min="3" max="3" width="20.3363636363636" customWidth="1"/>
    <col min="4" max="4" width="14.3363636363636" customWidth="1"/>
  </cols>
  <sheetData>
    <row r="1" ht="31.8" customHeight="1" spans="1:4">
      <c r="A1" s="73" t="s">
        <v>309</v>
      </c>
      <c r="B1" s="74"/>
      <c r="C1" s="75"/>
      <c r="D1" s="28" t="s">
        <v>310</v>
      </c>
    </row>
    <row r="2" customHeight="1" spans="1:3">
      <c r="A2" s="2" t="str">
        <f>E.1项目运营期费用!B2</f>
        <v>序号</v>
      </c>
      <c r="B2" s="2" t="str">
        <f>E.1项目运营期费用!C2</f>
        <v>科目</v>
      </c>
      <c r="C2" s="2" t="s">
        <v>263</v>
      </c>
    </row>
    <row r="3" customHeight="1" spans="1:3">
      <c r="A3" s="10">
        <f>E.1项目运营期费用!B4</f>
        <v>1</v>
      </c>
      <c r="B3" s="10" t="str">
        <f>E.1项目运营期费用!C4</f>
        <v>场地租金</v>
      </c>
      <c r="C3" s="72">
        <v>0.09</v>
      </c>
    </row>
    <row r="4" ht="27.6" customHeight="1" spans="1:3">
      <c r="A4" s="10">
        <f>E.1项目运营期费用!B5</f>
        <v>2</v>
      </c>
      <c r="B4" s="10" t="str">
        <f>E.1项目运营期费用!C5</f>
        <v>场地日常维护（停机坪/起降场/交通枢纽/飞行营地/指挥中心等）</v>
      </c>
      <c r="C4" s="72">
        <v>0.06</v>
      </c>
    </row>
    <row r="5" customHeight="1" spans="1:3">
      <c r="A5" s="10">
        <f>E.1项目运营期费用!B6</f>
        <v>3</v>
      </c>
      <c r="B5" s="10" t="str">
        <f>E.1项目运营期费用!C6</f>
        <v>消防设施年检</v>
      </c>
      <c r="C5" s="72">
        <v>0.06</v>
      </c>
    </row>
    <row r="6" customHeight="1" spans="1:3">
      <c r="A6" s="10">
        <f>E.1项目运营期费用!B7</f>
        <v>4</v>
      </c>
      <c r="B6" s="10" t="str">
        <f>E.1项目运营期费用!C7</f>
        <v>防鸟措施（驱鸟器维护）</v>
      </c>
      <c r="C6" s="72">
        <v>0.06</v>
      </c>
    </row>
    <row r="7" customHeight="1" spans="1:3">
      <c r="A7" s="10">
        <f>E.1项目运营期费用!B8</f>
        <v>5</v>
      </c>
      <c r="B7" s="10" t="str">
        <f>E.1项目运营期费用!C8</f>
        <v>飞行器能耗</v>
      </c>
      <c r="C7" s="72">
        <v>0.13</v>
      </c>
    </row>
    <row r="8" customHeight="1" spans="1:3">
      <c r="A8" s="10">
        <f>E.1项目运营期费用!B9</f>
        <v>6</v>
      </c>
      <c r="B8" s="10" t="str">
        <f>E.1项目运营期费用!C9</f>
        <v>核心设备电力能耗</v>
      </c>
      <c r="C8" s="72">
        <v>0.13</v>
      </c>
    </row>
    <row r="9" customHeight="1" spans="1:4">
      <c r="A9" s="10">
        <f>E.1项目运营期费用!B10</f>
        <v>7</v>
      </c>
      <c r="B9" s="10" t="str">
        <f>E.1项目运营期费用!C10</f>
        <v>水电能耗</v>
      </c>
      <c r="C9" s="72">
        <v>0.09</v>
      </c>
      <c r="D9" s="76"/>
    </row>
    <row r="10" customHeight="1" spans="1:3">
      <c r="A10" s="10">
        <f>E.1项目运营期费用!B11</f>
        <v>8</v>
      </c>
      <c r="B10" s="10" t="str">
        <f>E.1项目运营期费用!C11</f>
        <v>网络通信费用</v>
      </c>
      <c r="C10" s="72">
        <v>0.09</v>
      </c>
    </row>
    <row r="11" customHeight="1" spans="1:3">
      <c r="A11" s="10">
        <f>E.1项目运营期费用!B12</f>
        <v>9</v>
      </c>
      <c r="B11" s="10" t="str">
        <f>E.1项目运营期费用!C12</f>
        <v>硬件设备维护</v>
      </c>
      <c r="C11" s="72">
        <v>0.13</v>
      </c>
    </row>
    <row r="12" customHeight="1" spans="1:3">
      <c r="A12" s="10">
        <f>E.1项目运营期费用!B13</f>
        <v>10</v>
      </c>
      <c r="B12" s="10" t="str">
        <f>E.1项目运营期费用!C13</f>
        <v>备品备件储备</v>
      </c>
      <c r="C12" s="72">
        <v>0.13</v>
      </c>
    </row>
    <row r="13" customHeight="1" spans="1:3">
      <c r="A13" s="10">
        <f>E.1项目运营期费用!B14</f>
        <v>11</v>
      </c>
      <c r="B13" s="10" t="str">
        <f>E.1项目运营期费用!C14</f>
        <v>软件维护</v>
      </c>
      <c r="C13" s="72">
        <v>0.06</v>
      </c>
    </row>
    <row r="14" customHeight="1" spans="1:3">
      <c r="A14" s="10">
        <f>E.1项目运营期费用!B15</f>
        <v>12</v>
      </c>
      <c r="B14" s="10" t="str">
        <f>E.1项目运营期费用!C15</f>
        <v>营销及活动</v>
      </c>
      <c r="C14" s="72">
        <v>0.06</v>
      </c>
    </row>
    <row r="15" customHeight="1" spans="1:3">
      <c r="A15" s="10">
        <f>E.1项目运营期费用!B16</f>
        <v>13</v>
      </c>
      <c r="B15" s="10" t="str">
        <f>E.1项目运营期费用!C16</f>
        <v>人员薪酬</v>
      </c>
      <c r="C15" s="72">
        <v>0</v>
      </c>
    </row>
    <row r="16" customHeight="1" spans="1:3">
      <c r="A16" s="10">
        <f>E.1项目运营期费用!B17</f>
        <v>14</v>
      </c>
      <c r="B16" s="10" t="str">
        <f>E.1项目运营期费用!C17</f>
        <v>培训与资质认证</v>
      </c>
      <c r="C16" s="72">
        <v>0.06</v>
      </c>
    </row>
    <row r="17" customHeight="1" spans="1:3">
      <c r="A17" s="10">
        <f>E.1项目运营期费用!B18</f>
        <v>15</v>
      </c>
      <c r="B17" s="10" t="str">
        <f>E.1项目运营期费用!C18</f>
        <v>办公与行政支出</v>
      </c>
      <c r="C17" s="72">
        <v>0.13</v>
      </c>
    </row>
    <row r="18" customHeight="1" spans="1:3">
      <c r="A18" s="10">
        <f>E.1项目运营期费用!B19</f>
        <v>16</v>
      </c>
      <c r="B18" s="10" t="str">
        <f>E.1项目运营期费用!C19</f>
        <v>空域使用审批费</v>
      </c>
      <c r="C18" s="72">
        <v>0</v>
      </c>
    </row>
    <row r="19" customHeight="1" spans="1:3">
      <c r="A19" s="10">
        <f>E.1项目运营期费用!B20</f>
        <v>17</v>
      </c>
      <c r="B19" s="10" t="str">
        <f>E.1项目运营期费用!C20</f>
        <v>场地责任险</v>
      </c>
      <c r="C19" s="72">
        <v>0.06</v>
      </c>
    </row>
    <row r="20" customHeight="1" spans="1:3">
      <c r="A20" s="10">
        <f>E.1项目运营期费用!B21</f>
        <v>18</v>
      </c>
      <c r="B20" s="10" t="str">
        <f>E.1项目运营期费用!C21</f>
        <v>安全演练与应急处置</v>
      </c>
      <c r="C20" s="72">
        <v>0.06</v>
      </c>
    </row>
    <row r="21" customHeight="1" spans="1:3">
      <c r="A21" s="10">
        <f>E.1项目运营期费用!B22</f>
        <v>19</v>
      </c>
      <c r="B21" s="10" t="str">
        <f>E.1项目运营期费用!C22</f>
        <v>第三方安全评估</v>
      </c>
      <c r="C21" s="72">
        <v>0.06</v>
      </c>
    </row>
    <row r="22" customHeight="1" spans="1:3">
      <c r="A22" s="10">
        <f>E.1项目运营期费用!B23</f>
        <v>20</v>
      </c>
      <c r="B22" s="10" t="str">
        <f>E.1项目运营期费用!C23</f>
        <v>不可预见支出</v>
      </c>
      <c r="C22" s="72">
        <v>0</v>
      </c>
    </row>
  </sheetData>
  <mergeCells count="1">
    <mergeCell ref="A1:C1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rgb="FFFFFF00"/>
  </sheetPr>
  <dimension ref="A1:D12"/>
  <sheetViews>
    <sheetView workbookViewId="0">
      <selection activeCell="M13" sqref="M13"/>
    </sheetView>
  </sheetViews>
  <sheetFormatPr defaultColWidth="8.89090909090909" defaultRowHeight="28.05" customHeight="1" outlineLevelCol="3"/>
  <cols>
    <col min="2" max="2" width="27.4454545454545" customWidth="1"/>
    <col min="3" max="3" width="14.7818181818182" customWidth="1"/>
  </cols>
  <sheetData>
    <row r="1" ht="20" spans="1:4">
      <c r="A1" s="71" t="s">
        <v>311</v>
      </c>
      <c r="B1" s="40"/>
      <c r="C1" s="40"/>
      <c r="D1" s="28" t="s">
        <v>312</v>
      </c>
    </row>
    <row r="2" customHeight="1" spans="1:3">
      <c r="A2" s="2" t="s">
        <v>1</v>
      </c>
      <c r="B2" s="2" t="s">
        <v>269</v>
      </c>
      <c r="C2" s="2" t="s">
        <v>263</v>
      </c>
    </row>
    <row r="3" customHeight="1" spans="1:3">
      <c r="A3" s="10">
        <v>1</v>
      </c>
      <c r="B3" s="10" t="s">
        <v>282</v>
      </c>
      <c r="C3" s="72">
        <v>0.09</v>
      </c>
    </row>
    <row r="4" customHeight="1" spans="1:3">
      <c r="A4" s="10">
        <v>2</v>
      </c>
      <c r="B4" s="10" t="s">
        <v>285</v>
      </c>
      <c r="C4" s="72">
        <v>0.09</v>
      </c>
    </row>
    <row r="5" customHeight="1" spans="1:3">
      <c r="A5" s="10">
        <v>3</v>
      </c>
      <c r="B5" s="10" t="s">
        <v>287</v>
      </c>
      <c r="C5" s="72">
        <v>0.06</v>
      </c>
    </row>
    <row r="6" customHeight="1" spans="1:3">
      <c r="A6" s="10">
        <v>4</v>
      </c>
      <c r="B6" s="10" t="s">
        <v>289</v>
      </c>
      <c r="C6" s="72">
        <v>0.06</v>
      </c>
    </row>
    <row r="7" customHeight="1" spans="1:3">
      <c r="A7" s="10">
        <v>5</v>
      </c>
      <c r="B7" s="10" t="s">
        <v>313</v>
      </c>
      <c r="C7" s="72">
        <v>0.06</v>
      </c>
    </row>
    <row r="8" customHeight="1" spans="1:3">
      <c r="A8" s="10">
        <v>6</v>
      </c>
      <c r="B8" s="10" t="s">
        <v>314</v>
      </c>
      <c r="C8" s="72">
        <v>0.06</v>
      </c>
    </row>
    <row r="9" customHeight="1" spans="1:3">
      <c r="A9" s="10">
        <v>7</v>
      </c>
      <c r="B9" s="10" t="s">
        <v>315</v>
      </c>
      <c r="C9" s="72">
        <v>0.06</v>
      </c>
    </row>
    <row r="10" customHeight="1" spans="1:3">
      <c r="A10" s="10">
        <v>8</v>
      </c>
      <c r="B10" s="10" t="s">
        <v>316</v>
      </c>
      <c r="C10" s="72">
        <v>0.06</v>
      </c>
    </row>
    <row r="11" customHeight="1" spans="1:3">
      <c r="A11" s="10">
        <v>9</v>
      </c>
      <c r="B11" s="10" t="s">
        <v>317</v>
      </c>
      <c r="C11" s="72">
        <v>0.06</v>
      </c>
    </row>
    <row r="12" customHeight="1" spans="1:3">
      <c r="A12" s="10">
        <v>10</v>
      </c>
      <c r="B12" s="10" t="s">
        <v>318</v>
      </c>
      <c r="C12" s="72">
        <v>0.06</v>
      </c>
    </row>
  </sheetData>
  <mergeCells count="1">
    <mergeCell ref="A1:C1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tabColor rgb="FFFFC000"/>
  </sheetPr>
  <dimension ref="A1:R31"/>
  <sheetViews>
    <sheetView zoomScale="75" zoomScaleNormal="75" workbookViewId="0">
      <pane xSplit="3" ySplit="2" topLeftCell="D3" activePane="bottomRight" state="frozen"/>
      <selection/>
      <selection pane="topRight"/>
      <selection pane="bottomLeft"/>
      <selection pane="bottomRight" activeCell="C31" sqref="C31"/>
    </sheetView>
  </sheetViews>
  <sheetFormatPr defaultColWidth="8.89090909090909" defaultRowHeight="14"/>
  <cols>
    <col min="1" max="1" width="6" customWidth="1"/>
    <col min="2" max="2" width="35.5545454545455" customWidth="1"/>
    <col min="3" max="3" width="11.5545454545455" customWidth="1"/>
    <col min="4" max="5" width="10.2181818181818" customWidth="1"/>
    <col min="6" max="6" width="11.5545454545455" customWidth="1"/>
    <col min="7" max="9" width="10.2181818181818" customWidth="1"/>
    <col min="10" max="10" width="23.8909090909091" customWidth="1"/>
  </cols>
  <sheetData>
    <row r="1" ht="22.5" spans="1:9">
      <c r="A1" s="62" t="s">
        <v>319</v>
      </c>
      <c r="B1" s="62"/>
      <c r="C1" s="62"/>
      <c r="D1" s="62"/>
      <c r="E1" s="62"/>
      <c r="F1" s="62"/>
      <c r="G1" s="62"/>
      <c r="H1" s="62"/>
      <c r="I1" s="62"/>
    </row>
    <row r="2" ht="16.5" spans="1:9">
      <c r="A2" s="2" t="s">
        <v>1</v>
      </c>
      <c r="B2" s="2" t="s">
        <v>138</v>
      </c>
      <c r="C2" s="2" t="s">
        <v>82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36">
        <v>2030</v>
      </c>
    </row>
    <row r="3" ht="16.5" spans="1:9">
      <c r="A3" s="7">
        <v>1</v>
      </c>
      <c r="B3" s="7" t="s">
        <v>320</v>
      </c>
      <c r="C3" s="11">
        <f t="shared" ref="C3:C18" si="0">SUM(D3:I3)</f>
        <v>2801.63294764268</v>
      </c>
      <c r="D3" s="13">
        <f t="shared" ref="D3" si="1">SUM(D4:D7)</f>
        <v>0</v>
      </c>
      <c r="E3" s="13">
        <f t="shared" ref="E3:I3" si="2">SUM(E4:E7)</f>
        <v>322.39916911892</v>
      </c>
      <c r="F3" s="13">
        <f t="shared" si="2"/>
        <v>493.408343430846</v>
      </c>
      <c r="G3" s="13">
        <f t="shared" si="2"/>
        <v>612.454214990479</v>
      </c>
      <c r="H3" s="13">
        <f t="shared" si="2"/>
        <v>622.448668859269</v>
      </c>
      <c r="I3" s="13">
        <f t="shared" si="2"/>
        <v>750.922551243163</v>
      </c>
    </row>
    <row r="4" ht="16.5" spans="1:11">
      <c r="A4" s="7">
        <v>1.1</v>
      </c>
      <c r="B4" s="7" t="s">
        <v>321</v>
      </c>
      <c r="C4" s="11">
        <f t="shared" si="0"/>
        <v>2680.94774782759</v>
      </c>
      <c r="D4" s="11">
        <f>F项目收入!D12-F项目收入!D10</f>
        <v>0</v>
      </c>
      <c r="E4" s="11">
        <f>F项目收入!E12-F项目收入!E10</f>
        <v>322.39916911892</v>
      </c>
      <c r="F4" s="11">
        <f>F项目收入!F12-F项目收入!F10</f>
        <v>493.408343430846</v>
      </c>
      <c r="G4" s="11">
        <f>F项目收入!G12-F项目收入!G10</f>
        <v>612.454214990479</v>
      </c>
      <c r="H4" s="11">
        <f>F项目收入!H12-F项目收入!H10</f>
        <v>622.448668859269</v>
      </c>
      <c r="I4" s="11">
        <f>F项目收入!I12-F项目收入!I10</f>
        <v>630.237351428077</v>
      </c>
      <c r="K4" s="45"/>
    </row>
    <row r="5" ht="16.5" spans="1:11">
      <c r="A5" s="7">
        <v>1.2</v>
      </c>
      <c r="B5" s="7" t="s">
        <v>274</v>
      </c>
      <c r="C5" s="11">
        <f t="shared" si="0"/>
        <v>0</v>
      </c>
      <c r="D5" s="54">
        <f>F项目收入!D10</f>
        <v>0</v>
      </c>
      <c r="E5" s="54">
        <f>F项目收入!E10</f>
        <v>0</v>
      </c>
      <c r="F5" s="54">
        <f>F项目收入!F10</f>
        <v>0</v>
      </c>
      <c r="G5" s="54">
        <f>F项目收入!G10</f>
        <v>0</v>
      </c>
      <c r="H5" s="54">
        <f>F项目收入!H10</f>
        <v>0</v>
      </c>
      <c r="I5" s="54">
        <v>0</v>
      </c>
      <c r="K5" s="45"/>
    </row>
    <row r="6" ht="16.5" spans="1:11">
      <c r="A6" s="7">
        <v>1.3</v>
      </c>
      <c r="B6" s="7" t="s">
        <v>322</v>
      </c>
      <c r="C6" s="11">
        <f t="shared" si="0"/>
        <v>106.8558396567</v>
      </c>
      <c r="D6" s="13" t="s">
        <v>105</v>
      </c>
      <c r="E6" s="13" t="s">
        <v>105</v>
      </c>
      <c r="F6" s="13" t="s">
        <v>105</v>
      </c>
      <c r="G6" s="13" t="s">
        <v>105</v>
      </c>
      <c r="H6" s="13" t="s">
        <v>105</v>
      </c>
      <c r="I6" s="11">
        <f>E.2固定资产折旧费估算表!C7*A财务假设!$D$12</f>
        <v>106.8558396567</v>
      </c>
      <c r="K6" s="45"/>
    </row>
    <row r="7" ht="16.5" spans="1:11">
      <c r="A7" s="7">
        <v>1.4</v>
      </c>
      <c r="B7" s="7" t="s">
        <v>323</v>
      </c>
      <c r="C7" s="11">
        <f t="shared" si="0"/>
        <v>13.8293601583861</v>
      </c>
      <c r="D7" s="13" t="s">
        <v>105</v>
      </c>
      <c r="E7" s="13" t="s">
        <v>105</v>
      </c>
      <c r="F7" s="13" t="s">
        <v>105</v>
      </c>
      <c r="G7" s="13" t="s">
        <v>105</v>
      </c>
      <c r="H7" s="13" t="s">
        <v>105</v>
      </c>
      <c r="I7" s="11">
        <f>D.4流动资金估算表!J13</f>
        <v>13.8293601583861</v>
      </c>
      <c r="K7" s="45"/>
    </row>
    <row r="8" ht="16.5" spans="1:11">
      <c r="A8" s="7">
        <v>2</v>
      </c>
      <c r="B8" s="7" t="s">
        <v>324</v>
      </c>
      <c r="C8" s="11">
        <f t="shared" si="0"/>
        <v>2330.10930017809</v>
      </c>
      <c r="D8" s="13">
        <f t="shared" ref="D8" si="3">SUM(D9:D14)</f>
        <v>288.84239147918</v>
      </c>
      <c r="E8" s="13">
        <f t="shared" ref="E8:I8" si="4">SUM(E9:E14)</f>
        <v>678.170848832215</v>
      </c>
      <c r="F8" s="13">
        <f t="shared" si="4"/>
        <v>941.363196932472</v>
      </c>
      <c r="G8" s="13">
        <f t="shared" si="4"/>
        <v>125.03503385766</v>
      </c>
      <c r="H8" s="13">
        <f t="shared" si="4"/>
        <v>140.13602721511</v>
      </c>
      <c r="I8" s="13">
        <f t="shared" si="4"/>
        <v>156.561801861449</v>
      </c>
      <c r="K8" s="45"/>
    </row>
    <row r="9" ht="16.5" spans="1:9">
      <c r="A9" s="7">
        <v>2.1</v>
      </c>
      <c r="B9" s="7" t="s">
        <v>88</v>
      </c>
      <c r="C9" s="11">
        <f t="shared" si="0"/>
        <v>1682.47261569759</v>
      </c>
      <c r="D9" s="13">
        <f>E.4建设投资税后金额表!H21</f>
        <v>288.84239147918</v>
      </c>
      <c r="E9" s="13">
        <f>E.4建设投资税后金额表!I21</f>
        <v>560.824205232529</v>
      </c>
      <c r="F9" s="13">
        <f>E.4建设投资税后金额表!J21</f>
        <v>832.806018985878</v>
      </c>
      <c r="G9" s="13">
        <f>E.4建设投资税后金额表!K21</f>
        <v>0</v>
      </c>
      <c r="H9" s="13">
        <f>E.4建设投资税后金额表!L21</f>
        <v>0</v>
      </c>
      <c r="I9" s="13">
        <f>E.4建设投资税后金额表!M21</f>
        <v>0</v>
      </c>
    </row>
    <row r="10" ht="16.5" spans="1:9">
      <c r="A10" s="7">
        <v>2.2</v>
      </c>
      <c r="B10" s="7" t="s">
        <v>90</v>
      </c>
      <c r="C10" s="11">
        <f t="shared" si="0"/>
        <v>13.8293601583861</v>
      </c>
      <c r="D10" s="13">
        <f>D.2项目总投资使用计划与资金筹措表!D6</f>
        <v>0</v>
      </c>
      <c r="E10" s="13">
        <f>D.2项目总投资使用计划与资金筹措表!E6</f>
        <v>9.31872676420362</v>
      </c>
      <c r="F10" s="13">
        <f>D.2项目总投资使用计划与资金筹措表!F6</f>
        <v>0.518661111111111</v>
      </c>
      <c r="G10" s="13">
        <f>D.2项目总投资使用计划与资金筹措表!G6</f>
        <v>1.55366033139417</v>
      </c>
      <c r="H10" s="13">
        <f>D.2项目总投资使用计划与资金筹措表!H6</f>
        <v>1.22239699806083</v>
      </c>
      <c r="I10" s="13">
        <f>D.2项目总投资使用计划与资金筹措表!I6</f>
        <v>1.21591495361639</v>
      </c>
    </row>
    <row r="11" ht="16.5" spans="1:9">
      <c r="A11" s="7">
        <v>2.3</v>
      </c>
      <c r="B11" s="7" t="s">
        <v>325</v>
      </c>
      <c r="C11" s="11">
        <f t="shared" si="0"/>
        <v>632.807324322113</v>
      </c>
      <c r="D11" s="13">
        <f>E总成本费用估算表!C11</f>
        <v>0</v>
      </c>
      <c r="E11" s="13">
        <f>E总成本费用估算表!D11</f>
        <v>108.027916835483</v>
      </c>
      <c r="F11" s="13">
        <f>E总成本费用估算表!E11</f>
        <v>108.038516835483</v>
      </c>
      <c r="G11" s="13">
        <f>E总成本费用估算表!F11</f>
        <v>123.481373526266</v>
      </c>
      <c r="H11" s="13">
        <f>E总成本费用估算表!G11</f>
        <v>138.913630217049</v>
      </c>
      <c r="I11" s="13">
        <f>E总成本费用估算表!H11</f>
        <v>154.345886907833</v>
      </c>
    </row>
    <row r="12" ht="16.5" spans="1:9">
      <c r="A12" s="7">
        <v>2.4</v>
      </c>
      <c r="B12" s="7" t="s">
        <v>326</v>
      </c>
      <c r="C12" s="11">
        <f t="shared" si="0"/>
        <v>0</v>
      </c>
      <c r="D12" s="54">
        <f>G.税金及附加测算表!D30</f>
        <v>0</v>
      </c>
      <c r="E12" s="54">
        <f>G.税金及附加测算表!E30</f>
        <v>0</v>
      </c>
      <c r="F12" s="54">
        <f>G.税金及附加测算表!F30</f>
        <v>0</v>
      </c>
      <c r="G12" s="54">
        <f>G.税金及附加测算表!G30</f>
        <v>0</v>
      </c>
      <c r="H12" s="54">
        <f>G.税金及附加测算表!H30</f>
        <v>0</v>
      </c>
      <c r="I12" s="54">
        <f>G.税金及附加测算表!I30</f>
        <v>0</v>
      </c>
    </row>
    <row r="13" ht="16.5" spans="1:9">
      <c r="A13" s="7">
        <v>2.5</v>
      </c>
      <c r="B13" s="7" t="s">
        <v>327</v>
      </c>
      <c r="C13" s="11">
        <f t="shared" si="0"/>
        <v>0</v>
      </c>
      <c r="D13" s="54">
        <f>G.税金及附加测算表!D29</f>
        <v>0</v>
      </c>
      <c r="E13" s="54">
        <f>G.税金及附加测算表!E29</f>
        <v>0</v>
      </c>
      <c r="F13" s="54">
        <f>G.税金及附加测算表!F29</f>
        <v>0</v>
      </c>
      <c r="G13" s="54">
        <f>G.税金及附加测算表!G29</f>
        <v>0</v>
      </c>
      <c r="H13" s="54">
        <f>G.税金及附加测算表!H29</f>
        <v>0</v>
      </c>
      <c r="I13" s="54">
        <f>G.税金及附加测算表!I29</f>
        <v>0</v>
      </c>
    </row>
    <row r="14" ht="16.5" spans="1:9">
      <c r="A14" s="7">
        <v>2.6</v>
      </c>
      <c r="B14" s="7" t="s">
        <v>328</v>
      </c>
      <c r="C14" s="11">
        <f t="shared" si="0"/>
        <v>1</v>
      </c>
      <c r="D14" s="41">
        <v>0</v>
      </c>
      <c r="E14" s="41">
        <v>0</v>
      </c>
      <c r="F14" s="41">
        <v>0</v>
      </c>
      <c r="G14" s="41">
        <v>0</v>
      </c>
      <c r="H14" s="41">
        <v>0</v>
      </c>
      <c r="I14" s="41">
        <v>1</v>
      </c>
    </row>
    <row r="15" ht="16.5" spans="1:11">
      <c r="A15" s="7">
        <v>3</v>
      </c>
      <c r="B15" s="7" t="s">
        <v>329</v>
      </c>
      <c r="C15" s="11">
        <f t="shared" si="0"/>
        <v>471.523647464592</v>
      </c>
      <c r="D15" s="13">
        <f t="shared" ref="D15" si="5">D3-D8</f>
        <v>-288.84239147918</v>
      </c>
      <c r="E15" s="13">
        <f t="shared" ref="E15:I15" si="6">E3-E8</f>
        <v>-355.771679713295</v>
      </c>
      <c r="F15" s="13">
        <f t="shared" si="6"/>
        <v>-447.954853501625</v>
      </c>
      <c r="G15" s="13">
        <f t="shared" si="6"/>
        <v>487.419181132819</v>
      </c>
      <c r="H15" s="13">
        <f t="shared" si="6"/>
        <v>482.312641644159</v>
      </c>
      <c r="I15" s="13">
        <f t="shared" ref="I15" si="7">I3-I8</f>
        <v>594.360749381714</v>
      </c>
      <c r="K15" s="45"/>
    </row>
    <row r="16" ht="16.5" spans="1:11">
      <c r="A16" s="7">
        <v>4</v>
      </c>
      <c r="B16" s="7" t="s">
        <v>330</v>
      </c>
      <c r="C16" s="11">
        <f t="shared" si="0"/>
        <v>-2282.48858537956</v>
      </c>
      <c r="D16" s="13">
        <f>D15</f>
        <v>-288.84239147918</v>
      </c>
      <c r="E16" s="13">
        <f>E15+D16</f>
        <v>-644.614071192475</v>
      </c>
      <c r="F16" s="13">
        <f t="shared" ref="F16:I16" si="8">F15+E16</f>
        <v>-1092.5689246941</v>
      </c>
      <c r="G16" s="13">
        <f t="shared" si="8"/>
        <v>-605.149743561281</v>
      </c>
      <c r="H16" s="13">
        <f t="shared" si="8"/>
        <v>-122.837101917122</v>
      </c>
      <c r="I16" s="13">
        <f t="shared" si="8"/>
        <v>471.523647464592</v>
      </c>
      <c r="K16" s="45"/>
    </row>
    <row r="17" s="39" customFormat="1" ht="16.5" spans="1:18">
      <c r="A17" s="43">
        <v>5</v>
      </c>
      <c r="B17" s="43" t="s">
        <v>331</v>
      </c>
      <c r="C17" s="11">
        <f t="shared" si="0"/>
        <v>540.937654049435</v>
      </c>
      <c r="D17" s="54">
        <f>'b利润与利润分配表（损益和利润分配表）'!D25*A财务假设!$D$9</f>
        <v>3.96533333333333</v>
      </c>
      <c r="E17" s="54">
        <f>'b利润与利润分配表（损益和利润分配表）'!E25*A财务假设!$D$9</f>
        <v>80.7274448126124</v>
      </c>
      <c r="F17" s="54">
        <f>'b利润与利润分配表（损益和利润分配表）'!F25*A财务假设!$D$9</f>
        <v>168.757339543871</v>
      </c>
      <c r="G17" s="54">
        <f>'b利润与利润分配表（损益和利润分配表）'!G25*A财务假设!$D$9</f>
        <v>97.3724437670364</v>
      </c>
      <c r="H17" s="54">
        <f>'b利润与利润分配表（损益和利润分配表）'!H25*A财务假设!$D$9</f>
        <v>96.0129930615381</v>
      </c>
      <c r="I17" s="54">
        <f>'b利润与利润分配表（损益和利润分配表）'!I25*A财务假设!$D$9</f>
        <v>94.1020995310441</v>
      </c>
      <c r="J17"/>
      <c r="K17" s="45"/>
      <c r="L17"/>
      <c r="M17"/>
      <c r="N17"/>
      <c r="O17"/>
      <c r="P17"/>
      <c r="Q17"/>
      <c r="R17"/>
    </row>
    <row r="18" ht="16.5" spans="1:11">
      <c r="A18" s="7">
        <v>6</v>
      </c>
      <c r="B18" s="7" t="s">
        <v>332</v>
      </c>
      <c r="C18" s="11">
        <f t="shared" si="0"/>
        <v>-69.4140065848429</v>
      </c>
      <c r="D18" s="13">
        <f t="shared" ref="D18" si="9">D15-D17</f>
        <v>-292.807724812513</v>
      </c>
      <c r="E18" s="13">
        <f t="shared" ref="E18:I18" si="10">E15-E17</f>
        <v>-436.499124525907</v>
      </c>
      <c r="F18" s="13">
        <f t="shared" si="10"/>
        <v>-616.712193045496</v>
      </c>
      <c r="G18" s="13">
        <f t="shared" si="10"/>
        <v>390.046737365783</v>
      </c>
      <c r="H18" s="13">
        <f t="shared" si="10"/>
        <v>386.299648582621</v>
      </c>
      <c r="I18" s="13">
        <f t="shared" ref="I18" si="11">I15-I17</f>
        <v>500.25864985067</v>
      </c>
      <c r="K18" s="45"/>
    </row>
    <row r="19" ht="16.5" spans="1:11">
      <c r="A19" s="7">
        <v>7</v>
      </c>
      <c r="B19" s="7" t="s">
        <v>333</v>
      </c>
      <c r="C19" s="11">
        <f>C18</f>
        <v>-69.4140065848429</v>
      </c>
      <c r="D19" s="13">
        <f>D18</f>
        <v>-292.807724812513</v>
      </c>
      <c r="E19" s="13">
        <f>E18+D19</f>
        <v>-729.30684933842</v>
      </c>
      <c r="F19" s="13">
        <f t="shared" ref="F19:I19" si="12">F18+E19</f>
        <v>-1346.01904238392</v>
      </c>
      <c r="G19" s="13">
        <f t="shared" si="12"/>
        <v>-955.972305018134</v>
      </c>
      <c r="H19" s="13">
        <f t="shared" si="12"/>
        <v>-569.672656435513</v>
      </c>
      <c r="I19" s="13">
        <f t="shared" si="12"/>
        <v>-69.4140065848429</v>
      </c>
      <c r="K19" s="45"/>
    </row>
    <row r="20" ht="16.5" spans="1:11">
      <c r="A20" s="7">
        <v>8</v>
      </c>
      <c r="B20" s="7" t="s">
        <v>334</v>
      </c>
      <c r="C20" s="11">
        <f>SUM(D20:I20)</f>
        <v>330.794735232784</v>
      </c>
      <c r="D20" s="13">
        <f>D15/(1+A财务假设!$D$14)^(D2-$D$2)</f>
        <v>-288.84239147918</v>
      </c>
      <c r="E20" s="13">
        <f>E15/(1+A财务假设!$D$14)^(E2-$D$2)</f>
        <v>-345.409397779898</v>
      </c>
      <c r="F20" s="13">
        <f>F15/(1+A财务假设!$D$14)^(F2-$D$2)</f>
        <v>-422.240412387242</v>
      </c>
      <c r="G20" s="13">
        <f>G15/(1+A财务假设!$D$14)^(G2-$D$2)</f>
        <v>446.057598222446</v>
      </c>
      <c r="H20" s="13">
        <f>H15/(1+A财务假设!$D$14)^(H2-$D$2)</f>
        <v>428.528535146837</v>
      </c>
      <c r="I20" s="13">
        <f>I15/(1+A财务假设!$D$14)^(I2-$D$2)</f>
        <v>512.700803509821</v>
      </c>
      <c r="K20" s="45"/>
    </row>
    <row r="21" ht="16.5" spans="1:11">
      <c r="A21" s="7">
        <v>9</v>
      </c>
      <c r="B21" s="7" t="s">
        <v>335</v>
      </c>
      <c r="C21" s="11">
        <f>C20</f>
        <v>330.794735232784</v>
      </c>
      <c r="D21" s="13">
        <f>D20</f>
        <v>-288.84239147918</v>
      </c>
      <c r="E21" s="13">
        <f>E20+D21</f>
        <v>-634.251789259078</v>
      </c>
      <c r="F21" s="13">
        <f t="shared" ref="F21:I21" si="13">F20+E21</f>
        <v>-1056.49220164632</v>
      </c>
      <c r="G21" s="13">
        <f t="shared" si="13"/>
        <v>-610.434603423874</v>
      </c>
      <c r="H21" s="13">
        <f t="shared" si="13"/>
        <v>-181.906068277037</v>
      </c>
      <c r="I21" s="13">
        <f t="shared" si="13"/>
        <v>330.794735232784</v>
      </c>
      <c r="K21" s="45"/>
    </row>
    <row r="22" ht="16.5" spans="1:11">
      <c r="A22" s="7">
        <v>10</v>
      </c>
      <c r="B22" s="7" t="s">
        <v>336</v>
      </c>
      <c r="C22" s="11">
        <f>SUM(D22:I22)</f>
        <v>-166.205914218648</v>
      </c>
      <c r="D22" s="13">
        <f>D18/(1+A财务假设!$D$14)^(D2-$D$2)</f>
        <v>-292.807724812513</v>
      </c>
      <c r="E22" s="13">
        <f>E18/(1+A财务假设!$D$14)^(E2-$D$2)</f>
        <v>-423.785557792143</v>
      </c>
      <c r="F22" s="13">
        <f>F18/(1+A财务假设!$D$14)^(F2-$D$2)</f>
        <v>-581.310390277591</v>
      </c>
      <c r="G22" s="13">
        <f>G18/(1+A财务假设!$D$14)^(G2-$D$2)</f>
        <v>356.948018458208</v>
      </c>
      <c r="H22" s="13">
        <f>H18/(1+A财务假设!$D$14)^(H2-$D$2)</f>
        <v>343.222234380041</v>
      </c>
      <c r="I22" s="13">
        <f>I18/(1+A财务假设!$D$14)^(I2-$D$2)</f>
        <v>431.527505825349</v>
      </c>
      <c r="K22" s="45"/>
    </row>
    <row r="23" ht="16.5" spans="1:11">
      <c r="A23" s="7">
        <v>11</v>
      </c>
      <c r="B23" s="7" t="s">
        <v>337</v>
      </c>
      <c r="C23" s="11">
        <f>C22</f>
        <v>-166.205914218648</v>
      </c>
      <c r="D23" s="13">
        <f>D22</f>
        <v>-292.807724812513</v>
      </c>
      <c r="E23" s="13">
        <f>E22+D23</f>
        <v>-716.593282604656</v>
      </c>
      <c r="F23" s="13">
        <f t="shared" ref="F23:I23" si="14">F22+E23</f>
        <v>-1297.90367288225</v>
      </c>
      <c r="G23" s="13">
        <f t="shared" si="14"/>
        <v>-940.955654424038</v>
      </c>
      <c r="H23" s="13">
        <f t="shared" si="14"/>
        <v>-597.733420043997</v>
      </c>
      <c r="I23" s="13">
        <f t="shared" si="14"/>
        <v>-166.205914218648</v>
      </c>
      <c r="K23" s="45"/>
    </row>
    <row r="24" ht="33" spans="1:11">
      <c r="A24" s="7" t="s">
        <v>338</v>
      </c>
      <c r="B24" s="63" t="s">
        <v>339</v>
      </c>
      <c r="C24" s="7"/>
      <c r="D24" s="60">
        <f>IRR(D15:I15)</f>
        <v>0.130694532718106</v>
      </c>
      <c r="E24" s="60"/>
      <c r="F24" s="60"/>
      <c r="G24" s="60"/>
      <c r="H24" s="60"/>
      <c r="I24" s="60"/>
      <c r="K24" s="45"/>
    </row>
    <row r="25" ht="33" spans="1:11">
      <c r="A25" s="7" t="s">
        <v>340</v>
      </c>
      <c r="B25" s="63" t="s">
        <v>341</v>
      </c>
      <c r="C25" s="7"/>
      <c r="D25" s="60">
        <f>IRR(D18:I18)</f>
        <v>-0.0184296848300232</v>
      </c>
      <c r="E25" s="60"/>
      <c r="F25" s="60"/>
      <c r="G25" s="60"/>
      <c r="H25" s="60"/>
      <c r="I25" s="60"/>
      <c r="K25" s="45"/>
    </row>
    <row r="26" ht="33" spans="1:11">
      <c r="A26" s="7" t="s">
        <v>342</v>
      </c>
      <c r="B26" s="63" t="s">
        <v>343</v>
      </c>
      <c r="C26" s="64" t="s">
        <v>344</v>
      </c>
      <c r="D26" s="65">
        <f>NPV(A财务假设!$D$3,D15:I15)</f>
        <v>237.683046186055</v>
      </c>
      <c r="E26" s="65"/>
      <c r="F26" s="65"/>
      <c r="G26" s="65"/>
      <c r="H26" s="65"/>
      <c r="I26" s="65"/>
      <c r="K26" s="45"/>
    </row>
    <row r="27" ht="33" spans="1:11">
      <c r="A27" s="7" t="s">
        <v>345</v>
      </c>
      <c r="B27" s="63" t="s">
        <v>346</v>
      </c>
      <c r="C27" s="64" t="s">
        <v>344</v>
      </c>
      <c r="D27" s="65">
        <f>NPV(A财务假设!$D$4,D18:I18)</f>
        <v>-161.364965260823</v>
      </c>
      <c r="E27" s="65"/>
      <c r="F27" s="65"/>
      <c r="G27" s="65"/>
      <c r="H27" s="65"/>
      <c r="I27" s="65"/>
      <c r="K27" s="45"/>
    </row>
    <row r="28" ht="33" spans="1:11">
      <c r="A28" s="7" t="s">
        <v>347</v>
      </c>
      <c r="B28" s="63" t="s">
        <v>348</v>
      </c>
      <c r="C28" s="66" t="e">
        <f>#REF!+H16/#REF!-$D$2</f>
        <v>#REF!</v>
      </c>
      <c r="D28" s="67" t="s">
        <v>349</v>
      </c>
      <c r="E28" s="68"/>
      <c r="F28" s="68"/>
      <c r="G28" s="68"/>
      <c r="H28" s="68"/>
      <c r="I28" s="43"/>
      <c r="K28" s="45"/>
    </row>
    <row r="29" ht="33" spans="1:11">
      <c r="A29" s="7" t="s">
        <v>350</v>
      </c>
      <c r="B29" s="63" t="s">
        <v>351</v>
      </c>
      <c r="C29" s="66" t="e">
        <f>#REF!+H21/#REF!-$D$2</f>
        <v>#REF!</v>
      </c>
      <c r="D29" s="69" t="s">
        <v>352</v>
      </c>
      <c r="E29" s="70"/>
      <c r="F29" s="70"/>
      <c r="G29" s="70"/>
      <c r="H29" s="70"/>
      <c r="I29" s="7"/>
      <c r="K29" s="45"/>
    </row>
    <row r="30" ht="33" spans="1:11">
      <c r="A30" s="7" t="s">
        <v>353</v>
      </c>
      <c r="B30" s="63" t="s">
        <v>354</v>
      </c>
      <c r="C30" s="66" t="e">
        <f>#REF!+#REF!/#REF!-$D$2</f>
        <v>#REF!</v>
      </c>
      <c r="D30" s="69" t="s">
        <v>355</v>
      </c>
      <c r="E30" s="70"/>
      <c r="F30" s="70"/>
      <c r="G30" s="70"/>
      <c r="H30" s="70"/>
      <c r="I30" s="7"/>
      <c r="K30" s="45"/>
    </row>
    <row r="31" ht="33" spans="1:11">
      <c r="A31" s="7" t="s">
        <v>356</v>
      </c>
      <c r="B31" s="63" t="s">
        <v>357</v>
      </c>
      <c r="C31" s="66" t="e">
        <f>#REF!+#REF!/#REF!-$D$2</f>
        <v>#REF!</v>
      </c>
      <c r="D31" s="69" t="s">
        <v>358</v>
      </c>
      <c r="E31" s="70"/>
      <c r="F31" s="70"/>
      <c r="G31" s="70"/>
      <c r="H31" s="70"/>
      <c r="I31" s="7"/>
      <c r="K31" s="45"/>
    </row>
  </sheetData>
  <mergeCells count="5">
    <mergeCell ref="A1:I1"/>
    <mergeCell ref="D28:H28"/>
    <mergeCell ref="D29:H29"/>
    <mergeCell ref="D30:H30"/>
    <mergeCell ref="D31:H31"/>
  </mergeCells>
  <pageMargins left="0.75" right="0.75" top="1" bottom="1" header="0.5" footer="0.5"/>
  <headerFooter/>
  <ignoredErrors>
    <ignoredError sqref="D20" formula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tabColor rgb="FFFFC000"/>
  </sheetPr>
  <dimension ref="A1:J19"/>
  <sheetViews>
    <sheetView zoomScale="85" zoomScaleNormal="85" workbookViewId="0">
      <pane xSplit="3" ySplit="2" topLeftCell="D3" activePane="bottomRight" state="frozen"/>
      <selection/>
      <selection pane="topRight"/>
      <selection pane="bottomLeft"/>
      <selection pane="bottomRight" activeCell="F23" sqref="F23"/>
    </sheetView>
  </sheetViews>
  <sheetFormatPr defaultColWidth="8.89090909090909" defaultRowHeight="28.05" customHeight="1"/>
  <cols>
    <col min="2" max="2" width="29.6636363636364" customWidth="1"/>
    <col min="3" max="3" width="17.1090909090909"/>
    <col min="4" max="6" width="11.5545454545455" customWidth="1"/>
    <col min="7" max="8" width="10.5545454545455" customWidth="1"/>
    <col min="9" max="9" width="11.8909090909091" customWidth="1"/>
    <col min="10" max="10" width="8.89090909090909" style="45"/>
  </cols>
  <sheetData>
    <row r="1" customHeight="1" spans="1:10">
      <c r="A1" s="58" t="s">
        <v>359</v>
      </c>
      <c r="B1" s="59"/>
      <c r="C1" s="59"/>
      <c r="D1" s="59"/>
      <c r="E1" s="59"/>
      <c r="F1" s="59"/>
      <c r="G1" s="59"/>
      <c r="H1" s="59"/>
      <c r="I1" s="59"/>
      <c r="J1"/>
    </row>
    <row r="2" customHeight="1" spans="1:10">
      <c r="A2" s="2" t="s">
        <v>1</v>
      </c>
      <c r="B2" s="2" t="s">
        <v>138</v>
      </c>
      <c r="C2" s="2" t="s">
        <v>82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61">
        <v>2030</v>
      </c>
      <c r="J2"/>
    </row>
    <row r="3" customHeight="1" spans="1:10">
      <c r="A3" s="7">
        <v>1</v>
      </c>
      <c r="B3" s="7" t="s">
        <v>320</v>
      </c>
      <c r="C3" s="11">
        <f t="shared" ref="C3:C17" si="0">SUM(D3:H3)</f>
        <v>2050.71039639952</v>
      </c>
      <c r="D3" s="13">
        <f t="shared" ref="D3:I3" si="1">SUM(D4:D7)</f>
        <v>0</v>
      </c>
      <c r="E3" s="13">
        <f t="shared" si="1"/>
        <v>322.39916911892</v>
      </c>
      <c r="F3" s="13">
        <f t="shared" si="1"/>
        <v>493.408343430846</v>
      </c>
      <c r="G3" s="13">
        <f t="shared" si="1"/>
        <v>612.454214990479</v>
      </c>
      <c r="H3" s="13">
        <f t="shared" si="1"/>
        <v>622.448668859269</v>
      </c>
      <c r="I3" s="13">
        <f t="shared" ref="I3" si="2">SUM(I4:I7)</f>
        <v>750.922551243163</v>
      </c>
      <c r="J3"/>
    </row>
    <row r="4" customHeight="1" spans="1:10">
      <c r="A4" s="7">
        <v>1.1</v>
      </c>
      <c r="B4" s="7" t="s">
        <v>321</v>
      </c>
      <c r="C4" s="11">
        <f t="shared" si="0"/>
        <v>2050.71039639952</v>
      </c>
      <c r="D4" s="13">
        <f>F项目收入!D12-F项目收入!D10</f>
        <v>0</v>
      </c>
      <c r="E4" s="13">
        <f>F项目收入!E12-F项目收入!E10</f>
        <v>322.39916911892</v>
      </c>
      <c r="F4" s="13">
        <f>F项目收入!F12-F项目收入!F10</f>
        <v>493.408343430846</v>
      </c>
      <c r="G4" s="13">
        <f>F项目收入!G12-F项目收入!G10</f>
        <v>612.454214990479</v>
      </c>
      <c r="H4" s="13">
        <f>F项目收入!H12-F项目收入!H10</f>
        <v>622.448668859269</v>
      </c>
      <c r="I4" s="13">
        <f>F项目收入!I12-F项目收入!I10</f>
        <v>630.237351428077</v>
      </c>
      <c r="J4"/>
    </row>
    <row r="5" customHeight="1" spans="1:10">
      <c r="A5" s="7">
        <v>1.2</v>
      </c>
      <c r="B5" s="7" t="s">
        <v>274</v>
      </c>
      <c r="C5" s="11">
        <f t="shared" si="0"/>
        <v>0</v>
      </c>
      <c r="D5" s="13">
        <f>F项目收入!D10</f>
        <v>0</v>
      </c>
      <c r="E5" s="13">
        <f>F项目收入!E10</f>
        <v>0</v>
      </c>
      <c r="F5" s="13">
        <f>F项目收入!F10</f>
        <v>0</v>
      </c>
      <c r="G5" s="13">
        <f>F项目收入!G10</f>
        <v>0</v>
      </c>
      <c r="H5" s="13">
        <f>F项目收入!H10</f>
        <v>0</v>
      </c>
      <c r="I5" s="13">
        <f>F项目收入!I10</f>
        <v>0</v>
      </c>
      <c r="J5"/>
    </row>
    <row r="6" customHeight="1" spans="1:10">
      <c r="A6" s="7">
        <v>1.3</v>
      </c>
      <c r="B6" s="7" t="s">
        <v>322</v>
      </c>
      <c r="C6" s="11">
        <f t="shared" si="0"/>
        <v>0</v>
      </c>
      <c r="D6" s="13" t="s">
        <v>105</v>
      </c>
      <c r="E6" s="13" t="s">
        <v>105</v>
      </c>
      <c r="F6" s="13" t="s">
        <v>105</v>
      </c>
      <c r="G6" s="13" t="s">
        <v>105</v>
      </c>
      <c r="H6" s="13" t="s">
        <v>105</v>
      </c>
      <c r="I6" s="11">
        <f>E.2固定资产折旧费估算表!C7*A财务假设!$D$12</f>
        <v>106.8558396567</v>
      </c>
      <c r="J6"/>
    </row>
    <row r="7" customHeight="1" spans="1:10">
      <c r="A7" s="7">
        <v>1.4</v>
      </c>
      <c r="B7" s="7" t="s">
        <v>323</v>
      </c>
      <c r="C7" s="11">
        <f t="shared" si="0"/>
        <v>0</v>
      </c>
      <c r="D7" s="13" t="s">
        <v>105</v>
      </c>
      <c r="E7" s="13" t="s">
        <v>105</v>
      </c>
      <c r="F7" s="13" t="s">
        <v>105</v>
      </c>
      <c r="G7" s="13" t="s">
        <v>105</v>
      </c>
      <c r="H7" s="13" t="s">
        <v>105</v>
      </c>
      <c r="I7" s="11">
        <f>D.4流动资金估算表!J13</f>
        <v>13.8293601583861</v>
      </c>
      <c r="J7"/>
    </row>
    <row r="8" customHeight="1" spans="1:10">
      <c r="A8" s="7">
        <v>2</v>
      </c>
      <c r="B8" s="7" t="s">
        <v>324</v>
      </c>
      <c r="C8" s="11">
        <f t="shared" si="0"/>
        <v>-17799.3532296911</v>
      </c>
      <c r="D8" s="13">
        <f t="shared" ref="D8" si="3">SUM(D9:D16)</f>
        <v>-1664.41066666667</v>
      </c>
      <c r="E8" s="13">
        <f t="shared" ref="E8:I8" si="4">SUM(E9:E16)</f>
        <v>-9041.6043215877</v>
      </c>
      <c r="F8" s="13">
        <f t="shared" si="4"/>
        <v>-8291.35594250953</v>
      </c>
      <c r="G8" s="13">
        <f t="shared" si="4"/>
        <v>591.45835385766</v>
      </c>
      <c r="H8" s="13">
        <f t="shared" si="4"/>
        <v>606.55934721511</v>
      </c>
      <c r="I8" s="13">
        <f t="shared" ref="I8" si="5">SUM(I9:I16)</f>
        <v>622.985121861449</v>
      </c>
      <c r="J8"/>
    </row>
    <row r="9" customHeight="1" spans="1:10">
      <c r="A9" s="7">
        <v>2.1</v>
      </c>
      <c r="B9" s="7" t="s">
        <v>92</v>
      </c>
      <c r="C9" s="11">
        <f t="shared" si="0"/>
        <v>-19662.1118881286</v>
      </c>
      <c r="D9" s="13">
        <f>D.2项目总投资使用计划与资金筹措表!D8</f>
        <v>-1666.13866666667</v>
      </c>
      <c r="E9" s="13">
        <f>D.2项目总投资使用计划与资金筹措表!E8</f>
        <v>-9250.97460656913</v>
      </c>
      <c r="F9" s="13">
        <f>D.2项目总投资使用计划与资金筹措表!F8</f>
        <v>-8747.77467222222</v>
      </c>
      <c r="G9" s="13">
        <f>D.2项目总投资使用计划与资金筹措表!G8</f>
        <v>1.55366033139417</v>
      </c>
      <c r="H9" s="13">
        <f>D.2项目总投资使用计划与资金筹措表!H8</f>
        <v>1.22239699806083</v>
      </c>
      <c r="I9" s="13">
        <f>D.2项目总投资使用计划与资金筹措表!I8</f>
        <v>1.21591495361639</v>
      </c>
      <c r="J9"/>
    </row>
    <row r="10" customHeight="1" spans="1:10">
      <c r="A10" s="7">
        <v>2.2</v>
      </c>
      <c r="B10" s="7" t="s">
        <v>360</v>
      </c>
      <c r="C10" s="11">
        <f t="shared" si="0"/>
        <v>0</v>
      </c>
      <c r="D10" s="11">
        <f>c借款还本付息计划表!D33</f>
        <v>0</v>
      </c>
      <c r="E10" s="11">
        <f>c借款还本付息计划表!E33</f>
        <v>0</v>
      </c>
      <c r="F10" s="11">
        <f>c借款还本付息计划表!F33</f>
        <v>0</v>
      </c>
      <c r="G10" s="11">
        <f>c借款还本付息计划表!G33</f>
        <v>0</v>
      </c>
      <c r="H10" s="11">
        <f>c借款还本付息计划表!H33</f>
        <v>0</v>
      </c>
      <c r="I10" s="11">
        <f>c借款还本付息计划表!I33</f>
        <v>0</v>
      </c>
      <c r="J10"/>
    </row>
    <row r="11" customHeight="1" spans="1:10">
      <c r="A11" s="7">
        <v>2.3</v>
      </c>
      <c r="B11" s="7" t="s">
        <v>361</v>
      </c>
      <c r="C11" s="11">
        <f t="shared" si="0"/>
        <v>1248.66948</v>
      </c>
      <c r="D11" s="11">
        <f>c借款还本付息计划表!D34+c借款还本付息计划表!D36+c借款还本付息计划表!D37</f>
        <v>1.728</v>
      </c>
      <c r="E11" s="11">
        <f>c借款还本付息计划表!E34+c借款还本付息计划表!E36+c借款还本付息计划表!E37</f>
        <v>51.04212</v>
      </c>
      <c r="F11" s="11">
        <f>c借款还本付息计划表!F34+c借款还本付息计划表!F36+c借款还本付息计划表!F37</f>
        <v>263.05272</v>
      </c>
      <c r="G11" s="11">
        <f>c借款还本付息计划表!G34+c借款还本付息计划表!G36+c借款还本付息计划表!G37</f>
        <v>466.42332</v>
      </c>
      <c r="H11" s="11">
        <f>c借款还本付息计划表!H34+c借款还本付息计划表!H36+c借款还本付息计划表!H37</f>
        <v>466.42332</v>
      </c>
      <c r="I11" s="11">
        <f>c借款还本付息计划表!I34+c借款还本付息计划表!I36+c借款还本付息计划表!I37</f>
        <v>466.42332</v>
      </c>
      <c r="J11"/>
    </row>
    <row r="12" customHeight="1" spans="1:10">
      <c r="A12" s="7">
        <v>2.4</v>
      </c>
      <c r="B12" s="7" t="s">
        <v>325</v>
      </c>
      <c r="C12" s="11">
        <f t="shared" si="0"/>
        <v>478.461437414281</v>
      </c>
      <c r="D12" s="13">
        <f>E总成本费用估算表!C11</f>
        <v>0</v>
      </c>
      <c r="E12" s="13">
        <f>E总成本费用估算表!D11</f>
        <v>108.027916835483</v>
      </c>
      <c r="F12" s="13">
        <f>E总成本费用估算表!E11</f>
        <v>108.038516835483</v>
      </c>
      <c r="G12" s="13">
        <f>E总成本费用估算表!F11</f>
        <v>123.481373526266</v>
      </c>
      <c r="H12" s="13">
        <f>E总成本费用估算表!G11</f>
        <v>138.913630217049</v>
      </c>
      <c r="I12" s="13">
        <f>E总成本费用估算表!H11</f>
        <v>154.345886907833</v>
      </c>
      <c r="J12"/>
    </row>
    <row r="13" customHeight="1" spans="1:10">
      <c r="A13" s="7">
        <v>2.5</v>
      </c>
      <c r="B13" s="7" t="s">
        <v>326</v>
      </c>
      <c r="C13" s="11">
        <f t="shared" si="0"/>
        <v>0</v>
      </c>
      <c r="D13" s="54">
        <f>G.税金及附加测算表!D30</f>
        <v>0</v>
      </c>
      <c r="E13" s="54">
        <f>G.税金及附加测算表!E30</f>
        <v>0</v>
      </c>
      <c r="F13" s="54">
        <f>G.税金及附加测算表!F30</f>
        <v>0</v>
      </c>
      <c r="G13" s="54">
        <f>G.税金及附加测算表!G30</f>
        <v>0</v>
      </c>
      <c r="H13" s="54">
        <f>G.税金及附加测算表!H30</f>
        <v>0</v>
      </c>
      <c r="I13" s="54">
        <f>G.税金及附加测算表!I30</f>
        <v>0</v>
      </c>
      <c r="J13"/>
    </row>
    <row r="14" customHeight="1" spans="1:10">
      <c r="A14" s="7">
        <v>2.6</v>
      </c>
      <c r="B14" s="7" t="s">
        <v>327</v>
      </c>
      <c r="C14" s="11">
        <f t="shared" si="0"/>
        <v>0</v>
      </c>
      <c r="D14" s="54">
        <f>G.税金及附加测算表!D29</f>
        <v>0</v>
      </c>
      <c r="E14" s="54">
        <f>G.税金及附加测算表!E29</f>
        <v>0</v>
      </c>
      <c r="F14" s="54">
        <f>G.税金及附加测算表!F29</f>
        <v>0</v>
      </c>
      <c r="G14" s="54">
        <f>G.税金及附加测算表!G29</f>
        <v>0</v>
      </c>
      <c r="H14" s="54">
        <f>G.税金及附加测算表!H29</f>
        <v>0</v>
      </c>
      <c r="I14" s="54">
        <f>G.税金及附加测算表!I29</f>
        <v>0</v>
      </c>
      <c r="J14"/>
    </row>
    <row r="15" customHeight="1" spans="1:10">
      <c r="A15" s="7">
        <v>2.7</v>
      </c>
      <c r="B15" s="7" t="s">
        <v>362</v>
      </c>
      <c r="C15" s="11">
        <f t="shared" si="0"/>
        <v>135.62774102315</v>
      </c>
      <c r="D15" s="13">
        <f>'b利润与利润分配表（损益和利润分配表）'!D11</f>
        <v>0</v>
      </c>
      <c r="E15" s="13">
        <f>'b利润与利润分配表（损益和利润分配表）'!E11</f>
        <v>50.3002481459457</v>
      </c>
      <c r="F15" s="13">
        <f>'b利润与利润分配表（损益和利润分配表）'!F11</f>
        <v>85.3274928772041</v>
      </c>
      <c r="G15" s="13">
        <f>'b利润与利润分配表（损益和利润分配表）'!G11</f>
        <v>0</v>
      </c>
      <c r="H15" s="13">
        <f>'b利润与利润分配表（损益和利润分配表）'!H11</f>
        <v>0</v>
      </c>
      <c r="I15" s="13">
        <f>'b利润与利润分配表（损益和利润分配表）'!I11</f>
        <v>0</v>
      </c>
      <c r="J15"/>
    </row>
    <row r="16" customHeight="1" spans="1:10">
      <c r="A16" s="7">
        <v>2.8</v>
      </c>
      <c r="B16" s="7" t="s">
        <v>328</v>
      </c>
      <c r="C16" s="11">
        <f t="shared" si="0"/>
        <v>0</v>
      </c>
      <c r="D16" s="41">
        <v>0</v>
      </c>
      <c r="E16" s="41">
        <v>0</v>
      </c>
      <c r="F16" s="41">
        <v>0</v>
      </c>
      <c r="G16" s="41">
        <v>0</v>
      </c>
      <c r="H16" s="41">
        <v>0</v>
      </c>
      <c r="I16" s="41">
        <v>1</v>
      </c>
      <c r="J16"/>
    </row>
    <row r="17" customHeight="1" spans="1:10">
      <c r="A17" s="7">
        <v>3</v>
      </c>
      <c r="B17" s="7" t="s">
        <v>363</v>
      </c>
      <c r="C17" s="11">
        <f t="shared" si="0"/>
        <v>19850.0636260906</v>
      </c>
      <c r="D17" s="13">
        <f t="shared" ref="D17" si="6">D3-D8</f>
        <v>1664.41066666667</v>
      </c>
      <c r="E17" s="13">
        <f t="shared" ref="E17:I17" si="7">E3-E8</f>
        <v>9364.00349070662</v>
      </c>
      <c r="F17" s="13">
        <f t="shared" si="7"/>
        <v>8784.76428594038</v>
      </c>
      <c r="G17" s="13">
        <f t="shared" si="7"/>
        <v>20.995861132819</v>
      </c>
      <c r="H17" s="13">
        <f t="shared" si="7"/>
        <v>15.8893216441592</v>
      </c>
      <c r="I17" s="13">
        <f t="shared" ref="I17" si="8">I3-I8</f>
        <v>127.937429381714</v>
      </c>
      <c r="J17"/>
    </row>
    <row r="18" customHeight="1" spans="1:10">
      <c r="A18" s="7" t="s">
        <v>338</v>
      </c>
      <c r="B18" s="44" t="s">
        <v>364</v>
      </c>
      <c r="C18" s="7"/>
      <c r="D18" s="60" t="e">
        <f>IRR(D17:I17)</f>
        <v>#NUM!</v>
      </c>
      <c r="E18" s="60"/>
      <c r="F18" s="60"/>
      <c r="G18" s="60"/>
      <c r="H18" s="60"/>
      <c r="I18" s="60"/>
      <c r="J18"/>
    </row>
    <row r="19" customHeight="1" spans="10:10">
      <c r="J19"/>
    </row>
  </sheetData>
  <mergeCells count="1">
    <mergeCell ref="A1:I1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>
    <tabColor rgb="FFFFC000"/>
  </sheetPr>
  <dimension ref="A1:J28"/>
  <sheetViews>
    <sheetView zoomScale="75" zoomScaleNormal="75" workbookViewId="0">
      <pane xSplit="3" ySplit="2" topLeftCell="D3" activePane="bottomRight" state="frozen"/>
      <selection/>
      <selection pane="topRight"/>
      <selection pane="bottomLeft"/>
      <selection pane="bottomRight" activeCell="D25" sqref="D25"/>
    </sheetView>
  </sheetViews>
  <sheetFormatPr defaultColWidth="8.89090909090909" defaultRowHeight="28.05" customHeight="1"/>
  <cols>
    <col min="1" max="1" width="8.89090909090909" style="53"/>
    <col min="2" max="2" width="30.2181818181818" style="53" customWidth="1"/>
    <col min="3" max="3" width="19.2181818181818" style="53" customWidth="1"/>
    <col min="4" max="4" width="8" style="53" customWidth="1"/>
    <col min="5" max="5" width="9.33636363636364" style="53" customWidth="1"/>
    <col min="6" max="6" width="10.7818181818182" style="53" customWidth="1"/>
    <col min="7" max="7" width="13.2181818181818" style="53" customWidth="1"/>
    <col min="8" max="9" width="11.5545454545455" style="53" customWidth="1"/>
    <col min="10" max="10" width="110.445454545455" style="53" customWidth="1"/>
    <col min="11" max="16384" width="8.89090909090909" style="53"/>
  </cols>
  <sheetData>
    <row r="1" customHeight="1" spans="1:10">
      <c r="A1" s="40" t="s">
        <v>365</v>
      </c>
      <c r="B1" s="40"/>
      <c r="C1" s="40"/>
      <c r="D1" s="40"/>
      <c r="E1" s="40"/>
      <c r="F1" s="40"/>
      <c r="G1" s="40"/>
      <c r="H1" s="40"/>
      <c r="I1" s="40"/>
      <c r="J1"/>
    </row>
    <row r="2" customHeight="1" spans="1:10">
      <c r="A2" s="2" t="s">
        <v>1</v>
      </c>
      <c r="B2" s="2" t="s">
        <v>138</v>
      </c>
      <c r="C2" s="2" t="s">
        <v>82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36">
        <v>2030</v>
      </c>
      <c r="J2"/>
    </row>
    <row r="3" ht="21.6" customHeight="1" spans="1:10">
      <c r="A3" s="7">
        <v>1</v>
      </c>
      <c r="B3" s="7" t="s">
        <v>366</v>
      </c>
      <c r="C3" s="54">
        <f t="shared" ref="C3:C8" si="0">SUM(D3:I3)</f>
        <v>2680.94774782759</v>
      </c>
      <c r="D3" s="54">
        <f>F项目收入!D12</f>
        <v>0</v>
      </c>
      <c r="E3" s="54">
        <f>F项目收入!E12</f>
        <v>322.39916911892</v>
      </c>
      <c r="F3" s="54">
        <f>F项目收入!F12</f>
        <v>493.408343430846</v>
      </c>
      <c r="G3" s="54">
        <f>F项目收入!G12</f>
        <v>612.454214990479</v>
      </c>
      <c r="H3" s="54">
        <f>F项目收入!H12</f>
        <v>622.448668859269</v>
      </c>
      <c r="I3" s="54">
        <f>F项目收入!I12</f>
        <v>630.237351428077</v>
      </c>
      <c r="J3"/>
    </row>
    <row r="4" ht="21.6" customHeight="1" spans="1:10">
      <c r="A4" s="7">
        <v>2</v>
      </c>
      <c r="B4" s="7" t="s">
        <v>326</v>
      </c>
      <c r="C4" s="13">
        <f t="shared" si="0"/>
        <v>0</v>
      </c>
      <c r="D4" s="54">
        <f>G.税金及附加测算表!D30</f>
        <v>0</v>
      </c>
      <c r="E4" s="54">
        <f>G.税金及附加测算表!E30</f>
        <v>0</v>
      </c>
      <c r="F4" s="54">
        <f>G.税金及附加测算表!F30</f>
        <v>0</v>
      </c>
      <c r="G4" s="54">
        <f>G.税金及附加测算表!G30</f>
        <v>0</v>
      </c>
      <c r="H4" s="54">
        <f>G.税金及附加测算表!H30</f>
        <v>0</v>
      </c>
      <c r="I4" s="54">
        <f>G.税金及附加测算表!I30</f>
        <v>0</v>
      </c>
      <c r="J4"/>
    </row>
    <row r="5" ht="21.6" customHeight="1" spans="1:10">
      <c r="A5" s="7">
        <v>3</v>
      </c>
      <c r="B5" s="7" t="s">
        <v>367</v>
      </c>
      <c r="C5" s="13">
        <f t="shared" si="0"/>
        <v>2387.75659829652</v>
      </c>
      <c r="D5" s="13">
        <f>E总成本费用估算表!C15</f>
        <v>0</v>
      </c>
      <c r="E5" s="13">
        <f>E总成本费用估算表!D15</f>
        <v>121.198176535137</v>
      </c>
      <c r="F5" s="13">
        <f>E总成本费用估算表!E15</f>
        <v>152.09837192203</v>
      </c>
      <c r="G5" s="13">
        <f>E总成本费用估算表!F15</f>
        <v>689.387759922334</v>
      </c>
      <c r="H5" s="13">
        <f>E总成本费用估算表!G15</f>
        <v>704.820016613117</v>
      </c>
      <c r="I5" s="13">
        <f>E总成本费用估算表!H15</f>
        <v>720.252273303901</v>
      </c>
      <c r="J5"/>
    </row>
    <row r="6" ht="21.6" customHeight="1" spans="1:10">
      <c r="A6" s="7">
        <v>4</v>
      </c>
      <c r="B6" s="7" t="s">
        <v>274</v>
      </c>
      <c r="C6" s="13">
        <f t="shared" si="0"/>
        <v>0</v>
      </c>
      <c r="D6" s="13">
        <f>F项目收入!D10</f>
        <v>0</v>
      </c>
      <c r="E6" s="13">
        <f>F项目收入!E10</f>
        <v>0</v>
      </c>
      <c r="F6" s="13">
        <f>F项目收入!F10</f>
        <v>0</v>
      </c>
      <c r="G6" s="13">
        <f>F项目收入!G10</f>
        <v>0</v>
      </c>
      <c r="H6" s="13">
        <f>F项目收入!H10</f>
        <v>0</v>
      </c>
      <c r="I6" s="13">
        <f>F项目收入!I10</f>
        <v>0</v>
      </c>
      <c r="J6"/>
    </row>
    <row r="7" ht="21.6" customHeight="1" spans="1:10">
      <c r="A7" s="7">
        <v>5</v>
      </c>
      <c r="B7" s="7" t="s">
        <v>368</v>
      </c>
      <c r="C7" s="13">
        <f t="shared" si="0"/>
        <v>293.191149531074</v>
      </c>
      <c r="D7" s="13">
        <f>D3-D4-D5+D6</f>
        <v>0</v>
      </c>
      <c r="E7" s="13">
        <f t="shared" ref="E7:I7" si="1">E3-E4-E5+E6</f>
        <v>201.200992583783</v>
      </c>
      <c r="F7" s="13">
        <f t="shared" si="1"/>
        <v>341.309971508816</v>
      </c>
      <c r="G7" s="13">
        <f t="shared" si="1"/>
        <v>-76.9335449318545</v>
      </c>
      <c r="H7" s="13">
        <f t="shared" si="1"/>
        <v>-82.3713477538477</v>
      </c>
      <c r="I7" s="13">
        <f t="shared" si="1"/>
        <v>-90.0149218758237</v>
      </c>
      <c r="J7"/>
    </row>
    <row r="8" ht="21.6" customHeight="1" spans="1:10">
      <c r="A8" s="7">
        <v>6</v>
      </c>
      <c r="B8" s="7" t="s">
        <v>369</v>
      </c>
      <c r="C8" s="13">
        <f t="shared" si="0"/>
        <v>0</v>
      </c>
      <c r="D8" s="54">
        <v>0</v>
      </c>
      <c r="E8" s="13">
        <f>IF(E7&lt;0,0,IF(D9&lt;0,IF((E7+D9)&lt;0,E7,-D9),0))</f>
        <v>0</v>
      </c>
      <c r="F8" s="13">
        <f t="shared" ref="F8:I8" si="2">IF(F7&lt;0,0,IF(E9&lt;0,IF((F7+E9)&lt;0,F7,-E9),0))</f>
        <v>0</v>
      </c>
      <c r="G8" s="13">
        <f t="shared" si="2"/>
        <v>0</v>
      </c>
      <c r="H8" s="13">
        <f t="shared" si="2"/>
        <v>0</v>
      </c>
      <c r="I8" s="13">
        <f t="shared" si="2"/>
        <v>0</v>
      </c>
      <c r="J8"/>
    </row>
    <row r="9" ht="21.6" customHeight="1" spans="1:10">
      <c r="A9" s="7"/>
      <c r="B9" s="7" t="s">
        <v>370</v>
      </c>
      <c r="C9" s="13" t="s">
        <v>105</v>
      </c>
      <c r="D9" s="13">
        <f>IF(D7&lt;0,D7,0)</f>
        <v>0</v>
      </c>
      <c r="E9" s="13">
        <f>IF(E7&lt;0,E7+D9,D9+E8)</f>
        <v>0</v>
      </c>
      <c r="F9" s="13">
        <f t="shared" ref="F9:I9" si="3">IF(F7&lt;0,F7+E9,E9+F8)</f>
        <v>0</v>
      </c>
      <c r="G9" s="13">
        <f t="shared" si="3"/>
        <v>-76.9335449318545</v>
      </c>
      <c r="H9" s="13">
        <f t="shared" si="3"/>
        <v>-159.304892685702</v>
      </c>
      <c r="I9" s="13">
        <f t="shared" si="3"/>
        <v>-249.319814561526</v>
      </c>
      <c r="J9"/>
    </row>
    <row r="10" ht="21.6" customHeight="1" spans="1:10">
      <c r="A10" s="7">
        <v>7</v>
      </c>
      <c r="B10" s="7" t="s">
        <v>371</v>
      </c>
      <c r="C10" s="13">
        <f t="shared" ref="C10:C26" si="4">SUM(D10:I10)</f>
        <v>542.510964092599</v>
      </c>
      <c r="D10" s="13">
        <f t="shared" ref="D10" si="5">IF(D9&lt;0,0,(D7-D8))</f>
        <v>0</v>
      </c>
      <c r="E10" s="13">
        <f t="shared" ref="E10:I10" si="6">IF(E9&lt;0,0,(E7-E8))</f>
        <v>201.200992583783</v>
      </c>
      <c r="F10" s="13">
        <f t="shared" si="6"/>
        <v>341.309971508816</v>
      </c>
      <c r="G10" s="13">
        <f t="shared" si="6"/>
        <v>0</v>
      </c>
      <c r="H10" s="13">
        <f t="shared" si="6"/>
        <v>0</v>
      </c>
      <c r="I10" s="13">
        <f t="shared" si="6"/>
        <v>0</v>
      </c>
      <c r="J10"/>
    </row>
    <row r="11" ht="21.6" customHeight="1" spans="1:10">
      <c r="A11" s="7">
        <v>8</v>
      </c>
      <c r="B11" s="38" t="s">
        <v>362</v>
      </c>
      <c r="C11" s="13">
        <f t="shared" si="4"/>
        <v>135.62774102315</v>
      </c>
      <c r="D11" s="13">
        <f>D10*A财务假设!$D$9</f>
        <v>0</v>
      </c>
      <c r="E11" s="13">
        <f>E10*A财务假设!$D$9</f>
        <v>50.3002481459457</v>
      </c>
      <c r="F11" s="13">
        <f>F10*A财务假设!$D$9</f>
        <v>85.3274928772041</v>
      </c>
      <c r="G11" s="13">
        <f>G10*A财务假设!$D$9</f>
        <v>0</v>
      </c>
      <c r="H11" s="13">
        <f>H10*A财务假设!$D$9</f>
        <v>0</v>
      </c>
      <c r="I11" s="13">
        <f>I10*A财务假设!$D$9</f>
        <v>0</v>
      </c>
      <c r="J11"/>
    </row>
    <row r="12" ht="21.6" customHeight="1" spans="1:10">
      <c r="A12" s="7">
        <v>9</v>
      </c>
      <c r="B12" s="7" t="s">
        <v>372</v>
      </c>
      <c r="C12" s="13">
        <f t="shared" si="4"/>
        <v>157.563408507924</v>
      </c>
      <c r="D12" s="13">
        <f>D7-D11</f>
        <v>0</v>
      </c>
      <c r="E12" s="13">
        <f t="shared" ref="E12:I12" si="7">E7-E11</f>
        <v>150.900744437837</v>
      </c>
      <c r="F12" s="13">
        <f t="shared" si="7"/>
        <v>255.982478631612</v>
      </c>
      <c r="G12" s="13">
        <f t="shared" si="7"/>
        <v>-76.9335449318545</v>
      </c>
      <c r="H12" s="13">
        <f t="shared" si="7"/>
        <v>-82.3713477538477</v>
      </c>
      <c r="I12" s="13">
        <f t="shared" si="7"/>
        <v>-90.0149218758237</v>
      </c>
      <c r="J12"/>
    </row>
    <row r="13" ht="21.6" customHeight="1" spans="1:10">
      <c r="A13" s="7">
        <v>10</v>
      </c>
      <c r="B13" s="7" t="s">
        <v>373</v>
      </c>
      <c r="C13" s="13">
        <f t="shared" si="4"/>
        <v>0</v>
      </c>
      <c r="D13" s="41">
        <v>0</v>
      </c>
      <c r="E13" s="41">
        <v>0</v>
      </c>
      <c r="F13" s="41">
        <v>0</v>
      </c>
      <c r="G13" s="41">
        <v>0</v>
      </c>
      <c r="H13" s="41">
        <v>0</v>
      </c>
      <c r="I13" s="41">
        <v>0</v>
      </c>
      <c r="J13"/>
    </row>
    <row r="14" ht="21.6" customHeight="1" spans="1:10">
      <c r="A14" s="7">
        <v>11</v>
      </c>
      <c r="B14" s="7" t="s">
        <v>374</v>
      </c>
      <c r="C14" s="13">
        <f t="shared" si="4"/>
        <v>157.563408507924</v>
      </c>
      <c r="D14" s="13">
        <f t="shared" ref="D14" si="8">SUM(D12:D13)</f>
        <v>0</v>
      </c>
      <c r="E14" s="13">
        <f t="shared" ref="E14:I14" si="9">SUM(E12:E13)</f>
        <v>150.900744437837</v>
      </c>
      <c r="F14" s="13">
        <f t="shared" si="9"/>
        <v>255.982478631612</v>
      </c>
      <c r="G14" s="13">
        <f t="shared" si="9"/>
        <v>-76.9335449318545</v>
      </c>
      <c r="H14" s="13">
        <f t="shared" si="9"/>
        <v>-82.3713477538477</v>
      </c>
      <c r="I14" s="13">
        <f t="shared" si="9"/>
        <v>-90.0149218758237</v>
      </c>
      <c r="J14"/>
    </row>
    <row r="15" ht="21.6" customHeight="1" spans="1:10">
      <c r="A15" s="7">
        <v>12</v>
      </c>
      <c r="B15" s="7" t="s">
        <v>375</v>
      </c>
      <c r="C15" s="13">
        <f t="shared" si="4"/>
        <v>15.7563408507924</v>
      </c>
      <c r="D15" s="13">
        <f>D12*A财务假设!$D$10</f>
        <v>0</v>
      </c>
      <c r="E15" s="13">
        <f>E12*A财务假设!$D$10</f>
        <v>15.0900744437837</v>
      </c>
      <c r="F15" s="13">
        <f>F12*A财务假设!$D$10</f>
        <v>25.5982478631612</v>
      </c>
      <c r="G15" s="13">
        <f>G12*A财务假设!$D$10</f>
        <v>-7.69335449318545</v>
      </c>
      <c r="H15" s="13">
        <f>H12*A财务假设!$D$10</f>
        <v>-8.23713477538477</v>
      </c>
      <c r="I15" s="13">
        <f>I12*A财务假设!$D$10</f>
        <v>-9.00149218758237</v>
      </c>
      <c r="J15"/>
    </row>
    <row r="16" ht="21.6" customHeight="1" spans="1:10">
      <c r="A16" s="7">
        <v>13</v>
      </c>
      <c r="B16" s="7" t="s">
        <v>376</v>
      </c>
      <c r="C16" s="13">
        <f t="shared" si="4"/>
        <v>141.807067657131</v>
      </c>
      <c r="D16" s="13">
        <f t="shared" ref="D16" si="10">D14-D15</f>
        <v>0</v>
      </c>
      <c r="E16" s="13">
        <f t="shared" ref="E16:I16" si="11">E14-E15</f>
        <v>135.810669994053</v>
      </c>
      <c r="F16" s="13">
        <f t="shared" si="11"/>
        <v>230.384230768451</v>
      </c>
      <c r="G16" s="13">
        <f t="shared" si="11"/>
        <v>-69.240190438669</v>
      </c>
      <c r="H16" s="13">
        <f t="shared" si="11"/>
        <v>-74.1342129784629</v>
      </c>
      <c r="I16" s="13">
        <f t="shared" si="11"/>
        <v>-81.0134296882413</v>
      </c>
      <c r="J16"/>
    </row>
    <row r="17" ht="21.6" customHeight="1" spans="1:10">
      <c r="A17" s="7">
        <v>14</v>
      </c>
      <c r="B17" s="55" t="s">
        <v>377</v>
      </c>
      <c r="C17" s="13">
        <f t="shared" si="4"/>
        <v>0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  <c r="I17" s="41">
        <v>0</v>
      </c>
      <c r="J17"/>
    </row>
    <row r="18" ht="21.6" customHeight="1" spans="1:10">
      <c r="A18" s="7">
        <v>15</v>
      </c>
      <c r="B18" s="55" t="s">
        <v>378</v>
      </c>
      <c r="C18" s="13">
        <f t="shared" si="4"/>
        <v>7.09035338285656</v>
      </c>
      <c r="D18" s="13">
        <f>D16*A财务假设!$D$11</f>
        <v>0</v>
      </c>
      <c r="E18" s="13">
        <f>E16*A财务假设!$D$11</f>
        <v>6.79053349970267</v>
      </c>
      <c r="F18" s="13">
        <f>F16*A财务假设!$D$11</f>
        <v>11.5192115384226</v>
      </c>
      <c r="G18" s="13">
        <f>G16*A财务假设!$D$11</f>
        <v>-3.46200952193345</v>
      </c>
      <c r="H18" s="13">
        <f>H16*A财务假设!$D$11</f>
        <v>-3.70671064892314</v>
      </c>
      <c r="I18" s="13">
        <f>I16*A财务假设!$D$11</f>
        <v>-4.05067148441207</v>
      </c>
      <c r="J18"/>
    </row>
    <row r="19" ht="21.6" customHeight="1" spans="1:10">
      <c r="A19" s="7">
        <v>16</v>
      </c>
      <c r="B19" s="55" t="s">
        <v>379</v>
      </c>
      <c r="C19" s="13">
        <f t="shared" si="4"/>
        <v>134.716714274275</v>
      </c>
      <c r="D19" s="56">
        <f t="shared" ref="D19" si="12">D16-D17-D18</f>
        <v>0</v>
      </c>
      <c r="E19" s="56">
        <f t="shared" ref="E19:I19" si="13">E16-E17-E18</f>
        <v>129.020136494351</v>
      </c>
      <c r="F19" s="56">
        <f t="shared" si="13"/>
        <v>218.865019230029</v>
      </c>
      <c r="G19" s="56">
        <f t="shared" si="13"/>
        <v>-65.7781809167356</v>
      </c>
      <c r="H19" s="56">
        <f t="shared" si="13"/>
        <v>-70.4275023295397</v>
      </c>
      <c r="I19" s="56">
        <f t="shared" si="13"/>
        <v>-76.9627582038293</v>
      </c>
      <c r="J19"/>
    </row>
    <row r="20" ht="21.6" customHeight="1" spans="1:10">
      <c r="A20" s="7">
        <v>17</v>
      </c>
      <c r="B20" s="55" t="s">
        <v>380</v>
      </c>
      <c r="C20" s="13">
        <f t="shared" si="4"/>
        <v>0</v>
      </c>
      <c r="D20" s="41">
        <v>0</v>
      </c>
      <c r="E20" s="41">
        <v>0</v>
      </c>
      <c r="F20" s="41">
        <v>0</v>
      </c>
      <c r="G20" s="41">
        <v>0</v>
      </c>
      <c r="H20" s="41">
        <v>0</v>
      </c>
      <c r="I20" s="41">
        <v>0</v>
      </c>
      <c r="J20"/>
    </row>
    <row r="21" ht="21.6" customHeight="1" spans="1:10">
      <c r="A21" s="7">
        <v>17.1</v>
      </c>
      <c r="B21" s="55" t="s">
        <v>381</v>
      </c>
      <c r="C21" s="13">
        <f t="shared" si="4"/>
        <v>0</v>
      </c>
      <c r="D21" s="41">
        <v>0</v>
      </c>
      <c r="E21" s="41">
        <v>0</v>
      </c>
      <c r="F21" s="41">
        <v>0</v>
      </c>
      <c r="G21" s="41">
        <v>0</v>
      </c>
      <c r="H21" s="41">
        <v>0</v>
      </c>
      <c r="I21" s="41">
        <v>0</v>
      </c>
      <c r="J21"/>
    </row>
    <row r="22" ht="21.6" customHeight="1" spans="1:10">
      <c r="A22" s="7">
        <v>18</v>
      </c>
      <c r="B22" s="7" t="s">
        <v>382</v>
      </c>
      <c r="C22" s="13">
        <f t="shared" si="4"/>
        <v>134.716714274275</v>
      </c>
      <c r="D22" s="13">
        <f>D16-D17-D18-D20</f>
        <v>0</v>
      </c>
      <c r="E22" s="13">
        <f>E16-E17-E18-E20</f>
        <v>129.020136494351</v>
      </c>
      <c r="F22" s="13">
        <f t="shared" ref="F22:I22" si="14">F16-F17-F18-F20</f>
        <v>218.865019230029</v>
      </c>
      <c r="G22" s="13">
        <f t="shared" si="14"/>
        <v>-65.7781809167356</v>
      </c>
      <c r="H22" s="13">
        <f t="shared" si="14"/>
        <v>-70.4275023295397</v>
      </c>
      <c r="I22" s="13">
        <f t="shared" si="14"/>
        <v>-76.9627582038293</v>
      </c>
      <c r="J22"/>
    </row>
    <row r="23" ht="21.6" customHeight="1" spans="1:10">
      <c r="A23" s="7">
        <v>18.1</v>
      </c>
      <c r="B23" s="7" t="s">
        <v>383</v>
      </c>
      <c r="C23" s="13">
        <f t="shared" si="4"/>
        <v>0</v>
      </c>
      <c r="D23" s="41">
        <v>0</v>
      </c>
      <c r="E23" s="41">
        <v>0</v>
      </c>
      <c r="F23" s="41">
        <v>0</v>
      </c>
      <c r="G23" s="41">
        <v>0</v>
      </c>
      <c r="H23" s="41">
        <v>0</v>
      </c>
      <c r="I23" s="41">
        <v>0</v>
      </c>
      <c r="J23"/>
    </row>
    <row r="24" ht="21.6" customHeight="1" spans="1:10">
      <c r="A24" s="7">
        <v>18.2</v>
      </c>
      <c r="B24" s="7" t="s">
        <v>384</v>
      </c>
      <c r="C24" s="13">
        <f t="shared" si="4"/>
        <v>1105.40845377875</v>
      </c>
      <c r="D24" s="11">
        <f>D22</f>
        <v>0</v>
      </c>
      <c r="E24" s="11">
        <f>E22+D24</f>
        <v>129.020136494351</v>
      </c>
      <c r="F24" s="11">
        <f t="shared" ref="F24:I24" si="15">F22+E24</f>
        <v>347.885155724379</v>
      </c>
      <c r="G24" s="11">
        <f t="shared" si="15"/>
        <v>282.106974807644</v>
      </c>
      <c r="H24" s="11">
        <f t="shared" si="15"/>
        <v>211.679472478104</v>
      </c>
      <c r="I24" s="11">
        <f t="shared" si="15"/>
        <v>134.716714274275</v>
      </c>
      <c r="J24"/>
    </row>
    <row r="25" ht="33" spans="1:10">
      <c r="A25" s="7">
        <v>19</v>
      </c>
      <c r="B25" s="38" t="s">
        <v>385</v>
      </c>
      <c r="C25" s="13">
        <f t="shared" si="4"/>
        <v>2163.75061619774</v>
      </c>
      <c r="D25" s="11">
        <f>D7+c借款还本付息计划表!D38+c借款还本付息计划表!D37+c借款还本付息计划表!D36</f>
        <v>15.8613333333333</v>
      </c>
      <c r="E25" s="11">
        <f>E7+c借款还本付息计划表!E38+c借款还本付息计划表!E37+c借款还本付息计划表!E36</f>
        <v>322.90977925045</v>
      </c>
      <c r="F25" s="11">
        <f>F7+c借款还本付息计划表!F38+c借款还本付息计划表!F37+c借款还本付息计划表!F36</f>
        <v>675.029358175483</v>
      </c>
      <c r="G25" s="13">
        <f>G7+E总成本费用估算表!F14</f>
        <v>389.489775068145</v>
      </c>
      <c r="H25" s="13">
        <f>H7+E总成本费用估算表!G14</f>
        <v>384.051972246152</v>
      </c>
      <c r="I25" s="13">
        <f>I7+E总成本费用估算表!H14</f>
        <v>376.408398124176</v>
      </c>
      <c r="J25"/>
    </row>
    <row r="26" ht="33" spans="1:10">
      <c r="A26" s="7">
        <v>20</v>
      </c>
      <c r="B26" s="38" t="s">
        <v>386</v>
      </c>
      <c r="C26" s="13">
        <f t="shared" si="4"/>
        <v>2519.42993017214</v>
      </c>
      <c r="D26" s="13">
        <f>D25+E总成本费用估算表!C12+E总成本费用估算表!C13</f>
        <v>15.8613333333333</v>
      </c>
      <c r="E26" s="13">
        <f>E25+E总成本费用估算表!D12+E总成本费用估算表!D13</f>
        <v>336.080038950104</v>
      </c>
      <c r="F26" s="13">
        <f>F25+E总成本费用估算表!E12+E总成本费用估算表!E13</f>
        <v>719.08921326203</v>
      </c>
      <c r="G26" s="13">
        <f>G25+E总成本费用估算表!F12+E总成本费用估算表!F13</f>
        <v>488.972841464213</v>
      </c>
      <c r="H26" s="13">
        <f>H25+E总成本费用估算表!G12+E总成本费用估算表!G13</f>
        <v>483.53503864222</v>
      </c>
      <c r="I26" s="13">
        <f>I25+E总成本费用估算表!H12+E总成本费用估算表!H13</f>
        <v>475.891464520244</v>
      </c>
      <c r="J26"/>
    </row>
    <row r="27" ht="21.6" customHeight="1" spans="1:10">
      <c r="A27" s="7">
        <v>21</v>
      </c>
      <c r="B27" s="38" t="s">
        <v>387</v>
      </c>
      <c r="C27" s="57">
        <f>(C26-C11)/c借款还本付息计划表!C32</f>
        <v>0.0760917450571053</v>
      </c>
      <c r="D27" s="57"/>
      <c r="E27" s="57"/>
      <c r="F27" s="57"/>
      <c r="G27" s="57"/>
      <c r="H27" s="57"/>
      <c r="I27" s="57"/>
      <c r="J27"/>
    </row>
    <row r="28" customHeight="1" spans="10:10">
      <c r="J28"/>
    </row>
  </sheetData>
  <mergeCells count="1">
    <mergeCell ref="A1:I1"/>
  </mergeCell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tabColor rgb="FFFFC000"/>
  </sheetPr>
  <dimension ref="A1:AB46"/>
  <sheetViews>
    <sheetView zoomScale="70" zoomScaleNormal="70" workbookViewId="0">
      <pane xSplit="2" ySplit="2" topLeftCell="C3" activePane="bottomRight" state="frozen"/>
      <selection/>
      <selection pane="topRight"/>
      <selection pane="bottomLeft"/>
      <selection pane="bottomRight" activeCell="E39" sqref="E39"/>
    </sheetView>
  </sheetViews>
  <sheetFormatPr defaultColWidth="8.89090909090909" defaultRowHeight="28.05" customHeight="1"/>
  <cols>
    <col min="1" max="1" width="10.1090909090909" customWidth="1"/>
    <col min="2" max="2" width="21.5545454545455" customWidth="1"/>
    <col min="3" max="3" width="11.8909090909091" customWidth="1"/>
    <col min="4" max="4" width="10.5545454545455" customWidth="1"/>
    <col min="5" max="26" width="11.8909090909091" customWidth="1"/>
    <col min="27" max="27" width="69.4454545454546" customWidth="1"/>
  </cols>
  <sheetData>
    <row r="1" customHeight="1" spans="1:28">
      <c r="A1" s="46" t="s">
        <v>388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51"/>
      <c r="AB1" s="51"/>
    </row>
    <row r="2" customHeight="1" spans="1:28">
      <c r="A2" s="2" t="s">
        <v>1</v>
      </c>
      <c r="B2" s="2" t="s">
        <v>138</v>
      </c>
      <c r="C2" s="2" t="s">
        <v>82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36">
        <v>2030</v>
      </c>
      <c r="J2" s="36">
        <v>2031</v>
      </c>
      <c r="K2" s="36">
        <v>2032</v>
      </c>
      <c r="L2" s="36">
        <v>2033</v>
      </c>
      <c r="M2" s="36">
        <v>2034</v>
      </c>
      <c r="N2" s="36">
        <v>2035</v>
      </c>
      <c r="O2" s="36">
        <v>2036</v>
      </c>
      <c r="P2" s="36">
        <v>2037</v>
      </c>
      <c r="Q2" s="36">
        <v>2038</v>
      </c>
      <c r="R2" s="36">
        <v>2039</v>
      </c>
      <c r="S2" s="36">
        <v>2040</v>
      </c>
      <c r="T2" s="36">
        <v>2041</v>
      </c>
      <c r="U2" s="36">
        <v>2042</v>
      </c>
      <c r="V2" s="36">
        <v>2043</v>
      </c>
      <c r="W2" s="36">
        <v>2044</v>
      </c>
      <c r="X2" s="36">
        <v>2045</v>
      </c>
      <c r="Y2" s="36">
        <v>2046</v>
      </c>
      <c r="Z2" s="36">
        <v>2047</v>
      </c>
      <c r="AA2" s="51"/>
      <c r="AB2" s="51"/>
    </row>
    <row r="3" customHeight="1" spans="1:28">
      <c r="A3" s="10">
        <v>1</v>
      </c>
      <c r="B3" s="10" t="s">
        <v>74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51"/>
      <c r="AB3" s="51"/>
    </row>
    <row r="4" customHeight="1" spans="1:28">
      <c r="A4" s="10">
        <v>1.1</v>
      </c>
      <c r="B4" s="7" t="s">
        <v>389</v>
      </c>
      <c r="C4" s="13" t="s">
        <v>105</v>
      </c>
      <c r="D4" s="41">
        <v>0</v>
      </c>
      <c r="E4" s="41">
        <f>D8</f>
        <v>2000</v>
      </c>
      <c r="F4" s="41">
        <f t="shared" ref="F4:X4" si="0">E8</f>
        <v>2000</v>
      </c>
      <c r="G4" s="41">
        <f t="shared" si="0"/>
        <v>2000</v>
      </c>
      <c r="H4" s="41">
        <f t="shared" si="0"/>
        <v>2000</v>
      </c>
      <c r="I4" s="41">
        <f t="shared" si="0"/>
        <v>2000</v>
      </c>
      <c r="J4" s="41">
        <f t="shared" si="0"/>
        <v>2000</v>
      </c>
      <c r="K4" s="41">
        <f t="shared" si="0"/>
        <v>2000</v>
      </c>
      <c r="L4" s="41">
        <f t="shared" si="0"/>
        <v>2000</v>
      </c>
      <c r="M4" s="41">
        <f t="shared" si="0"/>
        <v>2000</v>
      </c>
      <c r="N4" s="41">
        <f t="shared" si="0"/>
        <v>2000</v>
      </c>
      <c r="O4" s="41">
        <f t="shared" si="0"/>
        <v>2000</v>
      </c>
      <c r="P4" s="41">
        <f t="shared" si="0"/>
        <v>2000</v>
      </c>
      <c r="Q4" s="41">
        <f t="shared" si="0"/>
        <v>2000</v>
      </c>
      <c r="R4" s="41">
        <f t="shared" si="0"/>
        <v>2000</v>
      </c>
      <c r="S4" s="41">
        <f t="shared" si="0"/>
        <v>2000</v>
      </c>
      <c r="T4" s="41">
        <f t="shared" si="0"/>
        <v>2000</v>
      </c>
      <c r="U4" s="41">
        <f t="shared" si="0"/>
        <v>2000</v>
      </c>
      <c r="V4" s="41">
        <f t="shared" si="0"/>
        <v>2000</v>
      </c>
      <c r="W4" s="41">
        <f t="shared" si="0"/>
        <v>2000</v>
      </c>
      <c r="X4" s="41">
        <f t="shared" si="0"/>
        <v>2000</v>
      </c>
      <c r="Y4" s="41"/>
      <c r="Z4" s="41"/>
      <c r="AA4" s="51"/>
      <c r="AB4" s="51"/>
    </row>
    <row r="5" customHeight="1" spans="1:28">
      <c r="A5" s="10">
        <v>1.2</v>
      </c>
      <c r="B5" s="7" t="s">
        <v>390</v>
      </c>
      <c r="C5" s="13">
        <f>SUM(D5:Z5)</f>
        <v>2848</v>
      </c>
      <c r="D5" s="13">
        <f t="shared" ref="D5" si="1">D6+D7</f>
        <v>0</v>
      </c>
      <c r="E5" s="13">
        <f t="shared" ref="E5:W5" si="2">E6+E7</f>
        <v>42.4</v>
      </c>
      <c r="F5" s="13">
        <f t="shared" si="2"/>
        <v>42.4</v>
      </c>
      <c r="G5" s="13">
        <f t="shared" si="2"/>
        <v>42.4</v>
      </c>
      <c r="H5" s="13">
        <f t="shared" si="2"/>
        <v>42.4</v>
      </c>
      <c r="I5" s="13">
        <f t="shared" si="2"/>
        <v>42.4</v>
      </c>
      <c r="J5" s="13">
        <f t="shared" si="2"/>
        <v>42.4</v>
      </c>
      <c r="K5" s="13">
        <f t="shared" si="2"/>
        <v>42.4</v>
      </c>
      <c r="L5" s="13">
        <f t="shared" si="2"/>
        <v>42.4</v>
      </c>
      <c r="M5" s="13">
        <f t="shared" si="2"/>
        <v>42.4</v>
      </c>
      <c r="N5" s="13">
        <f t="shared" si="2"/>
        <v>42.4</v>
      </c>
      <c r="O5" s="13">
        <f t="shared" si="2"/>
        <v>42.4</v>
      </c>
      <c r="P5" s="13">
        <f t="shared" si="2"/>
        <v>42.4</v>
      </c>
      <c r="Q5" s="13">
        <f t="shared" si="2"/>
        <v>42.4</v>
      </c>
      <c r="R5" s="13">
        <f t="shared" si="2"/>
        <v>42.4</v>
      </c>
      <c r="S5" s="13">
        <f t="shared" si="2"/>
        <v>42.4</v>
      </c>
      <c r="T5" s="13">
        <f t="shared" si="2"/>
        <v>42.4</v>
      </c>
      <c r="U5" s="13">
        <f t="shared" si="2"/>
        <v>42.4</v>
      </c>
      <c r="V5" s="13">
        <f t="shared" si="2"/>
        <v>42.4</v>
      </c>
      <c r="W5" s="13">
        <f t="shared" si="2"/>
        <v>42.4</v>
      </c>
      <c r="X5" s="13">
        <f t="shared" ref="X5" si="3">X6+X7</f>
        <v>2042.4</v>
      </c>
      <c r="Y5" s="13"/>
      <c r="Z5" s="13"/>
      <c r="AA5" s="51"/>
      <c r="AB5" s="51"/>
    </row>
    <row r="6" customHeight="1" spans="1:28">
      <c r="A6" s="10" t="s">
        <v>144</v>
      </c>
      <c r="B6" s="7" t="s">
        <v>391</v>
      </c>
      <c r="C6" s="13">
        <f>SUM(D6:Z6)</f>
        <v>2000</v>
      </c>
      <c r="D6" s="41">
        <v>0</v>
      </c>
      <c r="E6" s="41">
        <v>0</v>
      </c>
      <c r="F6" s="41">
        <v>0</v>
      </c>
      <c r="G6" s="41">
        <v>0</v>
      </c>
      <c r="H6" s="41">
        <v>0</v>
      </c>
      <c r="I6" s="41">
        <v>0</v>
      </c>
      <c r="J6" s="41">
        <v>0</v>
      </c>
      <c r="K6" s="41">
        <v>0</v>
      </c>
      <c r="L6" s="41">
        <v>0</v>
      </c>
      <c r="M6" s="41">
        <v>0</v>
      </c>
      <c r="N6" s="41">
        <v>0</v>
      </c>
      <c r="O6" s="41">
        <v>0</v>
      </c>
      <c r="P6" s="41">
        <v>0</v>
      </c>
      <c r="Q6" s="41">
        <v>0</v>
      </c>
      <c r="R6" s="41">
        <v>0</v>
      </c>
      <c r="S6" s="41">
        <v>0</v>
      </c>
      <c r="T6" s="41">
        <v>0</v>
      </c>
      <c r="U6" s="41">
        <v>0</v>
      </c>
      <c r="V6" s="41">
        <v>0</v>
      </c>
      <c r="W6" s="41">
        <v>0</v>
      </c>
      <c r="X6" s="42">
        <f>E4</f>
        <v>2000</v>
      </c>
      <c r="Y6" s="41"/>
      <c r="Z6" s="41"/>
      <c r="AA6" s="52" t="s">
        <v>392</v>
      </c>
      <c r="AB6" s="51"/>
    </row>
    <row r="7" customHeight="1" spans="1:28">
      <c r="A7" s="10" t="s">
        <v>146</v>
      </c>
      <c r="B7" s="7" t="s">
        <v>393</v>
      </c>
      <c r="C7" s="13">
        <f>SUM(D7:Z7)</f>
        <v>848</v>
      </c>
      <c r="D7" s="42">
        <f>IF(C.1项目融资信息!G4&lt;10,0,IF(MONTH(C.1项目融资信息!E4)&gt;6,0,C.1项目融资信息!D4*C.1项目融资信息!H4/2))</f>
        <v>0</v>
      </c>
      <c r="E7" s="42">
        <f>C.1项目融资信息!$D$4*C.1项目融资信息!$H$4</f>
        <v>42.4</v>
      </c>
      <c r="F7" s="42">
        <f>C.1项目融资信息!$D$4*C.1项目融资信息!$H$4</f>
        <v>42.4</v>
      </c>
      <c r="G7" s="42">
        <f>C.1项目融资信息!$D$4*C.1项目融资信息!$H$4</f>
        <v>42.4</v>
      </c>
      <c r="H7" s="42">
        <f>C.1项目融资信息!$D$4*C.1项目融资信息!$H$4</f>
        <v>42.4</v>
      </c>
      <c r="I7" s="42">
        <f>C.1项目融资信息!$D$4*C.1项目融资信息!$H$4</f>
        <v>42.4</v>
      </c>
      <c r="J7" s="42">
        <f>C.1项目融资信息!$D$4*C.1项目融资信息!$H$4</f>
        <v>42.4</v>
      </c>
      <c r="K7" s="42">
        <f>C.1项目融资信息!$D$4*C.1项目融资信息!$H$4</f>
        <v>42.4</v>
      </c>
      <c r="L7" s="42">
        <f>C.1项目融资信息!$D$4*C.1项目融资信息!$H$4</f>
        <v>42.4</v>
      </c>
      <c r="M7" s="42">
        <f>C.1项目融资信息!$D$4*C.1项目融资信息!$H$4</f>
        <v>42.4</v>
      </c>
      <c r="N7" s="42">
        <f>C.1项目融资信息!$D$4*C.1项目融资信息!$H$4</f>
        <v>42.4</v>
      </c>
      <c r="O7" s="42">
        <f>C.1项目融资信息!$D$4*C.1项目融资信息!$H$4</f>
        <v>42.4</v>
      </c>
      <c r="P7" s="42">
        <f>C.1项目融资信息!$D$4*C.1项目融资信息!$H$4</f>
        <v>42.4</v>
      </c>
      <c r="Q7" s="42">
        <f>C.1项目融资信息!$D$4*C.1项目融资信息!$H$4</f>
        <v>42.4</v>
      </c>
      <c r="R7" s="42">
        <f>C.1项目融资信息!$D$4*C.1项目融资信息!$H$4</f>
        <v>42.4</v>
      </c>
      <c r="S7" s="42">
        <f>C.1项目融资信息!$D$4*C.1项目融资信息!$H$4</f>
        <v>42.4</v>
      </c>
      <c r="T7" s="42">
        <f>C.1项目融资信息!$D$4*C.1项目融资信息!$H$4</f>
        <v>42.4</v>
      </c>
      <c r="U7" s="42">
        <f>C.1项目融资信息!$D$4*C.1项目融资信息!$H$4</f>
        <v>42.4</v>
      </c>
      <c r="V7" s="42">
        <f>C.1项目融资信息!$D$4*C.1项目融资信息!$H$4</f>
        <v>42.4</v>
      </c>
      <c r="W7" s="42">
        <f>C.1项目融资信息!$D$4*C.1项目融资信息!$H$4</f>
        <v>42.4</v>
      </c>
      <c r="X7" s="42">
        <f>IF(C.1项目融资信息!G4&lt;10,C.1项目融资信息!$D$4*C.1项目融资信息!$H$4,IF(MONTH(C.1项目融资信息!E4)&gt;6,C.1项目融资信息!$D$4*C.1项目融资信息!$H$4,C.1项目融资信息!D4*C.1项目融资信息!H4/2))</f>
        <v>42.4</v>
      </c>
      <c r="Y7" s="41"/>
      <c r="Z7" s="41"/>
      <c r="AA7" s="52" t="s">
        <v>394</v>
      </c>
      <c r="AB7" s="51"/>
    </row>
    <row r="8" customHeight="1" spans="1:28">
      <c r="A8" s="10">
        <v>1.3</v>
      </c>
      <c r="B8" s="7" t="s">
        <v>395</v>
      </c>
      <c r="C8" s="13" t="s">
        <v>105</v>
      </c>
      <c r="D8" s="11">
        <f>D4+C.2项目每年借款信息!C3-D6</f>
        <v>2000</v>
      </c>
      <c r="E8" s="11">
        <f>E4+C.2项目每年借款信息!D3-E6</f>
        <v>2000</v>
      </c>
      <c r="F8" s="11">
        <f>F4+C.2项目每年借款信息!E3-F6</f>
        <v>2000</v>
      </c>
      <c r="G8" s="11">
        <f>G4+C.2项目每年借款信息!F3-G6</f>
        <v>2000</v>
      </c>
      <c r="H8" s="11">
        <f>H4+C.2项目每年借款信息!G3-H6</f>
        <v>2000</v>
      </c>
      <c r="I8" s="11">
        <f>I4+C.2项目每年借款信息!H3-I6</f>
        <v>2000</v>
      </c>
      <c r="J8" s="11">
        <f>J4+C.2项目每年借款信息!I3-J6</f>
        <v>2000</v>
      </c>
      <c r="K8" s="11">
        <f>K4+C.2项目每年借款信息!J3-K6</f>
        <v>2000</v>
      </c>
      <c r="L8" s="11">
        <f>L4+C.2项目每年借款信息!K3-L6</f>
        <v>2000</v>
      </c>
      <c r="M8" s="11">
        <f>M4+C.2项目每年借款信息!L3-M6</f>
        <v>2000</v>
      </c>
      <c r="N8" s="11">
        <f>N4+C.2项目每年借款信息!M3-N6</f>
        <v>2000</v>
      </c>
      <c r="O8" s="11">
        <f>O4+C.2项目每年借款信息!N3-O6</f>
        <v>2000</v>
      </c>
      <c r="P8" s="11">
        <f>P4+C.2项目每年借款信息!O3-P6</f>
        <v>2000</v>
      </c>
      <c r="Q8" s="11">
        <f>Q4+C.2项目每年借款信息!P3-Q6</f>
        <v>2000</v>
      </c>
      <c r="R8" s="11">
        <f>R4+C.2项目每年借款信息!Q3-R6</f>
        <v>2000</v>
      </c>
      <c r="S8" s="11">
        <f>S4+C.2项目每年借款信息!R3-S6</f>
        <v>2000</v>
      </c>
      <c r="T8" s="11">
        <f>T4+C.2项目每年借款信息!S3-T6</f>
        <v>2000</v>
      </c>
      <c r="U8" s="11">
        <f>U4+C.2项目每年借款信息!T3-U6</f>
        <v>2000</v>
      </c>
      <c r="V8" s="11">
        <f>V4+C.2项目每年借款信息!U3-V6</f>
        <v>2000</v>
      </c>
      <c r="W8" s="11">
        <f>W4+C.2项目每年借款信息!V3-W6</f>
        <v>2000</v>
      </c>
      <c r="X8" s="11">
        <f>X4+C.2项目每年借款信息!W3-X6</f>
        <v>0</v>
      </c>
      <c r="Y8" s="11"/>
      <c r="Z8" s="11"/>
      <c r="AA8" s="52" t="s">
        <v>396</v>
      </c>
      <c r="AB8" s="51"/>
    </row>
    <row r="9" customHeight="1" spans="1:28">
      <c r="A9" s="10">
        <v>1.4</v>
      </c>
      <c r="B9" s="7" t="s">
        <v>397</v>
      </c>
      <c r="C9" s="48">
        <f>SUM(D9:Z9)</f>
        <v>0.1424</v>
      </c>
      <c r="D9" s="48">
        <f>D5*A财务假设!$D$18</f>
        <v>0</v>
      </c>
      <c r="E9" s="48">
        <f>E5*A财务假设!$D$18</f>
        <v>0.00212</v>
      </c>
      <c r="F9" s="48">
        <f>F5*A财务假设!$D$18</f>
        <v>0.00212</v>
      </c>
      <c r="G9" s="48">
        <f>G5*A财务假设!$D$18</f>
        <v>0.00212</v>
      </c>
      <c r="H9" s="48">
        <f>H5*A财务假设!$D$18</f>
        <v>0.00212</v>
      </c>
      <c r="I9" s="48">
        <f>I5*A财务假设!$D$18</f>
        <v>0.00212</v>
      </c>
      <c r="J9" s="48">
        <f>J5*A财务假设!$D$18</f>
        <v>0.00212</v>
      </c>
      <c r="K9" s="48">
        <f>K5*A财务假设!$D$18</f>
        <v>0.00212</v>
      </c>
      <c r="L9" s="48">
        <f>L5*A财务假设!$D$18</f>
        <v>0.00212</v>
      </c>
      <c r="M9" s="48">
        <f>M5*A财务假设!$D$18</f>
        <v>0.00212</v>
      </c>
      <c r="N9" s="48">
        <f>N5*A财务假设!$D$18</f>
        <v>0.00212</v>
      </c>
      <c r="O9" s="48">
        <f>O5*A财务假设!$D$18</f>
        <v>0.00212</v>
      </c>
      <c r="P9" s="48">
        <f>P5*A财务假设!$D$18</f>
        <v>0.00212</v>
      </c>
      <c r="Q9" s="48">
        <f>Q5*A财务假设!$D$18</f>
        <v>0.00212</v>
      </c>
      <c r="R9" s="48">
        <f>R5*A财务假设!$D$18</f>
        <v>0.00212</v>
      </c>
      <c r="S9" s="48">
        <f>S5*A财务假设!$D$18</f>
        <v>0.00212</v>
      </c>
      <c r="T9" s="48">
        <f>T5*A财务假设!$D$18</f>
        <v>0.00212</v>
      </c>
      <c r="U9" s="48">
        <f>U5*A财务假设!$D$18</f>
        <v>0.00212</v>
      </c>
      <c r="V9" s="48">
        <f>V5*A财务假设!$D$18</f>
        <v>0.00212</v>
      </c>
      <c r="W9" s="48">
        <f>W5*A财务假设!$D$18</f>
        <v>0.00212</v>
      </c>
      <c r="X9" s="48">
        <f>X5*A财务假设!$D$18</f>
        <v>0.10212</v>
      </c>
      <c r="Y9" s="13"/>
      <c r="Z9" s="13"/>
      <c r="AA9" s="51"/>
      <c r="AB9" s="51"/>
    </row>
    <row r="10" customHeight="1" spans="1:28">
      <c r="A10" s="10">
        <v>1.5</v>
      </c>
      <c r="B10" s="7" t="s">
        <v>398</v>
      </c>
      <c r="C10" s="13">
        <f>SUM(D10:Z10)</f>
        <v>1.728</v>
      </c>
      <c r="D10" s="11">
        <f>C.1项目融资信息!D4*(A财务假设!$D$17+IF(C.1项目融资信息!G4&gt;4,A财务假设!$D$16,A财务假设!$D$15))</f>
        <v>1.728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52" t="s">
        <v>399</v>
      </c>
      <c r="AB10" s="51"/>
    </row>
    <row r="11" customHeight="1" spans="1:28">
      <c r="A11" s="10">
        <v>1.6</v>
      </c>
      <c r="B11" s="7" t="s">
        <v>400</v>
      </c>
      <c r="C11" s="11"/>
      <c r="D11" s="11">
        <f>IF((D$2-YEAR(C.1项目融资信息!$E4))=0,(12-MONTH(C.1项目融资信息!$E4)+1)*C.1项目融资信息!$D4*C.1项目融资信息!$H4/12,C.1项目融资信息!$D4*C.1项目融资信息!$H4)</f>
        <v>14.1333333333333</v>
      </c>
      <c r="E11" s="11">
        <f>IF((E$2-YEAR(C.1项目融资信息!$E4))=0,(12-MONTH(C.1项目融资信息!$E4)+1)*C.1项目融资信息!$D4*C.1项目融资信息!$H4/12,C.1项目融资信息!$D4*C.1项目融资信息!$H4)</f>
        <v>42.4</v>
      </c>
      <c r="F11" s="11">
        <f>IF((F$2-YEAR(C.1项目融资信息!$E4))=0,(12-MONTH(C.1项目融资信息!$E4)+1)*C.1项目融资信息!$D4*C.1项目融资信息!$H4/12,C.1项目融资信息!$D4*C.1项目融资信息!$H4)</f>
        <v>42.4</v>
      </c>
      <c r="G11" s="11">
        <f>IF((G$2-YEAR(C.1项目融资信息!$E4))=0,(12-MONTH(C.1项目融资信息!$E4)+1)*C.1项目融资信息!$D4*C.1项目融资信息!$H4/12,C.1项目融资信息!$D4*C.1项目融资信息!$H4)</f>
        <v>42.4</v>
      </c>
      <c r="H11" s="11">
        <f>IF((H$2-YEAR(C.1项目融资信息!$E4))=0,(12-MONTH(C.1项目融资信息!$E4)+1)*C.1项目融资信息!$D4*C.1项目融资信息!$H4/12,C.1项目融资信息!$D4*C.1项目融资信息!$H4)</f>
        <v>42.4</v>
      </c>
      <c r="I11" s="11">
        <f>IF((I$2-YEAR(C.1项目融资信息!$E4))=0,(12-MONTH(C.1项目融资信息!$E4)+1)*C.1项目融资信息!$D4*C.1项目融资信息!$H4/12,C.1项目融资信息!$D4*C.1项目融资信息!$H4)</f>
        <v>42.4</v>
      </c>
      <c r="J11" s="11">
        <f>IF((J$2-YEAR(C.1项目融资信息!$E4))=0,(12-MONTH(C.1项目融资信息!$E4)+1)*C.1项目融资信息!$D4*C.1项目融资信息!$H4/12,C.1项目融资信息!$D4*C.1项目融资信息!$H4)</f>
        <v>42.4</v>
      </c>
      <c r="K11" s="11">
        <f>IF((K$2-YEAR(C.1项目融资信息!$E4))=0,(12-MONTH(C.1项目融资信息!$E4)+1)*C.1项目融资信息!$D4*C.1项目融资信息!$H4/12,C.1项目融资信息!$D4*C.1项目融资信息!$H4)</f>
        <v>42.4</v>
      </c>
      <c r="L11" s="11">
        <f>IF((L$2-YEAR(C.1项目融资信息!$E4))=0,(12-MONTH(C.1项目融资信息!$E4)+1)*C.1项目融资信息!$D4*C.1项目融资信息!$H4/12,C.1项目融资信息!$D4*C.1项目融资信息!$H4)</f>
        <v>42.4</v>
      </c>
      <c r="M11" s="11">
        <f>IF((M$2-YEAR(C.1项目融资信息!$E4))=0,(12-MONTH(C.1项目融资信息!$E4)+1)*C.1项目融资信息!$D4*C.1项目融资信息!$H4/12,C.1项目融资信息!$D4*C.1项目融资信息!$H4)</f>
        <v>42.4</v>
      </c>
      <c r="N11" s="11">
        <f>IF((N$2-YEAR(C.1项目融资信息!$E4))=0,(12-MONTH(C.1项目融资信息!$E4)+1)*C.1项目融资信息!$D4*C.1项目融资信息!$H4/12,C.1项目融资信息!$D4*C.1项目融资信息!$H4)</f>
        <v>42.4</v>
      </c>
      <c r="O11" s="11">
        <f>IF((O$2-YEAR(C.1项目融资信息!$E4))=0,(12-MONTH(C.1项目融资信息!$E4)+1)*C.1项目融资信息!$D4*C.1项目融资信息!$H4/12,C.1项目融资信息!$D4*C.1项目融资信息!$H4)</f>
        <v>42.4</v>
      </c>
      <c r="P11" s="11">
        <f>IF((P$2-YEAR(C.1项目融资信息!$E4))=0,(12-MONTH(C.1项目融资信息!$E4)+1)*C.1项目融资信息!$D4*C.1项目融资信息!$H4/12,C.1项目融资信息!$D4*C.1项目融资信息!$H4)</f>
        <v>42.4</v>
      </c>
      <c r="Q11" s="11">
        <f>IF((Q$2-YEAR(C.1项目融资信息!$E4))=0,(12-MONTH(C.1项目融资信息!$E4)+1)*C.1项目融资信息!$D4*C.1项目融资信息!$H4/12,C.1项目融资信息!$D4*C.1项目融资信息!$H4)</f>
        <v>42.4</v>
      </c>
      <c r="R11" s="11">
        <f>IF((R$2-YEAR(C.1项目融资信息!$E4))=0,(12-MONTH(C.1项目融资信息!$E4)+1)*C.1项目融资信息!$D4*C.1项目融资信息!$H4/12,C.1项目融资信息!$D4*C.1项目融资信息!$H4)</f>
        <v>42.4</v>
      </c>
      <c r="S11" s="11">
        <f>IF((S$2-YEAR(C.1项目融资信息!$E4))=0,(12-MONTH(C.1项目融资信息!$E4)+1)*C.1项目融资信息!$D4*C.1项目融资信息!$H4/12,C.1项目融资信息!$D4*C.1项目融资信息!$H4)</f>
        <v>42.4</v>
      </c>
      <c r="T11" s="11">
        <f>IF((T$2-YEAR(C.1项目融资信息!$E4))=0,(12-MONTH(C.1项目融资信息!$E4)+1)*C.1项目融资信息!$D4*C.1项目融资信息!$H4/12,C.1项目融资信息!$D4*C.1项目融资信息!$H4)</f>
        <v>42.4</v>
      </c>
      <c r="U11" s="11">
        <f>IF((U$2-YEAR(C.1项目融资信息!$E4))=0,(12-MONTH(C.1项目融资信息!$E4)+1)*C.1项目融资信息!$D4*C.1项目融资信息!$H4/12,C.1项目融资信息!$D4*C.1项目融资信息!$H4)</f>
        <v>42.4</v>
      </c>
      <c r="V11" s="11">
        <f>IF((V$2-YEAR(C.1项目融资信息!$E4))=0,(12-MONTH(C.1项目融资信息!$E4)+1)*C.1项目融资信息!$D4*C.1项目融资信息!$H4/12,C.1项目融资信息!$D4*C.1项目融资信息!$H4)</f>
        <v>42.4</v>
      </c>
      <c r="W11" s="11">
        <f>IF((W$2-YEAR(C.1项目融资信息!$E4))=0,(12-MONTH(C.1项目融资信息!$E4)+1)*C.1项目融资信息!$D4*C.1项目融资信息!$H4/12,C.1项目融资信息!$D4*C.1项目融资信息!$H4)</f>
        <v>42.4</v>
      </c>
      <c r="X11" s="11">
        <f>(MONTH(C.1项目融资信息!$E4)-1)*C.1项目融资信息!$D4*C.1项目融资信息!$H4/12</f>
        <v>28.2666666666667</v>
      </c>
      <c r="Y11" s="13"/>
      <c r="Z11" s="13"/>
      <c r="AA11" s="52" t="s">
        <v>401</v>
      </c>
      <c r="AB11" s="51"/>
    </row>
    <row r="12" customHeight="1" spans="1:28">
      <c r="A12" s="10">
        <v>2</v>
      </c>
      <c r="B12" s="10" t="s">
        <v>78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51"/>
      <c r="AB12" s="51"/>
    </row>
    <row r="13" customHeight="1" spans="1:28">
      <c r="A13" s="10">
        <v>2.1</v>
      </c>
      <c r="B13" s="7" t="s">
        <v>389</v>
      </c>
      <c r="C13" s="13" t="s">
        <v>105</v>
      </c>
      <c r="D13" s="41"/>
      <c r="E13" s="41">
        <v>0</v>
      </c>
      <c r="F13" s="41">
        <f>$E$17</f>
        <v>10000</v>
      </c>
      <c r="G13" s="41">
        <f t="shared" ref="G13:Y13" si="4">$E$17</f>
        <v>10000</v>
      </c>
      <c r="H13" s="41">
        <f t="shared" si="4"/>
        <v>10000</v>
      </c>
      <c r="I13" s="41">
        <f t="shared" si="4"/>
        <v>10000</v>
      </c>
      <c r="J13" s="41">
        <f t="shared" si="4"/>
        <v>10000</v>
      </c>
      <c r="K13" s="41">
        <f t="shared" si="4"/>
        <v>10000</v>
      </c>
      <c r="L13" s="41">
        <f t="shared" si="4"/>
        <v>10000</v>
      </c>
      <c r="M13" s="41">
        <f t="shared" si="4"/>
        <v>10000</v>
      </c>
      <c r="N13" s="41">
        <f t="shared" si="4"/>
        <v>10000</v>
      </c>
      <c r="O13" s="41">
        <f t="shared" si="4"/>
        <v>10000</v>
      </c>
      <c r="P13" s="41">
        <f t="shared" si="4"/>
        <v>10000</v>
      </c>
      <c r="Q13" s="41">
        <f t="shared" si="4"/>
        <v>10000</v>
      </c>
      <c r="R13" s="41">
        <f t="shared" si="4"/>
        <v>10000</v>
      </c>
      <c r="S13" s="41">
        <f t="shared" si="4"/>
        <v>10000</v>
      </c>
      <c r="T13" s="41">
        <f t="shared" si="4"/>
        <v>10000</v>
      </c>
      <c r="U13" s="41">
        <f t="shared" si="4"/>
        <v>10000</v>
      </c>
      <c r="V13" s="41">
        <f t="shared" si="4"/>
        <v>10000</v>
      </c>
      <c r="W13" s="41">
        <f t="shared" si="4"/>
        <v>10000</v>
      </c>
      <c r="X13" s="41">
        <f t="shared" si="4"/>
        <v>10000</v>
      </c>
      <c r="Y13" s="41">
        <f t="shared" si="4"/>
        <v>10000</v>
      </c>
      <c r="Z13" s="41"/>
      <c r="AA13" s="51"/>
      <c r="AB13" s="51"/>
    </row>
    <row r="14" customHeight="1" spans="1:28">
      <c r="A14" s="10">
        <v>2.2</v>
      </c>
      <c r="B14" s="7" t="s">
        <v>390</v>
      </c>
      <c r="C14" s="13">
        <f>SUM(D14:Z14)</f>
        <v>14240</v>
      </c>
      <c r="D14" s="13"/>
      <c r="E14" s="13">
        <f t="shared" ref="E14:Y14" si="5">E15+E16</f>
        <v>0</v>
      </c>
      <c r="F14" s="13">
        <f t="shared" si="5"/>
        <v>212</v>
      </c>
      <c r="G14" s="13">
        <f t="shared" si="5"/>
        <v>212</v>
      </c>
      <c r="H14" s="13">
        <f t="shared" si="5"/>
        <v>212</v>
      </c>
      <c r="I14" s="13">
        <f t="shared" si="5"/>
        <v>212</v>
      </c>
      <c r="J14" s="13">
        <f t="shared" si="5"/>
        <v>212</v>
      </c>
      <c r="K14" s="13">
        <f t="shared" si="5"/>
        <v>212</v>
      </c>
      <c r="L14" s="13">
        <f t="shared" si="5"/>
        <v>212</v>
      </c>
      <c r="M14" s="13">
        <f t="shared" si="5"/>
        <v>212</v>
      </c>
      <c r="N14" s="13">
        <f t="shared" si="5"/>
        <v>212</v>
      </c>
      <c r="O14" s="13">
        <f t="shared" si="5"/>
        <v>212</v>
      </c>
      <c r="P14" s="13">
        <f t="shared" si="5"/>
        <v>212</v>
      </c>
      <c r="Q14" s="13">
        <f t="shared" si="5"/>
        <v>212</v>
      </c>
      <c r="R14" s="13">
        <f t="shared" si="5"/>
        <v>212</v>
      </c>
      <c r="S14" s="13">
        <f t="shared" si="5"/>
        <v>212</v>
      </c>
      <c r="T14" s="13">
        <f t="shared" si="5"/>
        <v>212</v>
      </c>
      <c r="U14" s="13">
        <f t="shared" si="5"/>
        <v>212</v>
      </c>
      <c r="V14" s="13">
        <f t="shared" ref="V14:X14" si="6">V15+V16</f>
        <v>212</v>
      </c>
      <c r="W14" s="13">
        <f t="shared" si="6"/>
        <v>212</v>
      </c>
      <c r="X14" s="13">
        <f t="shared" si="6"/>
        <v>212</v>
      </c>
      <c r="Y14" s="13">
        <f t="shared" si="5"/>
        <v>10212</v>
      </c>
      <c r="Z14" s="13"/>
      <c r="AA14" s="51"/>
      <c r="AB14" s="51"/>
    </row>
    <row r="15" customHeight="1" spans="1:28">
      <c r="A15" s="10" t="s">
        <v>100</v>
      </c>
      <c r="B15" s="7" t="s">
        <v>391</v>
      </c>
      <c r="C15" s="13">
        <f>SUM(D15:Z15)</f>
        <v>10000</v>
      </c>
      <c r="D15" s="41"/>
      <c r="E15" s="41">
        <v>0</v>
      </c>
      <c r="F15" s="41">
        <v>0</v>
      </c>
      <c r="G15" s="41">
        <v>0</v>
      </c>
      <c r="H15" s="41">
        <v>0</v>
      </c>
      <c r="I15" s="41">
        <v>0</v>
      </c>
      <c r="J15" s="41">
        <v>0</v>
      </c>
      <c r="K15" s="41">
        <v>0</v>
      </c>
      <c r="L15" s="41">
        <v>0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1">
        <v>0</v>
      </c>
      <c r="U15" s="41">
        <v>0</v>
      </c>
      <c r="V15" s="41">
        <v>0</v>
      </c>
      <c r="W15" s="41">
        <v>0</v>
      </c>
      <c r="X15" s="41">
        <v>0</v>
      </c>
      <c r="Y15" s="42">
        <f>E17</f>
        <v>10000</v>
      </c>
      <c r="Z15" s="41"/>
      <c r="AA15" s="52" t="s">
        <v>392</v>
      </c>
      <c r="AB15" s="51"/>
    </row>
    <row r="16" customHeight="1" spans="1:28">
      <c r="A16" s="10" t="s">
        <v>101</v>
      </c>
      <c r="B16" s="7" t="s">
        <v>393</v>
      </c>
      <c r="C16" s="13">
        <f>SUM(D16:Z16)</f>
        <v>4240</v>
      </c>
      <c r="D16" s="41"/>
      <c r="E16" s="42">
        <f>IF(C.1项目融资信息!G5&lt;10,0,IF(MONTH(C.1项目融资信息!E5)&gt;6,0,C.1项目融资信息!D5*C.1项目融资信息!H5/2))</f>
        <v>0</v>
      </c>
      <c r="F16" s="42">
        <f>C.1项目融资信息!$D$5*C.1项目融资信息!$H$5</f>
        <v>212</v>
      </c>
      <c r="G16" s="42">
        <f>C.1项目融资信息!$D$5*C.1项目融资信息!$H$5</f>
        <v>212</v>
      </c>
      <c r="H16" s="42">
        <f>C.1项目融资信息!$D$5*C.1项目融资信息!$H$5</f>
        <v>212</v>
      </c>
      <c r="I16" s="42">
        <f>C.1项目融资信息!$D$5*C.1项目融资信息!$H$5</f>
        <v>212</v>
      </c>
      <c r="J16" s="42">
        <f>C.1项目融资信息!$D$5*C.1项目融资信息!$H$5</f>
        <v>212</v>
      </c>
      <c r="K16" s="42">
        <f>C.1项目融资信息!$D$5*C.1项目融资信息!$H$5</f>
        <v>212</v>
      </c>
      <c r="L16" s="42">
        <f>C.1项目融资信息!$D$5*C.1项目融资信息!$H$5</f>
        <v>212</v>
      </c>
      <c r="M16" s="42">
        <f>C.1项目融资信息!$D$5*C.1项目融资信息!$H$5</f>
        <v>212</v>
      </c>
      <c r="N16" s="42">
        <f>C.1项目融资信息!$D$5*C.1项目融资信息!$H$5</f>
        <v>212</v>
      </c>
      <c r="O16" s="42">
        <f>C.1项目融资信息!$D$5*C.1项目融资信息!$H$5</f>
        <v>212</v>
      </c>
      <c r="P16" s="42">
        <f>C.1项目融资信息!$D$5*C.1项目融资信息!$H$5</f>
        <v>212</v>
      </c>
      <c r="Q16" s="42">
        <f>C.1项目融资信息!$D$5*C.1项目融资信息!$H$5</f>
        <v>212</v>
      </c>
      <c r="R16" s="42">
        <f>C.1项目融资信息!$D$5*C.1项目融资信息!$H$5</f>
        <v>212</v>
      </c>
      <c r="S16" s="42">
        <f>C.1项目融资信息!$D$5*C.1项目融资信息!$H$5</f>
        <v>212</v>
      </c>
      <c r="T16" s="42">
        <f>C.1项目融资信息!$D$5*C.1项目融资信息!$H$5</f>
        <v>212</v>
      </c>
      <c r="U16" s="42">
        <f>C.1项目融资信息!$D$5*C.1项目融资信息!$H$5</f>
        <v>212</v>
      </c>
      <c r="V16" s="42">
        <f>C.1项目融资信息!$D$5*C.1项目融资信息!$H$5</f>
        <v>212</v>
      </c>
      <c r="W16" s="42">
        <f>C.1项目融资信息!$D$5*C.1项目融资信息!$H$5</f>
        <v>212</v>
      </c>
      <c r="X16" s="42">
        <f>C.1项目融资信息!$D$5*C.1项目融资信息!$H$5</f>
        <v>212</v>
      </c>
      <c r="Y16" s="42">
        <f>IF(C.1项目融资信息!G5&lt;10,C.1项目融资信息!$D$5*C.1项目融资信息!$H$5,IF(MONTH(C.1项目融资信息!E5)&gt;6,C.1项目融资信息!$D$5*C.1项目融资信息!$H$5,C.1项目融资信息!D5*C.1项目融资信息!H5/2))</f>
        <v>212</v>
      </c>
      <c r="Z16" s="41"/>
      <c r="AA16" s="52" t="s">
        <v>394</v>
      </c>
      <c r="AB16" s="51"/>
    </row>
    <row r="17" customHeight="1" spans="1:28">
      <c r="A17" s="10">
        <v>2.3</v>
      </c>
      <c r="B17" s="7" t="s">
        <v>395</v>
      </c>
      <c r="C17" s="13" t="s">
        <v>105</v>
      </c>
      <c r="D17" s="13"/>
      <c r="E17" s="11">
        <f>E13+C.2项目每年借款信息!D4-E15</f>
        <v>10000</v>
      </c>
      <c r="F17" s="11">
        <f>F13+C.2项目每年借款信息!E4-F15</f>
        <v>10000</v>
      </c>
      <c r="G17" s="11">
        <f>G13+C.2项目每年借款信息!F4-G15</f>
        <v>10000</v>
      </c>
      <c r="H17" s="11">
        <f>H13+C.2项目每年借款信息!G4-H15</f>
        <v>10000</v>
      </c>
      <c r="I17" s="11">
        <f>I13+C.2项目每年借款信息!H4-I15</f>
        <v>10000</v>
      </c>
      <c r="J17" s="11">
        <f>J13+C.2项目每年借款信息!I4-J15</f>
        <v>10000</v>
      </c>
      <c r="K17" s="11">
        <f>K13+C.2项目每年借款信息!J4-K15</f>
        <v>10000</v>
      </c>
      <c r="L17" s="11">
        <f>L13+C.2项目每年借款信息!K4-L15</f>
        <v>10000</v>
      </c>
      <c r="M17" s="11">
        <f>M13+C.2项目每年借款信息!L4-M15</f>
        <v>10000</v>
      </c>
      <c r="N17" s="11">
        <f>N13+C.2项目每年借款信息!M4-N15</f>
        <v>10000</v>
      </c>
      <c r="O17" s="11">
        <f>O13+C.2项目每年借款信息!N4-O15</f>
        <v>10000</v>
      </c>
      <c r="P17" s="11">
        <f>P13+C.2项目每年借款信息!O4-P15</f>
        <v>10000</v>
      </c>
      <c r="Q17" s="11">
        <f>Q13+C.2项目每年借款信息!P4-Q15</f>
        <v>10000</v>
      </c>
      <c r="R17" s="11">
        <f>R13+C.2项目每年借款信息!Q4-R15</f>
        <v>10000</v>
      </c>
      <c r="S17" s="11">
        <f>S13+C.2项目每年借款信息!R4-S15</f>
        <v>10000</v>
      </c>
      <c r="T17" s="11">
        <f>T13+C.2项目每年借款信息!S4-T15</f>
        <v>10000</v>
      </c>
      <c r="U17" s="11">
        <f>U13+C.2项目每年借款信息!T4-U15</f>
        <v>10000</v>
      </c>
      <c r="V17" s="11">
        <f>V13+C.2项目每年借款信息!U4-V15</f>
        <v>10000</v>
      </c>
      <c r="W17" s="11">
        <f>W13+C.2项目每年借款信息!V4-W15</f>
        <v>10000</v>
      </c>
      <c r="X17" s="11">
        <f>X13+C.2项目每年借款信息!W4-X15</f>
        <v>10000</v>
      </c>
      <c r="Y17" s="11">
        <f>Y13+C.2项目每年借款信息!X4-Y15</f>
        <v>0</v>
      </c>
      <c r="Z17" s="13"/>
      <c r="AA17" s="52" t="s">
        <v>396</v>
      </c>
      <c r="AB17" s="51"/>
    </row>
    <row r="18" customHeight="1" spans="1:28">
      <c r="A18" s="10">
        <v>2.4</v>
      </c>
      <c r="B18" s="7" t="s">
        <v>397</v>
      </c>
      <c r="C18" s="48">
        <f>SUM(D18:Z18)</f>
        <v>0.712</v>
      </c>
      <c r="D18" s="48"/>
      <c r="E18" s="48">
        <f>E14*A财务假设!$D$18</f>
        <v>0</v>
      </c>
      <c r="F18" s="48">
        <f>F14*A财务假设!$D$18</f>
        <v>0.0106</v>
      </c>
      <c r="G18" s="48">
        <f>G14*A财务假设!$D$18</f>
        <v>0.0106</v>
      </c>
      <c r="H18" s="48">
        <f>H14*A财务假设!$D$18</f>
        <v>0.0106</v>
      </c>
      <c r="I18" s="48">
        <f>I14*A财务假设!$D$18</f>
        <v>0.0106</v>
      </c>
      <c r="J18" s="48">
        <f>J14*A财务假设!$D$18</f>
        <v>0.0106</v>
      </c>
      <c r="K18" s="48">
        <f>K14*A财务假设!$D$18</f>
        <v>0.0106</v>
      </c>
      <c r="L18" s="48">
        <f>L14*A财务假设!$D$18</f>
        <v>0.0106</v>
      </c>
      <c r="M18" s="48">
        <f>M14*A财务假设!$D$18</f>
        <v>0.0106</v>
      </c>
      <c r="N18" s="48">
        <f>N14*A财务假设!$D$18</f>
        <v>0.0106</v>
      </c>
      <c r="O18" s="48">
        <f>O14*A财务假设!$D$18</f>
        <v>0.0106</v>
      </c>
      <c r="P18" s="48">
        <f>P14*A财务假设!$D$18</f>
        <v>0.0106</v>
      </c>
      <c r="Q18" s="48">
        <f>Q14*A财务假设!$D$18</f>
        <v>0.0106</v>
      </c>
      <c r="R18" s="48">
        <f>R14*A财务假设!$D$18</f>
        <v>0.0106</v>
      </c>
      <c r="S18" s="48">
        <f>S14*A财务假设!$D$18</f>
        <v>0.0106</v>
      </c>
      <c r="T18" s="48">
        <f>T14*A财务假设!$D$18</f>
        <v>0.0106</v>
      </c>
      <c r="U18" s="48">
        <f>U14*A财务假设!$D$18</f>
        <v>0.0106</v>
      </c>
      <c r="V18" s="48">
        <f>V14*A财务假设!$D$18</f>
        <v>0.0106</v>
      </c>
      <c r="W18" s="48">
        <f>W14*A财务假设!$D$18</f>
        <v>0.0106</v>
      </c>
      <c r="X18" s="48">
        <f>X14*A财务假设!$D$18</f>
        <v>0.0106</v>
      </c>
      <c r="Y18" s="48">
        <f>Y14*A财务假设!$D$18</f>
        <v>0.5106</v>
      </c>
      <c r="Z18" s="13"/>
      <c r="AA18" s="51"/>
      <c r="AB18" s="51"/>
    </row>
    <row r="19" customHeight="1" spans="1:28">
      <c r="A19" s="10">
        <v>2.5</v>
      </c>
      <c r="B19" s="7" t="s">
        <v>398</v>
      </c>
      <c r="C19" s="13">
        <f>SUM(D19:Z19)</f>
        <v>8.64</v>
      </c>
      <c r="D19" s="13"/>
      <c r="E19" s="11">
        <f>C.1项目融资信息!D5*(A财务假设!$D$17+IF(C.1项目融资信息!G5&gt;4,A财务假设!$D$16,A财务假设!$D$15))</f>
        <v>8.64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52" t="s">
        <v>399</v>
      </c>
      <c r="AB19" s="51"/>
    </row>
    <row r="20" customHeight="1" spans="1:28">
      <c r="A20" s="10">
        <v>2.6</v>
      </c>
      <c r="B20" s="7" t="s">
        <v>400</v>
      </c>
      <c r="C20" s="11"/>
      <c r="D20" s="13"/>
      <c r="E20" s="11">
        <f>IF((E$2-YEAR(C.1项目融资信息!$E5))=0,(12-MONTH(C.1项目融资信息!$E5)+1)*C.1项目融资信息!$D5*C.1项目融资信息!$H5/12,C.1项目融资信息!$D5*C.1项目融资信息!$H5)</f>
        <v>70.6666666666667</v>
      </c>
      <c r="F20" s="11">
        <f>IF((F$2-YEAR(C.1项目融资信息!$E5))=0,(12-MONTH(C.1项目融资信息!$E5)+1)*C.1项目融资信息!$D5*C.1项目融资信息!$H5/12,C.1项目融资信息!$D5*C.1项目融资信息!$H5)</f>
        <v>212</v>
      </c>
      <c r="G20" s="11">
        <f>IF((G$2-YEAR(C.1项目融资信息!$E5))=0,(12-MONTH(C.1项目融资信息!$E5)+1)*C.1项目融资信息!$D5*C.1项目融资信息!$H5/12,C.1项目融资信息!$D5*C.1项目融资信息!$H5)</f>
        <v>212</v>
      </c>
      <c r="H20" s="11">
        <f>IF((H$2-YEAR(C.1项目融资信息!$E5))=0,(12-MONTH(C.1项目融资信息!$E5)+1)*C.1项目融资信息!$D5*C.1项目融资信息!$H5/12,C.1项目融资信息!$D5*C.1项目融资信息!$H5)</f>
        <v>212</v>
      </c>
      <c r="I20" s="11">
        <f>IF((I$2-YEAR(C.1项目融资信息!$E5))=0,(12-MONTH(C.1项目融资信息!$E5)+1)*C.1项目融资信息!$D5*C.1项目融资信息!$H5/12,C.1项目融资信息!$D5*C.1项目融资信息!$H5)</f>
        <v>212</v>
      </c>
      <c r="J20" s="11">
        <f>IF((J$2-YEAR(C.1项目融资信息!$E5))=0,(12-MONTH(C.1项目融资信息!$E5)+1)*C.1项目融资信息!$D5*C.1项目融资信息!$H5/12,C.1项目融资信息!$D5*C.1项目融资信息!$H5)</f>
        <v>212</v>
      </c>
      <c r="K20" s="11">
        <f>IF((K$2-YEAR(C.1项目融资信息!$E5))=0,(12-MONTH(C.1项目融资信息!$E5)+1)*C.1项目融资信息!$D5*C.1项目融资信息!$H5/12,C.1项目融资信息!$D5*C.1项目融资信息!$H5)</f>
        <v>212</v>
      </c>
      <c r="L20" s="11">
        <f>IF((L$2-YEAR(C.1项目融资信息!$E5))=0,(12-MONTH(C.1项目融资信息!$E5)+1)*C.1项目融资信息!$D5*C.1项目融资信息!$H5/12,C.1项目融资信息!$D5*C.1项目融资信息!$H5)</f>
        <v>212</v>
      </c>
      <c r="M20" s="11">
        <f>IF((M$2-YEAR(C.1项目融资信息!$E5))=0,(12-MONTH(C.1项目融资信息!$E5)+1)*C.1项目融资信息!$D5*C.1项目融资信息!$H5/12,C.1项目融资信息!$D5*C.1项目融资信息!$H5)</f>
        <v>212</v>
      </c>
      <c r="N20" s="11">
        <f>IF((N$2-YEAR(C.1项目融资信息!$E5))=0,(12-MONTH(C.1项目融资信息!$E5)+1)*C.1项目融资信息!$D5*C.1项目融资信息!$H5/12,C.1项目融资信息!$D5*C.1项目融资信息!$H5)</f>
        <v>212</v>
      </c>
      <c r="O20" s="11">
        <f>IF((O$2-YEAR(C.1项目融资信息!$E5))=0,(12-MONTH(C.1项目融资信息!$E5)+1)*C.1项目融资信息!$D5*C.1项目融资信息!$H5/12,C.1项目融资信息!$D5*C.1项目融资信息!$H5)</f>
        <v>212</v>
      </c>
      <c r="P20" s="11">
        <f>IF((P$2-YEAR(C.1项目融资信息!$E5))=0,(12-MONTH(C.1项目融资信息!$E5)+1)*C.1项目融资信息!$D5*C.1项目融资信息!$H5/12,C.1项目融资信息!$D5*C.1项目融资信息!$H5)</f>
        <v>212</v>
      </c>
      <c r="Q20" s="11">
        <f>IF((Q$2-YEAR(C.1项目融资信息!$E5))=0,(12-MONTH(C.1项目融资信息!$E5)+1)*C.1项目融资信息!$D5*C.1项目融资信息!$H5/12,C.1项目融资信息!$D5*C.1项目融资信息!$H5)</f>
        <v>212</v>
      </c>
      <c r="R20" s="11">
        <f>IF((R$2-YEAR(C.1项目融资信息!$E5))=0,(12-MONTH(C.1项目融资信息!$E5)+1)*C.1项目融资信息!$D5*C.1项目融资信息!$H5/12,C.1项目融资信息!$D5*C.1项目融资信息!$H5)</f>
        <v>212</v>
      </c>
      <c r="S20" s="11">
        <f>IF((S$2-YEAR(C.1项目融资信息!$E5))=0,(12-MONTH(C.1项目融资信息!$E5)+1)*C.1项目融资信息!$D5*C.1项目融资信息!$H5/12,C.1项目融资信息!$D5*C.1项目融资信息!$H5)</f>
        <v>212</v>
      </c>
      <c r="T20" s="11">
        <f>IF((T$2-YEAR(C.1项目融资信息!$E5))=0,(12-MONTH(C.1项目融资信息!$E5)+1)*C.1项目融资信息!$D5*C.1项目融资信息!$H5/12,C.1项目融资信息!$D5*C.1项目融资信息!$H5)</f>
        <v>212</v>
      </c>
      <c r="U20" s="11">
        <f>IF((U$2-YEAR(C.1项目融资信息!$E5))=0,(12-MONTH(C.1项目融资信息!$E5)+1)*C.1项目融资信息!$D5*C.1项目融资信息!$H5/12,C.1项目融资信息!$D5*C.1项目融资信息!$H5)</f>
        <v>212</v>
      </c>
      <c r="V20" s="11">
        <f>IF((V$2-YEAR(C.1项目融资信息!$E5))=0,(12-MONTH(C.1项目融资信息!$E5)+1)*C.1项目融资信息!$D5*C.1项目融资信息!$H5/12,C.1项目融资信息!$D5*C.1项目融资信息!$H5)</f>
        <v>212</v>
      </c>
      <c r="W20" s="11">
        <f>IF((W$2-YEAR(C.1项目融资信息!$E5))=0,(12-MONTH(C.1项目融资信息!$E5)+1)*C.1项目融资信息!$D5*C.1项目融资信息!$H5/12,C.1项目融资信息!$D5*C.1项目融资信息!$H5)</f>
        <v>212</v>
      </c>
      <c r="X20" s="11">
        <f>IF((X$2-YEAR(C.1项目融资信息!$E5))=0,(12-MONTH(C.1项目融资信息!$E5)+1)*C.1项目融资信息!$D5*C.1项目融资信息!$H5/12,C.1项目融资信息!$D5*C.1项目融资信息!$H5)</f>
        <v>212</v>
      </c>
      <c r="Y20" s="11">
        <f>(MONTH(C.1项目融资信息!$E5)-1)*C.1项目融资信息!$D5*C.1项目融资信息!$H5/12</f>
        <v>141.333333333333</v>
      </c>
      <c r="Z20" s="13"/>
      <c r="AA20" s="52" t="s">
        <v>401</v>
      </c>
      <c r="AB20" s="51"/>
    </row>
    <row r="21" customHeight="1" spans="1:28">
      <c r="A21" s="10">
        <v>3</v>
      </c>
      <c r="B21" s="10" t="s">
        <v>79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51"/>
      <c r="AB21" s="51"/>
    </row>
    <row r="22" customHeight="1" spans="1:28">
      <c r="A22" s="10">
        <v>3.1</v>
      </c>
      <c r="B22" s="7" t="s">
        <v>389</v>
      </c>
      <c r="C22" s="13" t="s">
        <v>105</v>
      </c>
      <c r="D22" s="41"/>
      <c r="E22" s="41"/>
      <c r="F22" s="41">
        <v>0</v>
      </c>
      <c r="G22" s="41">
        <f>$F$26</f>
        <v>10000</v>
      </c>
      <c r="H22" s="41">
        <f t="shared" ref="H22:Z22" si="7">$F$26</f>
        <v>10000</v>
      </c>
      <c r="I22" s="41">
        <f t="shared" si="7"/>
        <v>10000</v>
      </c>
      <c r="J22" s="41">
        <f t="shared" si="7"/>
        <v>10000</v>
      </c>
      <c r="K22" s="41">
        <f t="shared" si="7"/>
        <v>10000</v>
      </c>
      <c r="L22" s="41">
        <f t="shared" si="7"/>
        <v>10000</v>
      </c>
      <c r="M22" s="41">
        <f t="shared" si="7"/>
        <v>10000</v>
      </c>
      <c r="N22" s="41">
        <f t="shared" si="7"/>
        <v>10000</v>
      </c>
      <c r="O22" s="41">
        <f t="shared" si="7"/>
        <v>10000</v>
      </c>
      <c r="P22" s="41">
        <f t="shared" si="7"/>
        <v>10000</v>
      </c>
      <c r="Q22" s="41">
        <f t="shared" si="7"/>
        <v>10000</v>
      </c>
      <c r="R22" s="41">
        <f t="shared" si="7"/>
        <v>10000</v>
      </c>
      <c r="S22" s="41">
        <f t="shared" si="7"/>
        <v>10000</v>
      </c>
      <c r="T22" s="41">
        <f t="shared" si="7"/>
        <v>10000</v>
      </c>
      <c r="U22" s="41">
        <f t="shared" si="7"/>
        <v>10000</v>
      </c>
      <c r="V22" s="41">
        <f t="shared" si="7"/>
        <v>10000</v>
      </c>
      <c r="W22" s="41">
        <f t="shared" si="7"/>
        <v>10000</v>
      </c>
      <c r="X22" s="41">
        <f t="shared" si="7"/>
        <v>10000</v>
      </c>
      <c r="Y22" s="41">
        <f t="shared" si="7"/>
        <v>10000</v>
      </c>
      <c r="Z22" s="41">
        <f t="shared" si="7"/>
        <v>10000</v>
      </c>
      <c r="AA22" s="51"/>
      <c r="AB22" s="51"/>
    </row>
    <row r="23" customHeight="1" spans="1:28">
      <c r="A23" s="10">
        <v>3.2</v>
      </c>
      <c r="B23" s="7" t="s">
        <v>390</v>
      </c>
      <c r="C23" s="13">
        <f>SUM(D23:Z23)</f>
        <v>14240</v>
      </c>
      <c r="D23" s="13"/>
      <c r="E23" s="13"/>
      <c r="F23" s="13">
        <f t="shared" ref="F23:Z23" si="8">F24+F25</f>
        <v>0</v>
      </c>
      <c r="G23" s="13">
        <f t="shared" si="8"/>
        <v>212</v>
      </c>
      <c r="H23" s="13">
        <f t="shared" si="8"/>
        <v>212</v>
      </c>
      <c r="I23" s="13">
        <f t="shared" si="8"/>
        <v>212</v>
      </c>
      <c r="J23" s="13">
        <f t="shared" si="8"/>
        <v>212</v>
      </c>
      <c r="K23" s="13">
        <f t="shared" si="8"/>
        <v>212</v>
      </c>
      <c r="L23" s="13">
        <f t="shared" si="8"/>
        <v>212</v>
      </c>
      <c r="M23" s="13">
        <f t="shared" si="8"/>
        <v>212</v>
      </c>
      <c r="N23" s="13">
        <f t="shared" si="8"/>
        <v>212</v>
      </c>
      <c r="O23" s="13">
        <f t="shared" si="8"/>
        <v>212</v>
      </c>
      <c r="P23" s="13">
        <f t="shared" si="8"/>
        <v>212</v>
      </c>
      <c r="Q23" s="13">
        <f t="shared" si="8"/>
        <v>212</v>
      </c>
      <c r="R23" s="13">
        <f t="shared" si="8"/>
        <v>212</v>
      </c>
      <c r="S23" s="13">
        <f t="shared" si="8"/>
        <v>212</v>
      </c>
      <c r="T23" s="13">
        <f t="shared" si="8"/>
        <v>212</v>
      </c>
      <c r="U23" s="13">
        <f t="shared" si="8"/>
        <v>212</v>
      </c>
      <c r="V23" s="13">
        <f t="shared" si="8"/>
        <v>212</v>
      </c>
      <c r="W23" s="13">
        <f t="shared" si="8"/>
        <v>212</v>
      </c>
      <c r="X23" s="13">
        <f t="shared" ref="X23" si="9">X24+X25</f>
        <v>212</v>
      </c>
      <c r="Y23" s="13">
        <f t="shared" si="8"/>
        <v>212</v>
      </c>
      <c r="Z23" s="13">
        <f t="shared" si="8"/>
        <v>10212</v>
      </c>
      <c r="AA23" s="51"/>
      <c r="AB23" s="51"/>
    </row>
    <row r="24" customHeight="1" spans="1:28">
      <c r="A24" s="10" t="s">
        <v>402</v>
      </c>
      <c r="B24" s="7" t="s">
        <v>391</v>
      </c>
      <c r="C24" s="13">
        <f>SUM(D24:Z24)</f>
        <v>10000</v>
      </c>
      <c r="D24" s="41"/>
      <c r="E24" s="41"/>
      <c r="F24" s="41">
        <v>0</v>
      </c>
      <c r="G24" s="41">
        <v>0</v>
      </c>
      <c r="H24" s="41">
        <v>0</v>
      </c>
      <c r="I24" s="41">
        <v>0</v>
      </c>
      <c r="J24" s="41">
        <v>0</v>
      </c>
      <c r="K24" s="41">
        <v>0</v>
      </c>
      <c r="L24" s="41">
        <v>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41">
        <v>0</v>
      </c>
      <c r="S24" s="41">
        <v>0</v>
      </c>
      <c r="T24" s="41">
        <v>0</v>
      </c>
      <c r="U24" s="41">
        <v>0</v>
      </c>
      <c r="V24" s="41">
        <v>0</v>
      </c>
      <c r="W24" s="41">
        <v>0</v>
      </c>
      <c r="X24" s="41">
        <v>0</v>
      </c>
      <c r="Y24" s="41">
        <v>0</v>
      </c>
      <c r="Z24" s="42">
        <f>F26</f>
        <v>10000</v>
      </c>
      <c r="AA24" s="52" t="s">
        <v>392</v>
      </c>
      <c r="AB24" s="51"/>
    </row>
    <row r="25" customHeight="1" spans="1:28">
      <c r="A25" s="10" t="s">
        <v>403</v>
      </c>
      <c r="B25" s="7" t="s">
        <v>393</v>
      </c>
      <c r="C25" s="13">
        <f>SUM(D25:Z25)</f>
        <v>4240</v>
      </c>
      <c r="D25" s="41"/>
      <c r="E25" s="41"/>
      <c r="F25" s="42">
        <f>IF(C.1项目融资信息!G6&lt;10,0,IF(MONTH(C.1项目融资信息!E6)&gt;6,0,C.1项目融资信息!D6*C.1项目融资信息!H6/2))</f>
        <v>0</v>
      </c>
      <c r="G25" s="42">
        <f>C.1项目融资信息!$D$6*C.1项目融资信息!$H$6</f>
        <v>212</v>
      </c>
      <c r="H25" s="42">
        <f>C.1项目融资信息!$D$6*C.1项目融资信息!$H$6</f>
        <v>212</v>
      </c>
      <c r="I25" s="42">
        <f>C.1项目融资信息!$D$6*C.1项目融资信息!$H$6</f>
        <v>212</v>
      </c>
      <c r="J25" s="42">
        <f>C.1项目融资信息!$D$6*C.1项目融资信息!$H$6</f>
        <v>212</v>
      </c>
      <c r="K25" s="42">
        <f>C.1项目融资信息!$D$6*C.1项目融资信息!$H$6</f>
        <v>212</v>
      </c>
      <c r="L25" s="42">
        <f>C.1项目融资信息!$D$6*C.1项目融资信息!$H$6</f>
        <v>212</v>
      </c>
      <c r="M25" s="42">
        <f>C.1项目融资信息!$D$6*C.1项目融资信息!$H$6</f>
        <v>212</v>
      </c>
      <c r="N25" s="42">
        <f>C.1项目融资信息!$D$6*C.1项目融资信息!$H$6</f>
        <v>212</v>
      </c>
      <c r="O25" s="42">
        <f>C.1项目融资信息!$D$6*C.1项目融资信息!$H$6</f>
        <v>212</v>
      </c>
      <c r="P25" s="42">
        <f>C.1项目融资信息!$D$6*C.1项目融资信息!$H$6</f>
        <v>212</v>
      </c>
      <c r="Q25" s="42">
        <f>C.1项目融资信息!$D$6*C.1项目融资信息!$H$6</f>
        <v>212</v>
      </c>
      <c r="R25" s="42">
        <f>C.1项目融资信息!$D$6*C.1项目融资信息!$H$6</f>
        <v>212</v>
      </c>
      <c r="S25" s="42">
        <f>C.1项目融资信息!$D$6*C.1项目融资信息!$H$6</f>
        <v>212</v>
      </c>
      <c r="T25" s="42">
        <f>C.1项目融资信息!$D$6*C.1项目融资信息!$H$6</f>
        <v>212</v>
      </c>
      <c r="U25" s="42">
        <f>C.1项目融资信息!$D$6*C.1项目融资信息!$H$6</f>
        <v>212</v>
      </c>
      <c r="V25" s="42">
        <f>C.1项目融资信息!$D$6*C.1项目融资信息!$H$6</f>
        <v>212</v>
      </c>
      <c r="W25" s="42">
        <f>C.1项目融资信息!$D$6*C.1项目融资信息!$H$6</f>
        <v>212</v>
      </c>
      <c r="X25" s="42">
        <f>C.1项目融资信息!$D$6*C.1项目融资信息!$H$6</f>
        <v>212</v>
      </c>
      <c r="Y25" s="42">
        <f>C.1项目融资信息!$D$6*C.1项目融资信息!$H$6</f>
        <v>212</v>
      </c>
      <c r="Z25" s="42">
        <f>IF(C.1项目融资信息!G6&lt;10,C.1项目融资信息!$D$6*C.1项目融资信息!$H$6,IF(MONTH(C.1项目融资信息!E6)&gt;6,C.1项目融资信息!$D$6*C.1项目融资信息!$H$6,C.1项目融资信息!D6*C.1项目融资信息!H6/2))</f>
        <v>212</v>
      </c>
      <c r="AA25" s="52" t="s">
        <v>394</v>
      </c>
      <c r="AB25" s="51"/>
    </row>
    <row r="26" customHeight="1" spans="1:28">
      <c r="A26" s="10">
        <v>3.3</v>
      </c>
      <c r="B26" s="7" t="s">
        <v>395</v>
      </c>
      <c r="C26" s="13" t="s">
        <v>105</v>
      </c>
      <c r="D26" s="13"/>
      <c r="E26" s="13"/>
      <c r="F26" s="11">
        <f>F22+C.2项目每年借款信息!E5-F24</f>
        <v>10000</v>
      </c>
      <c r="G26" s="11">
        <f>G22+C.2项目每年借款信息!F5-G24</f>
        <v>10000</v>
      </c>
      <c r="H26" s="11">
        <f>H22+C.2项目每年借款信息!G5-H24</f>
        <v>10000</v>
      </c>
      <c r="I26" s="11">
        <f>I22+C.2项目每年借款信息!H5-I24</f>
        <v>10000</v>
      </c>
      <c r="J26" s="11">
        <f>J22+C.2项目每年借款信息!I5-J24</f>
        <v>10000</v>
      </c>
      <c r="K26" s="11">
        <f>K22+C.2项目每年借款信息!J5-K24</f>
        <v>10000</v>
      </c>
      <c r="L26" s="11">
        <f>L22+C.2项目每年借款信息!K5-L24</f>
        <v>10000</v>
      </c>
      <c r="M26" s="11">
        <f>M22+C.2项目每年借款信息!L5-M24</f>
        <v>10000</v>
      </c>
      <c r="N26" s="11">
        <f>N22+C.2项目每年借款信息!M5-N24</f>
        <v>10000</v>
      </c>
      <c r="O26" s="11">
        <f>O22+C.2项目每年借款信息!N5-O24</f>
        <v>10000</v>
      </c>
      <c r="P26" s="11">
        <f>P22+C.2项目每年借款信息!O5-P24</f>
        <v>10000</v>
      </c>
      <c r="Q26" s="11">
        <f>Q22+C.2项目每年借款信息!P5-Q24</f>
        <v>10000</v>
      </c>
      <c r="R26" s="11">
        <f>R22+C.2项目每年借款信息!Q5-R24</f>
        <v>10000</v>
      </c>
      <c r="S26" s="11">
        <f>S22+C.2项目每年借款信息!R5-S24</f>
        <v>10000</v>
      </c>
      <c r="T26" s="11">
        <f>T22+C.2项目每年借款信息!S5-T24</f>
        <v>10000</v>
      </c>
      <c r="U26" s="11">
        <f>U22+C.2项目每年借款信息!T5-U24</f>
        <v>10000</v>
      </c>
      <c r="V26" s="11">
        <f>V22+C.2项目每年借款信息!U5-V24</f>
        <v>10000</v>
      </c>
      <c r="W26" s="11">
        <f>W22+C.2项目每年借款信息!V5-W24</f>
        <v>10000</v>
      </c>
      <c r="X26" s="11">
        <f>X22+C.2项目每年借款信息!W5-X24</f>
        <v>10000</v>
      </c>
      <c r="Y26" s="11">
        <f>Y22+C.2项目每年借款信息!X5-Y24</f>
        <v>10000</v>
      </c>
      <c r="Z26" s="11">
        <f>Z22+C.2项目每年借款信息!Y5-Z24</f>
        <v>0</v>
      </c>
      <c r="AA26" s="52" t="s">
        <v>396</v>
      </c>
      <c r="AB26" s="51"/>
    </row>
    <row r="27" customHeight="1" spans="1:28">
      <c r="A27" s="10">
        <v>3.4</v>
      </c>
      <c r="B27" s="7" t="s">
        <v>397</v>
      </c>
      <c r="C27" s="48">
        <f>SUM(D27:Z27)</f>
        <v>0.712</v>
      </c>
      <c r="D27" s="48"/>
      <c r="E27" s="48"/>
      <c r="F27" s="48">
        <f>F23*A财务假设!$D$18</f>
        <v>0</v>
      </c>
      <c r="G27" s="48">
        <f>G23*A财务假设!$D$18</f>
        <v>0.0106</v>
      </c>
      <c r="H27" s="48">
        <f>H23*A财务假设!$D$18</f>
        <v>0.0106</v>
      </c>
      <c r="I27" s="48">
        <f>I23*A财务假设!$D$18</f>
        <v>0.0106</v>
      </c>
      <c r="J27" s="48">
        <f>J23*A财务假设!$D$18</f>
        <v>0.0106</v>
      </c>
      <c r="K27" s="48">
        <f>K23*A财务假设!$D$18</f>
        <v>0.0106</v>
      </c>
      <c r="L27" s="48">
        <f>L23*A财务假设!$D$18</f>
        <v>0.0106</v>
      </c>
      <c r="M27" s="48">
        <f>M23*A财务假设!$D$18</f>
        <v>0.0106</v>
      </c>
      <c r="N27" s="48">
        <f>N23*A财务假设!$D$18</f>
        <v>0.0106</v>
      </c>
      <c r="O27" s="48">
        <f>O23*A财务假设!$D$18</f>
        <v>0.0106</v>
      </c>
      <c r="P27" s="48">
        <f>P23*A财务假设!$D$18</f>
        <v>0.0106</v>
      </c>
      <c r="Q27" s="48">
        <f>Q23*A财务假设!$D$18</f>
        <v>0.0106</v>
      </c>
      <c r="R27" s="48">
        <f>R23*A财务假设!$D$18</f>
        <v>0.0106</v>
      </c>
      <c r="S27" s="48">
        <f>S23*A财务假设!$D$18</f>
        <v>0.0106</v>
      </c>
      <c r="T27" s="48">
        <f>T23*A财务假设!$D$18</f>
        <v>0.0106</v>
      </c>
      <c r="U27" s="48">
        <f>U23*A财务假设!$D$18</f>
        <v>0.0106</v>
      </c>
      <c r="V27" s="48">
        <f>V23*A财务假设!$D$18</f>
        <v>0.0106</v>
      </c>
      <c r="W27" s="48">
        <f>W23*A财务假设!$D$18</f>
        <v>0.0106</v>
      </c>
      <c r="X27" s="48">
        <f>X23*A财务假设!$D$18</f>
        <v>0.0106</v>
      </c>
      <c r="Y27" s="48">
        <f>Y23*A财务假设!$D$18</f>
        <v>0.0106</v>
      </c>
      <c r="Z27" s="48">
        <f>Z23*A财务假设!$D$18</f>
        <v>0.5106</v>
      </c>
      <c r="AA27" s="51"/>
      <c r="AB27" s="51"/>
    </row>
    <row r="28" customHeight="1" spans="1:28">
      <c r="A28" s="10">
        <v>3.5</v>
      </c>
      <c r="B28" s="7" t="s">
        <v>398</v>
      </c>
      <c r="C28" s="13">
        <f>SUM(D28:Z28)</f>
        <v>8.64</v>
      </c>
      <c r="D28" s="13"/>
      <c r="E28" s="13"/>
      <c r="F28" s="11">
        <f>C.1项目融资信息!D6*(A财务假设!$D$17+IF(C.1项目融资信息!G6&gt;4,A财务假设!$D$16,A财务假设!$D$15))</f>
        <v>8.64</v>
      </c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52" t="s">
        <v>399</v>
      </c>
      <c r="AB28" s="51"/>
    </row>
    <row r="29" customHeight="1" spans="1:28">
      <c r="A29" s="10">
        <v>3.6</v>
      </c>
      <c r="B29" s="7" t="s">
        <v>400</v>
      </c>
      <c r="C29" s="11"/>
      <c r="D29" s="13"/>
      <c r="E29" s="13"/>
      <c r="F29" s="11">
        <f>IF((F$2-YEAR(C.1项目融资信息!$E6))=0,(12-MONTH(C.1项目融资信息!$E6)+1)*C.1项目融资信息!$D6*C.1项目融资信息!$H6/12,C.1项目融资信息!$D6*C.1项目融资信息!$H6)</f>
        <v>70.6666666666667</v>
      </c>
      <c r="G29" s="11">
        <f>IF((G$2-YEAR(C.1项目融资信息!$E6))=0,(12-MONTH(C.1项目融资信息!$E6)+1)*C.1项目融资信息!$D6*C.1项目融资信息!$H6/12,C.1项目融资信息!$D6*C.1项目融资信息!$H6)</f>
        <v>212</v>
      </c>
      <c r="H29" s="11">
        <f>IF((H$2-YEAR(C.1项目融资信息!$E6))=0,(12-MONTH(C.1项目融资信息!$E6)+1)*C.1项目融资信息!$D6*C.1项目融资信息!$H6/12,C.1项目融资信息!$D6*C.1项目融资信息!$H6)</f>
        <v>212</v>
      </c>
      <c r="I29" s="11">
        <f>IF((I$2-YEAR(C.1项目融资信息!$E6))=0,(12-MONTH(C.1项目融资信息!$E6)+1)*C.1项目融资信息!$D6*C.1项目融资信息!$H6/12,C.1项目融资信息!$D6*C.1项目融资信息!$H6)</f>
        <v>212</v>
      </c>
      <c r="J29" s="11">
        <f>IF((J$2-YEAR(C.1项目融资信息!$E6))=0,(12-MONTH(C.1项目融资信息!$E6)+1)*C.1项目融资信息!$D6*C.1项目融资信息!$H6/12,C.1项目融资信息!$D6*C.1项目融资信息!$H6)</f>
        <v>212</v>
      </c>
      <c r="K29" s="11">
        <f>IF((K$2-YEAR(C.1项目融资信息!$E6))=0,(12-MONTH(C.1项目融资信息!$E6)+1)*C.1项目融资信息!$D6*C.1项目融资信息!$H6/12,C.1项目融资信息!$D6*C.1项目融资信息!$H6)</f>
        <v>212</v>
      </c>
      <c r="L29" s="11">
        <f>IF((L$2-YEAR(C.1项目融资信息!$E6))=0,(12-MONTH(C.1项目融资信息!$E6)+1)*C.1项目融资信息!$D6*C.1项目融资信息!$H6/12,C.1项目融资信息!$D6*C.1项目融资信息!$H6)</f>
        <v>212</v>
      </c>
      <c r="M29" s="11">
        <f>IF((M$2-YEAR(C.1项目融资信息!$E6))=0,(12-MONTH(C.1项目融资信息!$E6)+1)*C.1项目融资信息!$D6*C.1项目融资信息!$H6/12,C.1项目融资信息!$D6*C.1项目融资信息!$H6)</f>
        <v>212</v>
      </c>
      <c r="N29" s="11">
        <f>IF((N$2-YEAR(C.1项目融资信息!$E6))=0,(12-MONTH(C.1项目融资信息!$E6)+1)*C.1项目融资信息!$D6*C.1项目融资信息!$H6/12,C.1项目融资信息!$D6*C.1项目融资信息!$H6)</f>
        <v>212</v>
      </c>
      <c r="O29" s="11">
        <f>IF((O$2-YEAR(C.1项目融资信息!$E6))=0,(12-MONTH(C.1项目融资信息!$E6)+1)*C.1项目融资信息!$D6*C.1项目融资信息!$H6/12,C.1项目融资信息!$D6*C.1项目融资信息!$H6)</f>
        <v>212</v>
      </c>
      <c r="P29" s="11">
        <f>IF((P$2-YEAR(C.1项目融资信息!$E6))=0,(12-MONTH(C.1项目融资信息!$E6)+1)*C.1项目融资信息!$D6*C.1项目融资信息!$H6/12,C.1项目融资信息!$D6*C.1项目融资信息!$H6)</f>
        <v>212</v>
      </c>
      <c r="Q29" s="11">
        <f>IF((Q$2-YEAR(C.1项目融资信息!$E6))=0,(12-MONTH(C.1项目融资信息!$E6)+1)*C.1项目融资信息!$D6*C.1项目融资信息!$H6/12,C.1项目融资信息!$D6*C.1项目融资信息!$H6)</f>
        <v>212</v>
      </c>
      <c r="R29" s="11">
        <f>IF((R$2-YEAR(C.1项目融资信息!$E6))=0,(12-MONTH(C.1项目融资信息!$E6)+1)*C.1项目融资信息!$D6*C.1项目融资信息!$H6/12,C.1项目融资信息!$D6*C.1项目融资信息!$H6)</f>
        <v>212</v>
      </c>
      <c r="S29" s="11">
        <f>IF((S$2-YEAR(C.1项目融资信息!$E6))=0,(12-MONTH(C.1项目融资信息!$E6)+1)*C.1项目融资信息!$D6*C.1项目融资信息!$H6/12,C.1项目融资信息!$D6*C.1项目融资信息!$H6)</f>
        <v>212</v>
      </c>
      <c r="T29" s="11">
        <f>IF((T$2-YEAR(C.1项目融资信息!$E6))=0,(12-MONTH(C.1项目融资信息!$E6)+1)*C.1项目融资信息!$D6*C.1项目融资信息!$H6/12,C.1项目融资信息!$D6*C.1项目融资信息!$H6)</f>
        <v>212</v>
      </c>
      <c r="U29" s="11">
        <f>IF((U$2-YEAR(C.1项目融资信息!$E6))=0,(12-MONTH(C.1项目融资信息!$E6)+1)*C.1项目融资信息!$D6*C.1项目融资信息!$H6/12,C.1项目融资信息!$D6*C.1项目融资信息!$H6)</f>
        <v>212</v>
      </c>
      <c r="V29" s="11">
        <f>IF((V$2-YEAR(C.1项目融资信息!$E6))=0,(12-MONTH(C.1项目融资信息!$E6)+1)*C.1项目融资信息!$D6*C.1项目融资信息!$H6/12,C.1项目融资信息!$D6*C.1项目融资信息!$H6)</f>
        <v>212</v>
      </c>
      <c r="W29" s="11">
        <f>IF((W$2-YEAR(C.1项目融资信息!$E6))=0,(12-MONTH(C.1项目融资信息!$E6)+1)*C.1项目融资信息!$D6*C.1项目融资信息!$H6/12,C.1项目融资信息!$D6*C.1项目融资信息!$H6)</f>
        <v>212</v>
      </c>
      <c r="X29" s="11">
        <f>IF((X$2-YEAR(C.1项目融资信息!$E6))=0,(12-MONTH(C.1项目融资信息!$E6)+1)*C.1项目融资信息!$D6*C.1项目融资信息!$H6/12,C.1项目融资信息!$D6*C.1项目融资信息!$H6)</f>
        <v>212</v>
      </c>
      <c r="Y29" s="11">
        <f>IF((Y$2-YEAR(C.1项目融资信息!$E6))=0,(12-MONTH(C.1项目融资信息!$E6)+1)*C.1项目融资信息!$D6*C.1项目融资信息!$H6/12,C.1项目融资信息!$D6*C.1项目融资信息!$H6)</f>
        <v>212</v>
      </c>
      <c r="Z29" s="11">
        <f>(MONTH(C.1项目融资信息!$E6)-1)*C.1项目融资信息!$D6*C.1项目融资信息!$H6/12</f>
        <v>141.333333333333</v>
      </c>
      <c r="AA29" s="52" t="s">
        <v>401</v>
      </c>
      <c r="AB29" s="51"/>
    </row>
    <row r="30" customHeight="1" spans="1:28">
      <c r="A30" s="10" t="s">
        <v>404</v>
      </c>
      <c r="B30" s="10" t="s">
        <v>405</v>
      </c>
      <c r="C30" s="11">
        <f>C.1项目融资信息!D4+C.1项目融资信息!D5+C.1项目融资信息!D6</f>
        <v>22000</v>
      </c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1"/>
      <c r="AB30" s="51"/>
    </row>
    <row r="31" customHeight="1" spans="1:28">
      <c r="A31" s="10" t="s">
        <v>406</v>
      </c>
      <c r="B31" s="7" t="s">
        <v>389</v>
      </c>
      <c r="C31" s="13" t="s">
        <v>105</v>
      </c>
      <c r="D31" s="11">
        <f t="shared" ref="D31:Z31" si="10">D4+D13+D22</f>
        <v>0</v>
      </c>
      <c r="E31" s="11">
        <f t="shared" si="10"/>
        <v>2000</v>
      </c>
      <c r="F31" s="11">
        <f t="shared" si="10"/>
        <v>12000</v>
      </c>
      <c r="G31" s="11">
        <f t="shared" si="10"/>
        <v>22000</v>
      </c>
      <c r="H31" s="11">
        <f t="shared" si="10"/>
        <v>22000</v>
      </c>
      <c r="I31" s="11">
        <f t="shared" si="10"/>
        <v>22000</v>
      </c>
      <c r="J31" s="11">
        <f t="shared" si="10"/>
        <v>22000</v>
      </c>
      <c r="K31" s="11">
        <f t="shared" si="10"/>
        <v>22000</v>
      </c>
      <c r="L31" s="11">
        <f t="shared" si="10"/>
        <v>22000</v>
      </c>
      <c r="M31" s="11">
        <f t="shared" si="10"/>
        <v>22000</v>
      </c>
      <c r="N31" s="11">
        <f t="shared" si="10"/>
        <v>22000</v>
      </c>
      <c r="O31" s="11">
        <f t="shared" si="10"/>
        <v>22000</v>
      </c>
      <c r="P31" s="11">
        <f t="shared" si="10"/>
        <v>22000</v>
      </c>
      <c r="Q31" s="11">
        <f t="shared" si="10"/>
        <v>22000</v>
      </c>
      <c r="R31" s="11">
        <f t="shared" si="10"/>
        <v>22000</v>
      </c>
      <c r="S31" s="11">
        <f t="shared" si="10"/>
        <v>22000</v>
      </c>
      <c r="T31" s="11">
        <f t="shared" si="10"/>
        <v>22000</v>
      </c>
      <c r="U31" s="11">
        <f t="shared" si="10"/>
        <v>22000</v>
      </c>
      <c r="V31" s="11">
        <f t="shared" si="10"/>
        <v>22000</v>
      </c>
      <c r="W31" s="11">
        <f t="shared" si="10"/>
        <v>22000</v>
      </c>
      <c r="X31" s="11">
        <f t="shared" si="10"/>
        <v>22000</v>
      </c>
      <c r="Y31" s="11">
        <f t="shared" si="10"/>
        <v>20000</v>
      </c>
      <c r="Z31" s="11">
        <f t="shared" si="10"/>
        <v>10000</v>
      </c>
      <c r="AA31" s="52" t="s">
        <v>407</v>
      </c>
      <c r="AB31" s="51"/>
    </row>
    <row r="32" customHeight="1" spans="1:28">
      <c r="A32" s="10" t="s">
        <v>408</v>
      </c>
      <c r="B32" s="7" t="s">
        <v>390</v>
      </c>
      <c r="C32" s="13">
        <f>SUM(D32:Z32)</f>
        <v>31328</v>
      </c>
      <c r="D32" s="11">
        <f t="shared" ref="D32:Z32" si="11">D5+D14+D23</f>
        <v>0</v>
      </c>
      <c r="E32" s="11">
        <f t="shared" si="11"/>
        <v>42.4</v>
      </c>
      <c r="F32" s="11">
        <f t="shared" si="11"/>
        <v>254.4</v>
      </c>
      <c r="G32" s="11">
        <f t="shared" si="11"/>
        <v>466.4</v>
      </c>
      <c r="H32" s="11">
        <f t="shared" si="11"/>
        <v>466.4</v>
      </c>
      <c r="I32" s="11">
        <f t="shared" si="11"/>
        <v>466.4</v>
      </c>
      <c r="J32" s="11">
        <f t="shared" si="11"/>
        <v>466.4</v>
      </c>
      <c r="K32" s="11">
        <f t="shared" si="11"/>
        <v>466.4</v>
      </c>
      <c r="L32" s="11">
        <f t="shared" si="11"/>
        <v>466.4</v>
      </c>
      <c r="M32" s="11">
        <f t="shared" si="11"/>
        <v>466.4</v>
      </c>
      <c r="N32" s="11">
        <f t="shared" si="11"/>
        <v>466.4</v>
      </c>
      <c r="O32" s="11">
        <f t="shared" si="11"/>
        <v>466.4</v>
      </c>
      <c r="P32" s="11">
        <f t="shared" si="11"/>
        <v>466.4</v>
      </c>
      <c r="Q32" s="11">
        <f t="shared" si="11"/>
        <v>466.4</v>
      </c>
      <c r="R32" s="11">
        <f t="shared" si="11"/>
        <v>466.4</v>
      </c>
      <c r="S32" s="11">
        <f t="shared" si="11"/>
        <v>466.4</v>
      </c>
      <c r="T32" s="11">
        <f t="shared" si="11"/>
        <v>466.4</v>
      </c>
      <c r="U32" s="11">
        <f t="shared" si="11"/>
        <v>466.4</v>
      </c>
      <c r="V32" s="11">
        <f t="shared" si="11"/>
        <v>466.4</v>
      </c>
      <c r="W32" s="11">
        <f t="shared" si="11"/>
        <v>466.4</v>
      </c>
      <c r="X32" s="11">
        <f t="shared" si="11"/>
        <v>2466.4</v>
      </c>
      <c r="Y32" s="11">
        <f t="shared" si="11"/>
        <v>10424</v>
      </c>
      <c r="Z32" s="11">
        <f t="shared" si="11"/>
        <v>10212</v>
      </c>
      <c r="AA32" s="52" t="s">
        <v>407</v>
      </c>
      <c r="AB32" s="51"/>
    </row>
    <row r="33" customHeight="1" spans="1:28">
      <c r="A33" s="10" t="s">
        <v>409</v>
      </c>
      <c r="B33" s="7" t="s">
        <v>391</v>
      </c>
      <c r="C33" s="13">
        <f>SUM(D33:Z33)</f>
        <v>22000</v>
      </c>
      <c r="D33" s="11">
        <f t="shared" ref="D33:Z33" si="12">D6+D15+D24</f>
        <v>0</v>
      </c>
      <c r="E33" s="11">
        <f t="shared" si="12"/>
        <v>0</v>
      </c>
      <c r="F33" s="11">
        <f t="shared" si="12"/>
        <v>0</v>
      </c>
      <c r="G33" s="11">
        <f t="shared" si="12"/>
        <v>0</v>
      </c>
      <c r="H33" s="11">
        <f t="shared" si="12"/>
        <v>0</v>
      </c>
      <c r="I33" s="11">
        <f t="shared" si="12"/>
        <v>0</v>
      </c>
      <c r="J33" s="11">
        <f t="shared" si="12"/>
        <v>0</v>
      </c>
      <c r="K33" s="11">
        <f t="shared" si="12"/>
        <v>0</v>
      </c>
      <c r="L33" s="11">
        <f t="shared" si="12"/>
        <v>0</v>
      </c>
      <c r="M33" s="11">
        <f t="shared" si="12"/>
        <v>0</v>
      </c>
      <c r="N33" s="11">
        <f t="shared" si="12"/>
        <v>0</v>
      </c>
      <c r="O33" s="11">
        <f t="shared" si="12"/>
        <v>0</v>
      </c>
      <c r="P33" s="11">
        <f t="shared" si="12"/>
        <v>0</v>
      </c>
      <c r="Q33" s="11">
        <f t="shared" si="12"/>
        <v>0</v>
      </c>
      <c r="R33" s="11">
        <f t="shared" si="12"/>
        <v>0</v>
      </c>
      <c r="S33" s="11">
        <f t="shared" si="12"/>
        <v>0</v>
      </c>
      <c r="T33" s="11">
        <f t="shared" si="12"/>
        <v>0</v>
      </c>
      <c r="U33" s="11">
        <f t="shared" si="12"/>
        <v>0</v>
      </c>
      <c r="V33" s="11">
        <f t="shared" si="12"/>
        <v>0</v>
      </c>
      <c r="W33" s="11">
        <f t="shared" si="12"/>
        <v>0</v>
      </c>
      <c r="X33" s="11">
        <f t="shared" si="12"/>
        <v>2000</v>
      </c>
      <c r="Y33" s="11">
        <f t="shared" si="12"/>
        <v>10000</v>
      </c>
      <c r="Z33" s="11">
        <f t="shared" si="12"/>
        <v>10000</v>
      </c>
      <c r="AA33" s="52" t="s">
        <v>407</v>
      </c>
      <c r="AB33" s="51"/>
    </row>
    <row r="34" customHeight="1" spans="1:28">
      <c r="A34" s="10" t="s">
        <v>410</v>
      </c>
      <c r="B34" s="7" t="s">
        <v>393</v>
      </c>
      <c r="C34" s="13">
        <f>SUM(D34:Z34)</f>
        <v>9328</v>
      </c>
      <c r="D34" s="11">
        <f t="shared" ref="D34:Z34" si="13">D7+D16+D25</f>
        <v>0</v>
      </c>
      <c r="E34" s="11">
        <f t="shared" si="13"/>
        <v>42.4</v>
      </c>
      <c r="F34" s="11">
        <f t="shared" si="13"/>
        <v>254.4</v>
      </c>
      <c r="G34" s="11">
        <f t="shared" si="13"/>
        <v>466.4</v>
      </c>
      <c r="H34" s="11">
        <f t="shared" si="13"/>
        <v>466.4</v>
      </c>
      <c r="I34" s="11">
        <f t="shared" si="13"/>
        <v>466.4</v>
      </c>
      <c r="J34" s="11">
        <f t="shared" si="13"/>
        <v>466.4</v>
      </c>
      <c r="K34" s="11">
        <f t="shared" si="13"/>
        <v>466.4</v>
      </c>
      <c r="L34" s="11">
        <f t="shared" si="13"/>
        <v>466.4</v>
      </c>
      <c r="M34" s="11">
        <f t="shared" si="13"/>
        <v>466.4</v>
      </c>
      <c r="N34" s="11">
        <f t="shared" si="13"/>
        <v>466.4</v>
      </c>
      <c r="O34" s="11">
        <f t="shared" si="13"/>
        <v>466.4</v>
      </c>
      <c r="P34" s="11">
        <f t="shared" si="13"/>
        <v>466.4</v>
      </c>
      <c r="Q34" s="11">
        <f t="shared" si="13"/>
        <v>466.4</v>
      </c>
      <c r="R34" s="11">
        <f t="shared" si="13"/>
        <v>466.4</v>
      </c>
      <c r="S34" s="11">
        <f t="shared" si="13"/>
        <v>466.4</v>
      </c>
      <c r="T34" s="11">
        <f t="shared" si="13"/>
        <v>466.4</v>
      </c>
      <c r="U34" s="11">
        <f t="shared" si="13"/>
        <v>466.4</v>
      </c>
      <c r="V34" s="11">
        <f t="shared" si="13"/>
        <v>466.4</v>
      </c>
      <c r="W34" s="11">
        <f t="shared" si="13"/>
        <v>466.4</v>
      </c>
      <c r="X34" s="11">
        <f t="shared" si="13"/>
        <v>466.4</v>
      </c>
      <c r="Y34" s="11">
        <f t="shared" si="13"/>
        <v>424</v>
      </c>
      <c r="Z34" s="11">
        <f t="shared" si="13"/>
        <v>212</v>
      </c>
      <c r="AA34" s="52" t="s">
        <v>407</v>
      </c>
      <c r="AB34" s="51"/>
    </row>
    <row r="35" customHeight="1" spans="1:28">
      <c r="A35" s="10" t="s">
        <v>411</v>
      </c>
      <c r="B35" s="7" t="s">
        <v>395</v>
      </c>
      <c r="C35" s="13" t="s">
        <v>105</v>
      </c>
      <c r="D35" s="11">
        <f t="shared" ref="D35:Z35" si="14">D8+D17+D26</f>
        <v>2000</v>
      </c>
      <c r="E35" s="11">
        <f t="shared" si="14"/>
        <v>12000</v>
      </c>
      <c r="F35" s="11">
        <f t="shared" si="14"/>
        <v>22000</v>
      </c>
      <c r="G35" s="11">
        <f t="shared" si="14"/>
        <v>22000</v>
      </c>
      <c r="H35" s="11">
        <f t="shared" si="14"/>
        <v>22000</v>
      </c>
      <c r="I35" s="11">
        <f t="shared" si="14"/>
        <v>22000</v>
      </c>
      <c r="J35" s="11">
        <f t="shared" si="14"/>
        <v>22000</v>
      </c>
      <c r="K35" s="11">
        <f t="shared" si="14"/>
        <v>22000</v>
      </c>
      <c r="L35" s="11">
        <f t="shared" si="14"/>
        <v>22000</v>
      </c>
      <c r="M35" s="11">
        <f t="shared" si="14"/>
        <v>22000</v>
      </c>
      <c r="N35" s="11">
        <f t="shared" si="14"/>
        <v>22000</v>
      </c>
      <c r="O35" s="11">
        <f t="shared" si="14"/>
        <v>22000</v>
      </c>
      <c r="P35" s="11">
        <f t="shared" si="14"/>
        <v>22000</v>
      </c>
      <c r="Q35" s="11">
        <f t="shared" si="14"/>
        <v>22000</v>
      </c>
      <c r="R35" s="11">
        <f t="shared" si="14"/>
        <v>22000</v>
      </c>
      <c r="S35" s="11">
        <f t="shared" si="14"/>
        <v>22000</v>
      </c>
      <c r="T35" s="11">
        <f t="shared" si="14"/>
        <v>22000</v>
      </c>
      <c r="U35" s="11">
        <f t="shared" si="14"/>
        <v>22000</v>
      </c>
      <c r="V35" s="11">
        <f t="shared" si="14"/>
        <v>22000</v>
      </c>
      <c r="W35" s="11">
        <f t="shared" si="14"/>
        <v>22000</v>
      </c>
      <c r="X35" s="11">
        <f t="shared" si="14"/>
        <v>20000</v>
      </c>
      <c r="Y35" s="11">
        <f t="shared" si="14"/>
        <v>10000</v>
      </c>
      <c r="Z35" s="11">
        <f t="shared" si="14"/>
        <v>0</v>
      </c>
      <c r="AA35" s="52" t="s">
        <v>407</v>
      </c>
      <c r="AB35" s="51"/>
    </row>
    <row r="36" customHeight="1" spans="1:28">
      <c r="A36" s="10" t="s">
        <v>412</v>
      </c>
      <c r="B36" s="7" t="s">
        <v>397</v>
      </c>
      <c r="C36" s="48">
        <f>SUM(D36:Z36)</f>
        <v>1.5664</v>
      </c>
      <c r="D36" s="50">
        <f t="shared" ref="D36:Z36" si="15">D9+D18+D27</f>
        <v>0</v>
      </c>
      <c r="E36" s="50">
        <f t="shared" si="15"/>
        <v>0.00212</v>
      </c>
      <c r="F36" s="50">
        <f t="shared" si="15"/>
        <v>0.01272</v>
      </c>
      <c r="G36" s="50">
        <f t="shared" si="15"/>
        <v>0.02332</v>
      </c>
      <c r="H36" s="50">
        <f t="shared" si="15"/>
        <v>0.02332</v>
      </c>
      <c r="I36" s="50">
        <f t="shared" si="15"/>
        <v>0.02332</v>
      </c>
      <c r="J36" s="50">
        <f t="shared" si="15"/>
        <v>0.02332</v>
      </c>
      <c r="K36" s="50">
        <f t="shared" si="15"/>
        <v>0.02332</v>
      </c>
      <c r="L36" s="50">
        <f t="shared" si="15"/>
        <v>0.02332</v>
      </c>
      <c r="M36" s="50">
        <f t="shared" si="15"/>
        <v>0.02332</v>
      </c>
      <c r="N36" s="50">
        <f t="shared" si="15"/>
        <v>0.02332</v>
      </c>
      <c r="O36" s="50">
        <f t="shared" si="15"/>
        <v>0.02332</v>
      </c>
      <c r="P36" s="50">
        <f t="shared" si="15"/>
        <v>0.02332</v>
      </c>
      <c r="Q36" s="50">
        <f t="shared" si="15"/>
        <v>0.02332</v>
      </c>
      <c r="R36" s="50">
        <f t="shared" si="15"/>
        <v>0.02332</v>
      </c>
      <c r="S36" s="50">
        <f t="shared" si="15"/>
        <v>0.02332</v>
      </c>
      <c r="T36" s="50">
        <f t="shared" si="15"/>
        <v>0.02332</v>
      </c>
      <c r="U36" s="50">
        <f t="shared" si="15"/>
        <v>0.02332</v>
      </c>
      <c r="V36" s="50">
        <f t="shared" si="15"/>
        <v>0.02332</v>
      </c>
      <c r="W36" s="50">
        <f t="shared" si="15"/>
        <v>0.02332</v>
      </c>
      <c r="X36" s="50">
        <f t="shared" si="15"/>
        <v>0.12332</v>
      </c>
      <c r="Y36" s="50">
        <f t="shared" si="15"/>
        <v>0.5212</v>
      </c>
      <c r="Z36" s="50">
        <f t="shared" si="15"/>
        <v>0.5106</v>
      </c>
      <c r="AA36" s="52" t="s">
        <v>407</v>
      </c>
      <c r="AB36" s="51"/>
    </row>
    <row r="37" customHeight="1" spans="1:28">
      <c r="A37" s="10" t="s">
        <v>413</v>
      </c>
      <c r="B37" s="7" t="s">
        <v>398</v>
      </c>
      <c r="C37" s="48">
        <f>SUM(D37:Z37)</f>
        <v>19.008</v>
      </c>
      <c r="D37" s="11">
        <f t="shared" ref="D37:Z37" si="16">D10+D19+D28</f>
        <v>1.728</v>
      </c>
      <c r="E37" s="11">
        <f t="shared" si="16"/>
        <v>8.64</v>
      </c>
      <c r="F37" s="11">
        <f t="shared" si="16"/>
        <v>8.64</v>
      </c>
      <c r="G37" s="11">
        <f t="shared" si="16"/>
        <v>0</v>
      </c>
      <c r="H37" s="11">
        <f t="shared" si="16"/>
        <v>0</v>
      </c>
      <c r="I37" s="11">
        <f t="shared" si="16"/>
        <v>0</v>
      </c>
      <c r="J37" s="11">
        <f t="shared" si="16"/>
        <v>0</v>
      </c>
      <c r="K37" s="11">
        <f t="shared" si="16"/>
        <v>0</v>
      </c>
      <c r="L37" s="11">
        <f t="shared" si="16"/>
        <v>0</v>
      </c>
      <c r="M37" s="11">
        <f t="shared" si="16"/>
        <v>0</v>
      </c>
      <c r="N37" s="11">
        <f t="shared" si="16"/>
        <v>0</v>
      </c>
      <c r="O37" s="11">
        <f t="shared" si="16"/>
        <v>0</v>
      </c>
      <c r="P37" s="11">
        <f t="shared" si="16"/>
        <v>0</v>
      </c>
      <c r="Q37" s="11">
        <f t="shared" si="16"/>
        <v>0</v>
      </c>
      <c r="R37" s="11">
        <f t="shared" si="16"/>
        <v>0</v>
      </c>
      <c r="S37" s="11">
        <f t="shared" si="16"/>
        <v>0</v>
      </c>
      <c r="T37" s="11">
        <f t="shared" si="16"/>
        <v>0</v>
      </c>
      <c r="U37" s="11">
        <f t="shared" si="16"/>
        <v>0</v>
      </c>
      <c r="V37" s="11">
        <f t="shared" si="16"/>
        <v>0</v>
      </c>
      <c r="W37" s="11">
        <f t="shared" si="16"/>
        <v>0</v>
      </c>
      <c r="X37" s="11">
        <f t="shared" si="16"/>
        <v>0</v>
      </c>
      <c r="Y37" s="11">
        <f t="shared" si="16"/>
        <v>0</v>
      </c>
      <c r="Z37" s="11">
        <f t="shared" si="16"/>
        <v>0</v>
      </c>
      <c r="AA37" s="52" t="s">
        <v>407</v>
      </c>
      <c r="AB37" s="51"/>
    </row>
    <row r="38" customHeight="1" spans="1:28">
      <c r="A38" s="10" t="s">
        <v>414</v>
      </c>
      <c r="B38" s="7" t="s">
        <v>400</v>
      </c>
      <c r="C38" s="11"/>
      <c r="D38" s="11">
        <f>D11+D20+D29</f>
        <v>14.1333333333333</v>
      </c>
      <c r="E38" s="11">
        <f t="shared" ref="E38:Z38" si="17">E11+E20+E29</f>
        <v>113.066666666667</v>
      </c>
      <c r="F38" s="11">
        <f t="shared" si="17"/>
        <v>325.066666666667</v>
      </c>
      <c r="G38" s="11">
        <f t="shared" si="17"/>
        <v>466.4</v>
      </c>
      <c r="H38" s="11">
        <f t="shared" si="17"/>
        <v>466.4</v>
      </c>
      <c r="I38" s="11">
        <f t="shared" si="17"/>
        <v>466.4</v>
      </c>
      <c r="J38" s="11">
        <f t="shared" si="17"/>
        <v>466.4</v>
      </c>
      <c r="K38" s="11">
        <f t="shared" si="17"/>
        <v>466.4</v>
      </c>
      <c r="L38" s="11">
        <f t="shared" si="17"/>
        <v>466.4</v>
      </c>
      <c r="M38" s="11">
        <f t="shared" si="17"/>
        <v>466.4</v>
      </c>
      <c r="N38" s="11">
        <f t="shared" si="17"/>
        <v>466.4</v>
      </c>
      <c r="O38" s="11">
        <f t="shared" si="17"/>
        <v>466.4</v>
      </c>
      <c r="P38" s="11">
        <f t="shared" si="17"/>
        <v>466.4</v>
      </c>
      <c r="Q38" s="11">
        <f t="shared" si="17"/>
        <v>466.4</v>
      </c>
      <c r="R38" s="11">
        <f t="shared" si="17"/>
        <v>466.4</v>
      </c>
      <c r="S38" s="11">
        <f t="shared" si="17"/>
        <v>466.4</v>
      </c>
      <c r="T38" s="11">
        <f t="shared" si="17"/>
        <v>466.4</v>
      </c>
      <c r="U38" s="11">
        <f t="shared" si="17"/>
        <v>466.4</v>
      </c>
      <c r="V38" s="11">
        <f t="shared" si="17"/>
        <v>466.4</v>
      </c>
      <c r="W38" s="11">
        <f t="shared" si="17"/>
        <v>466.4</v>
      </c>
      <c r="X38" s="11">
        <f t="shared" si="17"/>
        <v>452.266666666667</v>
      </c>
      <c r="Y38" s="11">
        <f t="shared" si="17"/>
        <v>353.333333333333</v>
      </c>
      <c r="Z38" s="11">
        <f t="shared" si="17"/>
        <v>141.333333333333</v>
      </c>
      <c r="AA38" s="52" t="s">
        <v>415</v>
      </c>
      <c r="AB38" s="51"/>
    </row>
    <row r="39" customHeight="1" spans="1:28">
      <c r="A39" s="7" t="s">
        <v>416</v>
      </c>
      <c r="B39" s="44" t="s">
        <v>417</v>
      </c>
      <c r="C39" s="27"/>
      <c r="D39" s="27" t="str">
        <f>IF(D34&lt;&gt;0,'b利润与利润分配表（损益和利润分配表）'!D25/D34,"")</f>
        <v/>
      </c>
      <c r="E39" s="27">
        <f>IF(E34&lt;&gt;0,'b利润与利润分配表（损益和利润分配表）'!E25/E34,"")</f>
        <v>7.61579668043514</v>
      </c>
      <c r="F39" s="27">
        <f>IF(F34&lt;&gt;0,'b利润与利润分配表（损益和利润分配表）'!F25/F34,"")</f>
        <v>2.65341728842564</v>
      </c>
      <c r="G39" s="27">
        <f>IF(G34&lt;&gt;0,'b利润与利润分配表（损益和利润分配表）'!G25/G34,"")</f>
        <v>0.835098145514892</v>
      </c>
      <c r="H39" s="27">
        <f>IF(H34&lt;&gt;0,'b利润与利润分配表（损益和利润分配表）'!H25/H34,"")</f>
        <v>0.823439048555215</v>
      </c>
      <c r="I39" s="27">
        <f>IF(I34&lt;&gt;0,'b利润与利润分配表（损益和利润分配表）'!I25/I34,"")</f>
        <v>0.807050596321133</v>
      </c>
      <c r="J39" s="27" t="e">
        <f>IF(J34&lt;&gt;0,'b利润与利润分配表（损益和利润分配表）'!#REF!/J34,"")</f>
        <v>#REF!</v>
      </c>
      <c r="K39" s="27" t="e">
        <f>IF(K34&lt;&gt;0,'b利润与利润分配表（损益和利润分配表）'!#REF!/K34,"")</f>
        <v>#REF!</v>
      </c>
      <c r="L39" s="27" t="e">
        <f>IF(L34&lt;&gt;0,'b利润与利润分配表（损益和利润分配表）'!#REF!/L34,"")</f>
        <v>#REF!</v>
      </c>
      <c r="M39" s="27" t="e">
        <f>IF(M34&lt;&gt;0,'b利润与利润分配表（损益和利润分配表）'!#REF!/M34,"")</f>
        <v>#REF!</v>
      </c>
      <c r="N39" s="27" t="e">
        <f>IF(N34&lt;&gt;0,'b利润与利润分配表（损益和利润分配表）'!#REF!/N34,"")</f>
        <v>#REF!</v>
      </c>
      <c r="O39" s="27" t="e">
        <f>IF(O34&lt;&gt;0,'b利润与利润分配表（损益和利润分配表）'!#REF!/O34,"")</f>
        <v>#REF!</v>
      </c>
      <c r="P39" s="27" t="e">
        <f>IF(P34&lt;&gt;0,'b利润与利润分配表（损益和利润分配表）'!#REF!/P34,"")</f>
        <v>#REF!</v>
      </c>
      <c r="Q39" s="27" t="e">
        <f>IF(Q34&lt;&gt;0,'b利润与利润分配表（损益和利润分配表）'!#REF!/Q34,"")</f>
        <v>#REF!</v>
      </c>
      <c r="R39" s="27" t="e">
        <f>IF(R34&lt;&gt;0,'b利润与利润分配表（损益和利润分配表）'!#REF!/R34,"")</f>
        <v>#REF!</v>
      </c>
      <c r="S39" s="27" t="e">
        <f>IF(S34&lt;&gt;0,'b利润与利润分配表（损益和利润分配表）'!#REF!/S34,"")</f>
        <v>#REF!</v>
      </c>
      <c r="T39" s="27" t="e">
        <f>IF(T34&lt;&gt;0,'b利润与利润分配表（损益和利润分配表）'!#REF!/T34,"")</f>
        <v>#REF!</v>
      </c>
      <c r="U39" s="27" t="e">
        <f>IF(U34&lt;&gt;0,'b利润与利润分配表（损益和利润分配表）'!#REF!/U34,"")</f>
        <v>#REF!</v>
      </c>
      <c r="V39" s="27" t="e">
        <f>IF(V34&lt;&gt;0,'b利润与利润分配表（损益和利润分配表）'!#REF!/V34,"")</f>
        <v>#REF!</v>
      </c>
      <c r="W39" s="27" t="e">
        <f>IF(W34&lt;&gt;0,'b利润与利润分配表（损益和利润分配表）'!#REF!/W34,"")</f>
        <v>#REF!</v>
      </c>
      <c r="X39" s="27" t="e">
        <f>IF(X34&lt;&gt;0,'b利润与利润分配表（损益和利润分配表）'!#REF!/X34,"")</f>
        <v>#REF!</v>
      </c>
      <c r="Y39" s="27" t="e">
        <f>IF(Y34&lt;&gt;0,'b利润与利润分配表（损益和利润分配表）'!#REF!/Y34,"")</f>
        <v>#REF!</v>
      </c>
      <c r="Z39" s="27" t="e">
        <f>IF(Z34&lt;&gt;0,'b利润与利润分配表（损益和利润分配表）'!#REF!/Z34,"")</f>
        <v>#REF!</v>
      </c>
      <c r="AA39" s="51"/>
      <c r="AB39" s="51"/>
    </row>
    <row r="40" customHeight="1" spans="1:28">
      <c r="A40" s="7"/>
      <c r="B40" s="44" t="s">
        <v>418</v>
      </c>
      <c r="C40" s="27"/>
      <c r="D40" s="27" t="str">
        <f>IF(D32&lt;&gt;0,('b利润与利润分配表（损益和利润分配表）'!D26-'b利润与利润分配表（损益和利润分配表）'!D11)/D32,"")</f>
        <v/>
      </c>
      <c r="E40" s="27">
        <f>IF(E32&lt;&gt;0,('b利润与利润分配表（损益和利润分配表）'!E26-'b利润与利润分配表（损益和利润分配表）'!E11)/E32,"")</f>
        <v>6.74008940575845</v>
      </c>
      <c r="F40" s="27">
        <f>IF(F32&lt;&gt;0,('b利润与利润分配表（损益和利润分配表）'!F26-'b利润与利润分配表（损益和利润分配表）'!F11)/F32,"")</f>
        <v>2.49120173107243</v>
      </c>
      <c r="G40" s="27">
        <f>IF(G32&lt;&gt;0,('b利润与利润分配表（损益和利润分配表）'!G26-'b利润与利润分配表（损益和利润分配表）'!G11)/G32,"")</f>
        <v>1.04839803058365</v>
      </c>
      <c r="H40" s="27">
        <f>IF(H32&lt;&gt;0,('b利润与利润分配表（损益和利润分配表）'!H26-'b利润与利润分配表（损益和利润分配表）'!H11)/H32,"")</f>
        <v>1.03673893362397</v>
      </c>
      <c r="I40" s="27">
        <f>IF(I32&lt;&gt;0,('b利润与利润分配表（损益和利润分配表）'!I26-'b利润与利润分配表（损益和利润分配表）'!I11)/I32,"")</f>
        <v>1.02035048138989</v>
      </c>
      <c r="J40" s="27" t="e">
        <f>IF(J32&lt;&gt;0,('b利润与利润分配表（损益和利润分配表）'!#REF!-'b利润与利润分配表（损益和利润分配表）'!#REF!)/J32,"")</f>
        <v>#REF!</v>
      </c>
      <c r="K40" s="27" t="e">
        <f>IF(K32&lt;&gt;0,('b利润与利润分配表（损益和利润分配表）'!#REF!-'b利润与利润分配表（损益和利润分配表）'!#REF!)/K32,"")</f>
        <v>#REF!</v>
      </c>
      <c r="L40" s="27" t="e">
        <f>IF(L32&lt;&gt;0,('b利润与利润分配表（损益和利润分配表）'!#REF!-'b利润与利润分配表（损益和利润分配表）'!#REF!)/L32,"")</f>
        <v>#REF!</v>
      </c>
      <c r="M40" s="27" t="e">
        <f>IF(M32&lt;&gt;0,('b利润与利润分配表（损益和利润分配表）'!#REF!-'b利润与利润分配表（损益和利润分配表）'!#REF!)/M32,"")</f>
        <v>#REF!</v>
      </c>
      <c r="N40" s="27" t="e">
        <f>IF(N32&lt;&gt;0,('b利润与利润分配表（损益和利润分配表）'!#REF!-'b利润与利润分配表（损益和利润分配表）'!#REF!)/N32,"")</f>
        <v>#REF!</v>
      </c>
      <c r="O40" s="27" t="e">
        <f>IF(O32&lt;&gt;0,('b利润与利润分配表（损益和利润分配表）'!#REF!-'b利润与利润分配表（损益和利润分配表）'!#REF!)/O32,"")</f>
        <v>#REF!</v>
      </c>
      <c r="P40" s="27" t="e">
        <f>IF(P32&lt;&gt;0,('b利润与利润分配表（损益和利润分配表）'!#REF!-'b利润与利润分配表（损益和利润分配表）'!#REF!)/P32,"")</f>
        <v>#REF!</v>
      </c>
      <c r="Q40" s="27" t="e">
        <f>IF(Q32&lt;&gt;0,('b利润与利润分配表（损益和利润分配表）'!#REF!-'b利润与利润分配表（损益和利润分配表）'!#REF!)/Q32,"")</f>
        <v>#REF!</v>
      </c>
      <c r="R40" s="27" t="e">
        <f>IF(R32&lt;&gt;0,('b利润与利润分配表（损益和利润分配表）'!#REF!-'b利润与利润分配表（损益和利润分配表）'!#REF!)/R32,"")</f>
        <v>#REF!</v>
      </c>
      <c r="S40" s="27" t="e">
        <f>IF(S32&lt;&gt;0,('b利润与利润分配表（损益和利润分配表）'!#REF!-'b利润与利润分配表（损益和利润分配表）'!#REF!)/S32,"")</f>
        <v>#REF!</v>
      </c>
      <c r="T40" s="27" t="e">
        <f>IF(T32&lt;&gt;0,('b利润与利润分配表（损益和利润分配表）'!#REF!-'b利润与利润分配表（损益和利润分配表）'!#REF!)/T32,"")</f>
        <v>#REF!</v>
      </c>
      <c r="U40" s="27" t="e">
        <f>IF(U32&lt;&gt;0,('b利润与利润分配表（损益和利润分配表）'!#REF!-'b利润与利润分配表（损益和利润分配表）'!#REF!)/U32,"")</f>
        <v>#REF!</v>
      </c>
      <c r="V40" s="27" t="e">
        <f>IF(V32&lt;&gt;0,('b利润与利润分配表（损益和利润分配表）'!#REF!-'b利润与利润分配表（损益和利润分配表）'!#REF!)/V32,"")</f>
        <v>#REF!</v>
      </c>
      <c r="W40" s="27" t="e">
        <f>IF(W32&lt;&gt;0,('b利润与利润分配表（损益和利润分配表）'!#REF!-'b利润与利润分配表（损益和利润分配表）'!#REF!)/W32,"")</f>
        <v>#REF!</v>
      </c>
      <c r="X40" s="27" t="e">
        <f>IF(X32&lt;&gt;0,('b利润与利润分配表（损益和利润分配表）'!#REF!-'b利润与利润分配表（损益和利润分配表）'!#REF!)/X32,"")</f>
        <v>#REF!</v>
      </c>
      <c r="Y40" s="27" t="e">
        <f>IF(Y32&lt;&gt;0,('b利润与利润分配表（损益和利润分配表）'!#REF!-'b利润与利润分配表（损益和利润分配表）'!#REF!)/Y32,"")</f>
        <v>#REF!</v>
      </c>
      <c r="Z40" s="27" t="e">
        <f>IF(Z32&lt;&gt;0,('b利润与利润分配表（损益和利润分配表）'!#REF!-'b利润与利润分配表（损益和利润分配表）'!#REF!)/Z32,"")</f>
        <v>#REF!</v>
      </c>
      <c r="AA40" s="51"/>
      <c r="AB40" s="51"/>
    </row>
    <row r="41" customHeight="1" spans="1:28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</row>
    <row r="42" customHeight="1" spans="1:28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</row>
    <row r="43" customHeight="1" spans="1:28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</row>
    <row r="44" customHeight="1" spans="1:28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</row>
    <row r="45" customHeight="1" spans="1:28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</row>
    <row r="46" customHeight="1" spans="1:28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</row>
  </sheetData>
  <mergeCells count="5">
    <mergeCell ref="A1:Z1"/>
    <mergeCell ref="C3:Z3"/>
    <mergeCell ref="C12:Z12"/>
    <mergeCell ref="C21:Z21"/>
    <mergeCell ref="A39:A40"/>
  </mergeCells>
  <pageMargins left="0.75" right="0.75" top="1" bottom="1" header="0.5" footer="0.5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>
    <tabColor rgb="FFFFC000"/>
  </sheetPr>
  <dimension ref="A1:K31"/>
  <sheetViews>
    <sheetView zoomScale="70" zoomScaleNormal="70" workbookViewId="0">
      <pane xSplit="3" ySplit="2" topLeftCell="D3" activePane="bottomRight" state="frozen"/>
      <selection/>
      <selection pane="topRight"/>
      <selection pane="bottomLeft"/>
      <selection pane="bottomRight" activeCell="J15" sqref="J15"/>
    </sheetView>
  </sheetViews>
  <sheetFormatPr defaultColWidth="8.89090909090909" defaultRowHeight="28.05" customHeight="1"/>
  <cols>
    <col min="1" max="1" width="6.66363636363636" customWidth="1"/>
    <col min="2" max="2" width="21.5545454545455" customWidth="1"/>
    <col min="3" max="3" width="13" customWidth="1"/>
    <col min="4" max="4" width="11.5545454545455" customWidth="1"/>
    <col min="5" max="6" width="11.8909090909091" customWidth="1"/>
    <col min="7" max="9" width="10.2181818181818" customWidth="1"/>
    <col min="10" max="10" width="35.5545454545455" customWidth="1"/>
  </cols>
  <sheetData>
    <row r="1" customHeight="1" spans="1:9">
      <c r="A1" s="40" t="s">
        <v>419</v>
      </c>
      <c r="B1" s="40"/>
      <c r="C1" s="40"/>
      <c r="D1" s="40"/>
      <c r="E1" s="40"/>
      <c r="F1" s="40"/>
      <c r="G1" s="40"/>
      <c r="H1" s="40"/>
      <c r="I1" s="40"/>
    </row>
    <row r="2" customHeight="1" spans="1:9">
      <c r="A2" s="2" t="s">
        <v>1</v>
      </c>
      <c r="B2" s="2" t="s">
        <v>138</v>
      </c>
      <c r="C2" s="2" t="s">
        <v>82</v>
      </c>
      <c r="D2" s="36">
        <v>2025</v>
      </c>
      <c r="E2" s="36">
        <v>2026</v>
      </c>
      <c r="F2" s="36">
        <v>2027</v>
      </c>
      <c r="G2" s="36">
        <v>2028</v>
      </c>
      <c r="H2" s="36">
        <v>2029</v>
      </c>
      <c r="I2" s="36">
        <v>2030</v>
      </c>
    </row>
    <row r="3" customHeight="1" spans="1:9">
      <c r="A3" s="7">
        <v>1</v>
      </c>
      <c r="B3" s="7" t="s">
        <v>420</v>
      </c>
      <c r="C3" s="13">
        <f t="shared" ref="C3:C30" si="0">SUM(D3:I3)</f>
        <v>2098.70352297685</v>
      </c>
      <c r="D3" s="13">
        <f t="shared" ref="D3" si="1">D4-D9</f>
        <v>0</v>
      </c>
      <c r="E3" s="13">
        <f t="shared" ref="E3:I3" si="2">E4-E9</f>
        <v>183.497631854054</v>
      </c>
      <c r="F3" s="13">
        <f t="shared" si="2"/>
        <v>334.859787122796</v>
      </c>
      <c r="G3" s="13">
        <f t="shared" si="2"/>
        <v>533.33668</v>
      </c>
      <c r="H3" s="13">
        <f t="shared" si="2"/>
        <v>527.55988</v>
      </c>
      <c r="I3" s="13">
        <f t="shared" si="2"/>
        <v>519.449544</v>
      </c>
    </row>
    <row r="4" customHeight="1" spans="1:9">
      <c r="A4" s="7">
        <v>1.1</v>
      </c>
      <c r="B4" s="7" t="s">
        <v>320</v>
      </c>
      <c r="C4" s="13">
        <f t="shared" si="0"/>
        <v>2915.016064</v>
      </c>
      <c r="D4" s="13">
        <f t="shared" ref="D4" si="3">SUM(D5:D8)</f>
        <v>0</v>
      </c>
      <c r="E4" s="13">
        <f t="shared" ref="E4:I4" si="4">SUM(E5:E8)</f>
        <v>350</v>
      </c>
      <c r="F4" s="13">
        <f t="shared" si="4"/>
        <v>536.4</v>
      </c>
      <c r="G4" s="13">
        <f t="shared" si="4"/>
        <v>666.16</v>
      </c>
      <c r="H4" s="13">
        <f t="shared" si="4"/>
        <v>676.9832</v>
      </c>
      <c r="I4" s="13">
        <f t="shared" si="4"/>
        <v>685.472864</v>
      </c>
    </row>
    <row r="5" customHeight="1" spans="1:9">
      <c r="A5" s="7" t="s">
        <v>251</v>
      </c>
      <c r="B5" s="7" t="s">
        <v>321</v>
      </c>
      <c r="C5" s="13">
        <f t="shared" si="0"/>
        <v>2680.94774782759</v>
      </c>
      <c r="D5" s="11">
        <f>F项目收入!D12-F项目收入!D10</f>
        <v>0</v>
      </c>
      <c r="E5" s="11">
        <f>F项目收入!E12-F项目收入!E10</f>
        <v>322.39916911892</v>
      </c>
      <c r="F5" s="11">
        <f>F项目收入!F12-F项目收入!F10</f>
        <v>493.408343430846</v>
      </c>
      <c r="G5" s="11">
        <f>F项目收入!G12-F项目收入!G10</f>
        <v>612.454214990479</v>
      </c>
      <c r="H5" s="11">
        <f>F项目收入!H12-F项目收入!H10</f>
        <v>622.448668859269</v>
      </c>
      <c r="I5" s="11">
        <f>F项目收入!I12-F项目收入!I10</f>
        <v>630.237351428077</v>
      </c>
    </row>
    <row r="6" customHeight="1" spans="1:9">
      <c r="A6" s="7" t="s">
        <v>253</v>
      </c>
      <c r="B6" s="7" t="s">
        <v>421</v>
      </c>
      <c r="C6" s="13">
        <f t="shared" si="0"/>
        <v>234.068316172408</v>
      </c>
      <c r="D6" s="42">
        <f>G.税金及附加测算表!D25</f>
        <v>0</v>
      </c>
      <c r="E6" s="42">
        <f>G.税金及附加测算表!E25</f>
        <v>27.6008308810801</v>
      </c>
      <c r="F6" s="42">
        <f>G.税金及附加测算表!F25</f>
        <v>42.9916565691535</v>
      </c>
      <c r="G6" s="42">
        <f>G.税金及附加测算表!G25</f>
        <v>53.7057850095205</v>
      </c>
      <c r="H6" s="42">
        <f>G.税金及附加测算表!H25</f>
        <v>54.5345311407305</v>
      </c>
      <c r="I6" s="42">
        <f>G.税金及附加测算表!I25</f>
        <v>55.2355125719231</v>
      </c>
    </row>
    <row r="7" customHeight="1" spans="1:9">
      <c r="A7" s="7" t="s">
        <v>255</v>
      </c>
      <c r="B7" s="7" t="s">
        <v>274</v>
      </c>
      <c r="C7" s="13">
        <f t="shared" si="0"/>
        <v>0</v>
      </c>
      <c r="D7" s="11">
        <f>F项目收入!D10</f>
        <v>0</v>
      </c>
      <c r="E7" s="11">
        <f>F项目收入!E10</f>
        <v>0</v>
      </c>
      <c r="F7" s="11">
        <f>F项目收入!F10</f>
        <v>0</v>
      </c>
      <c r="G7" s="11">
        <f>F项目收入!G10</f>
        <v>0</v>
      </c>
      <c r="H7" s="11">
        <f>F项目收入!H10</f>
        <v>0</v>
      </c>
      <c r="I7" s="11">
        <f>F项目收入!I10</f>
        <v>0</v>
      </c>
    </row>
    <row r="8" customHeight="1" spans="1:9">
      <c r="A8" s="7" t="s">
        <v>422</v>
      </c>
      <c r="B8" s="7" t="s">
        <v>423</v>
      </c>
      <c r="C8" s="13">
        <f t="shared" si="0"/>
        <v>0</v>
      </c>
      <c r="D8" s="41">
        <v>0</v>
      </c>
      <c r="E8" s="41">
        <v>0</v>
      </c>
      <c r="F8" s="41">
        <v>0</v>
      </c>
      <c r="G8" s="41">
        <v>0</v>
      </c>
      <c r="H8" s="41">
        <v>0</v>
      </c>
      <c r="I8" s="41">
        <v>0</v>
      </c>
    </row>
    <row r="9" customHeight="1" spans="1:9">
      <c r="A9" s="7">
        <v>1.2</v>
      </c>
      <c r="B9" s="7" t="s">
        <v>324</v>
      </c>
      <c r="C9" s="13">
        <f t="shared" si="0"/>
        <v>816.31254102315</v>
      </c>
      <c r="D9" s="13">
        <f t="shared" ref="D9" si="5">SUM(D10:D15)</f>
        <v>0</v>
      </c>
      <c r="E9" s="13">
        <f t="shared" ref="E9:I9" si="6">SUM(E10:E15)</f>
        <v>166.502368145946</v>
      </c>
      <c r="F9" s="13">
        <f t="shared" si="6"/>
        <v>201.540212877204</v>
      </c>
      <c r="G9" s="13">
        <f t="shared" si="6"/>
        <v>132.82332</v>
      </c>
      <c r="H9" s="13">
        <f t="shared" si="6"/>
        <v>149.42332</v>
      </c>
      <c r="I9" s="13">
        <f t="shared" si="6"/>
        <v>166.02332</v>
      </c>
    </row>
    <row r="10" customHeight="1" spans="1:9">
      <c r="A10" s="7" t="s">
        <v>144</v>
      </c>
      <c r="B10" s="7" t="s">
        <v>325</v>
      </c>
      <c r="C10" s="13">
        <f t="shared" si="0"/>
        <v>632.807324322113</v>
      </c>
      <c r="D10" s="13">
        <f>E总成本费用估算表!C11</f>
        <v>0</v>
      </c>
      <c r="E10" s="13">
        <f>E总成本费用估算表!D11</f>
        <v>108.027916835483</v>
      </c>
      <c r="F10" s="13">
        <f>E总成本费用估算表!E11</f>
        <v>108.038516835483</v>
      </c>
      <c r="G10" s="13">
        <f>E总成本费用估算表!F11</f>
        <v>123.481373526266</v>
      </c>
      <c r="H10" s="13">
        <f>E总成本费用估算表!G11</f>
        <v>138.913630217049</v>
      </c>
      <c r="I10" s="13">
        <f>E总成本费用估算表!H11</f>
        <v>154.345886907833</v>
      </c>
    </row>
    <row r="11" customHeight="1" spans="1:9">
      <c r="A11" s="7" t="s">
        <v>146</v>
      </c>
      <c r="B11" s="7" t="s">
        <v>424</v>
      </c>
      <c r="C11" s="13">
        <f t="shared" si="0"/>
        <v>47.8774756778865</v>
      </c>
      <c r="D11" s="42">
        <f>G.税金及附加测算表!D4</f>
        <v>0</v>
      </c>
      <c r="E11" s="42">
        <f>G.税金及附加测算表!E4</f>
        <v>8.17420316451721</v>
      </c>
      <c r="F11" s="42">
        <f>G.税金及附加测算表!F4</f>
        <v>8.17420316451721</v>
      </c>
      <c r="G11" s="42">
        <f>G.税金及附加测算表!G4</f>
        <v>9.34194647373396</v>
      </c>
      <c r="H11" s="42">
        <f>G.税金及附加测算表!H4</f>
        <v>10.5096897829507</v>
      </c>
      <c r="I11" s="42">
        <f>G.税金及附加测算表!I4</f>
        <v>11.6774330921674</v>
      </c>
    </row>
    <row r="12" customHeight="1" spans="1:9">
      <c r="A12" s="7" t="s">
        <v>148</v>
      </c>
      <c r="B12" s="7" t="s">
        <v>326</v>
      </c>
      <c r="C12" s="13">
        <f t="shared" si="0"/>
        <v>0</v>
      </c>
      <c r="D12" s="11">
        <f>G.税金及附加测算表!D30</f>
        <v>0</v>
      </c>
      <c r="E12" s="11">
        <f>G.税金及附加测算表!E30</f>
        <v>0</v>
      </c>
      <c r="F12" s="11">
        <f>G.税金及附加测算表!F30</f>
        <v>0</v>
      </c>
      <c r="G12" s="11">
        <f>G.税金及附加测算表!G30</f>
        <v>0</v>
      </c>
      <c r="H12" s="11">
        <f>G.税金及附加测算表!H30</f>
        <v>0</v>
      </c>
      <c r="I12" s="11">
        <f>G.税金及附加测算表!I30</f>
        <v>0</v>
      </c>
    </row>
    <row r="13" customHeight="1" spans="1:9">
      <c r="A13" s="7" t="s">
        <v>150</v>
      </c>
      <c r="B13" s="7" t="s">
        <v>327</v>
      </c>
      <c r="C13" s="13">
        <f t="shared" si="0"/>
        <v>0</v>
      </c>
      <c r="D13" s="11">
        <f>G.税金及附加测算表!D29</f>
        <v>0</v>
      </c>
      <c r="E13" s="11">
        <f>G.税金及附加测算表!E29</f>
        <v>0</v>
      </c>
      <c r="F13" s="11">
        <f>G.税金及附加测算表!F29</f>
        <v>0</v>
      </c>
      <c r="G13" s="11">
        <f>G.税金及附加测算表!G29</f>
        <v>0</v>
      </c>
      <c r="H13" s="11">
        <f>G.税金及附加测算表!H29</f>
        <v>0</v>
      </c>
      <c r="I13" s="11">
        <f>G.税金及附加测算表!I29</f>
        <v>0</v>
      </c>
    </row>
    <row r="14" customHeight="1" spans="1:9">
      <c r="A14" s="7" t="s">
        <v>425</v>
      </c>
      <c r="B14" s="7" t="s">
        <v>362</v>
      </c>
      <c r="C14" s="13">
        <f t="shared" si="0"/>
        <v>135.62774102315</v>
      </c>
      <c r="D14" s="13">
        <f>'b利润与利润分配表（损益和利润分配表）'!D11</f>
        <v>0</v>
      </c>
      <c r="E14" s="13">
        <f>'b利润与利润分配表（损益和利润分配表）'!E11</f>
        <v>50.3002481459457</v>
      </c>
      <c r="F14" s="13">
        <f>'b利润与利润分配表（损益和利润分配表）'!F11</f>
        <v>85.3274928772041</v>
      </c>
      <c r="G14" s="13">
        <f>'b利润与利润分配表（损益和利润分配表）'!G11</f>
        <v>0</v>
      </c>
      <c r="H14" s="13">
        <f>'b利润与利润分配表（损益和利润分配表）'!H11</f>
        <v>0</v>
      </c>
      <c r="I14" s="13">
        <f>'b利润与利润分配表（损益和利润分配表）'!I11</f>
        <v>0</v>
      </c>
    </row>
    <row r="15" customHeight="1" spans="1:9">
      <c r="A15" s="7" t="s">
        <v>426</v>
      </c>
      <c r="B15" s="7" t="s">
        <v>427</v>
      </c>
      <c r="C15" s="13">
        <f t="shared" si="0"/>
        <v>0</v>
      </c>
      <c r="D15" s="41">
        <v>0</v>
      </c>
      <c r="E15" s="41">
        <v>0</v>
      </c>
      <c r="F15" s="41">
        <v>0</v>
      </c>
      <c r="G15" s="41">
        <v>0</v>
      </c>
      <c r="H15" s="41">
        <v>0</v>
      </c>
      <c r="I15" s="41">
        <v>0</v>
      </c>
    </row>
    <row r="16" customHeight="1" spans="1:9">
      <c r="A16" s="7">
        <v>2</v>
      </c>
      <c r="B16" s="7" t="s">
        <v>428</v>
      </c>
      <c r="C16" s="13">
        <f t="shared" si="0"/>
        <v>-1696.30197585597</v>
      </c>
      <c r="D16" s="13">
        <f t="shared" ref="D16" si="7">D17-D18</f>
        <v>-288.84239147918</v>
      </c>
      <c r="E16" s="13">
        <f t="shared" ref="E16:I16" si="8">E17-E18</f>
        <v>-570.142931996732</v>
      </c>
      <c r="F16" s="13">
        <f t="shared" si="8"/>
        <v>-833.324680096989</v>
      </c>
      <c r="G16" s="13">
        <f t="shared" si="8"/>
        <v>-1.55366033139417</v>
      </c>
      <c r="H16" s="13">
        <f t="shared" si="8"/>
        <v>-1.22239699806083</v>
      </c>
      <c r="I16" s="13">
        <f t="shared" si="8"/>
        <v>-1.21591495361639</v>
      </c>
    </row>
    <row r="17" ht="25.2" customHeight="1" spans="1:9">
      <c r="A17" s="7">
        <v>2.1</v>
      </c>
      <c r="B17" s="38" t="s">
        <v>320</v>
      </c>
      <c r="C17" s="13">
        <f t="shared" si="0"/>
        <v>0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  <c r="I17" s="41">
        <v>0</v>
      </c>
    </row>
    <row r="18" customHeight="1" spans="1:9">
      <c r="A18" s="7">
        <v>2.2</v>
      </c>
      <c r="B18" s="7" t="s">
        <v>324</v>
      </c>
      <c r="C18" s="13">
        <f t="shared" si="0"/>
        <v>1696.30197585597</v>
      </c>
      <c r="D18" s="13">
        <f t="shared" ref="D18" si="9">SUM(D19:D22)</f>
        <v>288.84239147918</v>
      </c>
      <c r="E18" s="13">
        <f t="shared" ref="E18:I18" si="10">SUM(E19:E22)</f>
        <v>570.142931996732</v>
      </c>
      <c r="F18" s="13">
        <f t="shared" si="10"/>
        <v>833.324680096989</v>
      </c>
      <c r="G18" s="13">
        <f t="shared" si="10"/>
        <v>1.55366033139417</v>
      </c>
      <c r="H18" s="13">
        <f t="shared" si="10"/>
        <v>1.22239699806083</v>
      </c>
      <c r="I18" s="13">
        <f t="shared" si="10"/>
        <v>1.21591495361639</v>
      </c>
    </row>
    <row r="19" customHeight="1" spans="1:9">
      <c r="A19" s="7" t="s">
        <v>100</v>
      </c>
      <c r="B19" s="7" t="s">
        <v>88</v>
      </c>
      <c r="C19" s="13">
        <f t="shared" si="0"/>
        <v>1682.47261569759</v>
      </c>
      <c r="D19" s="11">
        <f>E.4建设投资税后金额表!H21</f>
        <v>288.84239147918</v>
      </c>
      <c r="E19" s="11">
        <f>E.4建设投资税后金额表!I21</f>
        <v>560.824205232529</v>
      </c>
      <c r="F19" s="11">
        <f>E.4建设投资税后金额表!J21</f>
        <v>832.806018985878</v>
      </c>
      <c r="G19" s="11">
        <f>E.4建设投资税后金额表!K21</f>
        <v>0</v>
      </c>
      <c r="H19" s="11">
        <f>E.4建设投资税后金额表!L21</f>
        <v>0</v>
      </c>
      <c r="I19" s="11">
        <f>E.4建设投资税后金额表!M21</f>
        <v>0</v>
      </c>
    </row>
    <row r="20" customHeight="1" spans="1:9">
      <c r="A20" s="7" t="s">
        <v>101</v>
      </c>
      <c r="B20" s="7" t="s">
        <v>328</v>
      </c>
      <c r="C20" s="13">
        <f t="shared" si="0"/>
        <v>0</v>
      </c>
      <c r="D20" s="41">
        <v>0</v>
      </c>
      <c r="E20" s="41">
        <v>0</v>
      </c>
      <c r="F20" s="41">
        <v>0</v>
      </c>
      <c r="G20" s="41">
        <v>0</v>
      </c>
      <c r="H20" s="41">
        <v>0</v>
      </c>
      <c r="I20" s="41">
        <v>0</v>
      </c>
    </row>
    <row r="21" customHeight="1" spans="1:9">
      <c r="A21" s="7" t="s">
        <v>102</v>
      </c>
      <c r="B21" s="7" t="s">
        <v>90</v>
      </c>
      <c r="C21" s="13">
        <f t="shared" si="0"/>
        <v>13.8293601583861</v>
      </c>
      <c r="D21" s="13">
        <f>D.2项目总投资使用计划与资金筹措表!D6</f>
        <v>0</v>
      </c>
      <c r="E21" s="13">
        <f>D.2项目总投资使用计划与资金筹措表!E6</f>
        <v>9.31872676420362</v>
      </c>
      <c r="F21" s="13">
        <f>D.2项目总投资使用计划与资金筹措表!F6</f>
        <v>0.518661111111111</v>
      </c>
      <c r="G21" s="13">
        <f>D.2项目总投资使用计划与资金筹措表!G6</f>
        <v>1.55366033139417</v>
      </c>
      <c r="H21" s="13">
        <f>D.2项目总投资使用计划与资金筹措表!H6</f>
        <v>1.22239699806083</v>
      </c>
      <c r="I21" s="13">
        <f>D.2项目总投资使用计划与资金筹措表!I6</f>
        <v>1.21591495361639</v>
      </c>
    </row>
    <row r="22" customHeight="1" spans="1:9">
      <c r="A22" s="7" t="s">
        <v>429</v>
      </c>
      <c r="B22" s="7" t="s">
        <v>427</v>
      </c>
      <c r="C22" s="13">
        <f t="shared" si="0"/>
        <v>0</v>
      </c>
      <c r="D22" s="41">
        <v>0</v>
      </c>
      <c r="E22" s="41">
        <v>0</v>
      </c>
      <c r="F22" s="41">
        <v>0</v>
      </c>
      <c r="G22" s="41">
        <v>0</v>
      </c>
      <c r="H22" s="41">
        <v>0</v>
      </c>
      <c r="I22" s="41">
        <v>0</v>
      </c>
    </row>
    <row r="23" customHeight="1" spans="1:9">
      <c r="A23" s="7">
        <v>3</v>
      </c>
      <c r="B23" s="7" t="s">
        <v>430</v>
      </c>
      <c r="C23" s="13">
        <f t="shared" si="0"/>
        <v>624.011226825053</v>
      </c>
      <c r="D23" s="13">
        <f t="shared" ref="D23" si="11">D24-D27</f>
        <v>332.133333333333</v>
      </c>
      <c r="E23" s="13">
        <f t="shared" ref="E23:I23" si="12">E24-E27</f>
        <v>697.983273430871</v>
      </c>
      <c r="F23" s="13">
        <f t="shared" si="12"/>
        <v>989.172607777778</v>
      </c>
      <c r="G23" s="13">
        <f t="shared" si="12"/>
        <v>-464.869659668606</v>
      </c>
      <c r="H23" s="13">
        <f t="shared" si="12"/>
        <v>-465.200923001939</v>
      </c>
      <c r="I23" s="13">
        <f t="shared" si="12"/>
        <v>-465.207405046384</v>
      </c>
    </row>
    <row r="24" customHeight="1" spans="1:9">
      <c r="A24" s="7">
        <v>3.1</v>
      </c>
      <c r="B24" s="7" t="s">
        <v>320</v>
      </c>
      <c r="C24" s="13">
        <f t="shared" si="0"/>
        <v>2339.10402682506</v>
      </c>
      <c r="D24" s="13">
        <f t="shared" ref="D24" si="13">SUM(D25:D26)</f>
        <v>333.861333333333</v>
      </c>
      <c r="E24" s="13">
        <f t="shared" ref="E24:I24" si="14">SUM(E25:E26)</f>
        <v>749.025393430871</v>
      </c>
      <c r="F24" s="13">
        <f t="shared" si="14"/>
        <v>1252.22532777778</v>
      </c>
      <c r="G24" s="13">
        <f t="shared" si="14"/>
        <v>1.55366033139417</v>
      </c>
      <c r="H24" s="13">
        <f t="shared" si="14"/>
        <v>1.22239699806083</v>
      </c>
      <c r="I24" s="13">
        <f t="shared" si="14"/>
        <v>1.21591495361639</v>
      </c>
    </row>
    <row r="25" customHeight="1" spans="1:9">
      <c r="A25" s="7" t="s">
        <v>431</v>
      </c>
      <c r="B25" s="7" t="s">
        <v>432</v>
      </c>
      <c r="C25" s="13">
        <f t="shared" si="0"/>
        <v>-19660.8959731749</v>
      </c>
      <c r="D25" s="13">
        <f>D.2项目总投资使用计划与资金筹措表!D8</f>
        <v>-1666.13866666667</v>
      </c>
      <c r="E25" s="13">
        <f>D.2项目总投资使用计划与资金筹措表!E8</f>
        <v>-9250.97460656913</v>
      </c>
      <c r="F25" s="13">
        <f>D.2项目总投资使用计划与资金筹措表!F8</f>
        <v>-8747.77467222222</v>
      </c>
      <c r="G25" s="13">
        <f>D.2项目总投资使用计划与资金筹措表!G8</f>
        <v>1.55366033139417</v>
      </c>
      <c r="H25" s="13">
        <f>D.2项目总投资使用计划与资金筹措表!H8</f>
        <v>1.22239699806083</v>
      </c>
      <c r="I25" s="13">
        <f>D.2项目总投资使用计划与资金筹措表!I8</f>
        <v>1.21591495361639</v>
      </c>
    </row>
    <row r="26" customHeight="1" spans="1:11">
      <c r="A26" s="7" t="s">
        <v>433</v>
      </c>
      <c r="B26" s="7" t="s">
        <v>434</v>
      </c>
      <c r="C26" s="13">
        <f t="shared" si="0"/>
        <v>22000</v>
      </c>
      <c r="D26" s="13">
        <f>D.2项目总投资使用计划与资金筹措表!D12</f>
        <v>2000</v>
      </c>
      <c r="E26" s="13">
        <f>D.2项目总投资使用计划与资金筹措表!E12</f>
        <v>10000</v>
      </c>
      <c r="F26" s="13">
        <f>D.2项目总投资使用计划与资金筹措表!F12</f>
        <v>10000</v>
      </c>
      <c r="G26" s="13">
        <f>D.2项目总投资使用计划与资金筹措表!G12</f>
        <v>0</v>
      </c>
      <c r="H26" s="13">
        <f>D.2项目总投资使用计划与资金筹措表!H12</f>
        <v>0</v>
      </c>
      <c r="I26" s="13">
        <f>D.2项目总投资使用计划与资金筹措表!I12</f>
        <v>0</v>
      </c>
      <c r="K26" s="45"/>
    </row>
    <row r="27" customHeight="1" spans="1:11">
      <c r="A27" s="7">
        <v>3.2</v>
      </c>
      <c r="B27" s="7" t="s">
        <v>324</v>
      </c>
      <c r="C27" s="13">
        <f t="shared" si="0"/>
        <v>1715.0928</v>
      </c>
      <c r="D27" s="13">
        <f t="shared" ref="D27" si="15">SUM(D28:D29)</f>
        <v>1.728</v>
      </c>
      <c r="E27" s="13">
        <f t="shared" ref="E27:I27" si="16">SUM(E28:E29)</f>
        <v>51.04212</v>
      </c>
      <c r="F27" s="13">
        <f t="shared" si="16"/>
        <v>263.05272</v>
      </c>
      <c r="G27" s="13">
        <f t="shared" si="16"/>
        <v>466.42332</v>
      </c>
      <c r="H27" s="13">
        <f t="shared" si="16"/>
        <v>466.42332</v>
      </c>
      <c r="I27" s="13">
        <f t="shared" si="16"/>
        <v>466.42332</v>
      </c>
      <c r="K27" s="45"/>
    </row>
    <row r="28" customHeight="1" spans="1:11">
      <c r="A28" s="7" t="s">
        <v>402</v>
      </c>
      <c r="B28" s="7" t="s">
        <v>435</v>
      </c>
      <c r="C28" s="13">
        <f t="shared" si="0"/>
        <v>1715.0928</v>
      </c>
      <c r="D28" s="11">
        <f>c借款还本付息计划表!D34+c借款还本付息计划表!D36+c借款还本付息计划表!D37</f>
        <v>1.728</v>
      </c>
      <c r="E28" s="11">
        <f>c借款还本付息计划表!E34+c借款还本付息计划表!E36+c借款还本付息计划表!E37</f>
        <v>51.04212</v>
      </c>
      <c r="F28" s="11">
        <f>c借款还本付息计划表!F34+c借款还本付息计划表!F36+c借款还本付息计划表!F37</f>
        <v>263.05272</v>
      </c>
      <c r="G28" s="11">
        <f>c借款还本付息计划表!G34+c借款还本付息计划表!G36+c借款还本付息计划表!G37</f>
        <v>466.42332</v>
      </c>
      <c r="H28" s="11">
        <f>c借款还本付息计划表!H34+c借款还本付息计划表!H36+c借款还本付息计划表!H37</f>
        <v>466.42332</v>
      </c>
      <c r="I28" s="11">
        <f>c借款还本付息计划表!I34+c借款还本付息计划表!I36+c借款还本付息计划表!I37</f>
        <v>466.42332</v>
      </c>
      <c r="K28" s="45"/>
    </row>
    <row r="29" customHeight="1" spans="1:11">
      <c r="A29" s="7" t="s">
        <v>403</v>
      </c>
      <c r="B29" s="7" t="s">
        <v>436</v>
      </c>
      <c r="C29" s="13">
        <f t="shared" si="0"/>
        <v>0</v>
      </c>
      <c r="D29" s="11">
        <f>c借款还本付息计划表!D33</f>
        <v>0</v>
      </c>
      <c r="E29" s="11">
        <f>c借款还本付息计划表!E33</f>
        <v>0</v>
      </c>
      <c r="F29" s="11">
        <f>c借款还本付息计划表!F33</f>
        <v>0</v>
      </c>
      <c r="G29" s="11">
        <f>c借款还本付息计划表!G33</f>
        <v>0</v>
      </c>
      <c r="H29" s="11">
        <f>c借款还本付息计划表!H33</f>
        <v>0</v>
      </c>
      <c r="I29" s="11">
        <f>c借款还本付息计划表!I33</f>
        <v>0</v>
      </c>
      <c r="K29" s="45"/>
    </row>
    <row r="30" customHeight="1" spans="1:11">
      <c r="A30" s="7">
        <v>4</v>
      </c>
      <c r="B30" s="7" t="s">
        <v>437</v>
      </c>
      <c r="C30" s="13">
        <f t="shared" si="0"/>
        <v>1026.41277394593</v>
      </c>
      <c r="D30" s="13">
        <f t="shared" ref="D30" si="17">D3+D16+D23</f>
        <v>43.2909418541533</v>
      </c>
      <c r="E30" s="13">
        <f t="shared" ref="E30:I30" si="18">E3+E16+E23</f>
        <v>311.337973288193</v>
      </c>
      <c r="F30" s="13">
        <f t="shared" si="18"/>
        <v>490.707714803585</v>
      </c>
      <c r="G30" s="13">
        <f t="shared" si="18"/>
        <v>66.91336</v>
      </c>
      <c r="H30" s="13">
        <f t="shared" si="18"/>
        <v>61.1365600000005</v>
      </c>
      <c r="I30" s="13">
        <f t="shared" si="18"/>
        <v>53.0262239999993</v>
      </c>
      <c r="K30" s="45"/>
    </row>
    <row r="31" customHeight="1" spans="1:11">
      <c r="A31" s="7">
        <v>5</v>
      </c>
      <c r="B31" s="7" t="s">
        <v>438</v>
      </c>
      <c r="C31" s="13"/>
      <c r="D31" s="11">
        <f>D30</f>
        <v>43.2909418541533</v>
      </c>
      <c r="E31" s="11">
        <f>D31+E30</f>
        <v>354.628915142346</v>
      </c>
      <c r="F31" s="11">
        <f t="shared" ref="F31:I31" si="19">E31+F30</f>
        <v>845.336629945931</v>
      </c>
      <c r="G31" s="11">
        <f t="shared" si="19"/>
        <v>912.249989945931</v>
      </c>
      <c r="H31" s="11">
        <f t="shared" si="19"/>
        <v>973.386549945932</v>
      </c>
      <c r="I31" s="11">
        <f t="shared" si="19"/>
        <v>1026.41277394593</v>
      </c>
      <c r="K31" s="45"/>
    </row>
  </sheetData>
  <mergeCells count="1">
    <mergeCell ref="A1:I1"/>
  </mergeCells>
  <pageMargins left="0.75" right="0.75" top="1" bottom="1" header="0.5" footer="0.5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>
    <tabColor rgb="FFFFC000"/>
  </sheetPr>
  <dimension ref="A1:K27"/>
  <sheetViews>
    <sheetView zoomScale="70" zoomScaleNormal="70" workbookViewId="0">
      <pane xSplit="2" ySplit="2" topLeftCell="C13" activePane="bottomRight" state="frozen"/>
      <selection/>
      <selection pane="topRight"/>
      <selection pane="bottomLeft"/>
      <selection pane="bottomRight" activeCell="E27" sqref="E27"/>
    </sheetView>
  </sheetViews>
  <sheetFormatPr defaultColWidth="8.89090909090909" defaultRowHeight="28.05" customHeight="1"/>
  <cols>
    <col min="2" max="2" width="29" customWidth="1"/>
    <col min="3" max="3" width="11" customWidth="1"/>
    <col min="4" max="8" width="11.2181818181818" customWidth="1"/>
  </cols>
  <sheetData>
    <row r="1" customHeight="1" spans="1:8">
      <c r="A1" s="40" t="s">
        <v>439</v>
      </c>
      <c r="B1" s="40"/>
      <c r="C1" s="40"/>
      <c r="D1" s="40"/>
      <c r="E1" s="40"/>
      <c r="F1" s="40"/>
      <c r="G1" s="40"/>
      <c r="H1" s="40"/>
    </row>
    <row r="2" customHeight="1" spans="1:8">
      <c r="A2" s="2" t="s">
        <v>1</v>
      </c>
      <c r="B2" s="2" t="s">
        <v>138</v>
      </c>
      <c r="C2" s="36">
        <v>2025</v>
      </c>
      <c r="D2" s="36">
        <v>2026</v>
      </c>
      <c r="E2" s="36">
        <v>2027</v>
      </c>
      <c r="F2" s="36">
        <v>2028</v>
      </c>
      <c r="G2" s="36">
        <v>2029</v>
      </c>
      <c r="H2" s="36">
        <v>2030</v>
      </c>
    </row>
    <row r="3" customHeight="1" spans="1:8">
      <c r="A3" s="7">
        <v>1</v>
      </c>
      <c r="B3" s="7" t="s">
        <v>440</v>
      </c>
      <c r="C3" s="13">
        <f t="shared" ref="C3" si="0">SUM(C4+C10+C11+C12)</f>
        <v>377.152275187486</v>
      </c>
      <c r="D3" s="13">
        <f t="shared" ref="D3:H3" si="1">SUM(D4+D10+D11+D12)</f>
        <v>1404.74934296022</v>
      </c>
      <c r="E3" s="13">
        <f t="shared" si="1"/>
        <v>3037.64667003448</v>
      </c>
      <c r="F3" s="13">
        <f t="shared" si="1"/>
        <v>2922.50633396309</v>
      </c>
      <c r="G3" s="13">
        <f t="shared" si="1"/>
        <v>2885.0856530189</v>
      </c>
      <c r="H3" s="13">
        <f t="shared" si="1"/>
        <v>2839.87293531913</v>
      </c>
    </row>
    <row r="4" customHeight="1" spans="1:8">
      <c r="A4" s="7">
        <v>1.1</v>
      </c>
      <c r="B4" s="7" t="s">
        <v>441</v>
      </c>
      <c r="C4" s="13">
        <f t="shared" ref="C4" si="2">SUM(C5:C9)</f>
        <v>43.2909418541533</v>
      </c>
      <c r="D4" s="13">
        <f t="shared" ref="D4:H4" si="3">SUM(D5:D9)</f>
        <v>364.190484416493</v>
      </c>
      <c r="E4" s="13">
        <f t="shared" si="3"/>
        <v>855.416860331189</v>
      </c>
      <c r="F4" s="13">
        <f t="shared" si="3"/>
        <v>923.918572449718</v>
      </c>
      <c r="G4" s="13">
        <f t="shared" si="3"/>
        <v>986.312221234914</v>
      </c>
      <c r="H4" s="13">
        <f t="shared" si="3"/>
        <v>1040.58905197566</v>
      </c>
    </row>
    <row r="5" customHeight="1" spans="1:8">
      <c r="A5" s="7" t="s">
        <v>251</v>
      </c>
      <c r="B5" s="7" t="s">
        <v>442</v>
      </c>
      <c r="C5" s="13">
        <f>D.4流动资金估算表!E10+d财务计划现金流量表!D31</f>
        <v>43.2909418541533</v>
      </c>
      <c r="D5" s="13">
        <f>D.4流动资金估算表!F10+d财务计划现金流量表!E31</f>
        <v>357.341201131116</v>
      </c>
      <c r="E5" s="13">
        <f>D.4流动资金估算表!G10+d财务计划现金流量表!F31</f>
        <v>848.049357601368</v>
      </c>
      <c r="F5" s="13">
        <f>D.4流动资金估算表!H10+d财务计划现金流量表!G31</f>
        <v>915.350616075954</v>
      </c>
      <c r="G5" s="13">
        <f>D.4流动资金估算表!I10+d财务计划现金流量表!H31</f>
        <v>976.874632883874</v>
      </c>
      <c r="H5" s="13">
        <f>D.4流动资金估算表!J10+d财务计划现金流量表!I31</f>
        <v>1030.28831369179</v>
      </c>
    </row>
    <row r="6" customHeight="1" spans="1:8">
      <c r="A6" s="7" t="s">
        <v>253</v>
      </c>
      <c r="B6" s="7" t="s">
        <v>142</v>
      </c>
      <c r="C6" s="13">
        <f>D.4流动资金估算表!E4</f>
        <v>0</v>
      </c>
      <c r="D6" s="13">
        <f>D.4流动资金估算表!F4</f>
        <v>0.972222222222222</v>
      </c>
      <c r="E6" s="13">
        <f>D.4流动资金估算表!G4</f>
        <v>1.49</v>
      </c>
      <c r="F6" s="13">
        <f>D.4流动资金估算表!H4</f>
        <v>1.85044444444444</v>
      </c>
      <c r="G6" s="13">
        <f>D.4流动资金估算表!I4</f>
        <v>1.88050888888889</v>
      </c>
      <c r="H6" s="13">
        <f>D.4流动资金估算表!J4</f>
        <v>1.90409128888889</v>
      </c>
    </row>
    <row r="7" customHeight="1" spans="1:8">
      <c r="A7" s="7" t="s">
        <v>255</v>
      </c>
      <c r="B7" s="7" t="s">
        <v>443</v>
      </c>
      <c r="C7" s="41">
        <v>0</v>
      </c>
      <c r="D7" s="41">
        <v>0</v>
      </c>
      <c r="E7" s="41">
        <v>0</v>
      </c>
      <c r="F7" s="41">
        <v>0</v>
      </c>
      <c r="G7" s="41">
        <v>0</v>
      </c>
      <c r="H7" s="41">
        <v>0</v>
      </c>
    </row>
    <row r="8" customHeight="1" spans="1:8">
      <c r="A8" s="7" t="s">
        <v>422</v>
      </c>
      <c r="B8" s="7" t="s">
        <v>143</v>
      </c>
      <c r="C8" s="13">
        <f>D.4流动资金估算表!E5</f>
        <v>0</v>
      </c>
      <c r="D8" s="13">
        <f>D.4流动资金估算表!F5</f>
        <v>5.87706106315452</v>
      </c>
      <c r="E8" s="13">
        <f>D.4流动资金估算表!G5</f>
        <v>5.87750272982119</v>
      </c>
      <c r="F8" s="13">
        <f>D.4流动资金估算表!H5</f>
        <v>6.71751192931945</v>
      </c>
      <c r="G8" s="13">
        <f>D.4流动资金估算表!I5</f>
        <v>7.55707946215105</v>
      </c>
      <c r="H8" s="13">
        <f>D.4流动资金估算表!J5</f>
        <v>8.39664699498265</v>
      </c>
    </row>
    <row r="9" customHeight="1" spans="1:8">
      <c r="A9" s="7" t="s">
        <v>444</v>
      </c>
      <c r="B9" s="7" t="s">
        <v>445</v>
      </c>
      <c r="C9" s="41">
        <v>0</v>
      </c>
      <c r="D9" s="41">
        <v>0</v>
      </c>
      <c r="E9" s="41">
        <v>0</v>
      </c>
      <c r="F9" s="41">
        <v>0</v>
      </c>
      <c r="G9" s="41">
        <v>0</v>
      </c>
      <c r="H9" s="41">
        <v>0</v>
      </c>
    </row>
    <row r="10" customHeight="1" spans="1:8">
      <c r="A10" s="7">
        <v>1.2</v>
      </c>
      <c r="B10" s="7" t="s">
        <v>446</v>
      </c>
      <c r="C10" s="13">
        <f>D.2项目总投资使用计划与资金筹措表!D3</f>
        <v>333.861333333333</v>
      </c>
      <c r="D10" s="13">
        <f>D.2项目总投资使用计划与资金筹措表!E3</f>
        <v>749.02539343087</v>
      </c>
      <c r="E10" s="13">
        <f>D.2项目总投资使用计划与资金筹措表!F3</f>
        <v>1252.22532777778</v>
      </c>
      <c r="F10" s="13">
        <f>D.2项目总投资使用计划与资金筹措表!G3</f>
        <v>1.55366033139417</v>
      </c>
      <c r="G10" s="13">
        <f>D.2项目总投资使用计划与资金筹措表!H3</f>
        <v>1.22239699806083</v>
      </c>
      <c r="H10" s="13">
        <f>D.2项目总投资使用计划与资金筹措表!I3</f>
        <v>1.21591495361639</v>
      </c>
    </row>
    <row r="11" customHeight="1" spans="1:8">
      <c r="A11" s="7">
        <v>1.3</v>
      </c>
      <c r="B11" s="7" t="s">
        <v>447</v>
      </c>
      <c r="C11" s="42">
        <f>E.2固定资产折旧费估算表!F7</f>
        <v>0</v>
      </c>
      <c r="D11" s="42">
        <f>E.2固定资产折旧费估算表!G7</f>
        <v>286.241945812323</v>
      </c>
      <c r="E11" s="42">
        <f>E.2固定资产折旧费估算表!H7</f>
        <v>919.685419343964</v>
      </c>
      <c r="F11" s="42">
        <f>E.2固定资产折旧费估算表!I7</f>
        <v>1981.96467013993</v>
      </c>
      <c r="G11" s="42">
        <f>E.2固定资产折旧费估算表!J7</f>
        <v>1883.27473169346</v>
      </c>
      <c r="H11" s="42">
        <f>E.2固定资产折旧费估算表!K7</f>
        <v>1784.58479324696</v>
      </c>
    </row>
    <row r="12" customHeight="1" spans="1:8">
      <c r="A12" s="7">
        <v>1.4</v>
      </c>
      <c r="B12" s="7" t="s">
        <v>448</v>
      </c>
      <c r="C12" s="42">
        <f>E.3无形资产和其他资产摊销费估算表!F25</f>
        <v>0</v>
      </c>
      <c r="D12" s="42">
        <f>E.3无形资产和其他资产摊销费估算表!G25</f>
        <v>5.29151930053583</v>
      </c>
      <c r="E12" s="42">
        <f>E.3无形资产和其他资产摊销费估算表!H25</f>
        <v>10.3190625815438</v>
      </c>
      <c r="F12" s="42">
        <f>E.3无形资产和其他资产摊销费估算表!I25</f>
        <v>15.0694310420475</v>
      </c>
      <c r="G12" s="42">
        <f>E.3无形资产和其他资产摊销费估算表!J25</f>
        <v>14.2763030924661</v>
      </c>
      <c r="H12" s="42">
        <f>E.3无形资产和其他资产摊销费估算表!K25</f>
        <v>13.4831751428846</v>
      </c>
    </row>
    <row r="13" customHeight="1" spans="1:8">
      <c r="A13" s="7">
        <v>2</v>
      </c>
      <c r="B13" s="7" t="s">
        <v>449</v>
      </c>
      <c r="C13" s="13">
        <f t="shared" ref="C13" si="4">C21+C22</f>
        <v>333.861333333333</v>
      </c>
      <c r="D13" s="13">
        <f t="shared" ref="D13:H13" si="5">D21+D22</f>
        <v>2900.16898037861</v>
      </c>
      <c r="E13" s="13">
        <f t="shared" si="5"/>
        <v>13637.4707854136</v>
      </c>
      <c r="F13" s="13">
        <f t="shared" si="5"/>
        <v>22272.782805421</v>
      </c>
      <c r="G13" s="13">
        <f t="shared" si="5"/>
        <v>22201.2702501361</v>
      </c>
      <c r="H13" s="13">
        <f t="shared" si="5"/>
        <v>22123.2273834272</v>
      </c>
    </row>
    <row r="14" customHeight="1" spans="1:8">
      <c r="A14" s="7">
        <v>2.1</v>
      </c>
      <c r="B14" s="7" t="s">
        <v>450</v>
      </c>
      <c r="C14" s="13">
        <f t="shared" ref="C14" si="6">SUM(C15:C18)</f>
        <v>0</v>
      </c>
      <c r="D14" s="13">
        <f t="shared" ref="D14:H14" si="7">SUM(D15:D18)</f>
        <v>0.242842509943051</v>
      </c>
      <c r="E14" s="13">
        <f t="shared" si="7"/>
        <v>0.242842509943051</v>
      </c>
      <c r="F14" s="13">
        <f t="shared" si="7"/>
        <v>0.277534297077772</v>
      </c>
      <c r="G14" s="13">
        <f t="shared" si="7"/>
        <v>0.312226084212494</v>
      </c>
      <c r="H14" s="13">
        <f t="shared" si="7"/>
        <v>0.346917871347215</v>
      </c>
    </row>
    <row r="15" customHeight="1" spans="1:8">
      <c r="A15" s="7" t="s">
        <v>93</v>
      </c>
      <c r="B15" s="7" t="s">
        <v>451</v>
      </c>
      <c r="C15" s="41">
        <v>0</v>
      </c>
      <c r="D15" s="41">
        <v>0</v>
      </c>
      <c r="E15" s="41">
        <v>0</v>
      </c>
      <c r="F15" s="41">
        <v>0</v>
      </c>
      <c r="G15" s="41">
        <v>0</v>
      </c>
      <c r="H15" s="41">
        <v>0</v>
      </c>
    </row>
    <row r="16" customHeight="1" spans="1:8">
      <c r="A16" s="7" t="s">
        <v>95</v>
      </c>
      <c r="B16" s="7" t="s">
        <v>154</v>
      </c>
      <c r="C16" s="13">
        <f>D.4流动资金估算表!E12</f>
        <v>0</v>
      </c>
      <c r="D16" s="13">
        <f>D.4流动资金估算表!F12</f>
        <v>0.242842509943051</v>
      </c>
      <c r="E16" s="13">
        <f>D.4流动资金估算表!G12</f>
        <v>0.242842509943051</v>
      </c>
      <c r="F16" s="13">
        <f>D.4流动资金估算表!H12</f>
        <v>0.277534297077772</v>
      </c>
      <c r="G16" s="13">
        <f>D.4流动资金估算表!I12</f>
        <v>0.312226084212494</v>
      </c>
      <c r="H16" s="13">
        <f>D.4流动资金估算表!J12</f>
        <v>0.346917871347215</v>
      </c>
    </row>
    <row r="17" customHeight="1" spans="1:8">
      <c r="A17" s="7" t="s">
        <v>97</v>
      </c>
      <c r="B17" s="7" t="s">
        <v>452</v>
      </c>
      <c r="C17" s="41">
        <v>0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</row>
    <row r="18" customHeight="1" spans="1:8">
      <c r="A18" s="7" t="s">
        <v>453</v>
      </c>
      <c r="B18" s="7" t="s">
        <v>445</v>
      </c>
      <c r="C18" s="41">
        <v>0</v>
      </c>
      <c r="D18" s="41">
        <v>0</v>
      </c>
      <c r="E18" s="41">
        <v>0</v>
      </c>
      <c r="F18" s="41">
        <v>0</v>
      </c>
      <c r="G18" s="41">
        <v>0</v>
      </c>
      <c r="H18" s="41">
        <v>0</v>
      </c>
    </row>
    <row r="19" s="39" customFormat="1" customHeight="1" spans="1:11">
      <c r="A19" s="43">
        <v>2.2</v>
      </c>
      <c r="B19" s="43" t="s">
        <v>434</v>
      </c>
      <c r="C19" s="11">
        <f>c借款还本付息计划表!D35</f>
        <v>2000</v>
      </c>
      <c r="D19" s="11">
        <f>c借款还本付息计划表!E35</f>
        <v>12000</v>
      </c>
      <c r="E19" s="11">
        <f>c借款还本付息计划表!F35</f>
        <v>22000</v>
      </c>
      <c r="F19" s="11">
        <f>c借款还本付息计划表!G35</f>
        <v>22000</v>
      </c>
      <c r="G19" s="11">
        <f>c借款还本付息计划表!H35</f>
        <v>22000</v>
      </c>
      <c r="H19" s="11">
        <f>c借款还本付息计划表!I35</f>
        <v>22000</v>
      </c>
      <c r="I19"/>
      <c r="J19"/>
      <c r="K19"/>
    </row>
    <row r="20" customHeight="1" spans="1:8">
      <c r="A20" s="7">
        <v>2.3</v>
      </c>
      <c r="B20" s="7" t="s">
        <v>454</v>
      </c>
      <c r="C20" s="13">
        <f>D.4流动资金估算表!E15</f>
        <v>0</v>
      </c>
      <c r="D20" s="13">
        <f>D.4流动资金估算表!F15</f>
        <v>0</v>
      </c>
      <c r="E20" s="13">
        <f>D.4流动资金估算表!G15</f>
        <v>0</v>
      </c>
      <c r="F20" s="13">
        <f>D.4流动资金估算表!H15</f>
        <v>0</v>
      </c>
      <c r="G20" s="13">
        <f>D.4流动资金估算表!I15</f>
        <v>0</v>
      </c>
      <c r="H20" s="13">
        <f>D.4流动资金估算表!J15</f>
        <v>0</v>
      </c>
    </row>
    <row r="21" customHeight="1" spans="1:8">
      <c r="A21" s="7">
        <v>2.4</v>
      </c>
      <c r="B21" s="7" t="s">
        <v>455</v>
      </c>
      <c r="C21" s="13">
        <f t="shared" ref="C21" si="8">C14+C19+C20</f>
        <v>2000</v>
      </c>
      <c r="D21" s="13">
        <f t="shared" ref="D21:H21" si="9">D14+D19+D20</f>
        <v>12000.2428425099</v>
      </c>
      <c r="E21" s="13">
        <f t="shared" si="9"/>
        <v>22000.2428425099</v>
      </c>
      <c r="F21" s="13">
        <f t="shared" si="9"/>
        <v>22000.2775342971</v>
      </c>
      <c r="G21" s="13">
        <f t="shared" si="9"/>
        <v>22000.3122260842</v>
      </c>
      <c r="H21" s="13">
        <f t="shared" si="9"/>
        <v>22000.3469178713</v>
      </c>
    </row>
    <row r="22" customHeight="1" spans="1:8">
      <c r="A22" s="7">
        <v>2.5</v>
      </c>
      <c r="B22" s="7" t="s">
        <v>456</v>
      </c>
      <c r="C22" s="13">
        <f t="shared" ref="C22" si="10">SUM(C23:C26)</f>
        <v>-1666.13866666667</v>
      </c>
      <c r="D22" s="13">
        <f t="shared" ref="D22:H22" si="11">SUM(D23:D26)</f>
        <v>-9100.07386213129</v>
      </c>
      <c r="E22" s="13">
        <f t="shared" si="11"/>
        <v>-8362.77205709626</v>
      </c>
      <c r="F22" s="13">
        <f t="shared" si="11"/>
        <v>272.505271123919</v>
      </c>
      <c r="G22" s="13">
        <f t="shared" si="11"/>
        <v>200.958024051857</v>
      </c>
      <c r="H22" s="13">
        <f t="shared" si="11"/>
        <v>122.880465555897</v>
      </c>
    </row>
    <row r="23" customHeight="1" spans="1:8">
      <c r="A23" s="7" t="s">
        <v>457</v>
      </c>
      <c r="B23" s="7" t="s">
        <v>458</v>
      </c>
      <c r="C23" s="13">
        <f>D.2项目总投资使用计划与资金筹措表!D8</f>
        <v>-1666.13866666667</v>
      </c>
      <c r="D23" s="13">
        <f>D.2项目总投资使用计划与资金筹措表!E8</f>
        <v>-9250.97460656913</v>
      </c>
      <c r="E23" s="13">
        <f>D.2项目总投资使用计划与资金筹措表!F8</f>
        <v>-8747.77467222222</v>
      </c>
      <c r="F23" s="13">
        <f>D.2项目总投资使用计划与资金筹措表!G8</f>
        <v>1.55366033139417</v>
      </c>
      <c r="G23" s="13">
        <f>D.2项目总投资使用计划与资金筹措表!H8</f>
        <v>1.22239699806083</v>
      </c>
      <c r="H23" s="13">
        <f>D.2项目总投资使用计划与资金筹措表!I8</f>
        <v>1.21591495361639</v>
      </c>
    </row>
    <row r="24" customHeight="1" spans="1:8">
      <c r="A24" s="7" t="s">
        <v>459</v>
      </c>
      <c r="B24" s="7" t="s">
        <v>460</v>
      </c>
      <c r="C24" s="13">
        <f>'b利润与利润分配表（损益和利润分配表）'!D15</f>
        <v>0</v>
      </c>
      <c r="D24" s="13">
        <f>'b利润与利润分配表（损益和利润分配表）'!E15</f>
        <v>15.0900744437837</v>
      </c>
      <c r="E24" s="13">
        <f>'b利润与利润分配表（损益和利润分配表）'!F15</f>
        <v>25.5982478631612</v>
      </c>
      <c r="F24" s="13">
        <f>'b利润与利润分配表（损益和利润分配表）'!G15</f>
        <v>-7.69335449318545</v>
      </c>
      <c r="G24" s="13">
        <f>'b利润与利润分配表（损益和利润分配表）'!H15</f>
        <v>-8.23713477538477</v>
      </c>
      <c r="H24" s="13">
        <f>'b利润与利润分配表（损益和利润分配表）'!I15</f>
        <v>-9.00149218758237</v>
      </c>
    </row>
    <row r="25" customHeight="1" spans="1:8">
      <c r="A25" s="7" t="s">
        <v>461</v>
      </c>
      <c r="B25" s="7" t="s">
        <v>462</v>
      </c>
      <c r="C25" s="13">
        <f>'b利润与利润分配表（损益和利润分配表）'!D18</f>
        <v>0</v>
      </c>
      <c r="D25" s="13">
        <f>'b利润与利润分配表（损益和利润分配表）'!E18</f>
        <v>6.79053349970267</v>
      </c>
      <c r="E25" s="13">
        <f>'b利润与利润分配表（损益和利润分配表）'!F18</f>
        <v>11.5192115384226</v>
      </c>
      <c r="F25" s="13">
        <f>'b利润与利润分配表（损益和利润分配表）'!G18</f>
        <v>-3.46200952193345</v>
      </c>
      <c r="G25" s="13">
        <f>'b利润与利润分配表（损益和利润分配表）'!H18</f>
        <v>-3.70671064892314</v>
      </c>
      <c r="H25" s="13">
        <f>'b利润与利润分配表（损益和利润分配表）'!I18</f>
        <v>-4.05067148441207</v>
      </c>
    </row>
    <row r="26" customHeight="1" spans="1:8">
      <c r="A26" s="7" t="s">
        <v>463</v>
      </c>
      <c r="B26" s="7" t="s">
        <v>384</v>
      </c>
      <c r="C26" s="13">
        <f>'b利润与利润分配表（损益和利润分配表）'!D24</f>
        <v>0</v>
      </c>
      <c r="D26" s="13">
        <f>'b利润与利润分配表（损益和利润分配表）'!E24</f>
        <v>129.020136494351</v>
      </c>
      <c r="E26" s="13">
        <f>'b利润与利润分配表（损益和利润分配表）'!F24</f>
        <v>347.885155724379</v>
      </c>
      <c r="F26" s="13">
        <f>'b利润与利润分配表（损益和利润分配表）'!G24</f>
        <v>282.106974807644</v>
      </c>
      <c r="G26" s="13">
        <f>'b利润与利润分配表（损益和利润分配表）'!H24</f>
        <v>211.679472478104</v>
      </c>
      <c r="H26" s="13">
        <f>'b利润与利润分配表（损益和利润分配表）'!I24</f>
        <v>134.716714274275</v>
      </c>
    </row>
    <row r="27" customHeight="1" spans="1:8">
      <c r="A27" s="44" t="s">
        <v>464</v>
      </c>
      <c r="B27" s="44"/>
      <c r="C27" s="27">
        <f t="shared" ref="C27" si="12">C21/C3</f>
        <v>5.30289787859765</v>
      </c>
      <c r="D27" s="27">
        <f t="shared" ref="D27:H27" si="13">D21/D3</f>
        <v>8.54262214298093</v>
      </c>
      <c r="E27" s="27">
        <f t="shared" si="13"/>
        <v>7.24252858620328</v>
      </c>
      <c r="F27" s="27">
        <f t="shared" si="13"/>
        <v>7.52788018921533</v>
      </c>
      <c r="G27" s="27">
        <f t="shared" si="13"/>
        <v>7.6255317422079</v>
      </c>
      <c r="H27" s="27">
        <f t="shared" si="13"/>
        <v>7.74694763426062</v>
      </c>
    </row>
  </sheetData>
  <mergeCells count="2">
    <mergeCell ref="A1:H1"/>
    <mergeCell ref="A27:B27"/>
  </mergeCells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tabColor rgb="FFFFC000"/>
  </sheetPr>
  <dimension ref="A1:G4"/>
  <sheetViews>
    <sheetView workbookViewId="0">
      <selection activeCell="E7" sqref="E7"/>
    </sheetView>
  </sheetViews>
  <sheetFormatPr defaultColWidth="14.7818181818182" defaultRowHeight="28.05" customHeight="1" outlineLevelRow="3" outlineLevelCol="6"/>
  <cols>
    <col min="1" max="1" width="20.2181818181818" customWidth="1"/>
    <col min="2" max="2" width="14.7818181818182" customWidth="1"/>
    <col min="3" max="3" width="17.7818181818182" customWidth="1"/>
    <col min="4" max="4" width="14.7818181818182" customWidth="1"/>
  </cols>
  <sheetData>
    <row r="1" customHeight="1" spans="1:7">
      <c r="A1" s="14" t="s">
        <v>465</v>
      </c>
      <c r="B1" s="15"/>
      <c r="C1" s="15"/>
      <c r="D1" s="15"/>
      <c r="E1" s="15"/>
      <c r="F1" s="15"/>
      <c r="G1" s="34"/>
    </row>
    <row r="2" customHeight="1" spans="1:7">
      <c r="A2" s="2" t="s">
        <v>466</v>
      </c>
      <c r="B2" s="2" t="s">
        <v>467</v>
      </c>
      <c r="C2" s="2" t="s">
        <v>127</v>
      </c>
      <c r="D2" s="2" t="s">
        <v>468</v>
      </c>
      <c r="E2" s="2" t="s">
        <v>89</v>
      </c>
      <c r="F2" s="2" t="s">
        <v>90</v>
      </c>
      <c r="G2" s="2" t="s">
        <v>82</v>
      </c>
    </row>
    <row r="3" customHeight="1" spans="1:7">
      <c r="A3" s="7" t="s">
        <v>469</v>
      </c>
      <c r="B3" s="8">
        <f>D.3建设投资分年计划表!D3</f>
        <v>1824</v>
      </c>
      <c r="C3" s="8">
        <f>D.3建设投资分年计划表!D13</f>
        <v>24</v>
      </c>
      <c r="D3" s="8">
        <f>D.3建设投资分年计划表!D19</f>
        <v>6</v>
      </c>
      <c r="E3" s="8">
        <f>D.2项目总投资使用计划与资金筹措表!C5</f>
        <v>471.274666666667</v>
      </c>
      <c r="F3" s="8">
        <f>D.2项目总投资使用计划与资金筹措表!C6</f>
        <v>13.8293601583861</v>
      </c>
      <c r="G3" s="8">
        <f>SUM(B3:F3)</f>
        <v>2339.10402682505</v>
      </c>
    </row>
    <row r="4" customHeight="1" spans="1:7">
      <c r="A4" s="7" t="s">
        <v>470</v>
      </c>
      <c r="B4" s="27">
        <f t="shared" ref="B4:F4" si="0">B3/$G$3</f>
        <v>0.779785755178994</v>
      </c>
      <c r="C4" s="27">
        <f t="shared" si="0"/>
        <v>0.0102603388839341</v>
      </c>
      <c r="D4" s="27">
        <f t="shared" si="0"/>
        <v>0.00256508472098353</v>
      </c>
      <c r="E4" s="27">
        <f t="shared" si="0"/>
        <v>0.201476574475546</v>
      </c>
      <c r="F4" s="27">
        <f t="shared" si="0"/>
        <v>0.00591224674054245</v>
      </c>
      <c r="G4" s="27" t="s">
        <v>105</v>
      </c>
    </row>
  </sheetData>
  <mergeCells count="1">
    <mergeCell ref="A1:G1"/>
  </mergeCells>
  <pageMargins left="0.75" right="0.75" top="1" bottom="1" header="0.5" footer="0.5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tabColor rgb="FFFFC000"/>
  </sheetPr>
  <dimension ref="A1:G10"/>
  <sheetViews>
    <sheetView workbookViewId="0">
      <selection activeCell="G1" sqref="G1"/>
    </sheetView>
  </sheetViews>
  <sheetFormatPr defaultColWidth="14.7818181818182" defaultRowHeight="28.05" customHeight="1" outlineLevelCol="6"/>
  <cols>
    <col min="1" max="1" width="22" customWidth="1"/>
    <col min="2" max="2" width="15.6636363636364" customWidth="1"/>
  </cols>
  <sheetData>
    <row r="1" customHeight="1" spans="1:7">
      <c r="A1" s="14" t="s">
        <v>471</v>
      </c>
      <c r="B1" s="15"/>
      <c r="C1" s="15"/>
      <c r="D1" s="15"/>
      <c r="E1" s="15"/>
      <c r="F1" s="34"/>
      <c r="G1" s="35" t="s">
        <v>472</v>
      </c>
    </row>
    <row r="2" customHeight="1" spans="1:6">
      <c r="A2" s="2" t="s">
        <v>473</v>
      </c>
      <c r="B2" s="36">
        <v>2025</v>
      </c>
      <c r="C2" s="36">
        <v>2026</v>
      </c>
      <c r="D2" s="36">
        <v>2027</v>
      </c>
      <c r="E2" s="2" t="s">
        <v>82</v>
      </c>
      <c r="F2" s="2" t="s">
        <v>474</v>
      </c>
    </row>
    <row r="3" customHeight="1" spans="1:6">
      <c r="A3" s="7" t="s">
        <v>475</v>
      </c>
      <c r="B3" s="37"/>
      <c r="C3" s="37"/>
      <c r="D3" s="37"/>
      <c r="E3" s="8">
        <f t="shared" ref="E3:E8" si="0">SUM(B3:D3)</f>
        <v>0</v>
      </c>
      <c r="F3" s="27" t="e">
        <f>E3/E9</f>
        <v>#DIV/0!</v>
      </c>
    </row>
    <row r="4" customHeight="1" spans="1:6">
      <c r="A4" s="7" t="s">
        <v>476</v>
      </c>
      <c r="B4" s="13"/>
      <c r="C4" s="13"/>
      <c r="D4" s="13"/>
      <c r="E4" s="13">
        <f t="shared" si="0"/>
        <v>0</v>
      </c>
      <c r="F4" s="27" t="e">
        <f>E4/E9</f>
        <v>#DIV/0!</v>
      </c>
    </row>
    <row r="5" ht="39" customHeight="1" spans="1:6">
      <c r="A5" s="38" t="s">
        <v>477</v>
      </c>
      <c r="B5" s="37"/>
      <c r="C5" s="37"/>
      <c r="D5" s="37"/>
      <c r="E5" s="8">
        <f t="shared" si="0"/>
        <v>0</v>
      </c>
      <c r="F5" s="27" t="e">
        <f>E5/E9</f>
        <v>#DIV/0!</v>
      </c>
    </row>
    <row r="6" ht="39" customHeight="1" spans="1:6">
      <c r="A6" s="38" t="s">
        <v>478</v>
      </c>
      <c r="B6" s="8"/>
      <c r="C6" s="8"/>
      <c r="D6" s="8"/>
      <c r="E6" s="8">
        <f t="shared" si="0"/>
        <v>0</v>
      </c>
      <c r="F6" s="27" t="e">
        <f>E6/E9</f>
        <v>#DIV/0!</v>
      </c>
    </row>
    <row r="7" customHeight="1" spans="1:6">
      <c r="A7" s="7" t="s">
        <v>479</v>
      </c>
      <c r="B7" s="37"/>
      <c r="C7" s="37"/>
      <c r="D7" s="37"/>
      <c r="E7" s="8">
        <f t="shared" si="0"/>
        <v>0</v>
      </c>
      <c r="F7" s="27" t="e">
        <f>E7/E9</f>
        <v>#DIV/0!</v>
      </c>
    </row>
    <row r="8" customHeight="1" spans="1:6">
      <c r="A8" s="7" t="s">
        <v>480</v>
      </c>
      <c r="B8" s="37"/>
      <c r="C8" s="37"/>
      <c r="D8" s="37"/>
      <c r="E8" s="8">
        <f t="shared" si="0"/>
        <v>0</v>
      </c>
      <c r="F8" s="27" t="e">
        <f>E8/E9</f>
        <v>#DIV/0!</v>
      </c>
    </row>
    <row r="9" customHeight="1" spans="1:6">
      <c r="A9" s="7" t="s">
        <v>82</v>
      </c>
      <c r="B9" s="8">
        <f>SUM(B3:B8)</f>
        <v>0</v>
      </c>
      <c r="C9" s="8">
        <f>SUM(C3:C8)</f>
        <v>0</v>
      </c>
      <c r="D9" s="8">
        <f>SUM(D3:D8)</f>
        <v>0</v>
      </c>
      <c r="E9" s="8">
        <f>SUM(E3:E8)</f>
        <v>0</v>
      </c>
      <c r="F9" s="7" t="s">
        <v>105</v>
      </c>
    </row>
    <row r="10" customHeight="1" spans="1:6">
      <c r="A10" s="7" t="s">
        <v>481</v>
      </c>
      <c r="B10" s="27" t="e">
        <f>B9/E9</f>
        <v>#DIV/0!</v>
      </c>
      <c r="C10" s="27" t="e">
        <f>C9/E9</f>
        <v>#DIV/0!</v>
      </c>
      <c r="D10" s="27" t="e">
        <f>D9/E9</f>
        <v>#DIV/0!</v>
      </c>
      <c r="E10" s="7" t="s">
        <v>105</v>
      </c>
      <c r="F10" s="7" t="s">
        <v>105</v>
      </c>
    </row>
  </sheetData>
  <mergeCells count="1">
    <mergeCell ref="A1:F1"/>
  </mergeCells>
  <pageMargins left="0.75" right="0.75" top="1" bottom="1" header="0.5" footer="0.5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tabColor rgb="FFFFC000"/>
  </sheetPr>
  <dimension ref="A1:G6"/>
  <sheetViews>
    <sheetView workbookViewId="0">
      <pane xSplit="1" ySplit="3" topLeftCell="B4" activePane="bottomRight" state="frozen"/>
      <selection/>
      <selection pane="topRight"/>
      <selection pane="bottomLeft"/>
      <selection pane="bottomRight" activeCell="A9" sqref="A9"/>
    </sheetView>
  </sheetViews>
  <sheetFormatPr defaultColWidth="15.7818181818182" defaultRowHeight="28.05" customHeight="1" outlineLevelRow="5" outlineLevelCol="6"/>
  <cols>
    <col min="1" max="1" width="15.7818181818182" customWidth="1"/>
    <col min="2" max="2" width="6.44545454545455" customWidth="1"/>
    <col min="3" max="24" width="8.78181818181818" customWidth="1"/>
  </cols>
  <sheetData>
    <row r="1" customHeight="1" spans="1:7">
      <c r="A1" s="29" t="s">
        <v>482</v>
      </c>
      <c r="B1" s="30"/>
      <c r="C1" s="30"/>
      <c r="D1" s="30"/>
      <c r="E1" s="30"/>
      <c r="F1" s="30"/>
      <c r="G1" s="30"/>
    </row>
    <row r="2" customHeight="1" spans="1:7">
      <c r="A2" s="16" t="s">
        <v>483</v>
      </c>
      <c r="B2" s="31" t="s">
        <v>484</v>
      </c>
      <c r="C2" s="32"/>
      <c r="D2" s="32"/>
      <c r="E2" s="32"/>
      <c r="F2" s="32"/>
      <c r="G2" s="32"/>
    </row>
    <row r="3" customHeight="1" spans="1:7">
      <c r="A3" s="17"/>
      <c r="B3" s="33">
        <v>2025</v>
      </c>
      <c r="C3" s="33">
        <v>2026</v>
      </c>
      <c r="D3" s="33">
        <v>2027</v>
      </c>
      <c r="E3" s="33">
        <v>2028</v>
      </c>
      <c r="F3" s="33">
        <v>2029</v>
      </c>
      <c r="G3" s="33">
        <v>2030</v>
      </c>
    </row>
    <row r="4" customHeight="1" spans="1:7">
      <c r="A4" s="7" t="s">
        <v>485</v>
      </c>
      <c r="B4" s="8">
        <f>F项目收入!D11-F项目收入!D10</f>
        <v>0</v>
      </c>
      <c r="C4" s="8">
        <f>F项目收入!E11-F项目收入!E10</f>
        <v>350</v>
      </c>
      <c r="D4" s="8">
        <f>F项目收入!F11-F项目收入!F10</f>
        <v>536.4</v>
      </c>
      <c r="E4" s="8">
        <f>F项目收入!G11-F项目收入!G10</f>
        <v>666.16</v>
      </c>
      <c r="F4" s="8">
        <f>F项目收入!H11-F项目收入!H10</f>
        <v>676.9832</v>
      </c>
      <c r="G4" s="8">
        <f>F项目收入!I11-F项目收入!I10</f>
        <v>685.472864</v>
      </c>
    </row>
    <row r="5" customHeight="1" spans="1:7">
      <c r="A5" s="7" t="s">
        <v>486</v>
      </c>
      <c r="B5" s="8">
        <f>F项目收入!D10</f>
        <v>0</v>
      </c>
      <c r="C5" s="8">
        <f>F项目收入!E10</f>
        <v>0</v>
      </c>
      <c r="D5" s="8">
        <f>F项目收入!F10</f>
        <v>0</v>
      </c>
      <c r="E5" s="8">
        <f>F项目收入!G10</f>
        <v>0</v>
      </c>
      <c r="F5" s="8">
        <f>F项目收入!H10</f>
        <v>0</v>
      </c>
      <c r="G5" s="8">
        <f>F项目收入!I10</f>
        <v>0</v>
      </c>
    </row>
    <row r="6" customHeight="1" spans="1:7">
      <c r="A6" s="7" t="s">
        <v>82</v>
      </c>
      <c r="B6" s="8">
        <f t="shared" ref="B6:G6" si="0">SUM(B4:B5)</f>
        <v>0</v>
      </c>
      <c r="C6" s="8">
        <f t="shared" si="0"/>
        <v>350</v>
      </c>
      <c r="D6" s="8">
        <f t="shared" si="0"/>
        <v>536.4</v>
      </c>
      <c r="E6" s="8">
        <f t="shared" si="0"/>
        <v>666.16</v>
      </c>
      <c r="F6" s="8">
        <f t="shared" si="0"/>
        <v>676.9832</v>
      </c>
      <c r="G6" s="8">
        <f t="shared" si="0"/>
        <v>685.472864</v>
      </c>
    </row>
  </sheetData>
  <mergeCells count="1">
    <mergeCell ref="A2:A3"/>
  </mergeCells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>
    <tabColor rgb="FFFFC000"/>
  </sheetPr>
  <dimension ref="A1:AF23"/>
  <sheetViews>
    <sheetView zoomScale="70" zoomScaleNormal="70" workbookViewId="0">
      <selection activeCell="A1" sqref="A1:AE1"/>
    </sheetView>
  </sheetViews>
  <sheetFormatPr defaultColWidth="13.7818181818182" defaultRowHeight="28.05" customHeight="1"/>
  <cols>
    <col min="1" max="1" width="13.6636363636364" customWidth="1"/>
    <col min="2" max="2" width="11.2181818181818" customWidth="1"/>
    <col min="3" max="3" width="44.2181818181818" style="18" customWidth="1"/>
    <col min="4" max="4" width="43.8909090909091" style="18" customWidth="1"/>
    <col min="5" max="16373" width="13.7818181818182" customWidth="1"/>
  </cols>
  <sheetData>
    <row r="1" customHeight="1" spans="1:32">
      <c r="A1" s="19" t="s">
        <v>487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28" t="s">
        <v>488</v>
      </c>
    </row>
    <row r="2" customHeight="1" spans="1:31">
      <c r="A2" s="20" t="s">
        <v>175</v>
      </c>
      <c r="B2" s="20" t="s">
        <v>1</v>
      </c>
      <c r="C2" s="21" t="s">
        <v>86</v>
      </c>
      <c r="D2" s="21" t="s">
        <v>176</v>
      </c>
      <c r="E2" s="20" t="s">
        <v>177</v>
      </c>
      <c r="F2" s="21" t="s">
        <v>489</v>
      </c>
      <c r="G2" s="2" t="s">
        <v>179</v>
      </c>
      <c r="H2" s="22" t="s">
        <v>490</v>
      </c>
      <c r="I2" s="26" t="s">
        <v>491</v>
      </c>
      <c r="J2" s="22" t="s">
        <v>492</v>
      </c>
      <c r="K2" s="26" t="s">
        <v>493</v>
      </c>
      <c r="L2" s="22" t="s">
        <v>494</v>
      </c>
      <c r="M2" s="26" t="s">
        <v>495</v>
      </c>
      <c r="N2" s="22" t="s">
        <v>496</v>
      </c>
      <c r="O2" s="26" t="s">
        <v>497</v>
      </c>
      <c r="P2" s="22" t="s">
        <v>498</v>
      </c>
      <c r="Q2" s="26" t="s">
        <v>499</v>
      </c>
      <c r="R2" s="22" t="s">
        <v>500</v>
      </c>
      <c r="S2" s="26" t="s">
        <v>501</v>
      </c>
      <c r="T2" s="22" t="s">
        <v>502</v>
      </c>
      <c r="U2" s="26" t="s">
        <v>503</v>
      </c>
      <c r="V2" s="22" t="s">
        <v>504</v>
      </c>
      <c r="W2" s="26" t="s">
        <v>505</v>
      </c>
      <c r="X2" s="22" t="s">
        <v>506</v>
      </c>
      <c r="Y2" s="26" t="s">
        <v>507</v>
      </c>
      <c r="Z2" s="22" t="s">
        <v>508</v>
      </c>
      <c r="AA2" s="26" t="s">
        <v>509</v>
      </c>
      <c r="AB2" s="22" t="s">
        <v>510</v>
      </c>
      <c r="AC2" s="26" t="s">
        <v>511</v>
      </c>
      <c r="AD2" s="26" t="s">
        <v>512</v>
      </c>
      <c r="AE2" s="17" t="s">
        <v>82</v>
      </c>
    </row>
    <row r="3" customHeight="1" spans="1:31">
      <c r="A3" s="17"/>
      <c r="B3" s="17"/>
      <c r="C3" s="23"/>
      <c r="D3" s="23"/>
      <c r="E3" s="17"/>
      <c r="F3" s="17"/>
      <c r="G3" s="2"/>
      <c r="H3" s="24" t="s">
        <v>180</v>
      </c>
      <c r="I3" s="27">
        <f>E.1项目运营期费用!I3</f>
        <v>0.7</v>
      </c>
      <c r="J3" s="27">
        <f>E.1项目运营期费用!J3</f>
        <v>0.7</v>
      </c>
      <c r="K3" s="27">
        <f>E.1项目运营期费用!K3</f>
        <v>0.8</v>
      </c>
      <c r="L3" s="27">
        <f>E.1项目运营期费用!L3</f>
        <v>0.9</v>
      </c>
      <c r="M3" s="27">
        <f>E.1项目运营期费用!M3</f>
        <v>1</v>
      </c>
      <c r="N3" s="27" t="e">
        <f>E.1项目运营期费用!#REF!</f>
        <v>#REF!</v>
      </c>
      <c r="O3" s="27" t="e">
        <f>E.1项目运营期费用!#REF!</f>
        <v>#REF!</v>
      </c>
      <c r="P3" s="27" t="e">
        <f>E.1项目运营期费用!#REF!</f>
        <v>#REF!</v>
      </c>
      <c r="Q3" s="27" t="e">
        <f>E.1项目运营期费用!#REF!</f>
        <v>#REF!</v>
      </c>
      <c r="R3" s="27" t="e">
        <f>E.1项目运营期费用!#REF!</f>
        <v>#REF!</v>
      </c>
      <c r="S3" s="27" t="e">
        <f>E.1项目运营期费用!#REF!</f>
        <v>#REF!</v>
      </c>
      <c r="T3" s="27" t="e">
        <f>E.1项目运营期费用!#REF!</f>
        <v>#REF!</v>
      </c>
      <c r="U3" s="27" t="e">
        <f>E.1项目运营期费用!#REF!</f>
        <v>#REF!</v>
      </c>
      <c r="V3" s="27" t="e">
        <f>E.1项目运营期费用!#REF!</f>
        <v>#REF!</v>
      </c>
      <c r="W3" s="27" t="e">
        <f>E.1项目运营期费用!#REF!</f>
        <v>#REF!</v>
      </c>
      <c r="X3" s="27" t="e">
        <f>E.1项目运营期费用!#REF!</f>
        <v>#REF!</v>
      </c>
      <c r="Y3" s="27" t="e">
        <f>E.1项目运营期费用!#REF!</f>
        <v>#REF!</v>
      </c>
      <c r="Z3" s="27" t="e">
        <f>E.1项目运营期费用!#REF!</f>
        <v>#REF!</v>
      </c>
      <c r="AA3" s="27" t="e">
        <f>E.1项目运营期费用!#REF!</f>
        <v>#REF!</v>
      </c>
      <c r="AB3" s="27" t="e">
        <f>E.1项目运营期费用!#REF!</f>
        <v>#REF!</v>
      </c>
      <c r="AC3" s="27" t="e">
        <f>E.1项目运营期费用!#REF!</f>
        <v>#REF!</v>
      </c>
      <c r="AD3" s="27" t="e">
        <f>E.1项目运营期费用!#REF!</f>
        <v>#REF!</v>
      </c>
      <c r="AE3" s="7" t="s">
        <v>105</v>
      </c>
    </row>
    <row r="4" customHeight="1" spans="1:31">
      <c r="A4" s="10" t="str">
        <f>E.1项目运营期费用!A4</f>
        <v>场地维护成本</v>
      </c>
      <c r="B4" s="10">
        <f>E.1项目运营期费用!B4</f>
        <v>1</v>
      </c>
      <c r="C4" s="25" t="str">
        <f>E.1项目运营期费用!C4</f>
        <v>场地租金</v>
      </c>
      <c r="D4" s="25" t="str">
        <f>E.1项目运营期费用!D4</f>
        <v>按面积×租金单价</v>
      </c>
      <c r="E4" s="7">
        <f>E.1项目运营期费用!E4</f>
        <v>1</v>
      </c>
      <c r="F4" s="7">
        <f>E.1项目运营期费用!F4</f>
        <v>2</v>
      </c>
      <c r="G4" s="7">
        <f>E.1项目运营期费用!G4</f>
        <v>2</v>
      </c>
      <c r="H4" s="7">
        <f>E.1项目运营期费用!H4</f>
        <v>0</v>
      </c>
      <c r="I4" s="7">
        <f>E.1项目运营期费用!I4</f>
        <v>1.4</v>
      </c>
      <c r="J4" s="7">
        <f>E.1项目运营期费用!J4</f>
        <v>1.4</v>
      </c>
      <c r="K4" s="7">
        <f>E.1项目运营期费用!K4</f>
        <v>1.6</v>
      </c>
      <c r="L4" s="7">
        <f>E.1项目运营期费用!L4</f>
        <v>1.8</v>
      </c>
      <c r="M4" s="7">
        <f>E.1项目运营期费用!M4</f>
        <v>2</v>
      </c>
      <c r="N4" s="7" t="e">
        <f>E.1项目运营期费用!#REF!</f>
        <v>#REF!</v>
      </c>
      <c r="O4" s="7" t="e">
        <f>E.1项目运营期费用!#REF!</f>
        <v>#REF!</v>
      </c>
      <c r="P4" s="7" t="e">
        <f>E.1项目运营期费用!#REF!</f>
        <v>#REF!</v>
      </c>
      <c r="Q4" s="7" t="e">
        <f>E.1项目运营期费用!#REF!</f>
        <v>#REF!</v>
      </c>
      <c r="R4" s="7" t="e">
        <f>E.1项目运营期费用!#REF!</f>
        <v>#REF!</v>
      </c>
      <c r="S4" s="7" t="e">
        <f>E.1项目运营期费用!#REF!</f>
        <v>#REF!</v>
      </c>
      <c r="T4" s="7" t="e">
        <f>E.1项目运营期费用!#REF!</f>
        <v>#REF!</v>
      </c>
      <c r="U4" s="7" t="e">
        <f>E.1项目运营期费用!#REF!</f>
        <v>#REF!</v>
      </c>
      <c r="V4" s="7" t="e">
        <f>E.1项目运营期费用!#REF!</f>
        <v>#REF!</v>
      </c>
      <c r="W4" s="7" t="e">
        <f>E.1项目运营期费用!#REF!</f>
        <v>#REF!</v>
      </c>
      <c r="X4" s="7" t="e">
        <f>E.1项目运营期费用!#REF!</f>
        <v>#REF!</v>
      </c>
      <c r="Y4" s="7" t="e">
        <f>E.1项目运营期费用!#REF!</f>
        <v>#REF!</v>
      </c>
      <c r="Z4" s="7" t="e">
        <f>E.1项目运营期费用!#REF!</f>
        <v>#REF!</v>
      </c>
      <c r="AA4" s="7" t="e">
        <f>E.1项目运营期费用!#REF!</f>
        <v>#REF!</v>
      </c>
      <c r="AB4" s="7" t="e">
        <f>E.1项目运营期费用!#REF!</f>
        <v>#REF!</v>
      </c>
      <c r="AC4" s="7" t="e">
        <f>E.1项目运营期费用!#REF!</f>
        <v>#REF!</v>
      </c>
      <c r="AD4" s="7" t="e">
        <f>E.1项目运营期费用!#REF!</f>
        <v>#REF!</v>
      </c>
      <c r="AE4" s="7">
        <f>E.1项目运营期费用!N4</f>
        <v>8.2</v>
      </c>
    </row>
    <row r="5" customHeight="1" spans="1:31">
      <c r="A5" s="10"/>
      <c r="B5" s="10">
        <f>E.1项目运营期费用!B5</f>
        <v>2</v>
      </c>
      <c r="C5" s="25" t="str">
        <f>E.1项目运营期费用!C5</f>
        <v>场地日常维护（停机坪/起降场/交通枢纽/飞行营地/指挥中心等）</v>
      </c>
      <c r="D5" s="25" t="str">
        <f>E.1项目运营期费用!D5</f>
        <v>按面积 × 单位维护单价（元 / ㎡・年）</v>
      </c>
      <c r="E5" s="7">
        <f>E.1项目运营期费用!E5</f>
        <v>2</v>
      </c>
      <c r="F5" s="7">
        <f>E.1项目运营期费用!F5</f>
        <v>2</v>
      </c>
      <c r="G5" s="7">
        <f>E.1项目运营期费用!G5</f>
        <v>2</v>
      </c>
      <c r="H5" s="7">
        <f>E.1项目运营期费用!H5</f>
        <v>0</v>
      </c>
      <c r="I5" s="7">
        <f>E.1项目运营期费用!I5</f>
        <v>2.8</v>
      </c>
      <c r="J5" s="7">
        <f>E.1项目运营期费用!J5</f>
        <v>2.8</v>
      </c>
      <c r="K5" s="7">
        <f>E.1项目运营期费用!K5</f>
        <v>3.2</v>
      </c>
      <c r="L5" s="7">
        <f>E.1项目运营期费用!L5</f>
        <v>3.6</v>
      </c>
      <c r="M5" s="7">
        <f>E.1项目运营期费用!M5</f>
        <v>4</v>
      </c>
      <c r="N5" s="7" t="e">
        <f>E.1项目运营期费用!#REF!</f>
        <v>#REF!</v>
      </c>
      <c r="O5" s="7" t="e">
        <f>E.1项目运营期费用!#REF!</f>
        <v>#REF!</v>
      </c>
      <c r="P5" s="7" t="e">
        <f>E.1项目运营期费用!#REF!</f>
        <v>#REF!</v>
      </c>
      <c r="Q5" s="7" t="e">
        <f>E.1项目运营期费用!#REF!</f>
        <v>#REF!</v>
      </c>
      <c r="R5" s="7" t="e">
        <f>E.1项目运营期费用!#REF!</f>
        <v>#REF!</v>
      </c>
      <c r="S5" s="7" t="e">
        <f>E.1项目运营期费用!#REF!</f>
        <v>#REF!</v>
      </c>
      <c r="T5" s="7" t="e">
        <f>E.1项目运营期费用!#REF!</f>
        <v>#REF!</v>
      </c>
      <c r="U5" s="7" t="e">
        <f>E.1项目运营期费用!#REF!</f>
        <v>#REF!</v>
      </c>
      <c r="V5" s="7" t="e">
        <f>E.1项目运营期费用!#REF!</f>
        <v>#REF!</v>
      </c>
      <c r="W5" s="7" t="e">
        <f>E.1项目运营期费用!#REF!</f>
        <v>#REF!</v>
      </c>
      <c r="X5" s="7" t="e">
        <f>E.1项目运营期费用!#REF!</f>
        <v>#REF!</v>
      </c>
      <c r="Y5" s="7" t="e">
        <f>E.1项目运营期费用!#REF!</f>
        <v>#REF!</v>
      </c>
      <c r="Z5" s="7" t="e">
        <f>E.1项目运营期费用!#REF!</f>
        <v>#REF!</v>
      </c>
      <c r="AA5" s="7" t="e">
        <f>E.1项目运营期费用!#REF!</f>
        <v>#REF!</v>
      </c>
      <c r="AB5" s="7" t="e">
        <f>E.1项目运营期费用!#REF!</f>
        <v>#REF!</v>
      </c>
      <c r="AC5" s="7" t="e">
        <f>E.1项目运营期费用!#REF!</f>
        <v>#REF!</v>
      </c>
      <c r="AD5" s="7" t="e">
        <f>E.1项目运营期费用!#REF!</f>
        <v>#REF!</v>
      </c>
      <c r="AE5" s="7">
        <f>E.1项目运营期费用!N5</f>
        <v>16.4</v>
      </c>
    </row>
    <row r="6" customHeight="1" spans="1:31">
      <c r="A6" s="10"/>
      <c r="B6" s="10">
        <f>E.1项目运营期费用!B6</f>
        <v>3</v>
      </c>
      <c r="C6" s="25" t="str">
        <f>E.1项目运营期费用!C6</f>
        <v>消防设施年检</v>
      </c>
      <c r="D6" s="25" t="str">
        <f>E.1项目运营期费用!D6</f>
        <v>按设备数量 × 单台年检费（元 / 台・次）</v>
      </c>
      <c r="E6" s="7">
        <f>E.1项目运营期费用!E6</f>
        <v>3</v>
      </c>
      <c r="F6" s="7">
        <f>E.1项目运营期费用!F6</f>
        <v>2</v>
      </c>
      <c r="G6" s="7">
        <f>E.1项目运营期费用!G6</f>
        <v>2</v>
      </c>
      <c r="H6" s="7">
        <f>E.1项目运营期费用!H6</f>
        <v>0</v>
      </c>
      <c r="I6" s="7">
        <f>E.1项目运营期费用!I6</f>
        <v>4.2</v>
      </c>
      <c r="J6" s="7">
        <f>E.1项目运营期费用!J6</f>
        <v>4.2</v>
      </c>
      <c r="K6" s="7">
        <f>E.1项目运营期费用!K6</f>
        <v>4.8</v>
      </c>
      <c r="L6" s="7">
        <f>E.1项目运营期费用!L6</f>
        <v>5.4</v>
      </c>
      <c r="M6" s="7">
        <f>E.1项目运营期费用!M6</f>
        <v>6</v>
      </c>
      <c r="N6" s="7" t="e">
        <f>E.1项目运营期费用!#REF!</f>
        <v>#REF!</v>
      </c>
      <c r="O6" s="7" t="e">
        <f>E.1项目运营期费用!#REF!</f>
        <v>#REF!</v>
      </c>
      <c r="P6" s="7" t="e">
        <f>E.1项目运营期费用!#REF!</f>
        <v>#REF!</v>
      </c>
      <c r="Q6" s="7" t="e">
        <f>E.1项目运营期费用!#REF!</f>
        <v>#REF!</v>
      </c>
      <c r="R6" s="7" t="e">
        <f>E.1项目运营期费用!#REF!</f>
        <v>#REF!</v>
      </c>
      <c r="S6" s="7" t="e">
        <f>E.1项目运营期费用!#REF!</f>
        <v>#REF!</v>
      </c>
      <c r="T6" s="7" t="e">
        <f>E.1项目运营期费用!#REF!</f>
        <v>#REF!</v>
      </c>
      <c r="U6" s="7" t="e">
        <f>E.1项目运营期费用!#REF!</f>
        <v>#REF!</v>
      </c>
      <c r="V6" s="7" t="e">
        <f>E.1项目运营期费用!#REF!</f>
        <v>#REF!</v>
      </c>
      <c r="W6" s="7" t="e">
        <f>E.1项目运营期费用!#REF!</f>
        <v>#REF!</v>
      </c>
      <c r="X6" s="7" t="e">
        <f>E.1项目运营期费用!#REF!</f>
        <v>#REF!</v>
      </c>
      <c r="Y6" s="7" t="e">
        <f>E.1项目运营期费用!#REF!</f>
        <v>#REF!</v>
      </c>
      <c r="Z6" s="7" t="e">
        <f>E.1项目运营期费用!#REF!</f>
        <v>#REF!</v>
      </c>
      <c r="AA6" s="7" t="e">
        <f>E.1项目运营期费用!#REF!</f>
        <v>#REF!</v>
      </c>
      <c r="AB6" s="7" t="e">
        <f>E.1项目运营期费用!#REF!</f>
        <v>#REF!</v>
      </c>
      <c r="AC6" s="7" t="e">
        <f>E.1项目运营期费用!#REF!</f>
        <v>#REF!</v>
      </c>
      <c r="AD6" s="7" t="e">
        <f>E.1项目运营期费用!#REF!</f>
        <v>#REF!</v>
      </c>
      <c r="AE6" s="7">
        <f>E.1项目运营期费用!N6</f>
        <v>24.6</v>
      </c>
    </row>
    <row r="7" customHeight="1" spans="1:31">
      <c r="A7" s="10"/>
      <c r="B7" s="10">
        <f>E.1项目运营期费用!B7</f>
        <v>4</v>
      </c>
      <c r="C7" s="25" t="str">
        <f>E.1项目运营期费用!C7</f>
        <v>防鸟措施（驱鸟器维护）</v>
      </c>
      <c r="D7" s="25" t="str">
        <f>E.1项目运营期费用!D7</f>
        <v>按套数 × 年费（元 / 套・年）+ 耗材费（如驱鸟剂）</v>
      </c>
      <c r="E7" s="7">
        <f>E.1项目运营期费用!E7</f>
        <v>4</v>
      </c>
      <c r="F7" s="7">
        <f>E.1项目运营期费用!F7</f>
        <v>2</v>
      </c>
      <c r="G7" s="7">
        <f>E.1项目运营期费用!G7</f>
        <v>2</v>
      </c>
      <c r="H7" s="7">
        <f>E.1项目运营期费用!H7</f>
        <v>0</v>
      </c>
      <c r="I7" s="7">
        <f>E.1项目运营期费用!I7</f>
        <v>5.6</v>
      </c>
      <c r="J7" s="7">
        <f>E.1项目运营期费用!J7</f>
        <v>5.6</v>
      </c>
      <c r="K7" s="7">
        <f>E.1项目运营期费用!K7</f>
        <v>6.4</v>
      </c>
      <c r="L7" s="7">
        <f>E.1项目运营期费用!L7</f>
        <v>7.2</v>
      </c>
      <c r="M7" s="7">
        <f>E.1项目运营期费用!M7</f>
        <v>8</v>
      </c>
      <c r="N7" s="7" t="e">
        <f>E.1项目运营期费用!#REF!</f>
        <v>#REF!</v>
      </c>
      <c r="O7" s="7" t="e">
        <f>E.1项目运营期费用!#REF!</f>
        <v>#REF!</v>
      </c>
      <c r="P7" s="7" t="e">
        <f>E.1项目运营期费用!#REF!</f>
        <v>#REF!</v>
      </c>
      <c r="Q7" s="7" t="e">
        <f>E.1项目运营期费用!#REF!</f>
        <v>#REF!</v>
      </c>
      <c r="R7" s="7" t="e">
        <f>E.1项目运营期费用!#REF!</f>
        <v>#REF!</v>
      </c>
      <c r="S7" s="7" t="e">
        <f>E.1项目运营期费用!#REF!</f>
        <v>#REF!</v>
      </c>
      <c r="T7" s="7" t="e">
        <f>E.1项目运营期费用!#REF!</f>
        <v>#REF!</v>
      </c>
      <c r="U7" s="7" t="e">
        <f>E.1项目运营期费用!#REF!</f>
        <v>#REF!</v>
      </c>
      <c r="V7" s="7" t="e">
        <f>E.1项目运营期费用!#REF!</f>
        <v>#REF!</v>
      </c>
      <c r="W7" s="7" t="e">
        <f>E.1项目运营期费用!#REF!</f>
        <v>#REF!</v>
      </c>
      <c r="X7" s="7" t="e">
        <f>E.1项目运营期费用!#REF!</f>
        <v>#REF!</v>
      </c>
      <c r="Y7" s="7" t="e">
        <f>E.1项目运营期费用!#REF!</f>
        <v>#REF!</v>
      </c>
      <c r="Z7" s="7" t="e">
        <f>E.1项目运营期费用!#REF!</f>
        <v>#REF!</v>
      </c>
      <c r="AA7" s="7" t="e">
        <f>E.1项目运营期费用!#REF!</f>
        <v>#REF!</v>
      </c>
      <c r="AB7" s="7" t="e">
        <f>E.1项目运营期费用!#REF!</f>
        <v>#REF!</v>
      </c>
      <c r="AC7" s="7" t="e">
        <f>E.1项目运营期费用!#REF!</f>
        <v>#REF!</v>
      </c>
      <c r="AD7" s="7" t="e">
        <f>E.1项目运营期费用!#REF!</f>
        <v>#REF!</v>
      </c>
      <c r="AE7" s="7">
        <f>E.1项目运营期费用!N7</f>
        <v>32.8</v>
      </c>
    </row>
    <row r="8" customHeight="1" spans="1:31">
      <c r="A8" s="10" t="str">
        <f>E.1项目运营期费用!A8</f>
        <v>燃料动力费</v>
      </c>
      <c r="B8" s="10">
        <f>E.1项目运营期费用!B8</f>
        <v>5</v>
      </c>
      <c r="C8" s="25" t="str">
        <f>E.1项目运营期费用!C8</f>
        <v>飞行器能耗</v>
      </c>
      <c r="D8" s="25" t="str">
        <f>E.1项目运营期费用!D8</f>
        <v>按电耗或油耗计算</v>
      </c>
      <c r="E8" s="7">
        <f>E.1项目运营期费用!E8</f>
        <v>5</v>
      </c>
      <c r="F8" s="7">
        <f>E.1项目运营期费用!F8</f>
        <v>2</v>
      </c>
      <c r="G8" s="7">
        <f>E.1项目运营期费用!G8</f>
        <v>2</v>
      </c>
      <c r="H8" s="7">
        <f>E.1项目运营期费用!H8</f>
        <v>0</v>
      </c>
      <c r="I8" s="7">
        <f>E.1项目运营期费用!I8</f>
        <v>7</v>
      </c>
      <c r="J8" s="7">
        <f>E.1项目运营期费用!J8</f>
        <v>7</v>
      </c>
      <c r="K8" s="7">
        <f>E.1项目运营期费用!K8</f>
        <v>8</v>
      </c>
      <c r="L8" s="7">
        <f>E.1项目运营期费用!L8</f>
        <v>9</v>
      </c>
      <c r="M8" s="7">
        <f>E.1项目运营期费用!M8</f>
        <v>10</v>
      </c>
      <c r="N8" s="7" t="e">
        <f>E.1项目运营期费用!#REF!</f>
        <v>#REF!</v>
      </c>
      <c r="O8" s="7" t="e">
        <f>E.1项目运营期费用!#REF!</f>
        <v>#REF!</v>
      </c>
      <c r="P8" s="7" t="e">
        <f>E.1项目运营期费用!#REF!</f>
        <v>#REF!</v>
      </c>
      <c r="Q8" s="7" t="e">
        <f>E.1项目运营期费用!#REF!</f>
        <v>#REF!</v>
      </c>
      <c r="R8" s="7" t="e">
        <f>E.1项目运营期费用!#REF!</f>
        <v>#REF!</v>
      </c>
      <c r="S8" s="7" t="e">
        <f>E.1项目运营期费用!#REF!</f>
        <v>#REF!</v>
      </c>
      <c r="T8" s="7" t="e">
        <f>E.1项目运营期费用!#REF!</f>
        <v>#REF!</v>
      </c>
      <c r="U8" s="7" t="e">
        <f>E.1项目运营期费用!#REF!</f>
        <v>#REF!</v>
      </c>
      <c r="V8" s="7" t="e">
        <f>E.1项目运营期费用!#REF!</f>
        <v>#REF!</v>
      </c>
      <c r="W8" s="7" t="e">
        <f>E.1项目运营期费用!#REF!</f>
        <v>#REF!</v>
      </c>
      <c r="X8" s="7" t="e">
        <f>E.1项目运营期费用!#REF!</f>
        <v>#REF!</v>
      </c>
      <c r="Y8" s="7" t="e">
        <f>E.1项目运营期费用!#REF!</f>
        <v>#REF!</v>
      </c>
      <c r="Z8" s="7" t="e">
        <f>E.1项目运营期费用!#REF!</f>
        <v>#REF!</v>
      </c>
      <c r="AA8" s="7" t="e">
        <f>E.1项目运营期费用!#REF!</f>
        <v>#REF!</v>
      </c>
      <c r="AB8" s="7" t="e">
        <f>E.1项目运营期费用!#REF!</f>
        <v>#REF!</v>
      </c>
      <c r="AC8" s="7" t="e">
        <f>E.1项目运营期费用!#REF!</f>
        <v>#REF!</v>
      </c>
      <c r="AD8" s="7" t="e">
        <f>E.1项目运营期费用!#REF!</f>
        <v>#REF!</v>
      </c>
      <c r="AE8" s="7">
        <f>E.1项目运营期费用!N8</f>
        <v>41</v>
      </c>
    </row>
    <row r="9" customHeight="1" spans="1:31">
      <c r="A9" s="10"/>
      <c r="B9" s="10">
        <f>E.1项目运营期费用!B9</f>
        <v>6</v>
      </c>
      <c r="C9" s="25" t="str">
        <f>E.1项目运营期费用!C9</f>
        <v>核心设备电力能耗</v>
      </c>
      <c r="D9" s="25" t="str">
        <f>E.1项目运营期费用!D9</f>
        <v>按实际用电量 × 电价（元 / 千瓦 时）</v>
      </c>
      <c r="E9" s="7">
        <f>E.1项目运营期费用!E9</f>
        <v>6</v>
      </c>
      <c r="F9" s="7">
        <f>E.1项目运营期费用!F9</f>
        <v>2</v>
      </c>
      <c r="G9" s="7">
        <f>E.1项目运营期费用!G9</f>
        <v>2</v>
      </c>
      <c r="H9" s="7">
        <f>E.1项目运营期费用!H9</f>
        <v>0</v>
      </c>
      <c r="I9" s="7">
        <f>E.1项目运营期费用!I9</f>
        <v>8.4</v>
      </c>
      <c r="J9" s="7">
        <f>E.1项目运营期费用!J9</f>
        <v>8.4</v>
      </c>
      <c r="K9" s="7">
        <f>E.1项目运营期费用!K9</f>
        <v>9.6</v>
      </c>
      <c r="L9" s="7">
        <f>E.1项目运营期费用!L9</f>
        <v>10.8</v>
      </c>
      <c r="M9" s="7">
        <f>E.1项目运营期费用!M9</f>
        <v>12</v>
      </c>
      <c r="N9" s="7" t="e">
        <f>E.1项目运营期费用!#REF!</f>
        <v>#REF!</v>
      </c>
      <c r="O9" s="7" t="e">
        <f>E.1项目运营期费用!#REF!</f>
        <v>#REF!</v>
      </c>
      <c r="P9" s="7" t="e">
        <f>E.1项目运营期费用!#REF!</f>
        <v>#REF!</v>
      </c>
      <c r="Q9" s="7" t="e">
        <f>E.1项目运营期费用!#REF!</f>
        <v>#REF!</v>
      </c>
      <c r="R9" s="7" t="e">
        <f>E.1项目运营期费用!#REF!</f>
        <v>#REF!</v>
      </c>
      <c r="S9" s="7" t="e">
        <f>E.1项目运营期费用!#REF!</f>
        <v>#REF!</v>
      </c>
      <c r="T9" s="7" t="e">
        <f>E.1项目运营期费用!#REF!</f>
        <v>#REF!</v>
      </c>
      <c r="U9" s="7" t="e">
        <f>E.1项目运营期费用!#REF!</f>
        <v>#REF!</v>
      </c>
      <c r="V9" s="7" t="e">
        <f>E.1项目运营期费用!#REF!</f>
        <v>#REF!</v>
      </c>
      <c r="W9" s="7" t="e">
        <f>E.1项目运营期费用!#REF!</f>
        <v>#REF!</v>
      </c>
      <c r="X9" s="7" t="e">
        <f>E.1项目运营期费用!#REF!</f>
        <v>#REF!</v>
      </c>
      <c r="Y9" s="7" t="e">
        <f>E.1项目运营期费用!#REF!</f>
        <v>#REF!</v>
      </c>
      <c r="Z9" s="7" t="e">
        <f>E.1项目运营期费用!#REF!</f>
        <v>#REF!</v>
      </c>
      <c r="AA9" s="7" t="e">
        <f>E.1项目运营期费用!#REF!</f>
        <v>#REF!</v>
      </c>
      <c r="AB9" s="7" t="e">
        <f>E.1项目运营期费用!#REF!</f>
        <v>#REF!</v>
      </c>
      <c r="AC9" s="7" t="e">
        <f>E.1项目运营期费用!#REF!</f>
        <v>#REF!</v>
      </c>
      <c r="AD9" s="7" t="e">
        <f>E.1项目运营期费用!#REF!</f>
        <v>#REF!</v>
      </c>
      <c r="AE9" s="7">
        <f>E.1项目运营期费用!N9</f>
        <v>49.2</v>
      </c>
    </row>
    <row r="10" customHeight="1" spans="1:31">
      <c r="A10" s="10"/>
      <c r="B10" s="10">
        <f>E.1项目运营期费用!B10</f>
        <v>7</v>
      </c>
      <c r="C10" s="25" t="str">
        <f>E.1项目运营期费用!C10</f>
        <v>水电能耗</v>
      </c>
      <c r="D10" s="25" t="str">
        <f>E.1项目运营期费用!D10</f>
        <v>按面积估算</v>
      </c>
      <c r="E10" s="7">
        <f>E.1项目运营期费用!E10</f>
        <v>7</v>
      </c>
      <c r="F10" s="7">
        <f>E.1项目运营期费用!F10</f>
        <v>2</v>
      </c>
      <c r="G10" s="7">
        <f>E.1项目运营期费用!G10</f>
        <v>2</v>
      </c>
      <c r="H10" s="7">
        <f>E.1项目运营期费用!H10</f>
        <v>0</v>
      </c>
      <c r="I10" s="7">
        <f>E.1项目运营期费用!I10</f>
        <v>9.8</v>
      </c>
      <c r="J10" s="7">
        <f>E.1项目运营期费用!J10</f>
        <v>9.8</v>
      </c>
      <c r="K10" s="7">
        <f>E.1项目运营期费用!K10</f>
        <v>11.2</v>
      </c>
      <c r="L10" s="7">
        <f>E.1项目运营期费用!L10</f>
        <v>12.6</v>
      </c>
      <c r="M10" s="7">
        <f>E.1项目运营期费用!M10</f>
        <v>14</v>
      </c>
      <c r="N10" s="7" t="e">
        <f>E.1项目运营期费用!#REF!</f>
        <v>#REF!</v>
      </c>
      <c r="O10" s="7" t="e">
        <f>E.1项目运营期费用!#REF!</f>
        <v>#REF!</v>
      </c>
      <c r="P10" s="7" t="e">
        <f>E.1项目运营期费用!#REF!</f>
        <v>#REF!</v>
      </c>
      <c r="Q10" s="7" t="e">
        <f>E.1项目运营期费用!#REF!</f>
        <v>#REF!</v>
      </c>
      <c r="R10" s="7" t="e">
        <f>E.1项目运营期费用!#REF!</f>
        <v>#REF!</v>
      </c>
      <c r="S10" s="7" t="e">
        <f>E.1项目运营期费用!#REF!</f>
        <v>#REF!</v>
      </c>
      <c r="T10" s="7" t="e">
        <f>E.1项目运营期费用!#REF!</f>
        <v>#REF!</v>
      </c>
      <c r="U10" s="7" t="e">
        <f>E.1项目运营期费用!#REF!</f>
        <v>#REF!</v>
      </c>
      <c r="V10" s="7" t="e">
        <f>E.1项目运营期费用!#REF!</f>
        <v>#REF!</v>
      </c>
      <c r="W10" s="7" t="e">
        <f>E.1项目运营期费用!#REF!</f>
        <v>#REF!</v>
      </c>
      <c r="X10" s="7" t="e">
        <f>E.1项目运营期费用!#REF!</f>
        <v>#REF!</v>
      </c>
      <c r="Y10" s="7" t="e">
        <f>E.1项目运营期费用!#REF!</f>
        <v>#REF!</v>
      </c>
      <c r="Z10" s="7" t="e">
        <f>E.1项目运营期费用!#REF!</f>
        <v>#REF!</v>
      </c>
      <c r="AA10" s="7" t="e">
        <f>E.1项目运营期费用!#REF!</f>
        <v>#REF!</v>
      </c>
      <c r="AB10" s="7" t="e">
        <f>E.1项目运营期费用!#REF!</f>
        <v>#REF!</v>
      </c>
      <c r="AC10" s="7" t="e">
        <f>E.1项目运营期费用!#REF!</f>
        <v>#REF!</v>
      </c>
      <c r="AD10" s="7" t="e">
        <f>E.1项目运营期费用!#REF!</f>
        <v>#REF!</v>
      </c>
      <c r="AE10" s="7">
        <f>E.1项目运营期费用!N10</f>
        <v>57.4</v>
      </c>
    </row>
    <row r="11" customHeight="1" spans="1:31">
      <c r="A11" s="10" t="str">
        <f>E.1项目运营期费用!A11</f>
        <v>网络费</v>
      </c>
      <c r="B11" s="10">
        <f>E.1项目运营期费用!B11</f>
        <v>8</v>
      </c>
      <c r="C11" s="25" t="str">
        <f>E.1项目运营期费用!C11</f>
        <v>网络通信费用</v>
      </c>
      <c r="D11" s="25" t="str">
        <f>E.1项目运营期费用!D11</f>
        <v>按年计算租金</v>
      </c>
      <c r="E11" s="7">
        <f>E.1项目运营期费用!E11</f>
        <v>8</v>
      </c>
      <c r="F11" s="7">
        <f>E.1项目运营期费用!F11</f>
        <v>2</v>
      </c>
      <c r="G11" s="7">
        <f>E.1项目运营期费用!G11</f>
        <v>2</v>
      </c>
      <c r="H11" s="7">
        <f>E.1项目运营期费用!H11</f>
        <v>0</v>
      </c>
      <c r="I11" s="7">
        <f>E.1项目运营期费用!I11</f>
        <v>11.2</v>
      </c>
      <c r="J11" s="7">
        <f>E.1项目运营期费用!J11</f>
        <v>11.2</v>
      </c>
      <c r="K11" s="7">
        <f>E.1项目运营期费用!K11</f>
        <v>12.8</v>
      </c>
      <c r="L11" s="7">
        <f>E.1项目运营期费用!L11</f>
        <v>14.4</v>
      </c>
      <c r="M11" s="7">
        <f>E.1项目运营期费用!M11</f>
        <v>16</v>
      </c>
      <c r="N11" s="7" t="e">
        <f>E.1项目运营期费用!#REF!</f>
        <v>#REF!</v>
      </c>
      <c r="O11" s="7" t="e">
        <f>E.1项目运营期费用!#REF!</f>
        <v>#REF!</v>
      </c>
      <c r="P11" s="7" t="e">
        <f>E.1项目运营期费用!#REF!</f>
        <v>#REF!</v>
      </c>
      <c r="Q11" s="7" t="e">
        <f>E.1项目运营期费用!#REF!</f>
        <v>#REF!</v>
      </c>
      <c r="R11" s="7" t="e">
        <f>E.1项目运营期费用!#REF!</f>
        <v>#REF!</v>
      </c>
      <c r="S11" s="7" t="e">
        <f>E.1项目运营期费用!#REF!</f>
        <v>#REF!</v>
      </c>
      <c r="T11" s="7" t="e">
        <f>E.1项目运营期费用!#REF!</f>
        <v>#REF!</v>
      </c>
      <c r="U11" s="7" t="e">
        <f>E.1项目运营期费用!#REF!</f>
        <v>#REF!</v>
      </c>
      <c r="V11" s="7" t="e">
        <f>E.1项目运营期费用!#REF!</f>
        <v>#REF!</v>
      </c>
      <c r="W11" s="7" t="e">
        <f>E.1项目运营期费用!#REF!</f>
        <v>#REF!</v>
      </c>
      <c r="X11" s="7" t="e">
        <f>E.1项目运营期费用!#REF!</f>
        <v>#REF!</v>
      </c>
      <c r="Y11" s="7" t="e">
        <f>E.1项目运营期费用!#REF!</f>
        <v>#REF!</v>
      </c>
      <c r="Z11" s="7" t="e">
        <f>E.1项目运营期费用!#REF!</f>
        <v>#REF!</v>
      </c>
      <c r="AA11" s="7" t="e">
        <f>E.1项目运营期费用!#REF!</f>
        <v>#REF!</v>
      </c>
      <c r="AB11" s="7" t="e">
        <f>E.1项目运营期费用!#REF!</f>
        <v>#REF!</v>
      </c>
      <c r="AC11" s="7" t="e">
        <f>E.1项目运营期费用!#REF!</f>
        <v>#REF!</v>
      </c>
      <c r="AD11" s="7" t="e">
        <f>E.1项目运营期费用!#REF!</f>
        <v>#REF!</v>
      </c>
      <c r="AE11" s="7">
        <f>E.1项目运营期费用!N11</f>
        <v>65.6</v>
      </c>
    </row>
    <row r="12" customHeight="1" spans="1:31">
      <c r="A12" s="10" t="str">
        <f>E.1项目运营期费用!A12</f>
        <v>硬件维护成本</v>
      </c>
      <c r="B12" s="10">
        <f>E.1项目运营期费用!B12</f>
        <v>9</v>
      </c>
      <c r="C12" s="25" t="str">
        <f>E.1项目运营期费用!C12</f>
        <v>硬件设备维护</v>
      </c>
      <c r="D12" s="25" t="str">
        <f>E.1项目运营期费用!D12</f>
        <v>按照固定资产15%计算</v>
      </c>
      <c r="E12" s="7">
        <f>E.1项目运营期费用!E12</f>
        <v>9</v>
      </c>
      <c r="F12" s="7">
        <f>E.1项目运营期费用!F12</f>
        <v>2</v>
      </c>
      <c r="G12" s="7">
        <f>E.1项目运营期费用!G12</f>
        <v>2</v>
      </c>
      <c r="H12" s="7">
        <f>E.1项目运营期费用!H12</f>
        <v>0</v>
      </c>
      <c r="I12" s="7">
        <f>E.1项目运营期费用!I12</f>
        <v>12.6</v>
      </c>
      <c r="J12" s="7">
        <f>E.1项目运营期费用!J12</f>
        <v>12.6</v>
      </c>
      <c r="K12" s="7">
        <f>E.1项目运营期费用!K12</f>
        <v>14.4</v>
      </c>
      <c r="L12" s="7">
        <f>E.1项目运营期费用!L12</f>
        <v>16.2</v>
      </c>
      <c r="M12" s="7">
        <f>E.1项目运营期费用!M12</f>
        <v>18</v>
      </c>
      <c r="N12" s="7" t="e">
        <f>E.1项目运营期费用!#REF!</f>
        <v>#REF!</v>
      </c>
      <c r="O12" s="7" t="e">
        <f>E.1项目运营期费用!#REF!</f>
        <v>#REF!</v>
      </c>
      <c r="P12" s="7" t="e">
        <f>E.1项目运营期费用!#REF!</f>
        <v>#REF!</v>
      </c>
      <c r="Q12" s="7" t="e">
        <f>E.1项目运营期费用!#REF!</f>
        <v>#REF!</v>
      </c>
      <c r="R12" s="7" t="e">
        <f>E.1项目运营期费用!#REF!</f>
        <v>#REF!</v>
      </c>
      <c r="S12" s="7" t="e">
        <f>E.1项目运营期费用!#REF!</f>
        <v>#REF!</v>
      </c>
      <c r="T12" s="7" t="e">
        <f>E.1项目运营期费用!#REF!</f>
        <v>#REF!</v>
      </c>
      <c r="U12" s="7" t="e">
        <f>E.1项目运营期费用!#REF!</f>
        <v>#REF!</v>
      </c>
      <c r="V12" s="7" t="e">
        <f>E.1项目运营期费用!#REF!</f>
        <v>#REF!</v>
      </c>
      <c r="W12" s="7" t="e">
        <f>E.1项目运营期费用!#REF!</f>
        <v>#REF!</v>
      </c>
      <c r="X12" s="7" t="e">
        <f>E.1项目运营期费用!#REF!</f>
        <v>#REF!</v>
      </c>
      <c r="Y12" s="7" t="e">
        <f>E.1项目运营期费用!#REF!</f>
        <v>#REF!</v>
      </c>
      <c r="Z12" s="7" t="e">
        <f>E.1项目运营期费用!#REF!</f>
        <v>#REF!</v>
      </c>
      <c r="AA12" s="7" t="e">
        <f>E.1项目运营期费用!#REF!</f>
        <v>#REF!</v>
      </c>
      <c r="AB12" s="7" t="e">
        <f>E.1项目运营期费用!#REF!</f>
        <v>#REF!</v>
      </c>
      <c r="AC12" s="7" t="e">
        <f>E.1项目运营期费用!#REF!</f>
        <v>#REF!</v>
      </c>
      <c r="AD12" s="7" t="e">
        <f>E.1项目运营期费用!#REF!</f>
        <v>#REF!</v>
      </c>
      <c r="AE12" s="7">
        <f>E.1项目运营期费用!N12</f>
        <v>73.8</v>
      </c>
    </row>
    <row r="13" customHeight="1" spans="1:31">
      <c r="A13" s="10"/>
      <c r="B13" s="10">
        <f>E.1项目运营期费用!B13</f>
        <v>10</v>
      </c>
      <c r="C13" s="25" t="str">
        <f>E.1项目运营期费用!C13</f>
        <v>备品备件储备</v>
      </c>
      <c r="D13" s="25" t="str">
        <f>E.1项目运营期费用!D13</f>
        <v>按年度设备维护预算 × 储备比例 （10%-20%）</v>
      </c>
      <c r="E13" s="7">
        <f>E.1项目运营期费用!E13</f>
        <v>1</v>
      </c>
      <c r="F13" s="7">
        <f>E.1项目运营期费用!F13</f>
        <v>2</v>
      </c>
      <c r="G13" s="7">
        <f>E.1项目运营期费用!G13</f>
        <v>2</v>
      </c>
      <c r="H13" s="7">
        <f>E.1项目运营期费用!H13</f>
        <v>0</v>
      </c>
      <c r="I13" s="7">
        <f>E.1项目运营期费用!I13</f>
        <v>1.4</v>
      </c>
      <c r="J13" s="7">
        <f>E.1项目运营期费用!J13</f>
        <v>1.4</v>
      </c>
      <c r="K13" s="7">
        <f>E.1项目运营期费用!K13</f>
        <v>1.6</v>
      </c>
      <c r="L13" s="7">
        <f>E.1项目运营期费用!L13</f>
        <v>1.8</v>
      </c>
      <c r="M13" s="7">
        <f>E.1项目运营期费用!M13</f>
        <v>2</v>
      </c>
      <c r="N13" s="7" t="e">
        <f>E.1项目运营期费用!#REF!</f>
        <v>#REF!</v>
      </c>
      <c r="O13" s="7" t="e">
        <f>E.1项目运营期费用!#REF!</f>
        <v>#REF!</v>
      </c>
      <c r="P13" s="7" t="e">
        <f>E.1项目运营期费用!#REF!</f>
        <v>#REF!</v>
      </c>
      <c r="Q13" s="7" t="e">
        <f>E.1项目运营期费用!#REF!</f>
        <v>#REF!</v>
      </c>
      <c r="R13" s="7" t="e">
        <f>E.1项目运营期费用!#REF!</f>
        <v>#REF!</v>
      </c>
      <c r="S13" s="7" t="e">
        <f>E.1项目运营期费用!#REF!</f>
        <v>#REF!</v>
      </c>
      <c r="T13" s="7" t="e">
        <f>E.1项目运营期费用!#REF!</f>
        <v>#REF!</v>
      </c>
      <c r="U13" s="7" t="e">
        <f>E.1项目运营期费用!#REF!</f>
        <v>#REF!</v>
      </c>
      <c r="V13" s="7" t="e">
        <f>E.1项目运营期费用!#REF!</f>
        <v>#REF!</v>
      </c>
      <c r="W13" s="7" t="e">
        <f>E.1项目运营期费用!#REF!</f>
        <v>#REF!</v>
      </c>
      <c r="X13" s="7" t="e">
        <f>E.1项目运营期费用!#REF!</f>
        <v>#REF!</v>
      </c>
      <c r="Y13" s="7" t="e">
        <f>E.1项目运营期费用!#REF!</f>
        <v>#REF!</v>
      </c>
      <c r="Z13" s="7" t="e">
        <f>E.1项目运营期费用!#REF!</f>
        <v>#REF!</v>
      </c>
      <c r="AA13" s="7" t="e">
        <f>E.1项目运营期费用!#REF!</f>
        <v>#REF!</v>
      </c>
      <c r="AB13" s="7" t="e">
        <f>E.1项目运营期费用!#REF!</f>
        <v>#REF!</v>
      </c>
      <c r="AC13" s="7" t="e">
        <f>E.1项目运营期费用!#REF!</f>
        <v>#REF!</v>
      </c>
      <c r="AD13" s="7" t="e">
        <f>E.1项目运营期费用!#REF!</f>
        <v>#REF!</v>
      </c>
      <c r="AE13" s="7">
        <f>E.1项目运营期费用!N13</f>
        <v>8.2</v>
      </c>
    </row>
    <row r="14" customHeight="1" spans="1:31">
      <c r="A14" s="10" t="str">
        <f>E.1项目运营期费用!A14</f>
        <v>软件维护费</v>
      </c>
      <c r="B14" s="10">
        <f>E.1项目运营期费用!B14</f>
        <v>11</v>
      </c>
      <c r="C14" s="25" t="str">
        <f>E.1项目运营期费用!C14</f>
        <v>软件维护</v>
      </c>
      <c r="D14" s="25" t="str">
        <f>E.1项目运营期费用!D14</f>
        <v>按无形资产造价的20%计算</v>
      </c>
      <c r="E14" s="7">
        <f>E.1项目运营期费用!E14</f>
        <v>2</v>
      </c>
      <c r="F14" s="7">
        <f>E.1项目运营期费用!F14</f>
        <v>2</v>
      </c>
      <c r="G14" s="7">
        <f>E.1项目运营期费用!G14</f>
        <v>2</v>
      </c>
      <c r="H14" s="7">
        <f>E.1项目运营期费用!H14</f>
        <v>0</v>
      </c>
      <c r="I14" s="7">
        <f>E.1项目运营期费用!I14</f>
        <v>2.8</v>
      </c>
      <c r="J14" s="7">
        <f>E.1项目运营期费用!J14</f>
        <v>2.8</v>
      </c>
      <c r="K14" s="7">
        <f>E.1项目运营期费用!K14</f>
        <v>3.2</v>
      </c>
      <c r="L14" s="7">
        <f>E.1项目运营期费用!L14</f>
        <v>3.6</v>
      </c>
      <c r="M14" s="7">
        <f>E.1项目运营期费用!M14</f>
        <v>4</v>
      </c>
      <c r="N14" s="7" t="e">
        <f>E.1项目运营期费用!#REF!</f>
        <v>#REF!</v>
      </c>
      <c r="O14" s="7" t="e">
        <f>E.1项目运营期费用!#REF!</f>
        <v>#REF!</v>
      </c>
      <c r="P14" s="7" t="e">
        <f>E.1项目运营期费用!#REF!</f>
        <v>#REF!</v>
      </c>
      <c r="Q14" s="7" t="e">
        <f>E.1项目运营期费用!#REF!</f>
        <v>#REF!</v>
      </c>
      <c r="R14" s="7" t="e">
        <f>E.1项目运营期费用!#REF!</f>
        <v>#REF!</v>
      </c>
      <c r="S14" s="7" t="e">
        <f>E.1项目运营期费用!#REF!</f>
        <v>#REF!</v>
      </c>
      <c r="T14" s="7" t="e">
        <f>E.1项目运营期费用!#REF!</f>
        <v>#REF!</v>
      </c>
      <c r="U14" s="7" t="e">
        <f>E.1项目运营期费用!#REF!</f>
        <v>#REF!</v>
      </c>
      <c r="V14" s="7" t="e">
        <f>E.1项目运营期费用!#REF!</f>
        <v>#REF!</v>
      </c>
      <c r="W14" s="7" t="e">
        <f>E.1项目运营期费用!#REF!</f>
        <v>#REF!</v>
      </c>
      <c r="X14" s="7" t="e">
        <f>E.1项目运营期费用!#REF!</f>
        <v>#REF!</v>
      </c>
      <c r="Y14" s="7" t="e">
        <f>E.1项目运营期费用!#REF!</f>
        <v>#REF!</v>
      </c>
      <c r="Z14" s="7" t="e">
        <f>E.1项目运营期费用!#REF!</f>
        <v>#REF!</v>
      </c>
      <c r="AA14" s="7" t="e">
        <f>E.1项目运营期费用!#REF!</f>
        <v>#REF!</v>
      </c>
      <c r="AB14" s="7" t="e">
        <f>E.1项目运营期费用!#REF!</f>
        <v>#REF!</v>
      </c>
      <c r="AC14" s="7" t="e">
        <f>E.1项目运营期费用!#REF!</f>
        <v>#REF!</v>
      </c>
      <c r="AD14" s="7" t="e">
        <f>E.1项目运营期费用!#REF!</f>
        <v>#REF!</v>
      </c>
      <c r="AE14" s="7">
        <f>E.1项目运营期费用!N14</f>
        <v>16.4</v>
      </c>
    </row>
    <row r="15" customHeight="1" spans="1:31">
      <c r="A15" s="10" t="str">
        <f>E.1项目运营期费用!A15</f>
        <v>营销费用</v>
      </c>
      <c r="B15" s="10">
        <f>E.1项目运营期费用!B15</f>
        <v>12</v>
      </c>
      <c r="C15" s="25" t="str">
        <f>E.1项目运营期费用!C15</f>
        <v>营销及活动</v>
      </c>
      <c r="D15" s="25" t="str">
        <f>E.1项目运营期费用!D15</f>
        <v>按年平均营业收入的2%计算</v>
      </c>
      <c r="E15" s="7">
        <f>E.1项目运营期费用!E15</f>
        <v>2</v>
      </c>
      <c r="F15" s="7">
        <f>E.1项目运营期费用!F15</f>
        <v>2</v>
      </c>
      <c r="G15" s="7">
        <f>E.1项目运营期费用!G15</f>
        <v>2</v>
      </c>
      <c r="H15" s="7">
        <f>E.1项目运营期费用!H15</f>
        <v>0</v>
      </c>
      <c r="I15" s="7">
        <f>E.1项目运营期费用!I15</f>
        <v>2.8</v>
      </c>
      <c r="J15" s="7">
        <f>E.1项目运营期费用!J15</f>
        <v>2.8</v>
      </c>
      <c r="K15" s="7">
        <f>E.1项目运营期费用!K15</f>
        <v>3.2</v>
      </c>
      <c r="L15" s="7">
        <f>E.1项目运营期费用!L15</f>
        <v>3.6</v>
      </c>
      <c r="M15" s="7">
        <f>E.1项目运营期费用!M15</f>
        <v>4</v>
      </c>
      <c r="N15" s="7" t="e">
        <f>E.1项目运营期费用!#REF!</f>
        <v>#REF!</v>
      </c>
      <c r="O15" s="7" t="e">
        <f>E.1项目运营期费用!#REF!</f>
        <v>#REF!</v>
      </c>
      <c r="P15" s="7" t="e">
        <f>E.1项目运营期费用!#REF!</f>
        <v>#REF!</v>
      </c>
      <c r="Q15" s="7" t="e">
        <f>E.1项目运营期费用!#REF!</f>
        <v>#REF!</v>
      </c>
      <c r="R15" s="7" t="e">
        <f>E.1项目运营期费用!#REF!</f>
        <v>#REF!</v>
      </c>
      <c r="S15" s="7" t="e">
        <f>E.1项目运营期费用!#REF!</f>
        <v>#REF!</v>
      </c>
      <c r="T15" s="7" t="e">
        <f>E.1项目运营期费用!#REF!</f>
        <v>#REF!</v>
      </c>
      <c r="U15" s="7" t="e">
        <f>E.1项目运营期费用!#REF!</f>
        <v>#REF!</v>
      </c>
      <c r="V15" s="7" t="e">
        <f>E.1项目运营期费用!#REF!</f>
        <v>#REF!</v>
      </c>
      <c r="W15" s="7" t="e">
        <f>E.1项目运营期费用!#REF!</f>
        <v>#REF!</v>
      </c>
      <c r="X15" s="7" t="e">
        <f>E.1项目运营期费用!#REF!</f>
        <v>#REF!</v>
      </c>
      <c r="Y15" s="7" t="e">
        <f>E.1项目运营期费用!#REF!</f>
        <v>#REF!</v>
      </c>
      <c r="Z15" s="7" t="e">
        <f>E.1项目运营期费用!#REF!</f>
        <v>#REF!</v>
      </c>
      <c r="AA15" s="7" t="e">
        <f>E.1项目运营期费用!#REF!</f>
        <v>#REF!</v>
      </c>
      <c r="AB15" s="7" t="e">
        <f>E.1项目运营期费用!#REF!</f>
        <v>#REF!</v>
      </c>
      <c r="AC15" s="7" t="e">
        <f>E.1项目运营期费用!#REF!</f>
        <v>#REF!</v>
      </c>
      <c r="AD15" s="7" t="e">
        <f>E.1项目运营期费用!#REF!</f>
        <v>#REF!</v>
      </c>
      <c r="AE15" s="7">
        <f>E.1项目运营期费用!N15</f>
        <v>16.4</v>
      </c>
    </row>
    <row r="16" customHeight="1" spans="1:31">
      <c r="A16" s="10" t="str">
        <f>E.1项目运营期费用!A16</f>
        <v>工资及福利费</v>
      </c>
      <c r="B16" s="10">
        <f>E.1项目运营期费用!B16</f>
        <v>13</v>
      </c>
      <c r="C16" s="25" t="str">
        <f>E.1项目运营期费用!C16</f>
        <v>人员薪酬</v>
      </c>
      <c r="D16" s="25" t="str">
        <f>E.1项目运营期费用!D16</f>
        <v>按岗位月薪 ×12 + 福利（月薪 ×20%-30%）</v>
      </c>
      <c r="E16" s="7">
        <f>E.1项目运营期费用!E16</f>
        <v>3</v>
      </c>
      <c r="F16" s="7">
        <f>E.1项目运营期费用!F16</f>
        <v>2</v>
      </c>
      <c r="G16" s="7">
        <f>E.1项目运营期费用!G16</f>
        <v>2</v>
      </c>
      <c r="H16" s="7">
        <f>E.1项目运营期费用!H16</f>
        <v>0</v>
      </c>
      <c r="I16" s="7">
        <f>E.1项目运营期费用!I16</f>
        <v>4.2</v>
      </c>
      <c r="J16" s="7">
        <f>E.1项目运营期费用!J16</f>
        <v>4.2</v>
      </c>
      <c r="K16" s="7">
        <f>E.1项目运营期费用!K16</f>
        <v>4.8</v>
      </c>
      <c r="L16" s="7">
        <f>E.1项目运营期费用!L16</f>
        <v>5.4</v>
      </c>
      <c r="M16" s="7">
        <f>E.1项目运营期费用!M16</f>
        <v>6</v>
      </c>
      <c r="N16" s="7" t="e">
        <f>E.1项目运营期费用!#REF!</f>
        <v>#REF!</v>
      </c>
      <c r="O16" s="7" t="e">
        <f>E.1项目运营期费用!#REF!</f>
        <v>#REF!</v>
      </c>
      <c r="P16" s="7" t="e">
        <f>E.1项目运营期费用!#REF!</f>
        <v>#REF!</v>
      </c>
      <c r="Q16" s="7" t="e">
        <f>E.1项目运营期费用!#REF!</f>
        <v>#REF!</v>
      </c>
      <c r="R16" s="7" t="e">
        <f>E.1项目运营期费用!#REF!</f>
        <v>#REF!</v>
      </c>
      <c r="S16" s="7" t="e">
        <f>E.1项目运营期费用!#REF!</f>
        <v>#REF!</v>
      </c>
      <c r="T16" s="7" t="e">
        <f>E.1项目运营期费用!#REF!</f>
        <v>#REF!</v>
      </c>
      <c r="U16" s="7" t="e">
        <f>E.1项目运营期费用!#REF!</f>
        <v>#REF!</v>
      </c>
      <c r="V16" s="7" t="e">
        <f>E.1项目运营期费用!#REF!</f>
        <v>#REF!</v>
      </c>
      <c r="W16" s="7" t="e">
        <f>E.1项目运营期费用!#REF!</f>
        <v>#REF!</v>
      </c>
      <c r="X16" s="7" t="e">
        <f>E.1项目运营期费用!#REF!</f>
        <v>#REF!</v>
      </c>
      <c r="Y16" s="7" t="e">
        <f>E.1项目运营期费用!#REF!</f>
        <v>#REF!</v>
      </c>
      <c r="Z16" s="7" t="e">
        <f>E.1项目运营期费用!#REF!</f>
        <v>#REF!</v>
      </c>
      <c r="AA16" s="7" t="e">
        <f>E.1项目运营期费用!#REF!</f>
        <v>#REF!</v>
      </c>
      <c r="AB16" s="7" t="e">
        <f>E.1项目运营期费用!#REF!</f>
        <v>#REF!</v>
      </c>
      <c r="AC16" s="7" t="e">
        <f>E.1项目运营期费用!#REF!</f>
        <v>#REF!</v>
      </c>
      <c r="AD16" s="7" t="e">
        <f>E.1项目运营期费用!#REF!</f>
        <v>#REF!</v>
      </c>
      <c r="AE16" s="7">
        <f>E.1项目运营期费用!N16</f>
        <v>24.6</v>
      </c>
    </row>
    <row r="17" customHeight="1" spans="1:31">
      <c r="A17" s="10"/>
      <c r="B17" s="10">
        <f>E.1项目运营期费用!B17</f>
        <v>14</v>
      </c>
      <c r="C17" s="25" t="str">
        <f>E.1项目运营期费用!C17</f>
        <v>培训与资质认证</v>
      </c>
      <c r="D17" s="25" t="str">
        <f>E.1项目运营期费用!D17</f>
        <v>按人次 × 人均培训费（元 / 人 次）</v>
      </c>
      <c r="E17" s="7">
        <f>E.1项目运营期费用!E17</f>
        <v>3</v>
      </c>
      <c r="F17" s="7">
        <f>E.1项目运营期费用!F17</f>
        <v>2</v>
      </c>
      <c r="G17" s="7">
        <f>E.1项目运营期费用!G17</f>
        <v>2</v>
      </c>
      <c r="H17" s="7">
        <f>E.1项目运营期费用!H17</f>
        <v>0</v>
      </c>
      <c r="I17" s="7">
        <f>E.1项目运营期费用!I17</f>
        <v>4.2</v>
      </c>
      <c r="J17" s="7">
        <f>E.1项目运营期费用!J17</f>
        <v>4.2</v>
      </c>
      <c r="K17" s="7">
        <f>E.1项目运营期费用!K17</f>
        <v>4.8</v>
      </c>
      <c r="L17" s="7">
        <f>E.1项目运营期费用!L17</f>
        <v>5.4</v>
      </c>
      <c r="M17" s="7">
        <f>E.1项目运营期费用!M17</f>
        <v>6</v>
      </c>
      <c r="N17" s="7" t="e">
        <f>E.1项目运营期费用!#REF!</f>
        <v>#REF!</v>
      </c>
      <c r="O17" s="7" t="e">
        <f>E.1项目运营期费用!#REF!</f>
        <v>#REF!</v>
      </c>
      <c r="P17" s="7" t="e">
        <f>E.1项目运营期费用!#REF!</f>
        <v>#REF!</v>
      </c>
      <c r="Q17" s="7" t="e">
        <f>E.1项目运营期费用!#REF!</f>
        <v>#REF!</v>
      </c>
      <c r="R17" s="7" t="e">
        <f>E.1项目运营期费用!#REF!</f>
        <v>#REF!</v>
      </c>
      <c r="S17" s="7" t="e">
        <f>E.1项目运营期费用!#REF!</f>
        <v>#REF!</v>
      </c>
      <c r="T17" s="7" t="e">
        <f>E.1项目运营期费用!#REF!</f>
        <v>#REF!</v>
      </c>
      <c r="U17" s="7" t="e">
        <f>E.1项目运营期费用!#REF!</f>
        <v>#REF!</v>
      </c>
      <c r="V17" s="7" t="e">
        <f>E.1项目运营期费用!#REF!</f>
        <v>#REF!</v>
      </c>
      <c r="W17" s="7" t="e">
        <f>E.1项目运营期费用!#REF!</f>
        <v>#REF!</v>
      </c>
      <c r="X17" s="7" t="e">
        <f>E.1项目运营期费用!#REF!</f>
        <v>#REF!</v>
      </c>
      <c r="Y17" s="7" t="e">
        <f>E.1项目运营期费用!#REF!</f>
        <v>#REF!</v>
      </c>
      <c r="Z17" s="7" t="e">
        <f>E.1项目运营期费用!#REF!</f>
        <v>#REF!</v>
      </c>
      <c r="AA17" s="7" t="e">
        <f>E.1项目运营期费用!#REF!</f>
        <v>#REF!</v>
      </c>
      <c r="AB17" s="7" t="e">
        <f>E.1项目运营期费用!#REF!</f>
        <v>#REF!</v>
      </c>
      <c r="AC17" s="7" t="e">
        <f>E.1项目运营期费用!#REF!</f>
        <v>#REF!</v>
      </c>
      <c r="AD17" s="7" t="e">
        <f>E.1项目运营期费用!#REF!</f>
        <v>#REF!</v>
      </c>
      <c r="AE17" s="7">
        <f>E.1项目运营期费用!N17</f>
        <v>24.6</v>
      </c>
    </row>
    <row r="18" customHeight="1" spans="1:31">
      <c r="A18" s="10"/>
      <c r="B18" s="10">
        <f>E.1项目运营期费用!B18</f>
        <v>15</v>
      </c>
      <c r="C18" s="25" t="str">
        <f>E.1项目运营期费用!C18</f>
        <v>办公与行政支出</v>
      </c>
      <c r="D18" s="25" t="str">
        <f>E.1项目运营期费用!D18</f>
        <v>按人员数量 × 人均办公费（元 / 人・月）</v>
      </c>
      <c r="E18" s="7">
        <f>E.1项目运营期费用!E18</f>
        <v>4</v>
      </c>
      <c r="F18" s="7">
        <f>E.1项目运营期费用!F18</f>
        <v>2</v>
      </c>
      <c r="G18" s="7">
        <f>E.1项目运营期费用!G18</f>
        <v>2</v>
      </c>
      <c r="H18" s="7">
        <f>E.1项目运营期费用!H18</f>
        <v>0</v>
      </c>
      <c r="I18" s="7">
        <f>E.1项目运营期费用!I18</f>
        <v>5.6</v>
      </c>
      <c r="J18" s="7">
        <f>E.1项目运营期费用!J18</f>
        <v>5.6</v>
      </c>
      <c r="K18" s="7">
        <f>E.1项目运营期费用!K18</f>
        <v>6.4</v>
      </c>
      <c r="L18" s="7">
        <f>E.1项目运营期费用!L18</f>
        <v>7.2</v>
      </c>
      <c r="M18" s="7">
        <f>E.1项目运营期费用!M18</f>
        <v>8</v>
      </c>
      <c r="N18" s="7" t="e">
        <f>E.1项目运营期费用!#REF!</f>
        <v>#REF!</v>
      </c>
      <c r="O18" s="7" t="e">
        <f>E.1项目运营期费用!#REF!</f>
        <v>#REF!</v>
      </c>
      <c r="P18" s="7" t="e">
        <f>E.1项目运营期费用!#REF!</f>
        <v>#REF!</v>
      </c>
      <c r="Q18" s="7" t="e">
        <f>E.1项目运营期费用!#REF!</f>
        <v>#REF!</v>
      </c>
      <c r="R18" s="7" t="e">
        <f>E.1项目运营期费用!#REF!</f>
        <v>#REF!</v>
      </c>
      <c r="S18" s="7" t="e">
        <f>E.1项目运营期费用!#REF!</f>
        <v>#REF!</v>
      </c>
      <c r="T18" s="7" t="e">
        <f>E.1项目运营期费用!#REF!</f>
        <v>#REF!</v>
      </c>
      <c r="U18" s="7" t="e">
        <f>E.1项目运营期费用!#REF!</f>
        <v>#REF!</v>
      </c>
      <c r="V18" s="7" t="e">
        <f>E.1项目运营期费用!#REF!</f>
        <v>#REF!</v>
      </c>
      <c r="W18" s="7" t="e">
        <f>E.1项目运营期费用!#REF!</f>
        <v>#REF!</v>
      </c>
      <c r="X18" s="7" t="e">
        <f>E.1项目运营期费用!#REF!</f>
        <v>#REF!</v>
      </c>
      <c r="Y18" s="7" t="e">
        <f>E.1项目运营期费用!#REF!</f>
        <v>#REF!</v>
      </c>
      <c r="Z18" s="7" t="e">
        <f>E.1项目运营期费用!#REF!</f>
        <v>#REF!</v>
      </c>
      <c r="AA18" s="7" t="e">
        <f>E.1项目运营期费用!#REF!</f>
        <v>#REF!</v>
      </c>
      <c r="AB18" s="7" t="e">
        <f>E.1项目运营期费用!#REF!</f>
        <v>#REF!</v>
      </c>
      <c r="AC18" s="7" t="e">
        <f>E.1项目运营期费用!#REF!</f>
        <v>#REF!</v>
      </c>
      <c r="AD18" s="7" t="e">
        <f>E.1项目运营期费用!#REF!</f>
        <v>#REF!</v>
      </c>
      <c r="AE18" s="7">
        <f>E.1项目运营期费用!N18</f>
        <v>32.8</v>
      </c>
    </row>
    <row r="19" customHeight="1" spans="1:31">
      <c r="A19" s="10" t="str">
        <f>E.1项目运营期费用!A19</f>
        <v>合规性与安全成本</v>
      </c>
      <c r="B19" s="10">
        <f>E.1项目运营期费用!B19</f>
        <v>16</v>
      </c>
      <c r="C19" s="25" t="str">
        <f>E.1项目运营期费用!C19</f>
        <v>空域使用审批费</v>
      </c>
      <c r="D19" s="25" t="str">
        <f>E.1项目运营期费用!D19</f>
        <v>按空域面积 × 年费率（元 / 平方 公里・年）</v>
      </c>
      <c r="E19" s="7">
        <f>E.1项目运营期费用!E19</f>
        <v>1</v>
      </c>
      <c r="F19" s="7">
        <f>E.1项目运营期费用!F19</f>
        <v>2</v>
      </c>
      <c r="G19" s="7">
        <f>E.1项目运营期费用!G19</f>
        <v>2</v>
      </c>
      <c r="H19" s="7">
        <f>E.1项目运营期费用!H19</f>
        <v>0</v>
      </c>
      <c r="I19" s="7">
        <f>E.1项目运营期费用!I19</f>
        <v>1.4</v>
      </c>
      <c r="J19" s="7">
        <f>E.1项目运营期费用!J19</f>
        <v>1.4</v>
      </c>
      <c r="K19" s="7">
        <f>E.1项目运营期费用!K19</f>
        <v>1.6</v>
      </c>
      <c r="L19" s="7">
        <f>E.1项目运营期费用!L19</f>
        <v>1.8</v>
      </c>
      <c r="M19" s="7">
        <f>E.1项目运营期费用!M19</f>
        <v>2</v>
      </c>
      <c r="N19" s="7" t="e">
        <f>E.1项目运营期费用!#REF!</f>
        <v>#REF!</v>
      </c>
      <c r="O19" s="7" t="e">
        <f>E.1项目运营期费用!#REF!</f>
        <v>#REF!</v>
      </c>
      <c r="P19" s="7" t="e">
        <f>E.1项目运营期费用!#REF!</f>
        <v>#REF!</v>
      </c>
      <c r="Q19" s="7" t="e">
        <f>E.1项目运营期费用!#REF!</f>
        <v>#REF!</v>
      </c>
      <c r="R19" s="7" t="e">
        <f>E.1项目运营期费用!#REF!</f>
        <v>#REF!</v>
      </c>
      <c r="S19" s="7" t="e">
        <f>E.1项目运营期费用!#REF!</f>
        <v>#REF!</v>
      </c>
      <c r="T19" s="7" t="e">
        <f>E.1项目运营期费用!#REF!</f>
        <v>#REF!</v>
      </c>
      <c r="U19" s="7" t="e">
        <f>E.1项目运营期费用!#REF!</f>
        <v>#REF!</v>
      </c>
      <c r="V19" s="7" t="e">
        <f>E.1项目运营期费用!#REF!</f>
        <v>#REF!</v>
      </c>
      <c r="W19" s="7" t="e">
        <f>E.1项目运营期费用!#REF!</f>
        <v>#REF!</v>
      </c>
      <c r="X19" s="7" t="e">
        <f>E.1项目运营期费用!#REF!</f>
        <v>#REF!</v>
      </c>
      <c r="Y19" s="7" t="e">
        <f>E.1项目运营期费用!#REF!</f>
        <v>#REF!</v>
      </c>
      <c r="Z19" s="7" t="e">
        <f>E.1项目运营期费用!#REF!</f>
        <v>#REF!</v>
      </c>
      <c r="AA19" s="7" t="e">
        <f>E.1项目运营期费用!#REF!</f>
        <v>#REF!</v>
      </c>
      <c r="AB19" s="7" t="e">
        <f>E.1项目运营期费用!#REF!</f>
        <v>#REF!</v>
      </c>
      <c r="AC19" s="7" t="e">
        <f>E.1项目运营期费用!#REF!</f>
        <v>#REF!</v>
      </c>
      <c r="AD19" s="7" t="e">
        <f>E.1项目运营期费用!#REF!</f>
        <v>#REF!</v>
      </c>
      <c r="AE19" s="7">
        <f>E.1项目运营期费用!N19</f>
        <v>8.2</v>
      </c>
    </row>
    <row r="20" customHeight="1" spans="1:31">
      <c r="A20" s="10"/>
      <c r="B20" s="10">
        <f>E.1项目运营期费用!B20</f>
        <v>17</v>
      </c>
      <c r="C20" s="25" t="str">
        <f>E.1项目运营期费用!C20</f>
        <v>场地责任险</v>
      </c>
      <c r="D20" s="25" t="str">
        <f>E.1项目运营期费用!D20</f>
        <v>按保额 × 保险费率（年费率 0.1%-0.3%）</v>
      </c>
      <c r="E20" s="7">
        <f>E.1项目运营期费用!E20</f>
        <v>4</v>
      </c>
      <c r="F20" s="7">
        <f>E.1项目运营期费用!F20</f>
        <v>2</v>
      </c>
      <c r="G20" s="7">
        <f>E.1项目运营期费用!G20</f>
        <v>2</v>
      </c>
      <c r="H20" s="7">
        <f>E.1项目运营期费用!H20</f>
        <v>0</v>
      </c>
      <c r="I20" s="7">
        <f>E.1项目运营期费用!I20</f>
        <v>5.6</v>
      </c>
      <c r="J20" s="7">
        <f>E.1项目运营期费用!J20</f>
        <v>5.6</v>
      </c>
      <c r="K20" s="7">
        <f>E.1项目运营期费用!K20</f>
        <v>6.4</v>
      </c>
      <c r="L20" s="7">
        <f>E.1项目运营期费用!L20</f>
        <v>7.2</v>
      </c>
      <c r="M20" s="7">
        <f>E.1项目运营期费用!M20</f>
        <v>8</v>
      </c>
      <c r="N20" s="7" t="e">
        <f>E.1项目运营期费用!#REF!</f>
        <v>#REF!</v>
      </c>
      <c r="O20" s="7" t="e">
        <f>E.1项目运营期费用!#REF!</f>
        <v>#REF!</v>
      </c>
      <c r="P20" s="7" t="e">
        <f>E.1项目运营期费用!#REF!</f>
        <v>#REF!</v>
      </c>
      <c r="Q20" s="7" t="e">
        <f>E.1项目运营期费用!#REF!</f>
        <v>#REF!</v>
      </c>
      <c r="R20" s="7" t="e">
        <f>E.1项目运营期费用!#REF!</f>
        <v>#REF!</v>
      </c>
      <c r="S20" s="7" t="e">
        <f>E.1项目运营期费用!#REF!</f>
        <v>#REF!</v>
      </c>
      <c r="T20" s="7" t="e">
        <f>E.1项目运营期费用!#REF!</f>
        <v>#REF!</v>
      </c>
      <c r="U20" s="7" t="e">
        <f>E.1项目运营期费用!#REF!</f>
        <v>#REF!</v>
      </c>
      <c r="V20" s="7" t="e">
        <f>E.1项目运营期费用!#REF!</f>
        <v>#REF!</v>
      </c>
      <c r="W20" s="7" t="e">
        <f>E.1项目运营期费用!#REF!</f>
        <v>#REF!</v>
      </c>
      <c r="X20" s="7" t="e">
        <f>E.1项目运营期费用!#REF!</f>
        <v>#REF!</v>
      </c>
      <c r="Y20" s="7" t="e">
        <f>E.1项目运营期费用!#REF!</f>
        <v>#REF!</v>
      </c>
      <c r="Z20" s="7" t="e">
        <f>E.1项目运营期费用!#REF!</f>
        <v>#REF!</v>
      </c>
      <c r="AA20" s="7" t="e">
        <f>E.1项目运营期费用!#REF!</f>
        <v>#REF!</v>
      </c>
      <c r="AB20" s="7" t="e">
        <f>E.1项目运营期费用!#REF!</f>
        <v>#REF!</v>
      </c>
      <c r="AC20" s="7" t="e">
        <f>E.1项目运营期费用!#REF!</f>
        <v>#REF!</v>
      </c>
      <c r="AD20" s="7" t="e">
        <f>E.1项目运营期费用!#REF!</f>
        <v>#REF!</v>
      </c>
      <c r="AE20" s="7">
        <f>E.1项目运营期费用!N20</f>
        <v>32.8</v>
      </c>
    </row>
    <row r="21" customHeight="1" spans="1:31">
      <c r="A21" s="10"/>
      <c r="B21" s="10">
        <f>E.1项目运营期费用!B21</f>
        <v>18</v>
      </c>
      <c r="C21" s="25" t="str">
        <f>E.1项目运营期费用!C21</f>
        <v>安全演练与应急处置</v>
      </c>
      <c r="D21" s="25" t="str">
        <f>E.1项目运营期费用!D21</f>
        <v>按次数 × 单次演练成本（元 / 次）</v>
      </c>
      <c r="E21" s="7">
        <f>E.1项目运营期费用!E21</f>
        <v>8</v>
      </c>
      <c r="F21" s="7">
        <f>E.1项目运营期费用!F21</f>
        <v>2</v>
      </c>
      <c r="G21" s="7">
        <f>E.1项目运营期费用!G21</f>
        <v>2</v>
      </c>
      <c r="H21" s="7">
        <f>E.1项目运营期费用!H21</f>
        <v>0</v>
      </c>
      <c r="I21" s="7">
        <f>E.1项目运营期费用!I21</f>
        <v>11.2</v>
      </c>
      <c r="J21" s="7">
        <f>E.1项目运营期费用!J21</f>
        <v>11.2</v>
      </c>
      <c r="K21" s="7">
        <f>E.1项目运营期费用!K21</f>
        <v>12.8</v>
      </c>
      <c r="L21" s="7">
        <f>E.1项目运营期费用!L21</f>
        <v>14.4</v>
      </c>
      <c r="M21" s="7">
        <f>E.1项目运营期费用!M21</f>
        <v>16</v>
      </c>
      <c r="N21" s="7" t="e">
        <f>E.1项目运营期费用!#REF!</f>
        <v>#REF!</v>
      </c>
      <c r="O21" s="7" t="e">
        <f>E.1项目运营期费用!#REF!</f>
        <v>#REF!</v>
      </c>
      <c r="P21" s="7" t="e">
        <f>E.1项目运营期费用!#REF!</f>
        <v>#REF!</v>
      </c>
      <c r="Q21" s="7" t="e">
        <f>E.1项目运营期费用!#REF!</f>
        <v>#REF!</v>
      </c>
      <c r="R21" s="7" t="e">
        <f>E.1项目运营期费用!#REF!</f>
        <v>#REF!</v>
      </c>
      <c r="S21" s="7" t="e">
        <f>E.1项目运营期费用!#REF!</f>
        <v>#REF!</v>
      </c>
      <c r="T21" s="7" t="e">
        <f>E.1项目运营期费用!#REF!</f>
        <v>#REF!</v>
      </c>
      <c r="U21" s="7" t="e">
        <f>E.1项目运营期费用!#REF!</f>
        <v>#REF!</v>
      </c>
      <c r="V21" s="7" t="e">
        <f>E.1项目运营期费用!#REF!</f>
        <v>#REF!</v>
      </c>
      <c r="W21" s="7" t="e">
        <f>E.1项目运营期费用!#REF!</f>
        <v>#REF!</v>
      </c>
      <c r="X21" s="7" t="e">
        <f>E.1项目运营期费用!#REF!</f>
        <v>#REF!</v>
      </c>
      <c r="Y21" s="7" t="e">
        <f>E.1项目运营期费用!#REF!</f>
        <v>#REF!</v>
      </c>
      <c r="Z21" s="7" t="e">
        <f>E.1项目运营期费用!#REF!</f>
        <v>#REF!</v>
      </c>
      <c r="AA21" s="7" t="e">
        <f>E.1项目运营期费用!#REF!</f>
        <v>#REF!</v>
      </c>
      <c r="AB21" s="7" t="e">
        <f>E.1项目运营期费用!#REF!</f>
        <v>#REF!</v>
      </c>
      <c r="AC21" s="7" t="e">
        <f>E.1项目运营期费用!#REF!</f>
        <v>#REF!</v>
      </c>
      <c r="AD21" s="7" t="e">
        <f>E.1项目运营期费用!#REF!</f>
        <v>#REF!</v>
      </c>
      <c r="AE21" s="7">
        <f>E.1项目运营期费用!N21</f>
        <v>65.6</v>
      </c>
    </row>
    <row r="22" customHeight="1" spans="1:31">
      <c r="A22" s="10" t="str">
        <f>E.1项目运营期费用!A22</f>
        <v>其他费用</v>
      </c>
      <c r="B22" s="10">
        <f>E.1项目运营期费用!B22</f>
        <v>19</v>
      </c>
      <c r="C22" s="25" t="str">
        <f>E.1项目运营期费用!C22</f>
        <v>第三方安全评估</v>
      </c>
      <c r="D22" s="25" t="str">
        <f>E.1项目运营期费用!D22</f>
        <v>按项目投资额 × 评估费率 （0.1%-0.3%）</v>
      </c>
      <c r="E22" s="7">
        <f>E.1项目运营期费用!E22</f>
        <v>1</v>
      </c>
      <c r="F22" s="7">
        <f>E.1项目运营期费用!F22</f>
        <v>2</v>
      </c>
      <c r="G22" s="7">
        <f>E.1项目运营期费用!G22</f>
        <v>2</v>
      </c>
      <c r="H22" s="7">
        <f>E.1项目运营期费用!H22</f>
        <v>0</v>
      </c>
      <c r="I22" s="7">
        <f>E.1项目运营期费用!I22</f>
        <v>1.4</v>
      </c>
      <c r="J22" s="7">
        <f>E.1项目运营期费用!J22</f>
        <v>1.4</v>
      </c>
      <c r="K22" s="7">
        <f>E.1项目运营期费用!K22</f>
        <v>1.6</v>
      </c>
      <c r="L22" s="7">
        <f>E.1项目运营期费用!L22</f>
        <v>1.8</v>
      </c>
      <c r="M22" s="7">
        <f>E.1项目运营期费用!M22</f>
        <v>2</v>
      </c>
      <c r="N22" s="7" t="e">
        <f>E.1项目运营期费用!#REF!</f>
        <v>#REF!</v>
      </c>
      <c r="O22" s="7" t="e">
        <f>E.1项目运营期费用!#REF!</f>
        <v>#REF!</v>
      </c>
      <c r="P22" s="7" t="e">
        <f>E.1项目运营期费用!#REF!</f>
        <v>#REF!</v>
      </c>
      <c r="Q22" s="7" t="e">
        <f>E.1项目运营期费用!#REF!</f>
        <v>#REF!</v>
      </c>
      <c r="R22" s="7" t="e">
        <f>E.1项目运营期费用!#REF!</f>
        <v>#REF!</v>
      </c>
      <c r="S22" s="7" t="e">
        <f>E.1项目运营期费用!#REF!</f>
        <v>#REF!</v>
      </c>
      <c r="T22" s="7" t="e">
        <f>E.1项目运营期费用!#REF!</f>
        <v>#REF!</v>
      </c>
      <c r="U22" s="7" t="e">
        <f>E.1项目运营期费用!#REF!</f>
        <v>#REF!</v>
      </c>
      <c r="V22" s="7" t="e">
        <f>E.1项目运营期费用!#REF!</f>
        <v>#REF!</v>
      </c>
      <c r="W22" s="7" t="e">
        <f>E.1项目运营期费用!#REF!</f>
        <v>#REF!</v>
      </c>
      <c r="X22" s="7" t="e">
        <f>E.1项目运营期费用!#REF!</f>
        <v>#REF!</v>
      </c>
      <c r="Y22" s="7" t="e">
        <f>E.1项目运营期费用!#REF!</f>
        <v>#REF!</v>
      </c>
      <c r="Z22" s="7" t="e">
        <f>E.1项目运营期费用!#REF!</f>
        <v>#REF!</v>
      </c>
      <c r="AA22" s="7" t="e">
        <f>E.1项目运营期费用!#REF!</f>
        <v>#REF!</v>
      </c>
      <c r="AB22" s="7" t="e">
        <f>E.1项目运营期费用!#REF!</f>
        <v>#REF!</v>
      </c>
      <c r="AC22" s="7" t="e">
        <f>E.1项目运营期费用!#REF!</f>
        <v>#REF!</v>
      </c>
      <c r="AD22" s="7" t="e">
        <f>E.1项目运营期费用!#REF!</f>
        <v>#REF!</v>
      </c>
      <c r="AE22" s="7">
        <f>E.1项目运营期费用!N22</f>
        <v>8.2</v>
      </c>
    </row>
    <row r="23" customHeight="1" spans="1:31">
      <c r="A23" s="10"/>
      <c r="B23" s="10">
        <f>E.1项目运营期费用!B23</f>
        <v>20</v>
      </c>
      <c r="C23" s="25" t="str">
        <f>E.1项目运营期费用!C23</f>
        <v>不可预见支出</v>
      </c>
      <c r="D23" s="25" t="str">
        <f>E.1项目运营期费用!D23</f>
        <v>按年度总成本 × 计提比例 （5%-10%）</v>
      </c>
      <c r="E23" s="7">
        <f>E.1项目运营期费用!E23</f>
        <v>9</v>
      </c>
      <c r="F23" s="7">
        <f>E.1项目运营期费用!F23</f>
        <v>2</v>
      </c>
      <c r="G23" s="7">
        <f>E.1项目运营期费用!G23</f>
        <v>2</v>
      </c>
      <c r="H23" s="7">
        <f>E.1项目运营期费用!H23</f>
        <v>0</v>
      </c>
      <c r="I23" s="7">
        <f>E.1项目运营期费用!I23</f>
        <v>12.6</v>
      </c>
      <c r="J23" s="7">
        <f>E.1项目运营期费用!J23</f>
        <v>12.6</v>
      </c>
      <c r="K23" s="7">
        <f>E.1项目运营期费用!K23</f>
        <v>14.4</v>
      </c>
      <c r="L23" s="7">
        <f>E.1项目运营期费用!L23</f>
        <v>16.2</v>
      </c>
      <c r="M23" s="7">
        <f>E.1项目运营期费用!M23</f>
        <v>18</v>
      </c>
      <c r="N23" s="7" t="e">
        <f>E.1项目运营期费用!#REF!</f>
        <v>#REF!</v>
      </c>
      <c r="O23" s="7" t="e">
        <f>E.1项目运营期费用!#REF!</f>
        <v>#REF!</v>
      </c>
      <c r="P23" s="7" t="e">
        <f>E.1项目运营期费用!#REF!</f>
        <v>#REF!</v>
      </c>
      <c r="Q23" s="7" t="e">
        <f>E.1项目运营期费用!#REF!</f>
        <v>#REF!</v>
      </c>
      <c r="R23" s="7" t="e">
        <f>E.1项目运营期费用!#REF!</f>
        <v>#REF!</v>
      </c>
      <c r="S23" s="7" t="e">
        <f>E.1项目运营期费用!#REF!</f>
        <v>#REF!</v>
      </c>
      <c r="T23" s="7" t="e">
        <f>E.1项目运营期费用!#REF!</f>
        <v>#REF!</v>
      </c>
      <c r="U23" s="7" t="e">
        <f>E.1项目运营期费用!#REF!</f>
        <v>#REF!</v>
      </c>
      <c r="V23" s="7" t="e">
        <f>E.1项目运营期费用!#REF!</f>
        <v>#REF!</v>
      </c>
      <c r="W23" s="7" t="e">
        <f>E.1项目运营期费用!#REF!</f>
        <v>#REF!</v>
      </c>
      <c r="X23" s="7" t="e">
        <f>E.1项目运营期费用!#REF!</f>
        <v>#REF!</v>
      </c>
      <c r="Y23" s="7" t="e">
        <f>E.1项目运营期费用!#REF!</f>
        <v>#REF!</v>
      </c>
      <c r="Z23" s="7" t="e">
        <f>E.1项目运营期费用!#REF!</f>
        <v>#REF!</v>
      </c>
      <c r="AA23" s="7" t="e">
        <f>E.1项目运营期费用!#REF!</f>
        <v>#REF!</v>
      </c>
      <c r="AB23" s="7" t="e">
        <f>E.1项目运营期费用!#REF!</f>
        <v>#REF!</v>
      </c>
      <c r="AC23" s="7" t="e">
        <f>E.1项目运营期费用!#REF!</f>
        <v>#REF!</v>
      </c>
      <c r="AD23" s="7" t="e">
        <f>E.1项目运营期费用!#REF!</f>
        <v>#REF!</v>
      </c>
      <c r="AE23" s="7">
        <f>E.1项目运营期费用!N23</f>
        <v>73.8</v>
      </c>
    </row>
  </sheetData>
  <mergeCells count="14">
    <mergeCell ref="A1:AE1"/>
    <mergeCell ref="A2:A3"/>
    <mergeCell ref="A4:A7"/>
    <mergeCell ref="A8:A10"/>
    <mergeCell ref="A12:A13"/>
    <mergeCell ref="A16:A18"/>
    <mergeCell ref="A19:A21"/>
    <mergeCell ref="A22:A23"/>
    <mergeCell ref="B2:B3"/>
    <mergeCell ref="C2:C3"/>
    <mergeCell ref="D2:D3"/>
    <mergeCell ref="E2:E3"/>
    <mergeCell ref="F2:F3"/>
    <mergeCell ref="G2:G3"/>
  </mergeCells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>
    <tabColor rgb="FFFFC000"/>
  </sheetPr>
  <dimension ref="A1:X6"/>
  <sheetViews>
    <sheetView workbookViewId="0">
      <selection activeCell="F4" sqref="F4"/>
    </sheetView>
  </sheetViews>
  <sheetFormatPr defaultColWidth="14.7818181818182" defaultRowHeight="28.05" customHeight="1" outlineLevelRow="5"/>
  <cols>
    <col min="1" max="1" width="14.7818181818182" customWidth="1"/>
    <col min="2" max="2" width="6.44545454545455" customWidth="1"/>
    <col min="3" max="4" width="8.66363636363636" customWidth="1"/>
    <col min="5" max="12" width="9.55454545454545" customWidth="1"/>
    <col min="13" max="24" width="8.66363636363636" customWidth="1"/>
    <col min="25" max="25" width="14.7818181818182" customWidth="1"/>
  </cols>
  <sheetData>
    <row r="1" customHeight="1" spans="1:24">
      <c r="A1" s="14" t="s">
        <v>513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</row>
    <row r="2" customHeight="1" spans="1:24">
      <c r="A2" s="16" t="s">
        <v>514</v>
      </c>
      <c r="B2" s="2" t="s">
        <v>484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customHeight="1" spans="1:24">
      <c r="A3" s="17"/>
      <c r="B3" s="10">
        <v>2025</v>
      </c>
      <c r="C3" s="10">
        <v>2026</v>
      </c>
      <c r="D3" s="10">
        <v>2027</v>
      </c>
      <c r="E3" s="10">
        <v>2028</v>
      </c>
      <c r="F3" s="10">
        <v>2029</v>
      </c>
      <c r="G3" s="10">
        <v>2030</v>
      </c>
      <c r="H3" s="10">
        <v>2031</v>
      </c>
      <c r="I3" s="10">
        <v>2032</v>
      </c>
      <c r="J3" s="10">
        <v>2033</v>
      </c>
      <c r="K3" s="10">
        <v>2034</v>
      </c>
      <c r="L3" s="10">
        <v>2035</v>
      </c>
      <c r="M3" s="10">
        <v>2036</v>
      </c>
      <c r="N3" s="10">
        <v>2037</v>
      </c>
      <c r="O3" s="10">
        <v>2038</v>
      </c>
      <c r="P3" s="10">
        <v>2039</v>
      </c>
      <c r="Q3" s="10">
        <v>2040</v>
      </c>
      <c r="R3" s="10">
        <v>2041</v>
      </c>
      <c r="S3" s="10">
        <v>2042</v>
      </c>
      <c r="T3" s="10">
        <v>2043</v>
      </c>
      <c r="U3" s="10">
        <v>2044</v>
      </c>
      <c r="V3" s="10">
        <v>2045</v>
      </c>
      <c r="W3" s="10">
        <v>2046</v>
      </c>
      <c r="X3" s="10">
        <v>2047</v>
      </c>
    </row>
    <row r="4" customHeight="1" spans="1:24">
      <c r="A4" s="7" t="s">
        <v>515</v>
      </c>
      <c r="B4" s="13">
        <f>Ⅲ项目分年度收入合计表!B6</f>
        <v>0</v>
      </c>
      <c r="C4" s="13">
        <f>Ⅲ项目分年度收入合计表!C6</f>
        <v>350</v>
      </c>
      <c r="D4" s="13">
        <f>Ⅲ项目分年度收入合计表!D6</f>
        <v>536.4</v>
      </c>
      <c r="E4" s="13">
        <f>Ⅲ项目分年度收入合计表!E6</f>
        <v>666.16</v>
      </c>
      <c r="F4" s="13">
        <f>Ⅲ项目分年度收入合计表!F6</f>
        <v>676.9832</v>
      </c>
      <c r="G4" s="13">
        <f>Ⅲ项目分年度收入合计表!G6</f>
        <v>685.472864</v>
      </c>
      <c r="H4" s="13">
        <f>Ⅲ项目分年度收入合计表!H6</f>
        <v>0</v>
      </c>
      <c r="I4" s="13">
        <f>Ⅲ项目分年度收入合计表!I6</f>
        <v>0</v>
      </c>
      <c r="J4" s="13">
        <f>Ⅲ项目分年度收入合计表!J6</f>
        <v>0</v>
      </c>
      <c r="K4" s="13">
        <f>Ⅲ项目分年度收入合计表!K6</f>
        <v>0</v>
      </c>
      <c r="L4" s="13">
        <f>Ⅲ项目分年度收入合计表!L6</f>
        <v>0</v>
      </c>
      <c r="M4" s="13">
        <f>Ⅲ项目分年度收入合计表!M6</f>
        <v>0</v>
      </c>
      <c r="N4" s="13">
        <f>Ⅲ项目分年度收入合计表!N6</f>
        <v>0</v>
      </c>
      <c r="O4" s="13">
        <f>Ⅲ项目分年度收入合计表!O6</f>
        <v>0</v>
      </c>
      <c r="P4" s="13">
        <f>Ⅲ项目分年度收入合计表!P6</f>
        <v>0</v>
      </c>
      <c r="Q4" s="13">
        <f>Ⅲ项目分年度收入合计表!Q6</f>
        <v>0</v>
      </c>
      <c r="R4" s="13">
        <f>Ⅲ项目分年度收入合计表!R6</f>
        <v>0</v>
      </c>
      <c r="S4" s="13">
        <f>Ⅲ项目分年度收入合计表!S6</f>
        <v>0</v>
      </c>
      <c r="T4" s="13">
        <f>Ⅲ项目分年度收入合计表!T6</f>
        <v>0</v>
      </c>
      <c r="U4" s="13">
        <f>Ⅲ项目分年度收入合计表!U6</f>
        <v>0</v>
      </c>
      <c r="V4" s="13">
        <f>Ⅲ项目分年度收入合计表!V6</f>
        <v>0</v>
      </c>
      <c r="W4" s="13">
        <f>Ⅲ项目分年度收入合计表!W6</f>
        <v>0</v>
      </c>
      <c r="X4" s="13">
        <f>Ⅲ项目分年度收入合计表!X6</f>
        <v>0</v>
      </c>
    </row>
    <row r="5" customHeight="1" spans="1:24">
      <c r="A5" s="7" t="s">
        <v>516</v>
      </c>
      <c r="B5" s="13">
        <f>E总成本费用估算表!C15</f>
        <v>0</v>
      </c>
      <c r="C5" s="13">
        <f>E总成本费用估算表!D15</f>
        <v>121.198176535137</v>
      </c>
      <c r="D5" s="13">
        <f>E总成本费用估算表!E15</f>
        <v>152.09837192203</v>
      </c>
      <c r="E5" s="13">
        <f>E总成本费用估算表!F15</f>
        <v>689.387759922334</v>
      </c>
      <c r="F5" s="13">
        <f>E总成本费用估算表!G15</f>
        <v>704.820016613117</v>
      </c>
      <c r="G5" s="13">
        <f>E总成本费用估算表!H15</f>
        <v>720.252273303901</v>
      </c>
      <c r="H5" s="13" t="e">
        <f>E总成本费用估算表!#REF!</f>
        <v>#REF!</v>
      </c>
      <c r="I5" s="13" t="e">
        <f>E总成本费用估算表!#REF!</f>
        <v>#REF!</v>
      </c>
      <c r="J5" s="13" t="e">
        <f>E总成本费用估算表!#REF!</f>
        <v>#REF!</v>
      </c>
      <c r="K5" s="13" t="e">
        <f>E总成本费用估算表!#REF!</f>
        <v>#REF!</v>
      </c>
      <c r="L5" s="13" t="e">
        <f>E总成本费用估算表!#REF!</f>
        <v>#REF!</v>
      </c>
      <c r="M5" s="13" t="e">
        <f>E总成本费用估算表!#REF!</f>
        <v>#REF!</v>
      </c>
      <c r="N5" s="13" t="e">
        <f>E总成本费用估算表!#REF!</f>
        <v>#REF!</v>
      </c>
      <c r="O5" s="13" t="e">
        <f>E总成本费用估算表!#REF!</f>
        <v>#REF!</v>
      </c>
      <c r="P5" s="13" t="e">
        <f>E总成本费用估算表!#REF!</f>
        <v>#REF!</v>
      </c>
      <c r="Q5" s="13" t="e">
        <f>E总成本费用估算表!#REF!</f>
        <v>#REF!</v>
      </c>
      <c r="R5" s="13" t="e">
        <f>E总成本费用估算表!#REF!</f>
        <v>#REF!</v>
      </c>
      <c r="S5" s="13" t="e">
        <f>E总成本费用估算表!#REF!</f>
        <v>#REF!</v>
      </c>
      <c r="T5" s="13" t="e">
        <f>E总成本费用估算表!#REF!</f>
        <v>#REF!</v>
      </c>
      <c r="U5" s="13" t="e">
        <f>E总成本费用估算表!#REF!</f>
        <v>#REF!</v>
      </c>
      <c r="V5" s="13" t="e">
        <f>E总成本费用估算表!#REF!</f>
        <v>#REF!</v>
      </c>
      <c r="W5" s="13" t="e">
        <f>E总成本费用估算表!#REF!</f>
        <v>#REF!</v>
      </c>
      <c r="X5" s="13" t="e">
        <f>E总成本费用估算表!#REF!</f>
        <v>#REF!</v>
      </c>
    </row>
    <row r="6" customHeight="1" spans="1:24">
      <c r="A6" s="7" t="s">
        <v>517</v>
      </c>
      <c r="B6" s="13">
        <f>B4-B5</f>
        <v>0</v>
      </c>
      <c r="C6" s="13">
        <f t="shared" ref="C6:X6" si="0">C4-C5</f>
        <v>228.801823464863</v>
      </c>
      <c r="D6" s="13">
        <f t="shared" si="0"/>
        <v>384.30162807797</v>
      </c>
      <c r="E6" s="13">
        <f t="shared" si="0"/>
        <v>-23.227759922334</v>
      </c>
      <c r="F6" s="13">
        <f t="shared" si="0"/>
        <v>-27.836816613117</v>
      </c>
      <c r="G6" s="13">
        <f t="shared" si="0"/>
        <v>-34.779409303901</v>
      </c>
      <c r="H6" s="13" t="e">
        <f t="shared" si="0"/>
        <v>#REF!</v>
      </c>
      <c r="I6" s="13" t="e">
        <f t="shared" si="0"/>
        <v>#REF!</v>
      </c>
      <c r="J6" s="13" t="e">
        <f t="shared" si="0"/>
        <v>#REF!</v>
      </c>
      <c r="K6" s="13" t="e">
        <f t="shared" si="0"/>
        <v>#REF!</v>
      </c>
      <c r="L6" s="13" t="e">
        <f t="shared" si="0"/>
        <v>#REF!</v>
      </c>
      <c r="M6" s="13" t="e">
        <f t="shared" si="0"/>
        <v>#REF!</v>
      </c>
      <c r="N6" s="13" t="e">
        <f t="shared" si="0"/>
        <v>#REF!</v>
      </c>
      <c r="O6" s="13" t="e">
        <f t="shared" si="0"/>
        <v>#REF!</v>
      </c>
      <c r="P6" s="13" t="e">
        <f t="shared" si="0"/>
        <v>#REF!</v>
      </c>
      <c r="Q6" s="13" t="e">
        <f t="shared" si="0"/>
        <v>#REF!</v>
      </c>
      <c r="R6" s="13" t="e">
        <f t="shared" si="0"/>
        <v>#REF!</v>
      </c>
      <c r="S6" s="13" t="e">
        <f t="shared" si="0"/>
        <v>#REF!</v>
      </c>
      <c r="T6" s="13" t="e">
        <f t="shared" si="0"/>
        <v>#REF!</v>
      </c>
      <c r="U6" s="13" t="e">
        <f t="shared" si="0"/>
        <v>#REF!</v>
      </c>
      <c r="V6" s="13" t="e">
        <f t="shared" si="0"/>
        <v>#REF!</v>
      </c>
      <c r="W6" s="13" t="e">
        <f t="shared" si="0"/>
        <v>#REF!</v>
      </c>
      <c r="X6" s="13" t="e">
        <f t="shared" si="0"/>
        <v>#REF!</v>
      </c>
    </row>
  </sheetData>
  <mergeCells count="3">
    <mergeCell ref="A1:X1"/>
    <mergeCell ref="B2:X2"/>
    <mergeCell ref="A2:A3"/>
  </mergeCells>
  <pageMargins left="0.75" right="0.75" top="1" bottom="1" header="0.5" footer="0.5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>
    <tabColor rgb="FFFFC000"/>
  </sheetPr>
  <dimension ref="A1:G8"/>
  <sheetViews>
    <sheetView tabSelected="1" zoomScale="70" zoomScaleNormal="70" workbookViewId="0">
      <selection activeCell="A1" sqref="A1"/>
    </sheetView>
  </sheetViews>
  <sheetFormatPr defaultColWidth="14.7818181818182" defaultRowHeight="28.95" customHeight="1" outlineLevelRow="7" outlineLevelCol="6"/>
  <cols>
    <col min="1" max="1" width="22.3363636363636" customWidth="1"/>
    <col min="2" max="2" width="9.89090909090909" customWidth="1"/>
    <col min="3" max="22" width="11.2181818181818" customWidth="1"/>
    <col min="23" max="23" width="12.2181818181818" customWidth="1"/>
    <col min="24" max="24" width="11.2181818181818" customWidth="1"/>
  </cols>
  <sheetData>
    <row r="1" ht="52" customHeight="1" spans="1:7">
      <c r="A1" s="9" t="s">
        <v>518</v>
      </c>
      <c r="B1" s="9"/>
      <c r="C1" s="9"/>
      <c r="D1" s="9"/>
      <c r="E1" s="9"/>
      <c r="F1" s="9"/>
      <c r="G1" s="9"/>
    </row>
    <row r="2" customHeight="1" spans="1:7">
      <c r="A2" s="2" t="s">
        <v>519</v>
      </c>
      <c r="B2" s="10">
        <v>2025</v>
      </c>
      <c r="C2" s="10">
        <v>2026</v>
      </c>
      <c r="D2" s="10">
        <v>2027</v>
      </c>
      <c r="E2" s="10">
        <v>2028</v>
      </c>
      <c r="F2" s="10">
        <v>2029</v>
      </c>
      <c r="G2" s="10">
        <v>2030</v>
      </c>
    </row>
    <row r="3" customHeight="1" spans="1:7">
      <c r="A3" s="2" t="s">
        <v>520</v>
      </c>
      <c r="B3" s="11">
        <f>c借款还本付息计划表!E31-c借款还本付息计划表!D31</f>
        <v>2000</v>
      </c>
      <c r="C3" s="11">
        <f>c借款还本付息计划表!F31-c借款还本付息计划表!E31</f>
        <v>10000</v>
      </c>
      <c r="D3" s="11">
        <f>c借款还本付息计划表!G31-c借款还本付息计划表!F31</f>
        <v>10000</v>
      </c>
      <c r="E3" s="11">
        <f>c借款还本付息计划表!H31-c借款还本付息计划表!G31</f>
        <v>0</v>
      </c>
      <c r="F3" s="11">
        <f>c借款还本付息计划表!I31-c借款还本付息计划表!H31</f>
        <v>0</v>
      </c>
      <c r="G3" s="11">
        <f>c借款还本付息计划表!J31-c借款还本付息计划表!I31</f>
        <v>0</v>
      </c>
    </row>
    <row r="4" customHeight="1" spans="1:7">
      <c r="A4" s="2" t="s">
        <v>521</v>
      </c>
      <c r="B4" s="11">
        <f>c借款还本付息计划表!D33</f>
        <v>0</v>
      </c>
      <c r="C4" s="11">
        <f>c借款还本付息计划表!E33</f>
        <v>0</v>
      </c>
      <c r="D4" s="11">
        <f>c借款还本付息计划表!F33</f>
        <v>0</v>
      </c>
      <c r="E4" s="11">
        <f>c借款还本付息计划表!G33</f>
        <v>0</v>
      </c>
      <c r="F4" s="11">
        <f>c借款还本付息计划表!H33</f>
        <v>0</v>
      </c>
      <c r="G4" s="11">
        <f>c借款还本付息计划表!I33</f>
        <v>0</v>
      </c>
    </row>
    <row r="5" customHeight="1" spans="1:7">
      <c r="A5" s="2" t="s">
        <v>522</v>
      </c>
      <c r="B5" s="11">
        <f>c借款还本付息计划表!D35</f>
        <v>2000</v>
      </c>
      <c r="C5" s="11">
        <f>c借款还本付息计划表!E35</f>
        <v>12000</v>
      </c>
      <c r="D5" s="11">
        <f>c借款还本付息计划表!F35</f>
        <v>22000</v>
      </c>
      <c r="E5" s="11">
        <f>c借款还本付息计划表!G35</f>
        <v>22000</v>
      </c>
      <c r="F5" s="11">
        <f>c借款还本付息计划表!H35</f>
        <v>22000</v>
      </c>
      <c r="G5" s="11">
        <f>c借款还本付息计划表!I35</f>
        <v>22000</v>
      </c>
    </row>
    <row r="6" customHeight="1" spans="1:7">
      <c r="A6" s="2" t="s">
        <v>523</v>
      </c>
      <c r="B6" s="12">
        <v>0.0212</v>
      </c>
      <c r="C6" s="12">
        <v>0.0212</v>
      </c>
      <c r="D6" s="12">
        <v>0.0212</v>
      </c>
      <c r="E6" s="12">
        <v>0.0212</v>
      </c>
      <c r="F6" s="12">
        <v>0.0212</v>
      </c>
      <c r="G6" s="12">
        <v>0.0212</v>
      </c>
    </row>
    <row r="7" customHeight="1" spans="1:7">
      <c r="A7" s="2" t="s">
        <v>400</v>
      </c>
      <c r="B7" s="11">
        <f>c借款还本付息计划表!D34</f>
        <v>0</v>
      </c>
      <c r="C7" s="11">
        <f>c借款还本付息计划表!E34</f>
        <v>42.4</v>
      </c>
      <c r="D7" s="11">
        <f>c借款还本付息计划表!F34</f>
        <v>254.4</v>
      </c>
      <c r="E7" s="11">
        <f>c借款还本付息计划表!G34</f>
        <v>466.4</v>
      </c>
      <c r="F7" s="11">
        <f>c借款还本付息计划表!H34</f>
        <v>466.4</v>
      </c>
      <c r="G7" s="11">
        <f>c借款还本付息计划表!I34</f>
        <v>466.4</v>
      </c>
    </row>
    <row r="8" customHeight="1" spans="1:7">
      <c r="A8" s="2" t="s">
        <v>524</v>
      </c>
      <c r="B8" s="13">
        <f t="shared" ref="B8:G8" si="0">B7+B4</f>
        <v>0</v>
      </c>
      <c r="C8" s="13">
        <f t="shared" si="0"/>
        <v>42.4</v>
      </c>
      <c r="D8" s="13">
        <f t="shared" si="0"/>
        <v>254.4</v>
      </c>
      <c r="E8" s="13">
        <f t="shared" si="0"/>
        <v>466.4</v>
      </c>
      <c r="F8" s="13">
        <f t="shared" si="0"/>
        <v>466.4</v>
      </c>
      <c r="G8" s="13">
        <f t="shared" si="0"/>
        <v>466.4</v>
      </c>
    </row>
  </sheetData>
  <pageMargins left="0.75" right="0.75" top="1" bottom="1" header="0.5" footer="0.5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>
    <tabColor rgb="FFFFC000"/>
  </sheetPr>
  <dimension ref="A3"/>
  <sheetViews>
    <sheetView workbookViewId="0">
      <selection activeCell="I12" sqref="I12"/>
    </sheetView>
  </sheetViews>
  <sheetFormatPr defaultColWidth="15.7818181818182" defaultRowHeight="28.05" customHeight="1" outlineLevelRow="2"/>
  <sheetData>
    <row r="3" ht="40.95" customHeight="1"/>
  </sheetData>
  <pageMargins left="0.75" right="0.75" top="1" bottom="1" header="0.5" footer="0.5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>
    <tabColor rgb="FFFFC000"/>
  </sheetPr>
  <dimension ref="A1:H8"/>
  <sheetViews>
    <sheetView zoomScale="85" zoomScaleNormal="85" workbookViewId="0">
      <selection activeCell="G13" sqref="G13"/>
    </sheetView>
  </sheetViews>
  <sheetFormatPr defaultColWidth="15.7818181818182" defaultRowHeight="28.05" customHeight="1" outlineLevelRow="7" outlineLevelCol="7"/>
  <cols>
    <col min="1" max="1" width="29.6636363636364" customWidth="1"/>
    <col min="2" max="2" width="12.6636363636364" customWidth="1"/>
    <col min="3" max="3" width="15.7818181818182" customWidth="1"/>
  </cols>
  <sheetData>
    <row r="1" customHeight="1" spans="1:8">
      <c r="A1" s="1" t="s">
        <v>525</v>
      </c>
      <c r="B1" s="1"/>
      <c r="C1" s="1"/>
      <c r="D1" s="1"/>
      <c r="E1" s="1"/>
      <c r="F1" s="1"/>
      <c r="G1" s="1"/>
      <c r="H1" s="1"/>
    </row>
    <row r="2" customHeight="1" spans="1:8">
      <c r="A2" s="2" t="s">
        <v>526</v>
      </c>
      <c r="B2" s="3">
        <v>-0.15</v>
      </c>
      <c r="C2" s="3">
        <v>-0.1</v>
      </c>
      <c r="D2" s="3">
        <v>-0.05</v>
      </c>
      <c r="E2" s="3">
        <v>0</v>
      </c>
      <c r="F2" s="3">
        <v>0.05</v>
      </c>
      <c r="G2" s="3">
        <v>0.1</v>
      </c>
      <c r="H2" s="3">
        <v>0.15</v>
      </c>
    </row>
    <row r="3" customHeight="1" spans="1:8">
      <c r="A3" s="4" t="s">
        <v>527</v>
      </c>
      <c r="B3" s="5"/>
      <c r="C3" s="5"/>
      <c r="D3" s="5"/>
      <c r="E3" s="5"/>
      <c r="F3" s="5"/>
      <c r="G3" s="5"/>
      <c r="H3" s="6"/>
    </row>
    <row r="4" customHeight="1" spans="1:8">
      <c r="A4" s="7" t="s">
        <v>528</v>
      </c>
      <c r="B4" s="8">
        <v>0.328270086880195</v>
      </c>
      <c r="C4" s="8">
        <v>0.35143708171177</v>
      </c>
      <c r="D4" s="8">
        <v>0.374604076543344</v>
      </c>
      <c r="E4" s="8">
        <v>0.39251201351728</v>
      </c>
      <c r="F4" s="8">
        <v>0.410131392539012</v>
      </c>
      <c r="G4" s="8">
        <v>0.427750771560744</v>
      </c>
      <c r="H4" s="8">
        <v>0.445370150582477</v>
      </c>
    </row>
    <row r="5" customHeight="1" spans="1:8">
      <c r="A5" s="4" t="s">
        <v>529</v>
      </c>
      <c r="B5" s="5"/>
      <c r="C5" s="5"/>
      <c r="D5" s="5"/>
      <c r="E5" s="5"/>
      <c r="F5" s="5"/>
      <c r="G5" s="5"/>
      <c r="H5" s="6"/>
    </row>
    <row r="6" customHeight="1" spans="1:8">
      <c r="A6" s="7" t="s">
        <v>528</v>
      </c>
      <c r="B6" s="8">
        <v>0.401902408775822</v>
      </c>
      <c r="C6" s="8">
        <v>0.398772277022975</v>
      </c>
      <c r="D6" s="8">
        <v>0.395642145270128</v>
      </c>
      <c r="E6" s="8">
        <v>0.39251201351728</v>
      </c>
      <c r="F6" s="8">
        <v>0.389381881764433</v>
      </c>
      <c r="G6" s="8">
        <v>0.386251750011585</v>
      </c>
      <c r="H6" s="8">
        <v>0.383121618258737</v>
      </c>
    </row>
    <row r="7" customHeight="1" spans="1:8">
      <c r="A7" s="4" t="s">
        <v>530</v>
      </c>
      <c r="B7" s="5"/>
      <c r="C7" s="5"/>
      <c r="D7" s="5"/>
      <c r="E7" s="5"/>
      <c r="F7" s="5"/>
      <c r="G7" s="5"/>
      <c r="H7" s="6"/>
    </row>
    <row r="8" customHeight="1" spans="1:8">
      <c r="A8" s="7" t="s">
        <v>528</v>
      </c>
      <c r="B8" s="8">
        <v>0.396937320239012</v>
      </c>
      <c r="C8" s="8">
        <v>0.395416948502922</v>
      </c>
      <c r="D8" s="8">
        <v>0.393942530403566</v>
      </c>
      <c r="E8" s="8">
        <v>0.39251201351728</v>
      </c>
      <c r="F8" s="8">
        <v>0.391123465850465</v>
      </c>
      <c r="G8" s="8">
        <v>0.38767520935214</v>
      </c>
      <c r="H8" s="8">
        <v>0.382843094697516</v>
      </c>
    </row>
  </sheetData>
  <mergeCells count="4">
    <mergeCell ref="A1:H1"/>
    <mergeCell ref="A3:H3"/>
    <mergeCell ref="A5:H5"/>
    <mergeCell ref="A7:H7"/>
  </mergeCell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name="Button 3" r:id="rId3">
              <controlPr print="0" defaultSize="0">
                <anchor moveWithCells="1" sizeWithCells="1">
                  <from>
                    <xdr:col>7</xdr:col>
                    <xdr:colOff>91440</xdr:colOff>
                    <xdr:row>10</xdr:row>
                    <xdr:rowOff>68580</xdr:rowOff>
                  </from>
                  <to>
                    <xdr:col>7</xdr:col>
                    <xdr:colOff>967740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name="Button 4" r:id="rId4">
              <controlPr print="0" defaultSize="0">
                <anchor moveWithCells="1" sizeWithCells="1">
                  <from>
                    <xdr:col>6</xdr:col>
                    <xdr:colOff>114300</xdr:colOff>
                    <xdr:row>10</xdr:row>
                    <xdr:rowOff>68580</xdr:rowOff>
                  </from>
                  <to>
                    <xdr:col>6</xdr:col>
                    <xdr:colOff>967740</xdr:colOff>
                    <xdr:row>11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A财务假设</vt:lpstr>
      <vt:lpstr>B项目信息</vt:lpstr>
      <vt:lpstr>C.1项目融资信息</vt:lpstr>
      <vt:lpstr>C.2项目每年借款信息</vt:lpstr>
      <vt:lpstr>D.1建设投资</vt:lpstr>
      <vt:lpstr>D.2项目总投资使用计划与资金筹措表</vt:lpstr>
      <vt:lpstr>D.3建设投资分年计划表</vt:lpstr>
      <vt:lpstr>D.4流动资金估算表</vt:lpstr>
      <vt:lpstr>E总成本费用估算表</vt:lpstr>
      <vt:lpstr>E.1项目运营期费用</vt:lpstr>
      <vt:lpstr>E.1.1项目运营期费用(不含税）</vt:lpstr>
      <vt:lpstr>E.2固定资产折旧费估算表</vt:lpstr>
      <vt:lpstr>E.3无形资产和其他资产摊销费估算表</vt:lpstr>
      <vt:lpstr>E.4建设投资税后金额表</vt:lpstr>
      <vt:lpstr>F项目收入</vt:lpstr>
      <vt:lpstr>F.1项目单项收入信息</vt:lpstr>
      <vt:lpstr>G.税金及附加测算表</vt:lpstr>
      <vt:lpstr>G.1进项增值税率-建设投资</vt:lpstr>
      <vt:lpstr>G.2进项增值税率-运营成本</vt:lpstr>
      <vt:lpstr>G.3销项增值税率</vt:lpstr>
      <vt:lpstr>a.1财务现金流量表</vt:lpstr>
      <vt:lpstr>a.2项目资本金现金流量表</vt:lpstr>
      <vt:lpstr>b利润与利润分配表（损益和利润分配表）</vt:lpstr>
      <vt:lpstr>c借款还本付息计划表</vt:lpstr>
      <vt:lpstr>d财务计划现金流量表</vt:lpstr>
      <vt:lpstr>e资产负债表</vt:lpstr>
      <vt:lpstr>Ⅰ项目投资估算构成表</vt:lpstr>
      <vt:lpstr>Ⅱ项目分年度资金筹措计划表</vt:lpstr>
      <vt:lpstr>Ⅲ项目分年度收入合计表</vt:lpstr>
      <vt:lpstr>Ⅳ项目分年度成本明细表</vt:lpstr>
      <vt:lpstr>Ⅴ项目分年度收益表</vt:lpstr>
      <vt:lpstr>Ⅵ专项债券应付本息情况表</vt:lpstr>
      <vt:lpstr>Ⅶ专项债券资金收益与融资平衡情况表</vt:lpstr>
      <vt:lpstr>VIII债券资金覆盖率压力测试表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周亮;谢玉君</dc:creator>
  <cp:lastModifiedBy>lenovo</cp:lastModifiedBy>
  <dcterms:created xsi:type="dcterms:W3CDTF">2025-07-25T07:38:00Z</dcterms:created>
  <cp:lastPrinted>2025-08-29T06:30:00Z</cp:lastPrinted>
  <dcterms:modified xsi:type="dcterms:W3CDTF">2025-09-19T01:20:01Z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A62F43F1CE584E62A57D9F3657D9ED21_13</vt:lpwstr>
  </property>
  <property fmtid="{D5CDD505-2E9C-101B-9397-08002B2CF9AE}" pid="3" name="KSOProductBuildVer">
    <vt:lpwstr>2052-12.8.2.18205</vt:lpwstr>
  </property>
</Properties>
</file>