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00" tabRatio="847" firstSheet="20" activeTab="20"/>
  </bookViews>
  <sheets>
    <sheet name="A财务假设" sheetId="1" r:id="rId1"/>
    <sheet name="B项目信息" sheetId="2" r:id="rId2"/>
    <sheet name="C.1项目融资信息" sheetId="3" r:id="rId3"/>
    <sheet name="C.2项目每年借款信息" sheetId="4" r:id="rId4"/>
    <sheet name="D.1建设投资" sheetId="5" r:id="rId5"/>
    <sheet name="D.2项目总投资使用计划与资金筹措表" sheetId="6" r:id="rId6"/>
    <sheet name="D.3建设投资分年计划表" sheetId="7" r:id="rId7"/>
    <sheet name="D.4流动资金估算表" sheetId="8" r:id="rId8"/>
    <sheet name="E总成本费用估算表" sheetId="9" r:id="rId9"/>
    <sheet name="E.1项目运营期费用" sheetId="10" r:id="rId10"/>
    <sheet name="E.1.1项目运营期费用(不含税）" sheetId="11" r:id="rId11"/>
    <sheet name="E.2固定资产折旧费估算表" sheetId="12" r:id="rId12"/>
    <sheet name="E.3无形资产和其他资产摊销费估算表" sheetId="13" r:id="rId13"/>
    <sheet name="E.4建设投资税后金额表" sheetId="14" r:id="rId14"/>
    <sheet name="F项目收入" sheetId="15" r:id="rId15"/>
    <sheet name="F.1项目单项收入信息" sheetId="16" r:id="rId16"/>
    <sheet name="G.税金及附加测算表" sheetId="17" r:id="rId17"/>
    <sheet name="G.1进项增值税率-建设投资" sheetId="18" r:id="rId18"/>
    <sheet name="G.2进项增值税率-运营成本" sheetId="19" r:id="rId19"/>
    <sheet name="G.3销项增值税率" sheetId="20" r:id="rId20"/>
    <sheet name="a.1财务现金流量表" sheetId="21" r:id="rId21"/>
    <sheet name="a.2项目资本金现金流量表" sheetId="22" r:id="rId22"/>
    <sheet name="b利润与利润分配表（损益和利润分配表）" sheetId="23" r:id="rId23"/>
    <sheet name="c借款还本付息计划表" sheetId="24" r:id="rId24"/>
    <sheet name="d财务计划现金流量表" sheetId="25" r:id="rId25"/>
    <sheet name="e资产负债表" sheetId="26" r:id="rId26"/>
    <sheet name="Ⅰ项目投资估算构成表" sheetId="27" r:id="rId27"/>
    <sheet name="Ⅱ项目分年度资金筹措计划表" sheetId="28" r:id="rId28"/>
    <sheet name="Ⅲ项目分年度收入合计表" sheetId="29" r:id="rId29"/>
    <sheet name="Ⅳ项目分年度成本明细表" sheetId="30" r:id="rId30"/>
    <sheet name="Ⅴ项目分年度收益表" sheetId="31" r:id="rId31"/>
    <sheet name="Ⅵ专项债券应付本息情况表" sheetId="32" r:id="rId32"/>
    <sheet name="Ⅶ专项债券资金收益与融资平衡情况表" sheetId="33" state="hidden" r:id="rId33"/>
    <sheet name="VIII债券资金覆盖率压力测试表" sheetId="34" r:id="rId34"/>
  </sheets>
  <externalReferences>
    <externalReference r:id="rId3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周亮</author>
  </authors>
  <commentList>
    <comment ref="D10" authorId="0">
      <text>
        <r>
          <rPr>
            <sz val="10"/>
            <rFont val="宋体"/>
            <charset val="134"/>
          </rPr>
          <t>周亮:
建设期利息不能用专项债
优先将2.2债务资金用于2.2.1建设投资
纯专项债项目，2.2.2建设期利息均为0，建设期利息要用资本金支付，即2.1.2
建设投资不够的部分，再使用资本金，即2.1.1
纯专项债项目，专项债资金不能用于流动资金，故2.2.3为0</t>
        </r>
      </text>
    </comment>
  </commentList>
</comments>
</file>

<file path=xl/comments2.xml><?xml version="1.0" encoding="utf-8"?>
<comments xmlns="http://schemas.openxmlformats.org/spreadsheetml/2006/main">
  <authors>
    <author>周亮</author>
  </authors>
  <commentList>
    <comment ref="F7" authorId="0">
      <text>
        <r>
          <rPr>
            <sz val="10"/>
            <rFont val="宋体"/>
            <charset val="134"/>
          </rPr>
          <t>周亮:
需根据选项，自行单独计算每行的值，表格只做了示例的公式，供参考</t>
        </r>
      </text>
    </comment>
  </commentList>
</comments>
</file>

<file path=xl/sharedStrings.xml><?xml version="1.0" encoding="utf-8"?>
<sst xmlns="http://schemas.openxmlformats.org/spreadsheetml/2006/main" count="979" uniqueCount="552">
  <si>
    <t>A财务假设</t>
  </si>
  <si>
    <t>序号</t>
  </si>
  <si>
    <t>名称</t>
  </si>
  <si>
    <t>解释</t>
  </si>
  <si>
    <t>参考值</t>
  </si>
  <si>
    <t>项目投资财务基准收益率(税前)</t>
  </si>
  <si>
    <t>国家发改委《建设项目财务基准收益率取值表》</t>
  </si>
  <si>
    <t>项目投资财务基准收益率(税后)</t>
  </si>
  <si>
    <t>项目资本金财务基准收益率</t>
  </si>
  <si>
    <t>项目资本金财务基准收益率应体现项目发起人（代表项目所有权益投资者）
对投资获利的最低期望值（也称最低可接受收益率）。当项目资本金财务
内部收益率大于或等于该最低可接受收益率时，说明在该融资方案下，项目
资本金获利水平超过或达到了要求，该融资方案是可以接受的。</t>
  </si>
  <si>
    <t>城市维护建设税税率</t>
  </si>
  <si>
    <t>市区：7%；县城、镇：5%；
不在市区、县城或者镇：1% ；
缴纳基数为：增值税税额+营业税税额+消费税税额</t>
  </si>
  <si>
    <t>教育费附加费率</t>
  </si>
  <si>
    <t>缴纳基数为：增值税税额+营业税税额+消费税税额</t>
  </si>
  <si>
    <t>地方教育费附加费率</t>
  </si>
  <si>
    <t>企业所得税率</t>
  </si>
  <si>
    <t>是针对企业应纳税所得额征收的税种</t>
  </si>
  <si>
    <t>法定盈余公积提取比例</t>
  </si>
  <si>
    <t>企业应按照一定的比例从税后利润中提取盈余公积</t>
  </si>
  <si>
    <t>任意盈余公积提取比例</t>
  </si>
  <si>
    <t>提取比例由企业自主决定，没有固定标</t>
  </si>
  <si>
    <t>残值率</t>
  </si>
  <si>
    <t>资产在预计使用寿命结束时的剩余价值占其原始成本的百分比</t>
  </si>
  <si>
    <t>资本金用于流动资金比例</t>
  </si>
  <si>
    <t>不低于30%，但专项债资金不能用于流动资金，故设为 100%</t>
  </si>
  <si>
    <t>折现率</t>
  </si>
  <si>
    <t>投资者要求的最低收益率，可参考基准收益率，是由国家或行业主管部门制
定的，针对特定行业的标准折现率（如《建设项目经济评价方法与参数》中
规定的行业基准值）</t>
  </si>
  <si>
    <t>债券发行手续费率</t>
  </si>
  <si>
    <t xml:space="preserve"> 3年期及以下债券发行手续费为发行额的0.04%</t>
  </si>
  <si>
    <t>5年期及以上债券发行手续费为发行额的0.08%</t>
  </si>
  <si>
    <t>债券发行登记服务费率</t>
  </si>
  <si>
    <t>债券发行登记服务费为发行额的0.0064%</t>
  </si>
  <si>
    <t>债券还本付息兑付手续费率</t>
  </si>
  <si>
    <t>金额为本息和的0.005%</t>
  </si>
  <si>
    <t>成本浮动系数</t>
  </si>
  <si>
    <t>用于压力测试表中对应的系数填写</t>
  </si>
  <si>
    <t>收入浮动系数</t>
  </si>
  <si>
    <t>贷款利率浮动系数</t>
  </si>
  <si>
    <t>B项目信息</t>
  </si>
  <si>
    <t>值</t>
  </si>
  <si>
    <t>建设分期一</t>
  </si>
  <si>
    <t>建设开始年月</t>
  </si>
  <si>
    <t>建设完成年月</t>
  </si>
  <si>
    <t>建设期（月）</t>
  </si>
  <si>
    <t>建设完成年月-建设开始年月</t>
  </si>
  <si>
    <t>运营开始年月</t>
  </si>
  <si>
    <t>开始有运营收入的时间，可以在建设期间</t>
  </si>
  <si>
    <t>运营期（年）</t>
  </si>
  <si>
    <t>按照债务周期为截止时间，折旧年限等同于运营期</t>
  </si>
  <si>
    <t>总借款年限-运营开始年限+1</t>
  </si>
  <si>
    <t>建设分期二</t>
  </si>
  <si>
    <t>建设分期三</t>
  </si>
  <si>
    <t>C.1项目融资信息</t>
  </si>
  <si>
    <t>借款名称</t>
  </si>
  <si>
    <t>借款类别</t>
  </si>
  <si>
    <t>借款金额（万元）</t>
  </si>
  <si>
    <t>开始时间</t>
  </si>
  <si>
    <t>结束时间</t>
  </si>
  <si>
    <t>借款周期（年）</t>
  </si>
  <si>
    <t>借款利率</t>
  </si>
  <si>
    <t>还款方式</t>
  </si>
  <si>
    <t>首年计息月份</t>
  </si>
  <si>
    <t>债券发行费（万元）</t>
  </si>
  <si>
    <t>债券发行登记服务费（万元）</t>
  </si>
  <si>
    <t>债券还本付息兑付手续费（万元）</t>
  </si>
  <si>
    <t>地方政府专项债
/市场化融资</t>
  </si>
  <si>
    <t>1,2,3,5,7,10,15,20,30
根据实际需要选择</t>
  </si>
  <si>
    <t>专项债按发行前5个
工作日国债均价利率，
选择性上浮10%</t>
  </si>
  <si>
    <t>允许地方结合实际情况，采取
到期还本（10年期以下按年付息，10年期以上按半年付息）、提前还本、分年还本等不同还本方式</t>
  </si>
  <si>
    <t>3年期及以下债券发行手续费
为发行额的0.04%，5年期及以
上债券发行手续费为发行额的0.08%</t>
  </si>
  <si>
    <t>发行额的0.0064%</t>
  </si>
  <si>
    <t>在每年还本付息时支付，
金额为本息和的0.005%</t>
  </si>
  <si>
    <t>借款1</t>
  </si>
  <si>
    <t>地方政府专项债</t>
  </si>
  <si>
    <t>到期一次性还清</t>
  </si>
  <si>
    <t>对应好c</t>
  </si>
  <si>
    <t>借款2</t>
  </si>
  <si>
    <t>借款3</t>
  </si>
  <si>
    <t>C.2项目每年借款信息（万元）</t>
  </si>
  <si>
    <t>计算期年序</t>
  </si>
  <si>
    <t>合计</t>
  </si>
  <si>
    <t>D.1建设投资</t>
  </si>
  <si>
    <t>（此表不需要填写，复制D.3的前4列，如果D.3有修改，此表也要同步复制）</t>
  </si>
  <si>
    <t>分项费用</t>
  </si>
  <si>
    <t>说明</t>
  </si>
  <si>
    <t>金额（万元）</t>
  </si>
  <si>
    <t>一</t>
  </si>
  <si>
    <t>工程建设费用</t>
  </si>
  <si>
    <t>工程类费用</t>
  </si>
  <si>
    <t>建筑工程费</t>
  </si>
  <si>
    <t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t>
  </si>
  <si>
    <t>设备购置费</t>
  </si>
  <si>
    <t>安装工程费</t>
  </si>
  <si>
    <t>指的是建筑工程中的管线安装、设备安装（如空调、电线、水管等），以及室内装修、园林绿化等方面的费用。</t>
  </si>
  <si>
    <t>信息化建设费用</t>
  </si>
  <si>
    <t>硬件类</t>
  </si>
  <si>
    <t>软件类</t>
  </si>
  <si>
    <t>安全类</t>
  </si>
  <si>
    <t>数据类</t>
  </si>
  <si>
    <t>二</t>
  </si>
  <si>
    <t>工程建设其他费用</t>
  </si>
  <si>
    <t>建设单位管理费</t>
  </si>
  <si>
    <t>前期咨询费</t>
  </si>
  <si>
    <t>工程设计费</t>
  </si>
  <si>
    <t>工程监理费</t>
  </si>
  <si>
    <t>......</t>
  </si>
  <si>
    <t>三</t>
  </si>
  <si>
    <t>预备费</t>
  </si>
  <si>
    <t>基本预备费</t>
  </si>
  <si>
    <t>总计</t>
  </si>
  <si>
    <t>D.2项目总投资使用计划与资金筹措表（万元）</t>
  </si>
  <si>
    <t>科目</t>
  </si>
  <si>
    <t>总投资</t>
  </si>
  <si>
    <t>建设投资</t>
  </si>
  <si>
    <t>建设期利息</t>
  </si>
  <si>
    <t>流动资金</t>
  </si>
  <si>
    <t>资金筹措</t>
  </si>
  <si>
    <t>项目资本金</t>
  </si>
  <si>
    <t>2.1.1</t>
  </si>
  <si>
    <t>用于建设投资</t>
  </si>
  <si>
    <t>2.1.2</t>
  </si>
  <si>
    <t>用于建设期利息</t>
  </si>
  <si>
    <t>2.1.3</t>
  </si>
  <si>
    <t>用于流动资金</t>
  </si>
  <si>
    <t>债务资金</t>
  </si>
  <si>
    <t>对应好C.2</t>
  </si>
  <si>
    <t>2.2.1</t>
  </si>
  <si>
    <t>2.2.2</t>
  </si>
  <si>
    <t>2.2.3</t>
  </si>
  <si>
    <t>其他资金</t>
  </si>
  <si>
    <t>资本金基数总投资</t>
  </si>
  <si>
    <t>/</t>
  </si>
  <si>
    <t>铺底流动资金</t>
  </si>
  <si>
    <t>资本金比例
（不能少于20%）</t>
  </si>
  <si>
    <t>D.3建设投资分年计划表（万元）</t>
  </si>
  <si>
    <t>（此表红色字体部分需要填写，覆盖建设期年份，行会影响E.2折旧和E.3摊销表的引用，建议不修改）</t>
  </si>
  <si>
    <t>金额</t>
  </si>
  <si>
    <t>包括服务器、存储、网络等设备</t>
  </si>
  <si>
    <t>D.4流动资金估算表（万元）</t>
  </si>
  <si>
    <t>(此表红色字体部分需要填写，从第一次运营开始填写数值，最低周转天数可问AI）</t>
  </si>
  <si>
    <t>项目</t>
  </si>
  <si>
    <t>最低周转天数(天)</t>
  </si>
  <si>
    <t>周转次数</t>
  </si>
  <si>
    <t>流动资产</t>
  </si>
  <si>
    <t>应收账款</t>
  </si>
  <si>
    <t>存货</t>
  </si>
  <si>
    <t>1.2.1</t>
  </si>
  <si>
    <t>原材料</t>
  </si>
  <si>
    <t>1.2.2</t>
  </si>
  <si>
    <t>燃料动力</t>
  </si>
  <si>
    <t>1.2.3</t>
  </si>
  <si>
    <t>在产品</t>
  </si>
  <si>
    <t>1.2.4</t>
  </si>
  <si>
    <t>产成品</t>
  </si>
  <si>
    <t>现金</t>
  </si>
  <si>
    <t>流动负债</t>
  </si>
  <si>
    <t>应付账款</t>
  </si>
  <si>
    <t>流动资金（1-2）</t>
  </si>
  <si>
    <t>流动资金当年增加额</t>
  </si>
  <si>
    <t>流动资金贷款</t>
  </si>
  <si>
    <t>E总成本费用估算表（万元）</t>
  </si>
  <si>
    <t>建设期不计算，需从E.1.1中取数，映射关系需要自做，再修改计算公式</t>
  </si>
  <si>
    <t>外购原材料费</t>
  </si>
  <si>
    <t>外购燃料及动力费</t>
  </si>
  <si>
    <t>注意这里1~5.3都要做跟E.1.1的映射计算</t>
  </si>
  <si>
    <t>工资福利费</t>
  </si>
  <si>
    <t>修理费</t>
  </si>
  <si>
    <t>其他费用 （5.1+5.2+5.3）</t>
  </si>
  <si>
    <t>其他制造费用</t>
  </si>
  <si>
    <t>其他管理费用</t>
  </si>
  <si>
    <t>其他营业费用</t>
  </si>
  <si>
    <t>经营成本 （1+2+3+4+5）</t>
  </si>
  <si>
    <t>折旧费</t>
  </si>
  <si>
    <t>摊销费</t>
  </si>
  <si>
    <t>利息支出</t>
  </si>
  <si>
    <t>总成本费用 （6+7+8+9）</t>
  </si>
  <si>
    <t>其中固定成本 （10-10.2）</t>
  </si>
  <si>
    <t>其中可变成本 （1+2+3+5.3）</t>
  </si>
  <si>
    <t>E.1项目运营期费用（万元）</t>
  </si>
  <si>
    <t>成本类别</t>
  </si>
  <si>
    <t>取费计算方式</t>
  </si>
  <si>
    <t>数量</t>
  </si>
  <si>
    <t>单价</t>
  </si>
  <si>
    <t>浮动后单价</t>
  </si>
  <si>
    <t>负荷系数</t>
  </si>
  <si>
    <t>场地维护成本</t>
  </si>
  <si>
    <t>场地租金</t>
  </si>
  <si>
    <t>按面积×租金单价</t>
  </si>
  <si>
    <t>场地日常维护（停机坪/起降场/交通枢纽/飞行营地/指挥中心等）</t>
  </si>
  <si>
    <t>按面积 × 单位维护单价（元 / ㎡・年）</t>
  </si>
  <si>
    <t>消防设施年检</t>
  </si>
  <si>
    <t>按设备数量 × 单台年检费（元 / 台・次）</t>
  </si>
  <si>
    <t>防鸟措施（驱鸟器维护）</t>
  </si>
  <si>
    <t>按套数 × 年费（元 / 套・年）+ 耗材费（如驱鸟剂）</t>
  </si>
  <si>
    <t>燃料动力费</t>
  </si>
  <si>
    <t>飞行器能耗</t>
  </si>
  <si>
    <t>按电耗或油耗计算</t>
  </si>
  <si>
    <t>核心设备电力能耗</t>
  </si>
  <si>
    <t>按实际用电量 × 电价（元 / 千瓦 时）</t>
  </si>
  <si>
    <t>水电能耗</t>
  </si>
  <si>
    <t>按面积估算</t>
  </si>
  <si>
    <t>网络费</t>
  </si>
  <si>
    <t>网络通信费用</t>
  </si>
  <si>
    <t>按年计算租金</t>
  </si>
  <si>
    <t>硬件维护成本</t>
  </si>
  <si>
    <t>硬件设备维护</t>
  </si>
  <si>
    <t>按照固定资产15%计算</t>
  </si>
  <si>
    <t>备品备件储备</t>
  </si>
  <si>
    <t>按年度设备维护预算 × 储备比例 （10%-20%）</t>
  </si>
  <si>
    <t>软件维护费</t>
  </si>
  <si>
    <t>软件维护</t>
  </si>
  <si>
    <t>按无形资产造价的20%计算</t>
  </si>
  <si>
    <t>营销费用</t>
  </si>
  <si>
    <t>营销及活动</t>
  </si>
  <si>
    <t>按年平均营业收入的2%计算</t>
  </si>
  <si>
    <t>工资及福利费</t>
  </si>
  <si>
    <t>人员薪酬</t>
  </si>
  <si>
    <t>按岗位月薪 ×12 + 福利（月薪 ×20%-30%）</t>
  </si>
  <si>
    <t>培训与资质认证</t>
  </si>
  <si>
    <t>按人次 × 人均培训费（元 / 人 次）</t>
  </si>
  <si>
    <t>办公与行政支出</t>
  </si>
  <si>
    <t>按人员数量 × 人均办公费（元 / 人・月）</t>
  </si>
  <si>
    <t>合规性与安全成本</t>
  </si>
  <si>
    <t>空域使用审批费</t>
  </si>
  <si>
    <t>按空域面积 × 年费率（元 / 平方 公里・年）</t>
  </si>
  <si>
    <t>场地责任险</t>
  </si>
  <si>
    <t>按保额 × 保险费率（年费率 0.1%-0.3%）</t>
  </si>
  <si>
    <t>安全演练与应急处置</t>
  </si>
  <si>
    <t>按次数 × 单次演练成本（元 / 次）</t>
  </si>
  <si>
    <t>其他费用</t>
  </si>
  <si>
    <t>第三方安全评估</t>
  </si>
  <si>
    <t>按项目投资额 × 评估费率 （0.1%-0.3%）</t>
  </si>
  <si>
    <t>不可预见支出</t>
  </si>
  <si>
    <t>按年度总成本 × 计提比例 （5%-10%）</t>
  </si>
  <si>
    <t>E.1.1项目运营期费用(不含税）（万元）</t>
  </si>
  <si>
    <t>(此表不需要填写，复制的E.1表，若E.1修改了，此表要重新复制后计算）</t>
  </si>
  <si>
    <t>单元格计算的进项税率要对应好</t>
  </si>
  <si>
    <t>E.2固定资产折旧费估算表（万元）</t>
  </si>
  <si>
    <t>（红色字部分应按照B表和D.3，分不同运营期计算折旧，原值的计算重新写对应公式）</t>
  </si>
  <si>
    <t>原值</t>
  </si>
  <si>
    <t>年折旧率</t>
  </si>
  <si>
    <t>年折旧额</t>
  </si>
  <si>
    <t>净值（原值-年折旧额*n）</t>
  </si>
  <si>
    <t>不含税（固定资产金额）+不含税（工程其他费）+预备费 + c建设期利息及发行费</t>
  </si>
  <si>
    <t>1 /B 折旧年限 × 100%
（折旧年限等同于运营期）</t>
  </si>
  <si>
    <t>原值 × A~（1-残值残值率）× 年折旧率）</t>
  </si>
  <si>
    <t>建设期1</t>
  </si>
  <si>
    <t>固定资产投资</t>
  </si>
  <si>
    <t>C列需要选取建设期年份内，E.4表中归属固定资产的值</t>
  </si>
  <si>
    <t>建设期2</t>
  </si>
  <si>
    <t>D列的折旧年限引用B表中各建设期的运营期（每段的最后一行）</t>
  </si>
  <si>
    <t>建设期3</t>
  </si>
  <si>
    <t>E.3无形资产和其他资产摊销费估算表</t>
  </si>
  <si>
    <t>（此表红色字体部分按实际填写，同时应按照B表和D.3，分不同运营期计算摊销，原值的计算重新写引用公式，年折旧额中的残值率为0）</t>
  </si>
  <si>
    <t>净值</t>
  </si>
  <si>
    <t>不含税(软件类)+不含税(安全类软件)+不含税 (数据类)+专利费+土地使用权费+商标权、著作权费</t>
  </si>
  <si>
    <t>原值×年折旧率</t>
  </si>
  <si>
    <t>合计1</t>
  </si>
  <si>
    <t>无形资产</t>
  </si>
  <si>
    <t>1.1.1</t>
  </si>
  <si>
    <t>土地使用权</t>
  </si>
  <si>
    <t>1.1.2</t>
  </si>
  <si>
    <t>专利技术</t>
  </si>
  <si>
    <t>1.1.3</t>
  </si>
  <si>
    <t>软件及其他无形资产</t>
  </si>
  <si>
    <t>修改此行D列的折旧年限，引用B表中各建设期的运营期（每段的最后一行）</t>
  </si>
  <si>
    <t>其他资产</t>
  </si>
  <si>
    <t>项目开办费</t>
  </si>
  <si>
    <t>合计2</t>
  </si>
  <si>
    <t>合计3</t>
  </si>
  <si>
    <t>E.4建设投资税后金额表（万元）</t>
  </si>
  <si>
    <t>（此表不需要填写，复制D.3的对应列，如果D.3有修改，此表也要同步复制）</t>
  </si>
  <si>
    <t>增值税率</t>
  </si>
  <si>
    <t>2025
（税后）</t>
  </si>
  <si>
    <t>2026
（税后）</t>
  </si>
  <si>
    <t>2027
（税后）</t>
  </si>
  <si>
    <t>H I J列税后计算的税率引用需对应</t>
  </si>
  <si>
    <t>F项目收入（万元）</t>
  </si>
  <si>
    <t>收入类别</t>
  </si>
  <si>
    <t>含税/不含税</t>
  </si>
  <si>
    <t>租赁收入</t>
  </si>
  <si>
    <t>含税</t>
  </si>
  <si>
    <t>不含税</t>
  </si>
  <si>
    <t>停车收入</t>
  </si>
  <si>
    <t>充电桩收入</t>
  </si>
  <si>
    <t>补贴收入</t>
  </si>
  <si>
    <t>……</t>
  </si>
  <si>
    <t>年度合计（含税）</t>
  </si>
  <si>
    <t>年度合计（不含税）</t>
  </si>
  <si>
    <t>F.1项目单项收入信息</t>
  </si>
  <si>
    <t>（此表红色部分需要填写，每行需要根据E F G列单独计算）</t>
  </si>
  <si>
    <t>单价（万元/年）</t>
  </si>
  <si>
    <t>浮动后单价（万元）</t>
  </si>
  <si>
    <t>单价年增长情况</t>
  </si>
  <si>
    <t>增长比例</t>
  </si>
  <si>
    <t>不增长</t>
  </si>
  <si>
    <t>不增长的公式已写好</t>
  </si>
  <si>
    <t>年度负荷</t>
  </si>
  <si>
    <t>每年增长</t>
  </si>
  <si>
    <t>每年增长的公式已写好</t>
  </si>
  <si>
    <t>...</t>
  </si>
  <si>
    <t>G.税金及附加测算表（万元）</t>
  </si>
  <si>
    <t>进项跟随E.1修改，销项跟随F修改</t>
  </si>
  <si>
    <t>建设投资进项税</t>
  </si>
  <si>
    <t xml:space="preserve">2025
</t>
  </si>
  <si>
    <t xml:space="preserve">2026
</t>
  </si>
  <si>
    <t xml:space="preserve">2027
</t>
  </si>
  <si>
    <t xml:space="preserve">2028
</t>
  </si>
  <si>
    <t xml:space="preserve">2029
</t>
  </si>
  <si>
    <t>G.1 进项税总计-建设投资
可一直累进抵扣，直至为0</t>
  </si>
  <si>
    <t>第一列单独赋值，需要做好对应</t>
  </si>
  <si>
    <t>当期进项税额</t>
  </si>
  <si>
    <t>当期销项税额</t>
  </si>
  <si>
    <t>引用F表的含税价，纵向不是连续复制</t>
  </si>
  <si>
    <t xml:space="preserve">当期应缴增值税 </t>
  </si>
  <si>
    <t>城建税及教育费附加</t>
  </si>
  <si>
    <t>G.1进项增值税率-建设投资</t>
  </si>
  <si>
    <t>行分项跟随D.3修改</t>
  </si>
  <si>
    <t>增值税（万元）</t>
  </si>
  <si>
    <t>工程类</t>
  </si>
  <si>
    <t>进项税总计-建设投资</t>
  </si>
  <si>
    <t>G.2进项增值税率-运营成本</t>
  </si>
  <si>
    <t>行分项跟随E.1修改</t>
  </si>
  <si>
    <t>G.3销项增值税率</t>
  </si>
  <si>
    <t>行分项跟随F修改</t>
  </si>
  <si>
    <t>广告收入</t>
  </si>
  <si>
    <t>政务服务收入</t>
  </si>
  <si>
    <t>企业服务收入</t>
  </si>
  <si>
    <t>文旅服务收入</t>
  </si>
  <si>
    <t>飞行服务收入</t>
  </si>
  <si>
    <t>数据收入</t>
  </si>
  <si>
    <t>产学研成果转化及输入收入</t>
  </si>
  <si>
    <t>a.1财务现金流量表（万元）</t>
  </si>
  <si>
    <t>现金流入</t>
  </si>
  <si>
    <t>营业收入</t>
  </si>
  <si>
    <t>回收固定资产余值</t>
  </si>
  <si>
    <t>回收流动资金</t>
  </si>
  <si>
    <t>现金流出</t>
  </si>
  <si>
    <t>经营成本</t>
  </si>
  <si>
    <t>营业税金及附加</t>
  </si>
  <si>
    <t>增值税</t>
  </si>
  <si>
    <t>维持运营投资</t>
  </si>
  <si>
    <t>所得税前净现金流量（1-2）</t>
  </si>
  <si>
    <t>累计所得税前净现金流量</t>
  </si>
  <si>
    <t>调整所得税</t>
  </si>
  <si>
    <t>所得税后净现金流量（3-5）</t>
  </si>
  <si>
    <t>累计所得税后净现金流量</t>
  </si>
  <si>
    <t>折现值-所得税前净现金流量</t>
  </si>
  <si>
    <t>折现值-累计所得税前净现金流量</t>
  </si>
  <si>
    <t>折现值-所得税后净现金流量</t>
  </si>
  <si>
    <t>折现值-累计所得税后净现金流量</t>
  </si>
  <si>
    <t>Ⅰ</t>
  </si>
  <si>
    <t>项目投资财务内部收益率（%）
（所得税前）</t>
  </si>
  <si>
    <t>Ⅱ</t>
  </si>
  <si>
    <t>项目投资财务内部收益率（%）
（所得税后）</t>
  </si>
  <si>
    <t>Ⅲ</t>
  </si>
  <si>
    <t>项目投资财务净现值（所得税前）
（ic = %）</t>
  </si>
  <si>
    <t>ic参考表A</t>
  </si>
  <si>
    <t>Ⅳ</t>
  </si>
  <si>
    <t>项目投资财务净现值（所得税后）
（ic = %）</t>
  </si>
  <si>
    <t>Ⅴ</t>
  </si>
  <si>
    <t>项目静态投资回收期（年）
（所得税前）</t>
  </si>
  <si>
    <t>看A列序号：行4转正年份 - 2025 + 行4[行4转正年份-1] / 行3[行4转正年份]</t>
  </si>
  <si>
    <t>Ⅵ</t>
  </si>
  <si>
    <t>项目动态投资回收期（年）
（所得税前）</t>
  </si>
  <si>
    <t>看A列序号：行9转正年份 - 2025 + 行9[行9转正年份-1] / 行8[行9转正年份]</t>
  </si>
  <si>
    <t>Ⅶ</t>
  </si>
  <si>
    <t>★项目静态投资回收期（年）
（所得税后）</t>
  </si>
  <si>
    <t>看A列序号：行7转正年份 - 2025 + 行7[行7转正年份-1] / 行6[行7转正年份]</t>
  </si>
  <si>
    <t>Ⅷ</t>
  </si>
  <si>
    <t>★项目动态投资回收期（年）
（所得税后）</t>
  </si>
  <si>
    <t>看A列序号：行11转正年份 - 2025 + 行11[行11转正年份-1] / 行10[行11转正年份]</t>
  </si>
  <si>
    <t>a.2项目资本金现金流量表（万元）</t>
  </si>
  <si>
    <t>借款本金偿还</t>
  </si>
  <si>
    <t>借款利息支付</t>
  </si>
  <si>
    <t>所得税</t>
  </si>
  <si>
    <t>净现金流量</t>
  </si>
  <si>
    <t>资本金财务内部收益率（%）</t>
  </si>
  <si>
    <t>b利润与利润分配表（损益和利润分配表）（万元）</t>
  </si>
  <si>
    <t>营业收入（不含增值税）</t>
  </si>
  <si>
    <t>总成本费用（不含增值税）</t>
  </si>
  <si>
    <t>利润总额</t>
  </si>
  <si>
    <t>弥补以前年度亏损</t>
  </si>
  <si>
    <t>期末未弥补亏损</t>
  </si>
  <si>
    <t>应纳税所得额</t>
  </si>
  <si>
    <t>净利润</t>
  </si>
  <si>
    <t>期初未分配利润</t>
  </si>
  <si>
    <t>可供分配的利润</t>
  </si>
  <si>
    <t>提取法定盈余公积金</t>
  </si>
  <si>
    <t>可供投资者分配的利润</t>
  </si>
  <si>
    <t>应付优先股股利</t>
  </si>
  <si>
    <t>提取任意盈余公积金</t>
  </si>
  <si>
    <t>应付普通股股利</t>
  </si>
  <si>
    <t>各投资方利润分配：</t>
  </si>
  <si>
    <t>其中：投资方</t>
  </si>
  <si>
    <t>未分配利润</t>
  </si>
  <si>
    <t>其中：偿还借款</t>
  </si>
  <si>
    <t>累计未分配利润</t>
  </si>
  <si>
    <t>息税前利润
（利润总额+利息支出）</t>
  </si>
  <si>
    <t>息税折旧摊销前利润
（息税前利润+折旧+摊销）</t>
  </si>
  <si>
    <t>专项债本息覆盖倍数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</si>
  <si>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</si>
  <si>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</si>
  <si>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</si>
  <si>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</si>
  <si>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</si>
  <si>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</si>
  <si>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</si>
  <si>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</si>
  <si>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</si>
  <si>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</si>
  <si>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</si>
  <si>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</si>
  <si>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</si>
  <si>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</si>
  <si>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</si>
  <si>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</si>
  <si>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</si>
  <si>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</si>
  <si>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</si>
  <si>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</si>
  <si>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</si>
  <si>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</si>
  <si>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</si>
  <si>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1.1</t>
  </si>
  <si>
    <t>期初借款余额</t>
  </si>
  <si>
    <t>1.2</t>
  </si>
  <si>
    <t>当期还本付息</t>
  </si>
  <si>
    <t>其中：还本</t>
  </si>
  <si>
    <t>付息</t>
  </si>
  <si>
    <t>1.3</t>
  </si>
  <si>
    <t>期末借款余额</t>
  </si>
  <si>
    <t>1.4</t>
  </si>
  <si>
    <t>还本付息兑付手续费</t>
  </si>
  <si>
    <t>1.5</t>
  </si>
  <si>
    <t>债券发行及服务费</t>
  </si>
  <si>
    <t>2.1</t>
  </si>
  <si>
    <t>2.2</t>
  </si>
  <si>
    <t>2.3</t>
  </si>
  <si>
    <t>2.4</t>
  </si>
  <si>
    <t>2.5</t>
  </si>
  <si>
    <t>3.1</t>
  </si>
  <si>
    <t>3.2</t>
  </si>
  <si>
    <t>3.2.1</t>
  </si>
  <si>
    <t>3.2.2</t>
  </si>
  <si>
    <t>3.3</t>
  </si>
  <si>
    <t>3.4</t>
  </si>
  <si>
    <t>3.5</t>
  </si>
  <si>
    <t>借款总结</t>
  </si>
  <si>
    <t>4.1</t>
  </si>
  <si>
    <t>4.2</t>
  </si>
  <si>
    <t>4.2.1</t>
  </si>
  <si>
    <t>4.2.2</t>
  </si>
  <si>
    <t>4.3</t>
  </si>
  <si>
    <t>4.4</t>
  </si>
  <si>
    <t>4.5</t>
  </si>
  <si>
    <t>d财务计划现金流量表（万元）</t>
  </si>
  <si>
    <t>经营活动净现金流量</t>
  </si>
  <si>
    <t>增值税销项税额</t>
  </si>
  <si>
    <t>1.1.4</t>
  </si>
  <si>
    <t>其他流入</t>
  </si>
  <si>
    <t>增值税进项税额</t>
  </si>
  <si>
    <t>1.2.5</t>
  </si>
  <si>
    <t>1.2.6</t>
  </si>
  <si>
    <t>其他流出</t>
  </si>
  <si>
    <t>投资活动净现金流量</t>
  </si>
  <si>
    <t>2.2.4</t>
  </si>
  <si>
    <t>筹资活动净现金流量</t>
  </si>
  <si>
    <t>3.1.1</t>
  </si>
  <si>
    <t>项目资本金投入</t>
  </si>
  <si>
    <t>3.1.2</t>
  </si>
  <si>
    <t>建设投资借款</t>
  </si>
  <si>
    <t>各种利息支出</t>
  </si>
  <si>
    <t>偿还债务本金</t>
  </si>
  <si>
    <t>累计盈余资金</t>
  </si>
  <si>
    <t>e资产负债表（万元）</t>
  </si>
  <si>
    <t>资产</t>
  </si>
  <si>
    <t>流动资产总额</t>
  </si>
  <si>
    <t>货币资金</t>
  </si>
  <si>
    <t>预付账款</t>
  </si>
  <si>
    <t>1.1.5</t>
  </si>
  <si>
    <t>其他</t>
  </si>
  <si>
    <t>在建工程</t>
  </si>
  <si>
    <t>固定资产净值</t>
  </si>
  <si>
    <t>无形及其他资产净值</t>
  </si>
  <si>
    <t>负债及所有者权益</t>
  </si>
  <si>
    <t>流动负债总额</t>
  </si>
  <si>
    <t>短期借款</t>
  </si>
  <si>
    <t>预收账款</t>
  </si>
  <si>
    <t>2.1.4</t>
  </si>
  <si>
    <t>流动资金借款</t>
  </si>
  <si>
    <t>负债小计</t>
  </si>
  <si>
    <t>所有者权益</t>
  </si>
  <si>
    <t>2.5.1</t>
  </si>
  <si>
    <t>资本金</t>
  </si>
  <si>
    <t>2.5.2</t>
  </si>
  <si>
    <t>资本公积</t>
  </si>
  <si>
    <t>2.5.3</t>
  </si>
  <si>
    <t>累计盈余公积金</t>
  </si>
  <si>
    <t>2.5.4</t>
  </si>
  <si>
    <t>计算指标：资产负债率</t>
  </si>
  <si>
    <t>Ⅰ项目投资估算构成表</t>
  </si>
  <si>
    <t>投资构成类别</t>
  </si>
  <si>
    <t>工程费用</t>
  </si>
  <si>
    <t>预备费用</t>
  </si>
  <si>
    <t>投资估算金额（万元）</t>
  </si>
  <si>
    <t>占比</t>
  </si>
  <si>
    <t>Ⅱ项目分年度资金筹措计划表（万元）</t>
  </si>
  <si>
    <t>注：此表依据D.2自行填写，一般财政预算资金和单位自有资金二选一</t>
  </si>
  <si>
    <t>资金来源类型</t>
  </si>
  <si>
    <t>各类型占比</t>
  </si>
  <si>
    <t>财政预算资金</t>
  </si>
  <si>
    <t>单位自有资金</t>
  </si>
  <si>
    <t>专项债券
（用作项目资本金）</t>
  </si>
  <si>
    <t>专项债券
（不用做项目资本金）</t>
  </si>
  <si>
    <t>银行贷款</t>
  </si>
  <si>
    <t>其他来源资金</t>
  </si>
  <si>
    <t>分年度占比</t>
  </si>
  <si>
    <t>Ⅲ项目分年度收入合计表（经营性收入+补贴收入）（万元）</t>
  </si>
  <si>
    <t>注：不同类别的经营性收入可以分多个表填写。经营性收入分年度表、政府补贴收入分年度表，可以单独填写。</t>
  </si>
  <si>
    <t>收入类型</t>
  </si>
  <si>
    <t>分年收入</t>
  </si>
  <si>
    <t>经营性收入</t>
  </si>
  <si>
    <t>政府补贴收入</t>
  </si>
  <si>
    <t>Ⅳ项目分年度成本明细表</t>
  </si>
  <si>
    <t>复制E.1</t>
  </si>
  <si>
    <t>单价
（万元）</t>
  </si>
  <si>
    <t>2025（万元）</t>
  </si>
  <si>
    <t>2026（万元）</t>
  </si>
  <si>
    <t>2027（万元）</t>
  </si>
  <si>
    <t>2028（万元）</t>
  </si>
  <si>
    <t>2029（万元）</t>
  </si>
  <si>
    <t>Ⅴ项目分年度收益表（万元）</t>
  </si>
  <si>
    <t>类别</t>
  </si>
  <si>
    <t>项目收入</t>
  </si>
  <si>
    <t>运营成本</t>
  </si>
  <si>
    <t>项目收益</t>
  </si>
  <si>
    <t>Ⅵ专项债券应付本息情况表（万元）</t>
  </si>
  <si>
    <t>年度</t>
  </si>
  <si>
    <t>本期新增</t>
  </si>
  <si>
    <t>本期偿还</t>
  </si>
  <si>
    <t>期末本金</t>
  </si>
  <si>
    <t>融资利率</t>
  </si>
  <si>
    <t>应付利息</t>
  </si>
  <si>
    <t>应付本息</t>
  </si>
  <si>
    <t>VIII债券资金覆盖率压力测试表</t>
  </si>
  <si>
    <t>资金覆盖率-压力测试</t>
  </si>
  <si>
    <t>运营收入变动敏感性分析</t>
  </si>
  <si>
    <t>专项债券本金资金覆盖率</t>
  </si>
  <si>
    <t>专项债券本息资金覆盖率</t>
  </si>
  <si>
    <t>运营成本变动敏感性分析</t>
  </si>
  <si>
    <t>债券利率变动敏感新分析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</si>
</sst>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9">
    <numFmt numFmtId="8" formatCode="&quot;￥&quot;#,##0.00;[Red]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);[Red]\(0.00\)"/>
    <numFmt numFmtId="177" formatCode="0.00_ "/>
    <numFmt numFmtId="178" formatCode="0.0000%"/>
    <numFmt numFmtId="179" formatCode="0.000%"/>
  </numFmts>
  <fonts count="38">
    <font>
      <sz val="11"/>
      <color theme="1"/>
      <name val="宋体"/>
      <charset val="134"/>
      <scheme val="minor"/>
    </font>
    <font>
      <b/>
      <sz val="13"/>
      <color theme="0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color rgb="FFFF0000"/>
      <name val="微软雅黑"/>
      <charset val="134"/>
    </font>
    <font>
      <b/>
      <sz val="11"/>
      <color rgb="FFFF0000"/>
      <name val="微软雅黑"/>
      <charset val="134"/>
    </font>
    <font>
      <sz val="11"/>
      <name val="微软雅黑"/>
      <charset val="134"/>
    </font>
    <font>
      <b/>
      <sz val="11"/>
      <color rgb="FF0070C0"/>
      <name val="宋体"/>
      <charset val="134"/>
      <scheme val="minor"/>
    </font>
    <font>
      <b/>
      <sz val="10"/>
      <color rgb="FF0070C0"/>
      <name val="宋体"/>
      <charset val="134"/>
      <scheme val="minor"/>
    </font>
    <font>
      <b/>
      <sz val="14"/>
      <color theme="0"/>
      <name val="微软雅黑"/>
      <charset val="134"/>
    </font>
    <font>
      <b/>
      <sz val="16"/>
      <color theme="0"/>
      <name val="微软雅黑"/>
      <charset val="134"/>
    </font>
    <font>
      <b/>
      <sz val="11"/>
      <color rgb="FF0070C0"/>
      <name val="微软雅黑"/>
      <charset val="134"/>
    </font>
    <font>
      <sz val="10"/>
      <color rgb="FFFF0000"/>
      <name val="微软雅黑"/>
      <charset val="134"/>
    </font>
    <font>
      <b/>
      <sz val="12"/>
      <color rgb="FF0070C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2"/>
      <color theme="1"/>
      <name val="微软雅黑"/>
      <charset val="134"/>
    </font>
    <font>
      <sz val="12"/>
      <color rgb="FF40404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DC6E6"/>
        <bgColor rgb="FFADC6E6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>
      <alignment vertical="center"/>
    </xf>
    <xf numFmtId="44" fontId="0" fillId="0" borderId="0">
      <alignment vertical="center"/>
    </xf>
    <xf numFmtId="9" fontId="0" fillId="0" borderId="0">
      <alignment vertical="center"/>
    </xf>
    <xf numFmtId="41" fontId="0" fillId="0" borderId="0">
      <alignment vertical="center"/>
    </xf>
    <xf numFmtId="42" fontId="0" fillId="0" borderId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0" fillId="10" borderId="13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22" fillId="0" borderId="0">
      <alignment vertical="center"/>
    </xf>
    <xf numFmtId="0" fontId="23" fillId="0" borderId="14">
      <alignment vertical="center"/>
    </xf>
    <xf numFmtId="0" fontId="24" fillId="0" borderId="14">
      <alignment vertical="center"/>
    </xf>
    <xf numFmtId="0" fontId="25" fillId="0" borderId="15">
      <alignment vertical="center"/>
    </xf>
    <xf numFmtId="0" fontId="25" fillId="0" borderId="0">
      <alignment vertical="center"/>
    </xf>
    <xf numFmtId="0" fontId="26" fillId="11" borderId="16">
      <alignment vertical="center"/>
    </xf>
    <xf numFmtId="0" fontId="27" fillId="12" borderId="17">
      <alignment vertical="center"/>
    </xf>
    <xf numFmtId="0" fontId="28" fillId="12" borderId="16">
      <alignment vertical="center"/>
    </xf>
    <xf numFmtId="0" fontId="29" fillId="13" borderId="18">
      <alignment vertical="center"/>
    </xf>
    <xf numFmtId="0" fontId="30" fillId="0" borderId="19">
      <alignment vertical="center"/>
    </xf>
    <xf numFmtId="0" fontId="31" fillId="0" borderId="20">
      <alignment vertical="center"/>
    </xf>
    <xf numFmtId="0" fontId="32" fillId="14" borderId="0">
      <alignment vertical="center"/>
    </xf>
    <xf numFmtId="0" fontId="33" fillId="15" borderId="0">
      <alignment vertical="center"/>
    </xf>
    <xf numFmtId="0" fontId="34" fillId="16" borderId="0">
      <alignment vertical="center"/>
    </xf>
    <xf numFmtId="0" fontId="35" fillId="17" borderId="0">
      <alignment vertical="center"/>
    </xf>
    <xf numFmtId="0" fontId="36" fillId="18" borderId="0">
      <alignment vertical="center"/>
    </xf>
    <xf numFmtId="0" fontId="36" fillId="3" borderId="0">
      <alignment vertical="center"/>
    </xf>
    <xf numFmtId="0" fontId="35" fillId="19" borderId="0">
      <alignment vertical="center"/>
    </xf>
    <xf numFmtId="0" fontId="35" fillId="20" borderId="0">
      <alignment vertical="center"/>
    </xf>
    <xf numFmtId="0" fontId="36" fillId="21" borderId="0">
      <alignment vertical="center"/>
    </xf>
    <xf numFmtId="0" fontId="36" fillId="22" borderId="0">
      <alignment vertical="center"/>
    </xf>
    <xf numFmtId="0" fontId="35" fillId="23" borderId="0">
      <alignment vertical="center"/>
    </xf>
    <xf numFmtId="0" fontId="35" fillId="24" borderId="0">
      <alignment vertical="center"/>
    </xf>
    <xf numFmtId="0" fontId="36" fillId="25" borderId="0">
      <alignment vertical="center"/>
    </xf>
    <xf numFmtId="0" fontId="36" fillId="26" borderId="0">
      <alignment vertical="center"/>
    </xf>
    <xf numFmtId="0" fontId="35" fillId="27" borderId="0">
      <alignment vertical="center"/>
    </xf>
    <xf numFmtId="0" fontId="35" fillId="28" borderId="0">
      <alignment vertical="center"/>
    </xf>
    <xf numFmtId="0" fontId="36" fillId="29" borderId="0">
      <alignment vertical="center"/>
    </xf>
    <xf numFmtId="0" fontId="36" fillId="30" borderId="0">
      <alignment vertical="center"/>
    </xf>
    <xf numFmtId="0" fontId="35" fillId="31" borderId="0">
      <alignment vertical="center"/>
    </xf>
    <xf numFmtId="0" fontId="35" fillId="32" borderId="0">
      <alignment vertical="center"/>
    </xf>
    <xf numFmtId="0" fontId="36" fillId="33" borderId="0">
      <alignment vertical="center"/>
    </xf>
    <xf numFmtId="0" fontId="36" fillId="34" borderId="0">
      <alignment vertical="center"/>
    </xf>
    <xf numFmtId="0" fontId="35" fillId="35" borderId="0">
      <alignment vertical="center"/>
    </xf>
    <xf numFmtId="0" fontId="35" fillId="36" borderId="0">
      <alignment vertical="center"/>
    </xf>
    <xf numFmtId="0" fontId="36" fillId="37" borderId="0">
      <alignment vertical="center"/>
    </xf>
    <xf numFmtId="0" fontId="36" fillId="38" borderId="0">
      <alignment vertical="center"/>
    </xf>
    <xf numFmtId="0" fontId="35" fillId="39" borderId="0">
      <alignment vertical="center"/>
    </xf>
  </cellStyleXfs>
  <cellXfs count="125">
    <xf numFmtId="0" fontId="0" fillId="0" borderId="0" xfId="0" applyAlignment="1">
      <alignment vertical="center"/>
    </xf>
    <xf numFmtId="0" fontId="0" fillId="0" borderId="0" xfId="0" applyAlignment="1"/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/>
    <xf numFmtId="0" fontId="0" fillId="0" borderId="3" xfId="0" applyBorder="1" applyAlignment="1"/>
    <xf numFmtId="0" fontId="2" fillId="3" borderId="1" xfId="0" applyFont="1" applyFill="1" applyBorder="1" applyAlignment="1">
      <alignment horizontal="center" vertical="center"/>
    </xf>
    <xf numFmtId="9" fontId="2" fillId="3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4" xfId="0" applyBorder="1" applyAlignment="1"/>
    <xf numFmtId="0" fontId="4" fillId="0" borderId="1" xfId="0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8" xfId="0" applyBorder="1" applyAlignment="1"/>
    <xf numFmtId="0" fontId="7" fillId="0" borderId="0" xfId="0" applyFont="1" applyAlignment="1">
      <alignment vertical="center"/>
    </xf>
    <xf numFmtId="0" fontId="5" fillId="3" borderId="6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2" fillId="3" borderId="5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9" fillId="6" borderId="1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7" fontId="6" fillId="5" borderId="1" xfId="0" applyNumberFormat="1" applyFont="1" applyFill="1" applyBorder="1" applyAlignment="1">
      <alignment horizontal="center" vertical="center"/>
    </xf>
    <xf numFmtId="176" fontId="3" fillId="9" borderId="1" xfId="0" applyNumberFormat="1" applyFont="1" applyFill="1" applyBorder="1" applyAlignment="1">
      <alignment vertical="center"/>
    </xf>
    <xf numFmtId="0" fontId="0" fillId="0" borderId="0" xfId="0">
      <alignment vertical="center"/>
    </xf>
    <xf numFmtId="0" fontId="10" fillId="6" borderId="5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7" fontId="3" fillId="9" borderId="1" xfId="0" applyNumberFormat="1" applyFont="1" applyFill="1" applyBorder="1" applyAlignment="1">
      <alignment horizontal="center" vertical="center"/>
    </xf>
    <xf numFmtId="9" fontId="3" fillId="9" borderId="1" xfId="0" applyNumberFormat="1" applyFont="1" applyFill="1" applyBorder="1" applyAlignment="1">
      <alignment vertical="center"/>
    </xf>
    <xf numFmtId="9" fontId="3" fillId="9" borderId="2" xfId="0" applyNumberFormat="1" applyFont="1" applyFill="1" applyBorder="1" applyAlignment="1">
      <alignment vertical="center"/>
    </xf>
    <xf numFmtId="9" fontId="3" fillId="9" borderId="3" xfId="0" applyNumberFormat="1" applyFont="1" applyFill="1" applyBorder="1" applyAlignment="1">
      <alignment vertical="center"/>
    </xf>
    <xf numFmtId="0" fontId="10" fillId="6" borderId="1" xfId="0" applyFont="1" applyFill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9" fontId="6" fillId="9" borderId="1" xfId="0" applyNumberFormat="1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8" fontId="3" fillId="9" borderId="1" xfId="0" applyNumberFormat="1" applyFont="1" applyFill="1" applyBorder="1" applyAlignment="1">
      <alignment vertical="center"/>
    </xf>
    <xf numFmtId="0" fontId="3" fillId="9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9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/>
    </xf>
    <xf numFmtId="2" fontId="3" fillId="5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 vertical="center" wrapText="1"/>
    </xf>
    <xf numFmtId="177" fontId="4" fillId="0" borderId="1" xfId="0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177" fontId="4" fillId="9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/>
    </xf>
    <xf numFmtId="176" fontId="4" fillId="5" borderId="1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 wrapText="1"/>
    </xf>
    <xf numFmtId="10" fontId="3" fillId="5" borderId="1" xfId="0" applyNumberFormat="1" applyFont="1" applyFill="1" applyBorder="1" applyAlignment="1">
      <alignment horizontal="center" vertical="center"/>
    </xf>
    <xf numFmtId="10" fontId="6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176" fontId="4" fillId="9" borderId="1" xfId="0" applyNumberFormat="1" applyFont="1" applyFill="1" applyBorder="1" applyAlignment="1">
      <alignment horizontal="center" vertical="center" wrapText="1"/>
    </xf>
    <xf numFmtId="10" fontId="4" fillId="9" borderId="1" xfId="0" applyNumberFormat="1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0" fontId="10" fillId="6" borderId="1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176" fontId="6" fillId="5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6" borderId="1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0" fontId="3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77" fontId="6" fillId="0" borderId="1" xfId="0" applyNumberFormat="1" applyFont="1" applyBorder="1" applyAlignment="1">
      <alignment horizontal="center" vertical="center"/>
    </xf>
    <xf numFmtId="177" fontId="6" fillId="4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/>
    </xf>
    <xf numFmtId="176" fontId="15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57" fontId="4" fillId="0" borderId="1" xfId="0" applyNumberFormat="1" applyFont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0" fillId="0" borderId="12" xfId="0" applyBorder="1" applyAlignment="1"/>
    <xf numFmtId="0" fontId="16" fillId="3" borderId="6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8" Type="http://schemas.openxmlformats.org/officeDocument/2006/relationships/styles" Target="styles.xml"/><Relationship Id="rId37" Type="http://schemas.openxmlformats.org/officeDocument/2006/relationships/sharedStrings" Target="sharedStrings.xml"/><Relationship Id="rId36" Type="http://schemas.openxmlformats.org/officeDocument/2006/relationships/theme" Target="theme/theme1.xml"/><Relationship Id="rId35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6130;&#21153;&#20998;&#26512;&#22871;&#34920;&#33258;&#20570;&#27169;&#26495;&#32534;&#31243;&#29992;&#65288;&#21407;&#27979;&#35797;&#27169;&#26495;&#65289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财务假设"/>
      <sheetName val="B项目信息"/>
      <sheetName val="C.1项目融资信息"/>
      <sheetName val="C.2项目每年借款信息"/>
      <sheetName val="D.1建设投资"/>
      <sheetName val="D.2项目总投资使用计划与资金筹措表"/>
      <sheetName val="D.3建设投资分年计划表"/>
      <sheetName val="D.4流动资金估算表"/>
      <sheetName val="E总成本费用估算表"/>
      <sheetName val="E.1项目运营期费用"/>
      <sheetName val="E.1.1项目运营期费用(不含税）"/>
      <sheetName val="E.2固定资产折旧费估算表"/>
      <sheetName val="E.3无形资产和其他资产摊销费估算表"/>
      <sheetName val="E.4建设投资税后金额表"/>
      <sheetName val="F项目收入"/>
      <sheetName val="F.1项目单项收入信息"/>
      <sheetName val="G.税金及附加测算表"/>
      <sheetName val="G.1进项增值税率-建设投资"/>
      <sheetName val="G.2进项增值税率-运营成本"/>
      <sheetName val="G.3销项增值税率"/>
      <sheetName val="a.1财务现金流量表"/>
      <sheetName val="a.2项目资本金现金流量表"/>
      <sheetName val="b利润与利润分配表（损益和利润分配表）"/>
      <sheetName val="c借款还本付息计划表"/>
      <sheetName val="d财务计划现金流量表"/>
      <sheetName val="e资产负债表"/>
      <sheetName val="Ⅰ项目投资估算构成表"/>
      <sheetName val="Ⅱ项目分年度资金筹措计划表"/>
      <sheetName val="Ⅲ项目分年度收入合计表"/>
      <sheetName val="Ⅳ项目分年度成本明细表"/>
      <sheetName val="Ⅴ项目分年度收益表"/>
      <sheetName val="Ⅵ专项债券应付本息情况表"/>
      <sheetName val="Ⅶ专项债券资金收益与融资平衡情况表"/>
      <sheetName val="VIII债券资金覆盖率压力测试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9">
          <cell r="C29">
            <v>23399.2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</sheetPr>
  <dimension ref="A1:D21"/>
  <sheetViews>
    <sheetView zoomScale="70" zoomScaleNormal="70" topLeftCell="A5" workbookViewId="0">
      <selection activeCell="B9" sqref="B9"/>
    </sheetView>
  </sheetViews>
  <sheetFormatPr defaultColWidth="8.89090909090909" defaultRowHeight="30" customHeight="1" outlineLevelCol="3"/>
  <cols>
    <col min="2" max="2" width="30.3363636363636" style="1" customWidth="1"/>
    <col min="3" max="3" width="70.6636363636364" style="1" customWidth="1"/>
    <col min="4" max="4" width="12.7818181818182" style="1" customWidth="1"/>
    <col min="9" max="9" width="29.2181818181818" style="1" customWidth="1"/>
  </cols>
  <sheetData>
    <row r="1" s="109" customFormat="1" ht="22.5" customHeight="1" spans="1:4">
      <c r="A1" s="119" t="s">
        <v>0</v>
      </c>
      <c r="D1" s="120"/>
    </row>
    <row r="2" s="109" customFormat="1" ht="16.5" customHeight="1" spans="1:4">
      <c r="A2" s="121" t="s">
        <v>1</v>
      </c>
      <c r="B2" s="121" t="s">
        <v>2</v>
      </c>
      <c r="C2" s="121" t="s">
        <v>3</v>
      </c>
      <c r="D2" s="121" t="s">
        <v>4</v>
      </c>
    </row>
    <row r="3" s="109" customFormat="1" ht="16.5" customHeight="1" spans="1:4">
      <c r="A3" s="8">
        <v>1</v>
      </c>
      <c r="B3" s="8" t="s">
        <v>5</v>
      </c>
      <c r="C3" s="8" t="s">
        <v>6</v>
      </c>
      <c r="D3" s="63">
        <v>0.05</v>
      </c>
    </row>
    <row r="4" s="109" customFormat="1" ht="16.5" customHeight="1" spans="1:4">
      <c r="A4" s="8">
        <v>2</v>
      </c>
      <c r="B4" s="8" t="s">
        <v>7</v>
      </c>
      <c r="C4" s="8" t="s">
        <v>6</v>
      </c>
      <c r="D4" s="63">
        <v>0.03</v>
      </c>
    </row>
    <row r="5" s="109" customFormat="1" ht="78" customHeight="1" spans="1:4">
      <c r="A5" s="8">
        <v>3</v>
      </c>
      <c r="B5" s="8" t="s">
        <v>8</v>
      </c>
      <c r="C5" s="66" t="s">
        <v>9</v>
      </c>
      <c r="D5" s="63">
        <v>0.08</v>
      </c>
    </row>
    <row r="6" s="109" customFormat="1" ht="55.05" customHeight="1" spans="1:4">
      <c r="A6" s="8">
        <v>4</v>
      </c>
      <c r="B6" s="8" t="s">
        <v>10</v>
      </c>
      <c r="C6" s="34" t="s">
        <v>11</v>
      </c>
      <c r="D6" s="63">
        <v>0.07</v>
      </c>
    </row>
    <row r="7" s="109" customFormat="1" ht="16.5" customHeight="1" spans="1:4">
      <c r="A7" s="8">
        <v>5</v>
      </c>
      <c r="B7" s="8" t="s">
        <v>12</v>
      </c>
      <c r="C7" s="8" t="s">
        <v>13</v>
      </c>
      <c r="D7" s="63">
        <v>0.03</v>
      </c>
    </row>
    <row r="8" s="109" customFormat="1" ht="16.5" customHeight="1" spans="1:4">
      <c r="A8" s="8">
        <v>6</v>
      </c>
      <c r="B8" s="8" t="s">
        <v>14</v>
      </c>
      <c r="C8" s="8" t="s">
        <v>13</v>
      </c>
      <c r="D8" s="63">
        <v>0.02</v>
      </c>
    </row>
    <row r="9" s="109" customFormat="1" ht="16.5" customHeight="1" spans="1:4">
      <c r="A9" s="8">
        <v>7</v>
      </c>
      <c r="B9" s="8" t="s">
        <v>15</v>
      </c>
      <c r="C9" s="8" t="s">
        <v>16</v>
      </c>
      <c r="D9" s="63">
        <v>0.25</v>
      </c>
    </row>
    <row r="10" s="109" customFormat="1" ht="16.5" customHeight="1" spans="1:4">
      <c r="A10" s="8">
        <v>8</v>
      </c>
      <c r="B10" s="8" t="s">
        <v>17</v>
      </c>
      <c r="C10" s="8" t="s">
        <v>18</v>
      </c>
      <c r="D10" s="63">
        <v>0.1</v>
      </c>
    </row>
    <row r="11" s="109" customFormat="1" ht="16.5" customHeight="1" spans="1:4">
      <c r="A11" s="8">
        <v>9</v>
      </c>
      <c r="B11" s="8" t="s">
        <v>19</v>
      </c>
      <c r="C11" s="8" t="s">
        <v>20</v>
      </c>
      <c r="D11" s="63">
        <v>0.05</v>
      </c>
    </row>
    <row r="12" s="109" customFormat="1" ht="16.5" customHeight="1" spans="1:4">
      <c r="A12" s="8">
        <v>10</v>
      </c>
      <c r="B12" s="8" t="s">
        <v>21</v>
      </c>
      <c r="C12" s="122" t="s">
        <v>22</v>
      </c>
      <c r="D12" s="63">
        <v>0.05</v>
      </c>
    </row>
    <row r="13" s="109" customFormat="1" ht="16.5" customHeight="1" spans="1:4">
      <c r="A13" s="8">
        <v>11</v>
      </c>
      <c r="B13" s="8" t="s">
        <v>23</v>
      </c>
      <c r="C13" s="8" t="s">
        <v>24</v>
      </c>
      <c r="D13" s="63">
        <v>1</v>
      </c>
    </row>
    <row r="14" ht="61.95" customHeight="1" spans="1:4">
      <c r="A14" s="8">
        <v>12</v>
      </c>
      <c r="B14" s="8" t="s">
        <v>25</v>
      </c>
      <c r="C14" s="66" t="s">
        <v>26</v>
      </c>
      <c r="D14" s="63">
        <v>0.03</v>
      </c>
    </row>
    <row r="15" ht="34.95" customHeight="1" spans="1:4">
      <c r="A15" s="8">
        <v>13</v>
      </c>
      <c r="B15" s="8" t="s">
        <v>27</v>
      </c>
      <c r="C15" s="34" t="s">
        <v>28</v>
      </c>
      <c r="D15" s="14">
        <v>0.0004</v>
      </c>
    </row>
    <row r="16" ht="33" customHeight="1" spans="1:4">
      <c r="A16" s="16"/>
      <c r="B16" s="16"/>
      <c r="C16" s="34" t="s">
        <v>29</v>
      </c>
      <c r="D16" s="14">
        <v>0.0008</v>
      </c>
    </row>
    <row r="17" ht="16.5" customHeight="1" spans="1:4">
      <c r="A17" s="8">
        <v>14</v>
      </c>
      <c r="B17" s="8" t="s">
        <v>30</v>
      </c>
      <c r="C17" s="8" t="s">
        <v>31</v>
      </c>
      <c r="D17" s="123">
        <v>6.4e-5</v>
      </c>
    </row>
    <row r="18" ht="16.5" customHeight="1" spans="1:4">
      <c r="A18" s="8">
        <v>15</v>
      </c>
      <c r="B18" s="8" t="s">
        <v>32</v>
      </c>
      <c r="C18" s="8" t="s">
        <v>33</v>
      </c>
      <c r="D18" s="124">
        <v>5e-5</v>
      </c>
    </row>
    <row r="19" ht="16.5" customHeight="1" spans="1:4">
      <c r="A19" s="8">
        <v>16</v>
      </c>
      <c r="B19" s="8" t="s">
        <v>34</v>
      </c>
      <c r="C19" s="8" t="s">
        <v>35</v>
      </c>
      <c r="D19" s="14">
        <v>0</v>
      </c>
    </row>
    <row r="20" ht="16.5" customHeight="1" spans="1:4">
      <c r="A20" s="8">
        <v>17</v>
      </c>
      <c r="B20" s="8" t="s">
        <v>36</v>
      </c>
      <c r="C20" s="8" t="s">
        <v>35</v>
      </c>
      <c r="D20" s="14">
        <v>0</v>
      </c>
    </row>
    <row r="21" ht="16.5" customHeight="1" spans="1:4">
      <c r="A21" s="8">
        <v>18</v>
      </c>
      <c r="B21" s="8" t="s">
        <v>37</v>
      </c>
      <c r="C21" s="8" t="s">
        <v>35</v>
      </c>
      <c r="D21" s="14">
        <v>0</v>
      </c>
    </row>
  </sheetData>
  <mergeCells count="3">
    <mergeCell ref="A1:D1"/>
    <mergeCell ref="A15:A16"/>
    <mergeCell ref="B15:B16"/>
  </mergeCells>
  <pageMargins left="0.75" right="0.75" top="1" bottom="1" header="0.5" footer="0.5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FF00"/>
  </sheetPr>
  <dimension ref="A1:E20"/>
  <sheetViews>
    <sheetView workbookViewId="0">
      <selection activeCell="D8" sqref="D8"/>
    </sheetView>
  </sheetViews>
  <sheetFormatPr defaultColWidth="8.89090909090909" defaultRowHeight="28.05" customHeight="1" outlineLevelCol="4"/>
  <cols>
    <col min="2" max="2" width="22.6636363636364" style="1" customWidth="1"/>
    <col min="3" max="3" width="58.4454545454545" style="1" customWidth="1"/>
    <col min="4" max="4" width="17.1090909090909" style="1" customWidth="1"/>
    <col min="5" max="5" width="29.8909090909091" style="1" customWidth="1"/>
  </cols>
  <sheetData>
    <row r="1" customHeight="1" spans="1:4">
      <c r="A1" s="54" t="s">
        <v>38</v>
      </c>
      <c r="B1" s="3"/>
      <c r="C1" s="3"/>
      <c r="D1" s="4"/>
    </row>
    <row r="2" customHeight="1" spans="1:4">
      <c r="A2" s="117" t="s">
        <v>1</v>
      </c>
      <c r="B2" s="117" t="s">
        <v>2</v>
      </c>
      <c r="C2" s="117" t="s">
        <v>3</v>
      </c>
      <c r="D2" s="117" t="s">
        <v>39</v>
      </c>
    </row>
    <row r="3" customHeight="1" spans="1:4">
      <c r="A3" s="118">
        <v>1</v>
      </c>
      <c r="B3" s="118" t="s">
        <v>40</v>
      </c>
      <c r="C3" s="44"/>
      <c r="D3" s="44"/>
    </row>
    <row r="4" customHeight="1" spans="1:4">
      <c r="A4" s="8">
        <v>1.1</v>
      </c>
      <c r="B4" s="8" t="s">
        <v>41</v>
      </c>
      <c r="C4" s="116">
        <v>45901</v>
      </c>
      <c r="D4" s="116">
        <v>45901</v>
      </c>
    </row>
    <row r="5" customHeight="1" spans="1:4">
      <c r="A5" s="8">
        <v>1.2</v>
      </c>
      <c r="B5" s="8" t="s">
        <v>42</v>
      </c>
      <c r="C5" s="116">
        <v>46966</v>
      </c>
      <c r="D5" s="116">
        <v>46235</v>
      </c>
    </row>
    <row r="6" customHeight="1" spans="1:4">
      <c r="A6" s="8">
        <v>1.3</v>
      </c>
      <c r="B6" s="8" t="s">
        <v>43</v>
      </c>
      <c r="C6" s="38" t="s">
        <v>44</v>
      </c>
      <c r="D6" s="75">
        <v>12</v>
      </c>
    </row>
    <row r="7" customHeight="1" spans="1:4">
      <c r="A7" s="8">
        <v>1.4</v>
      </c>
      <c r="B7" s="8" t="s">
        <v>45</v>
      </c>
      <c r="C7" s="8" t="s">
        <v>46</v>
      </c>
      <c r="D7" s="116">
        <f>D5+31</f>
        <v>46266</v>
      </c>
    </row>
    <row r="8" customHeight="1" spans="1:5">
      <c r="A8" s="8">
        <v>1.5</v>
      </c>
      <c r="B8" s="8" t="s">
        <v>47</v>
      </c>
      <c r="C8" s="8" t="s">
        <v>48</v>
      </c>
      <c r="D8" s="12">
        <v>22</v>
      </c>
      <c r="E8" s="30" t="s">
        <v>49</v>
      </c>
    </row>
    <row r="9" customHeight="1" spans="1:4">
      <c r="A9" s="118">
        <v>2</v>
      </c>
      <c r="B9" s="118" t="s">
        <v>50</v>
      </c>
      <c r="C9" s="44"/>
      <c r="D9" s="118"/>
    </row>
    <row r="10" customHeight="1" spans="1:4">
      <c r="A10" s="8">
        <v>2.1</v>
      </c>
      <c r="B10" s="8" t="s">
        <v>41</v>
      </c>
      <c r="C10" s="116">
        <v>46266</v>
      </c>
      <c r="D10" s="116">
        <v>46266</v>
      </c>
    </row>
    <row r="11" customHeight="1" spans="1:4">
      <c r="A11" s="8">
        <v>2.2</v>
      </c>
      <c r="B11" s="8" t="s">
        <v>42</v>
      </c>
      <c r="C11" s="116">
        <v>46966</v>
      </c>
      <c r="D11" s="116">
        <v>46600</v>
      </c>
    </row>
    <row r="12" customHeight="1" spans="1:4">
      <c r="A12" s="8">
        <v>2.3</v>
      </c>
      <c r="B12" s="8" t="s">
        <v>43</v>
      </c>
      <c r="C12" s="38" t="s">
        <v>44</v>
      </c>
      <c r="D12" s="75">
        <v>12</v>
      </c>
    </row>
    <row r="13" customHeight="1" spans="1:4">
      <c r="A13" s="8">
        <v>2.4</v>
      </c>
      <c r="B13" s="8" t="s">
        <v>45</v>
      </c>
      <c r="C13" s="8" t="s">
        <v>46</v>
      </c>
      <c r="D13" s="116">
        <f>D11+31</f>
        <v>46631</v>
      </c>
    </row>
    <row r="14" customHeight="1" spans="1:5">
      <c r="A14" s="8">
        <v>2.5</v>
      </c>
      <c r="B14" s="8" t="s">
        <v>47</v>
      </c>
      <c r="C14" s="8" t="s">
        <v>48</v>
      </c>
      <c r="D14" s="12">
        <v>21</v>
      </c>
      <c r="E14" s="30" t="s">
        <v>49</v>
      </c>
    </row>
    <row r="15" customHeight="1" spans="1:4">
      <c r="A15" s="118">
        <v>3</v>
      </c>
      <c r="B15" s="118" t="s">
        <v>51</v>
      </c>
      <c r="C15" s="44"/>
      <c r="D15" s="118"/>
    </row>
    <row r="16" customHeight="1" spans="1:4">
      <c r="A16" s="8">
        <v>3.1</v>
      </c>
      <c r="B16" s="8" t="s">
        <v>41</v>
      </c>
      <c r="C16" s="116">
        <v>46631</v>
      </c>
      <c r="D16" s="116">
        <v>46631</v>
      </c>
    </row>
    <row r="17" customHeight="1" spans="1:4">
      <c r="A17" s="8">
        <v>3.2</v>
      </c>
      <c r="B17" s="8" t="s">
        <v>42</v>
      </c>
      <c r="C17" s="116">
        <v>46966</v>
      </c>
      <c r="D17" s="116">
        <v>46966</v>
      </c>
    </row>
    <row r="18" customHeight="1" spans="1:4">
      <c r="A18" s="8">
        <v>3.3</v>
      </c>
      <c r="B18" s="8" t="s">
        <v>43</v>
      </c>
      <c r="C18" s="38" t="s">
        <v>44</v>
      </c>
      <c r="D18" s="75">
        <v>12</v>
      </c>
    </row>
    <row r="19" customHeight="1" spans="1:4">
      <c r="A19" s="8">
        <v>3.4</v>
      </c>
      <c r="B19" s="8" t="s">
        <v>45</v>
      </c>
      <c r="C19" s="8" t="s">
        <v>46</v>
      </c>
      <c r="D19" s="116">
        <f>D17+31</f>
        <v>46997</v>
      </c>
    </row>
    <row r="20" customHeight="1" spans="1:5">
      <c r="A20" s="8">
        <v>3.5</v>
      </c>
      <c r="B20" s="8" t="s">
        <v>47</v>
      </c>
      <c r="C20" s="8" t="s">
        <v>48</v>
      </c>
      <c r="D20" s="12">
        <v>20</v>
      </c>
      <c r="E20" s="30" t="s">
        <v>49</v>
      </c>
    </row>
  </sheetData>
  <mergeCells count="1">
    <mergeCell ref="A1:D1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FFFF00"/>
  </sheetPr>
  <dimension ref="A1:N6"/>
  <sheetViews>
    <sheetView zoomScale="80" zoomScaleNormal="80" workbookViewId="0">
      <selection activeCell="A7" sqref="A7"/>
    </sheetView>
  </sheetViews>
  <sheetFormatPr defaultColWidth="8.89090909090909" defaultRowHeight="28.05" customHeight="1" outlineLevelRow="5"/>
  <cols>
    <col min="1" max="1" width="7.78181818181818" style="1" customWidth="1"/>
    <col min="2" max="2" width="9.55454545454545" style="1" customWidth="1"/>
    <col min="3" max="3" width="16.5545454545455" style="1" customWidth="1"/>
    <col min="4" max="4" width="15.6636363636364" style="1" customWidth="1"/>
    <col min="5" max="5" width="11.3363636363636" style="1" customWidth="1"/>
    <col min="6" max="6" width="12.7818181818182" style="1" customWidth="1"/>
    <col min="7" max="7" width="21.7818181818182" style="1" customWidth="1"/>
    <col min="8" max="8" width="21.8909090909091" style="1" customWidth="1"/>
    <col min="9" max="9" width="28.6636363636364" style="1" customWidth="1"/>
    <col min="10" max="10" width="13.7818181818182" style="1" customWidth="1"/>
    <col min="11" max="11" width="31" style="1" customWidth="1"/>
    <col min="12" max="12" width="23.2181818181818" style="1" customWidth="1"/>
    <col min="13" max="13" width="26" style="1" customWidth="1"/>
    <col min="15" max="15" width="18.8909090909091" style="1" customWidth="1"/>
  </cols>
  <sheetData>
    <row r="1" s="43" customFormat="1" ht="22.5" customHeight="1" spans="1:13">
      <c r="A1" s="54" t="s">
        <v>52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4"/>
    </row>
    <row r="2" s="43" customFormat="1" ht="40.05" customHeight="1" spans="1:13">
      <c r="A2" s="5" t="s">
        <v>1</v>
      </c>
      <c r="B2" s="5" t="s">
        <v>53</v>
      </c>
      <c r="C2" s="5" t="s">
        <v>54</v>
      </c>
      <c r="D2" s="115" t="s">
        <v>55</v>
      </c>
      <c r="E2" s="5" t="s">
        <v>56</v>
      </c>
      <c r="F2" s="5" t="s">
        <v>57</v>
      </c>
      <c r="G2" s="5" t="s">
        <v>58</v>
      </c>
      <c r="H2" s="5" t="s">
        <v>59</v>
      </c>
      <c r="I2" s="5" t="s">
        <v>60</v>
      </c>
      <c r="J2" s="5" t="s">
        <v>61</v>
      </c>
      <c r="K2" s="5" t="s">
        <v>62</v>
      </c>
      <c r="L2" s="115" t="s">
        <v>63</v>
      </c>
      <c r="M2" s="115" t="s">
        <v>64</v>
      </c>
    </row>
    <row r="3" s="43" customFormat="1" ht="82.05" customHeight="1" spans="1:13">
      <c r="A3" s="44"/>
      <c r="B3" s="44"/>
      <c r="C3" s="76" t="s">
        <v>65</v>
      </c>
      <c r="D3" s="44"/>
      <c r="E3" s="44"/>
      <c r="F3" s="44"/>
      <c r="G3" s="76" t="s">
        <v>66</v>
      </c>
      <c r="H3" s="76" t="s">
        <v>67</v>
      </c>
      <c r="I3" s="76" t="s">
        <v>68</v>
      </c>
      <c r="J3" s="44"/>
      <c r="K3" s="76" t="s">
        <v>69</v>
      </c>
      <c r="L3" s="76" t="s">
        <v>70</v>
      </c>
      <c r="M3" s="76" t="s">
        <v>71</v>
      </c>
    </row>
    <row r="4" s="43" customFormat="1" ht="16.5" customHeight="1" spans="1:14">
      <c r="A4" s="8">
        <v>1</v>
      </c>
      <c r="B4" s="12" t="s">
        <v>72</v>
      </c>
      <c r="C4" s="12" t="s">
        <v>73</v>
      </c>
      <c r="D4" s="37">
        <v>2000</v>
      </c>
      <c r="E4" s="116">
        <v>45901</v>
      </c>
      <c r="F4" s="116">
        <f>DATE(YEAR(E4)+G4,MONTH(E4),DAY(E4))</f>
        <v>53206</v>
      </c>
      <c r="G4" s="12">
        <v>20</v>
      </c>
      <c r="H4" s="14">
        <f>2.12%*(1+A财务假设!$D$21)</f>
        <v>0.0212</v>
      </c>
      <c r="I4" s="75" t="s">
        <v>74</v>
      </c>
      <c r="J4" s="116">
        <f>IF(G4&lt;10,DATE(YEAR(E4)+1,MONTH(E4),DAY(E4)),DATE(YEAR(E4),MONTH(E4)+6,DAY(E4)))</f>
        <v>46082</v>
      </c>
      <c r="K4" s="45">
        <f>IF(G4&gt;4,D4*A财务假设!$D$16,D4*A财务假设!$D$15)</f>
        <v>1.6</v>
      </c>
      <c r="L4" s="38">
        <f>D4*A财务假设!$D$17</f>
        <v>0.128</v>
      </c>
      <c r="M4" s="50">
        <f>c借款还本付息计划表!C9</f>
        <v>0.1424</v>
      </c>
      <c r="N4" s="65" t="s">
        <v>75</v>
      </c>
    </row>
    <row r="5" s="43" customFormat="1" ht="16.5" customHeight="1" spans="1:14">
      <c r="A5" s="8">
        <v>2</v>
      </c>
      <c r="B5" s="12" t="s">
        <v>76</v>
      </c>
      <c r="C5" s="12" t="s">
        <v>73</v>
      </c>
      <c r="D5" s="37">
        <v>10000</v>
      </c>
      <c r="E5" s="116">
        <v>46266</v>
      </c>
      <c r="F5" s="116">
        <f>DATE(YEAR(E5)+G5,MONTH(E5),DAY(E5))</f>
        <v>53571</v>
      </c>
      <c r="G5" s="12">
        <v>20</v>
      </c>
      <c r="H5" s="14">
        <f>2.12%*(1+A财务假设!$D$21)</f>
        <v>0.0212</v>
      </c>
      <c r="I5" s="75" t="s">
        <v>74</v>
      </c>
      <c r="J5" s="116">
        <f>IF(G5&lt;10,DATE(YEAR(E5)+1,MONTH(E5),DAY(E5)),DATE(YEAR(E5),MONTH(E5)+6,DAY(E5)))</f>
        <v>46447</v>
      </c>
      <c r="K5" s="45">
        <f>IF(G5&gt;4,D5*A财务假设!$D$16,D5*A财务假设!$D$15)</f>
        <v>8</v>
      </c>
      <c r="L5" s="38">
        <f>D5*A财务假设!$D$17</f>
        <v>0.64</v>
      </c>
      <c r="M5" s="50">
        <f>c借款还本付息计划表!C17</f>
        <v>0.712</v>
      </c>
      <c r="N5" s="65" t="s">
        <v>75</v>
      </c>
    </row>
    <row r="6" s="43" customFormat="1" ht="16.5" customHeight="1" spans="1:14">
      <c r="A6" s="8">
        <v>3</v>
      </c>
      <c r="B6" s="12" t="s">
        <v>77</v>
      </c>
      <c r="C6" s="12" t="s">
        <v>73</v>
      </c>
      <c r="D6" s="37">
        <v>10000</v>
      </c>
      <c r="E6" s="116">
        <v>46631</v>
      </c>
      <c r="F6" s="116">
        <f>DATE(YEAR(E6)+G6,MONTH(E6),DAY(E6))</f>
        <v>53936</v>
      </c>
      <c r="G6" s="12">
        <v>20</v>
      </c>
      <c r="H6" s="14">
        <f>2.12%*(1+A财务假设!$D$21)</f>
        <v>0.0212</v>
      </c>
      <c r="I6" s="75" t="s">
        <v>74</v>
      </c>
      <c r="J6" s="116">
        <f>IF(G6&lt;10,DATE(YEAR(E6)+1,MONTH(E6),DAY(E6)),DATE(YEAR(E6),MONTH(E6)+6,DAY(E6)))</f>
        <v>46813</v>
      </c>
      <c r="K6" s="45">
        <f>IF(G6&gt;4,D6*A财务假设!$D$16,D6*A财务假设!$D$15)</f>
        <v>8</v>
      </c>
      <c r="L6" s="38">
        <f>D6*A财务假设!$D$17</f>
        <v>0.64</v>
      </c>
      <c r="M6" s="50">
        <f>c借款还本付息计划表!C25</f>
        <v>0.712</v>
      </c>
      <c r="N6" s="65" t="s">
        <v>75</v>
      </c>
    </row>
  </sheetData>
  <mergeCells count="1">
    <mergeCell ref="A1:M1"/>
  </mergeCells>
  <dataValidations count="1">
    <dataValidation type="list" allowBlank="1" showInputMessage="1" showErrorMessage="1" sqref="I4:I6">
      <formula1>"贷款期内本期等额本金还款,贷款期内本期等额本息还款,后五年每年还本20%,后十年每年还本10%,后二十年每年还本5%,到期一次性还清,自定义还款"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FFFF00"/>
  </sheetPr>
  <dimension ref="A1:E6"/>
  <sheetViews>
    <sheetView workbookViewId="0">
      <selection activeCell="D14" sqref="D14"/>
    </sheetView>
  </sheetViews>
  <sheetFormatPr defaultColWidth="15.3363636363636" defaultRowHeight="28.05" customHeight="1" outlineLevelRow="5" outlineLevelCol="4"/>
  <sheetData>
    <row r="1" customHeight="1" spans="1:5">
      <c r="A1" s="36" t="s">
        <v>78</v>
      </c>
      <c r="B1" s="3"/>
      <c r="C1" s="3"/>
      <c r="D1" s="3"/>
      <c r="E1" s="4"/>
    </row>
    <row r="2" s="112" customFormat="1" customHeight="1" spans="1:5">
      <c r="A2" s="5" t="s">
        <v>1</v>
      </c>
      <c r="B2" s="5" t="s">
        <v>79</v>
      </c>
      <c r="C2" s="31">
        <v>2025</v>
      </c>
      <c r="D2" s="31">
        <v>2026</v>
      </c>
      <c r="E2" s="31">
        <v>2027</v>
      </c>
    </row>
    <row r="3" customHeight="1" spans="1:5">
      <c r="A3" s="8">
        <v>1</v>
      </c>
      <c r="B3" s="12" t="s">
        <v>72</v>
      </c>
      <c r="C3" s="37">
        <f>C.1项目融资信息!D4</f>
        <v>2000</v>
      </c>
      <c r="D3" s="37">
        <v>0</v>
      </c>
      <c r="E3" s="37">
        <v>0</v>
      </c>
    </row>
    <row r="4" customHeight="1" spans="1:5">
      <c r="A4" s="8">
        <v>2</v>
      </c>
      <c r="B4" s="12" t="s">
        <v>76</v>
      </c>
      <c r="C4" s="37"/>
      <c r="D4" s="37">
        <f>C.1项目融资信息!D5</f>
        <v>10000</v>
      </c>
      <c r="E4" s="37"/>
    </row>
    <row r="5" customHeight="1" spans="1:5">
      <c r="A5" s="8">
        <v>2</v>
      </c>
      <c r="B5" s="12" t="s">
        <v>77</v>
      </c>
      <c r="C5" s="37"/>
      <c r="D5" s="37"/>
      <c r="E5" s="37">
        <v>10000</v>
      </c>
    </row>
    <row r="6" customHeight="1" spans="1:5">
      <c r="A6" s="113">
        <v>4</v>
      </c>
      <c r="B6" s="113" t="s">
        <v>80</v>
      </c>
      <c r="C6" s="114">
        <f>SUM(C3:C5)</f>
        <v>2000</v>
      </c>
      <c r="D6" s="114">
        <f>SUM(D3:D5)</f>
        <v>10000</v>
      </c>
      <c r="E6" s="114">
        <f>SUM(E3:E5)</f>
        <v>10000</v>
      </c>
    </row>
  </sheetData>
  <mergeCells count="1">
    <mergeCell ref="A1:E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70C0"/>
  </sheetPr>
  <dimension ref="A1:E21"/>
  <sheetViews>
    <sheetView workbookViewId="0">
      <selection activeCell="D10" sqref="D10"/>
    </sheetView>
  </sheetViews>
  <sheetFormatPr defaultColWidth="8.89090909090909" defaultRowHeight="28.05" customHeight="1" outlineLevelCol="4"/>
  <cols>
    <col min="2" max="2" width="20.6636363636364" style="1" customWidth="1"/>
    <col min="3" max="3" width="55.6636363636364" style="1" customWidth="1"/>
    <col min="4" max="4" width="18.8909090909091" style="1" customWidth="1"/>
  </cols>
  <sheetData>
    <row r="1" s="109" customFormat="1" ht="22.5" customHeight="1" spans="1:5">
      <c r="A1" s="54" t="s">
        <v>81</v>
      </c>
      <c r="B1" s="3"/>
      <c r="C1" s="3"/>
      <c r="D1" s="4"/>
      <c r="E1" s="65" t="s">
        <v>82</v>
      </c>
    </row>
    <row r="2" s="109" customFormat="1" ht="16.5" customHeight="1" spans="1:4">
      <c r="A2" s="5" t="s">
        <v>1</v>
      </c>
      <c r="B2" s="5" t="s">
        <v>83</v>
      </c>
      <c r="C2" s="5" t="s">
        <v>84</v>
      </c>
      <c r="D2" s="5" t="s">
        <v>85</v>
      </c>
    </row>
    <row r="3" s="109" customFormat="1" ht="16.5" customHeight="1" spans="1:4">
      <c r="A3" s="8" t="s">
        <v>86</v>
      </c>
      <c r="B3" s="8" t="s">
        <v>87</v>
      </c>
      <c r="C3" s="8"/>
      <c r="D3" s="110">
        <f>D4+D8</f>
        <v>1824</v>
      </c>
    </row>
    <row r="4" s="109" customFormat="1" ht="16.5" customHeight="1" spans="1:4">
      <c r="A4" s="44">
        <v>1</v>
      </c>
      <c r="B4" s="44" t="s">
        <v>88</v>
      </c>
      <c r="C4" s="44"/>
      <c r="D4" s="111">
        <f>SUM(D5:D7)</f>
        <v>1800</v>
      </c>
    </row>
    <row r="5" s="109" customFormat="1" ht="87" customHeight="1" spans="1:4">
      <c r="A5" s="8">
        <v>1.1</v>
      </c>
      <c r="B5" s="12" t="s">
        <v>89</v>
      </c>
      <c r="C5" s="66" t="s">
        <v>90</v>
      </c>
      <c r="D5" s="37">
        <f>D.3建设投资分年计划表!D5</f>
        <v>600</v>
      </c>
    </row>
    <row r="6" s="109" customFormat="1" ht="16.5" customHeight="1" spans="1:4">
      <c r="A6" s="8">
        <v>1.2</v>
      </c>
      <c r="B6" s="12" t="s">
        <v>91</v>
      </c>
      <c r="C6" s="8"/>
      <c r="D6" s="37">
        <f>D.3建设投资分年计划表!D6</f>
        <v>600</v>
      </c>
    </row>
    <row r="7" s="109" customFormat="1" ht="46.95" customHeight="1" spans="1:4">
      <c r="A7" s="8">
        <v>1.3</v>
      </c>
      <c r="B7" s="12" t="s">
        <v>92</v>
      </c>
      <c r="C7" s="66" t="s">
        <v>93</v>
      </c>
      <c r="D7" s="37">
        <f>D.3建设投资分年计划表!D7</f>
        <v>600</v>
      </c>
    </row>
    <row r="8" s="109" customFormat="1" ht="16.5" customHeight="1" spans="1:4">
      <c r="A8" s="44">
        <v>2</v>
      </c>
      <c r="B8" s="44" t="s">
        <v>94</v>
      </c>
      <c r="C8" s="44"/>
      <c r="D8" s="111">
        <f>SUM(D9:D12)</f>
        <v>24</v>
      </c>
    </row>
    <row r="9" s="109" customFormat="1" ht="52.05" customHeight="1" spans="1:4">
      <c r="A9" s="8">
        <v>2.1</v>
      </c>
      <c r="B9" s="12" t="s">
        <v>95</v>
      </c>
      <c r="C9" s="66" t="s">
        <v>93</v>
      </c>
      <c r="D9" s="37">
        <f>D.3建设投资分年计划表!D9</f>
        <v>6</v>
      </c>
    </row>
    <row r="10" s="109" customFormat="1" ht="16.5" customHeight="1" spans="1:4">
      <c r="A10" s="8">
        <v>2.2</v>
      </c>
      <c r="B10" s="12" t="s">
        <v>96</v>
      </c>
      <c r="C10" s="8"/>
      <c r="D10" s="37">
        <f>D.3建设投资分年计划表!D10</f>
        <v>6</v>
      </c>
    </row>
    <row r="11" s="109" customFormat="1" ht="16.5" customHeight="1" spans="1:4">
      <c r="A11" s="8">
        <v>2.3</v>
      </c>
      <c r="B11" s="12" t="s">
        <v>97</v>
      </c>
      <c r="C11" s="8"/>
      <c r="D11" s="37">
        <f>D.3建设投资分年计划表!D11</f>
        <v>6</v>
      </c>
    </row>
    <row r="12" s="109" customFormat="1" ht="16.5" customHeight="1" spans="1:4">
      <c r="A12" s="8">
        <v>2.4</v>
      </c>
      <c r="B12" s="12" t="s">
        <v>98</v>
      </c>
      <c r="C12" s="8"/>
      <c r="D12" s="37">
        <f>D.3建设投资分年计划表!D12</f>
        <v>6</v>
      </c>
    </row>
    <row r="13" s="109" customFormat="1" ht="16.5" customHeight="1" spans="1:4">
      <c r="A13" s="44" t="s">
        <v>99</v>
      </c>
      <c r="B13" s="44" t="s">
        <v>100</v>
      </c>
      <c r="C13" s="44"/>
      <c r="D13" s="111">
        <f>SUM(D14:D18)</f>
        <v>24</v>
      </c>
    </row>
    <row r="14" s="109" customFormat="1" ht="16.5" customHeight="1" spans="1:4">
      <c r="A14" s="8">
        <v>1</v>
      </c>
      <c r="B14" s="12" t="s">
        <v>101</v>
      </c>
      <c r="C14" s="8"/>
      <c r="D14" s="37">
        <f>D.3建设投资分年计划表!D14</f>
        <v>6</v>
      </c>
    </row>
    <row r="15" s="109" customFormat="1" ht="16.5" customHeight="1" spans="1:4">
      <c r="A15" s="8">
        <v>2</v>
      </c>
      <c r="B15" s="12" t="s">
        <v>102</v>
      </c>
      <c r="C15" s="8"/>
      <c r="D15" s="37">
        <f>D.3建设投资分年计划表!D15</f>
        <v>6</v>
      </c>
    </row>
    <row r="16" s="109" customFormat="1" ht="16.5" customHeight="1" spans="1:4">
      <c r="A16" s="8">
        <v>3</v>
      </c>
      <c r="B16" s="12" t="s">
        <v>103</v>
      </c>
      <c r="C16" s="8"/>
      <c r="D16" s="37">
        <f>D.3建设投资分年计划表!D16</f>
        <v>6</v>
      </c>
    </row>
    <row r="17" s="109" customFormat="1" ht="16.5" customHeight="1" spans="1:4">
      <c r="A17" s="8">
        <v>4</v>
      </c>
      <c r="B17" s="12" t="s">
        <v>104</v>
      </c>
      <c r="C17" s="8"/>
      <c r="D17" s="37">
        <f>D.3建设投资分年计划表!D17</f>
        <v>6</v>
      </c>
    </row>
    <row r="18" s="109" customFormat="1" ht="16.5" customHeight="1" spans="1:4">
      <c r="A18" s="8">
        <v>5</v>
      </c>
      <c r="B18" s="12" t="s">
        <v>105</v>
      </c>
      <c r="C18" s="8"/>
      <c r="D18" s="37">
        <f>D.3建设投资分年计划表!D18</f>
        <v>0</v>
      </c>
    </row>
    <row r="19" s="109" customFormat="1" ht="16.5" customHeight="1" spans="1:4">
      <c r="A19" s="44" t="s">
        <v>106</v>
      </c>
      <c r="B19" s="44" t="s">
        <v>107</v>
      </c>
      <c r="C19" s="44"/>
      <c r="D19" s="111">
        <f>D20</f>
        <v>6</v>
      </c>
    </row>
    <row r="20" s="109" customFormat="1" ht="16.5" customHeight="1" spans="1:4">
      <c r="A20" s="8">
        <v>1</v>
      </c>
      <c r="B20" s="8" t="s">
        <v>108</v>
      </c>
      <c r="C20" s="8"/>
      <c r="D20" s="110">
        <f>D.3建设投资分年计划表!D20</f>
        <v>6</v>
      </c>
    </row>
    <row r="21" s="109" customFormat="1" ht="16.5" customHeight="1" spans="1:4">
      <c r="A21" s="8" t="s">
        <v>109</v>
      </c>
      <c r="B21" s="3"/>
      <c r="C21" s="4"/>
      <c r="D21" s="110">
        <v>26000</v>
      </c>
    </row>
  </sheetData>
  <mergeCells count="2">
    <mergeCell ref="A1:D1"/>
    <mergeCell ref="A21:C21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FFFF00"/>
  </sheetPr>
  <dimension ref="A1:I22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I15" sqref="I15"/>
    </sheetView>
  </sheetViews>
  <sheetFormatPr defaultColWidth="16" defaultRowHeight="28.05" customHeight="1"/>
  <cols>
    <col min="2" max="2" width="21.4454545454545" style="1" customWidth="1"/>
  </cols>
  <sheetData>
    <row r="1" s="43" customFormat="1" ht="22.5" customHeight="1" spans="1:8">
      <c r="A1" s="106" t="s">
        <v>110</v>
      </c>
      <c r="B1" s="11"/>
      <c r="C1" s="11"/>
      <c r="D1" s="11"/>
      <c r="E1" s="11"/>
      <c r="F1" s="11"/>
      <c r="G1" s="11"/>
      <c r="H1" s="11"/>
    </row>
    <row r="2" s="43" customFormat="1" ht="16.5" customHeight="1" spans="1:8">
      <c r="A2" s="5" t="s">
        <v>1</v>
      </c>
      <c r="B2" s="5" t="s">
        <v>111</v>
      </c>
      <c r="C2" s="5" t="s">
        <v>80</v>
      </c>
      <c r="D2" s="31">
        <v>2025</v>
      </c>
      <c r="E2" s="31">
        <v>2026</v>
      </c>
      <c r="F2" s="31">
        <v>2027</v>
      </c>
      <c r="G2" s="31">
        <v>2028</v>
      </c>
      <c r="H2" s="31">
        <v>2029</v>
      </c>
    </row>
    <row r="3" s="43" customFormat="1" ht="16.5" customHeight="1" spans="1:8">
      <c r="A3" s="44">
        <v>1</v>
      </c>
      <c r="B3" s="44" t="s">
        <v>112</v>
      </c>
      <c r="C3" s="83">
        <f t="shared" ref="C3:C16" si="0">SUM(D3:H3)</f>
        <v>3117.07895</v>
      </c>
      <c r="D3" s="83">
        <f>SUM(D4:D6)</f>
        <v>319.728</v>
      </c>
      <c r="E3" s="83">
        <f>SUM(E4:E6)</f>
        <v>678.230137777778</v>
      </c>
      <c r="F3" s="83">
        <f>SUM(F4:F6)</f>
        <v>1181.58477222222</v>
      </c>
      <c r="G3" s="83">
        <f>SUM(G4:G6)</f>
        <v>468.949266666667</v>
      </c>
      <c r="H3" s="83">
        <f>SUM(H4:H6)</f>
        <v>468.586773333333</v>
      </c>
    </row>
    <row r="4" s="43" customFormat="1" ht="16.5" customHeight="1" spans="1:8">
      <c r="A4" s="8">
        <v>1.1</v>
      </c>
      <c r="B4" s="8" t="s">
        <v>113</v>
      </c>
      <c r="C4" s="83">
        <f t="shared" si="0"/>
        <v>1854</v>
      </c>
      <c r="D4" s="13">
        <f>D.3建设投资分年计划表!E21</f>
        <v>318</v>
      </c>
      <c r="E4" s="13">
        <f>D.3建设投资分年计划表!F21</f>
        <v>618</v>
      </c>
      <c r="F4" s="13">
        <f>D.3建设投资分年计划表!G21</f>
        <v>918</v>
      </c>
      <c r="G4" s="13">
        <f>D.3建设投资分年计划表!H21</f>
        <v>0</v>
      </c>
      <c r="H4" s="13">
        <f>D.3建设投资分年计划表!I21</f>
        <v>0</v>
      </c>
    </row>
    <row r="5" s="43" customFormat="1" ht="16.5" customHeight="1" spans="1:8">
      <c r="A5" s="8">
        <v>1.2</v>
      </c>
      <c r="B5" s="8" t="s">
        <v>114</v>
      </c>
      <c r="C5" s="83">
        <f t="shared" si="0"/>
        <v>1248.608</v>
      </c>
      <c r="D5" s="13">
        <f>c借款还本付息计划表!D31+c借款还本付息计划表!D34</f>
        <v>1.728</v>
      </c>
      <c r="E5" s="13">
        <f>c借款还本付息计划表!E31+c借款还本付息计划表!E34</f>
        <v>51.04</v>
      </c>
      <c r="F5" s="13">
        <f>c借款还本付息计划表!F31+c借款还本付息计划表!F34</f>
        <v>263.04</v>
      </c>
      <c r="G5" s="13">
        <f>c借款还本付息计划表!G31+c借款还本付息计划表!G34</f>
        <v>466.4</v>
      </c>
      <c r="H5" s="13">
        <f>c借款还本付息计划表!H31+c借款还本付息计划表!H34</f>
        <v>466.4</v>
      </c>
    </row>
    <row r="6" s="43" customFormat="1" ht="16.5" customHeight="1" spans="1:8">
      <c r="A6" s="8">
        <v>1.3</v>
      </c>
      <c r="B6" s="8" t="s">
        <v>115</v>
      </c>
      <c r="C6" s="83">
        <f t="shared" si="0"/>
        <v>14.47095</v>
      </c>
      <c r="D6" s="13">
        <f>D.4流动资金估算表!E14</f>
        <v>0</v>
      </c>
      <c r="E6" s="13">
        <f>D.4流动资金估算表!F14</f>
        <v>9.19013777777778</v>
      </c>
      <c r="F6" s="13">
        <f>D.4流动资金估算表!G14</f>
        <v>0.544772222222226</v>
      </c>
      <c r="G6" s="13">
        <f>D.4流动资金估算表!H14</f>
        <v>2.54926666666667</v>
      </c>
      <c r="H6" s="13">
        <f>D.4流动资金估算表!I14</f>
        <v>2.18677333333333</v>
      </c>
    </row>
    <row r="7" s="43" customFormat="1" ht="16.5" customHeight="1" spans="1:8">
      <c r="A7" s="44">
        <v>2</v>
      </c>
      <c r="B7" s="44" t="s">
        <v>116</v>
      </c>
      <c r="C7" s="83">
        <f t="shared" si="0"/>
        <v>3120.07895</v>
      </c>
      <c r="D7" s="83">
        <f>D8+D12+D16</f>
        <v>319.728</v>
      </c>
      <c r="E7" s="83">
        <f>E8+E12+E16</f>
        <v>678.230137777779</v>
      </c>
      <c r="F7" s="83">
        <f>F8+F12+F16</f>
        <v>1181.58477222222</v>
      </c>
      <c r="G7" s="83">
        <f>G8+G12+G16</f>
        <v>468.949266666667</v>
      </c>
      <c r="H7" s="83">
        <f>H8+H12+H16</f>
        <v>471.586773333333</v>
      </c>
    </row>
    <row r="8" s="43" customFormat="1" ht="16.5" customHeight="1" spans="1:8">
      <c r="A8" s="8">
        <v>2.1</v>
      </c>
      <c r="B8" s="8" t="s">
        <v>117</v>
      </c>
      <c r="C8" s="83">
        <f t="shared" si="0"/>
        <v>-18880.92105</v>
      </c>
      <c r="D8" s="13">
        <f>SUM(D9:D11)</f>
        <v>-1680.272</v>
      </c>
      <c r="E8" s="13">
        <f>SUM(E9:E11)</f>
        <v>-9321.76986222222</v>
      </c>
      <c r="F8" s="13">
        <f>SUM(F9:F11)</f>
        <v>-8818.41522777778</v>
      </c>
      <c r="G8" s="13">
        <f>SUM(G9:G11)</f>
        <v>468.949266666667</v>
      </c>
      <c r="H8" s="13">
        <f>SUM(H9:H11)</f>
        <v>470.586773333333</v>
      </c>
    </row>
    <row r="9" s="43" customFormat="1" ht="16.5" customHeight="1" spans="1:8">
      <c r="A9" s="8" t="s">
        <v>118</v>
      </c>
      <c r="B9" s="8" t="s">
        <v>119</v>
      </c>
      <c r="C9" s="83">
        <f t="shared" si="0"/>
        <v>-20144</v>
      </c>
      <c r="D9" s="39">
        <f>D4-D13</f>
        <v>-1682</v>
      </c>
      <c r="E9" s="39">
        <f>E4-E13</f>
        <v>-9382</v>
      </c>
      <c r="F9" s="39">
        <f>F4-F13</f>
        <v>-9082</v>
      </c>
      <c r="G9" s="39">
        <f>G4-G13</f>
        <v>0</v>
      </c>
      <c r="H9" s="39">
        <f>H4-H13</f>
        <v>2</v>
      </c>
    </row>
    <row r="10" s="43" customFormat="1" ht="16.5" customHeight="1" spans="1:8">
      <c r="A10" s="8" t="s">
        <v>120</v>
      </c>
      <c r="B10" s="8" t="s">
        <v>121</v>
      </c>
      <c r="C10" s="83">
        <f t="shared" si="0"/>
        <v>1248.608</v>
      </c>
      <c r="D10" s="37">
        <f>D5</f>
        <v>1.728</v>
      </c>
      <c r="E10" s="37">
        <f>E5</f>
        <v>51.04</v>
      </c>
      <c r="F10" s="37">
        <f>F5</f>
        <v>263.04</v>
      </c>
      <c r="G10" s="37">
        <f>G5</f>
        <v>466.4</v>
      </c>
      <c r="H10" s="37">
        <f>H5</f>
        <v>466.4</v>
      </c>
    </row>
    <row r="11" s="43" customFormat="1" ht="16.5" customHeight="1" spans="1:8">
      <c r="A11" s="8" t="s">
        <v>122</v>
      </c>
      <c r="B11" s="8" t="s">
        <v>123</v>
      </c>
      <c r="C11" s="83">
        <f t="shared" si="0"/>
        <v>14.47095</v>
      </c>
      <c r="D11" s="37">
        <f>D6*A财务假设!$D$13</f>
        <v>0</v>
      </c>
      <c r="E11" s="37">
        <f>E6*A财务假设!$D$13</f>
        <v>9.19013777777778</v>
      </c>
      <c r="F11" s="37">
        <f>F6*A财务假设!$D$13</f>
        <v>0.544772222222226</v>
      </c>
      <c r="G11" s="37">
        <f>G6*A财务假设!$D$13</f>
        <v>2.54926666666667</v>
      </c>
      <c r="H11" s="37">
        <f>H6*A财务假设!$D$13</f>
        <v>2.18677333333333</v>
      </c>
    </row>
    <row r="12" s="43" customFormat="1" ht="16.5" customHeight="1" spans="1:9">
      <c r="A12" s="8">
        <v>2.2</v>
      </c>
      <c r="B12" s="8" t="s">
        <v>124</v>
      </c>
      <c r="C12" s="83">
        <f t="shared" si="0"/>
        <v>22000</v>
      </c>
      <c r="D12" s="13">
        <f>C.2项目每年借款信息!C6</f>
        <v>2000</v>
      </c>
      <c r="E12" s="13">
        <f>C.2项目每年借款信息!D6</f>
        <v>10000</v>
      </c>
      <c r="F12" s="13">
        <f>C.2项目每年借款信息!E6</f>
        <v>10000</v>
      </c>
      <c r="G12" s="13">
        <f>C.2项目每年借款信息!F6</f>
        <v>0</v>
      </c>
      <c r="H12" s="13">
        <f>C.2项目每年借款信息!G6</f>
        <v>0</v>
      </c>
      <c r="I12" s="65" t="s">
        <v>125</v>
      </c>
    </row>
    <row r="13" s="43" customFormat="1" ht="16.5" customHeight="1" spans="1:8">
      <c r="A13" s="8" t="s">
        <v>126</v>
      </c>
      <c r="B13" s="8" t="s">
        <v>119</v>
      </c>
      <c r="C13" s="83">
        <f t="shared" si="0"/>
        <v>21998</v>
      </c>
      <c r="D13" s="39">
        <f>D12-D14-D15-D16</f>
        <v>2000</v>
      </c>
      <c r="E13" s="39">
        <f>E12-E14-E15-E16</f>
        <v>10000</v>
      </c>
      <c r="F13" s="39">
        <f>F12-F14-F15-F16</f>
        <v>10000</v>
      </c>
      <c r="G13" s="39">
        <f>G12-G14-G15-G16</f>
        <v>0</v>
      </c>
      <c r="H13" s="39">
        <f>H12-H14-H15-H16</f>
        <v>-2</v>
      </c>
    </row>
    <row r="14" s="43" customFormat="1" ht="16.5" customHeight="1" spans="1:8">
      <c r="A14" s="8" t="s">
        <v>127</v>
      </c>
      <c r="B14" s="8" t="s">
        <v>121</v>
      </c>
      <c r="C14" s="83">
        <f t="shared" si="0"/>
        <v>1</v>
      </c>
      <c r="D14" s="37">
        <v>0</v>
      </c>
      <c r="E14" s="37">
        <v>0</v>
      </c>
      <c r="F14" s="37">
        <v>0</v>
      </c>
      <c r="G14" s="37">
        <v>0</v>
      </c>
      <c r="H14" s="37">
        <v>1</v>
      </c>
    </row>
    <row r="15" s="43" customFormat="1" ht="16.5" customHeight="1" spans="1:8">
      <c r="A15" s="8" t="s">
        <v>128</v>
      </c>
      <c r="B15" s="8" t="s">
        <v>123</v>
      </c>
      <c r="C15" s="83">
        <f t="shared" si="0"/>
        <v>0</v>
      </c>
      <c r="D15" s="37">
        <f>D6-D11</f>
        <v>0</v>
      </c>
      <c r="E15" s="37">
        <f>E6-E11</f>
        <v>0</v>
      </c>
      <c r="F15" s="37">
        <f>F6-F11</f>
        <v>0</v>
      </c>
      <c r="G15" s="37">
        <f>G6-G11</f>
        <v>0</v>
      </c>
      <c r="H15" s="37">
        <f>H6-H11</f>
        <v>0</v>
      </c>
    </row>
    <row r="16" s="43" customFormat="1" ht="16.5" customHeight="1" spans="1:8">
      <c r="A16" s="8">
        <v>2.3</v>
      </c>
      <c r="B16" s="8" t="s">
        <v>129</v>
      </c>
      <c r="C16" s="83">
        <f t="shared" si="0"/>
        <v>1</v>
      </c>
      <c r="D16" s="37">
        <v>0</v>
      </c>
      <c r="E16" s="37">
        <v>0</v>
      </c>
      <c r="F16" s="37">
        <v>0</v>
      </c>
      <c r="G16" s="37">
        <v>0</v>
      </c>
      <c r="H16" s="37">
        <v>1</v>
      </c>
    </row>
    <row r="17" s="43" customFormat="1" ht="16.5" customHeight="1" spans="1:8">
      <c r="A17" s="44">
        <v>3</v>
      </c>
      <c r="B17" s="44" t="s">
        <v>130</v>
      </c>
      <c r="C17" s="83">
        <f>SUM(C18:C20)</f>
        <v>-18880.92105</v>
      </c>
      <c r="D17" s="83" t="s">
        <v>131</v>
      </c>
      <c r="E17" s="83" t="s">
        <v>131</v>
      </c>
      <c r="F17" s="83" t="s">
        <v>131</v>
      </c>
      <c r="G17" s="83" t="s">
        <v>131</v>
      </c>
      <c r="H17" s="83" t="s">
        <v>131</v>
      </c>
    </row>
    <row r="18" s="43" customFormat="1" ht="16.5" customHeight="1" spans="1:8">
      <c r="A18" s="8">
        <v>3.1</v>
      </c>
      <c r="B18" s="8" t="s">
        <v>113</v>
      </c>
      <c r="C18" s="13">
        <f>C9</f>
        <v>-20144</v>
      </c>
      <c r="D18" s="13" t="s">
        <v>131</v>
      </c>
      <c r="E18" s="13" t="s">
        <v>131</v>
      </c>
      <c r="F18" s="13" t="s">
        <v>131</v>
      </c>
      <c r="G18" s="13" t="s">
        <v>131</v>
      </c>
      <c r="H18" s="13" t="s">
        <v>131</v>
      </c>
    </row>
    <row r="19" s="43" customFormat="1" ht="16.5" customHeight="1" spans="1:8">
      <c r="A19" s="8">
        <v>3.2</v>
      </c>
      <c r="B19" s="8" t="s">
        <v>114</v>
      </c>
      <c r="C19" s="13">
        <f>C10</f>
        <v>1248.608</v>
      </c>
      <c r="D19" s="13" t="s">
        <v>131</v>
      </c>
      <c r="E19" s="13" t="s">
        <v>131</v>
      </c>
      <c r="F19" s="13" t="s">
        <v>131</v>
      </c>
      <c r="G19" s="13" t="s">
        <v>131</v>
      </c>
      <c r="H19" s="13" t="s">
        <v>131</v>
      </c>
    </row>
    <row r="20" s="43" customFormat="1" ht="16.5" customHeight="1" spans="1:8">
      <c r="A20" s="8">
        <v>3.3</v>
      </c>
      <c r="B20" s="8" t="s">
        <v>132</v>
      </c>
      <c r="C20" s="13">
        <f>C11</f>
        <v>14.47095</v>
      </c>
      <c r="D20" s="13" t="s">
        <v>131</v>
      </c>
      <c r="E20" s="13" t="s">
        <v>131</v>
      </c>
      <c r="F20" s="13" t="s">
        <v>131</v>
      </c>
      <c r="G20" s="13" t="s">
        <v>131</v>
      </c>
      <c r="H20" s="13" t="s">
        <v>131</v>
      </c>
    </row>
    <row r="21" s="43" customFormat="1" ht="33" customHeight="1" spans="1:8">
      <c r="A21" s="44">
        <v>4</v>
      </c>
      <c r="B21" s="76" t="s">
        <v>133</v>
      </c>
      <c r="C21" s="108">
        <f>C17/C3</f>
        <v>-6.05724826122867</v>
      </c>
      <c r="D21" s="108" t="s">
        <v>131</v>
      </c>
      <c r="E21" s="108" t="s">
        <v>131</v>
      </c>
      <c r="F21" s="108" t="s">
        <v>131</v>
      </c>
      <c r="G21" s="108" t="s">
        <v>131</v>
      </c>
      <c r="H21" s="108" t="s">
        <v>131</v>
      </c>
    </row>
    <row r="22" s="105" customFormat="1" ht="14" customHeight="1"/>
  </sheetData>
  <mergeCells count="1">
    <mergeCell ref="A1:H1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FF00"/>
  </sheetPr>
  <dimension ref="A1:H21"/>
  <sheetViews>
    <sheetView workbookViewId="0">
      <selection activeCell="H1" sqref="H1"/>
    </sheetView>
  </sheetViews>
  <sheetFormatPr defaultColWidth="33.6636363636364" defaultRowHeight="14" outlineLevelCol="7"/>
  <cols>
    <col min="1" max="1" width="6" style="1" customWidth="1"/>
    <col min="2" max="2" width="19.3363636363636" style="1" customWidth="1"/>
    <col min="3" max="3" width="56.8909090909091" style="1" customWidth="1"/>
    <col min="4" max="4" width="14.5545454545455" style="1" customWidth="1"/>
    <col min="5" max="5" width="26.3363636363636" style="1" customWidth="1"/>
    <col min="6" max="6" width="27" style="1" customWidth="1"/>
    <col min="7" max="7" width="26" style="1" customWidth="1"/>
  </cols>
  <sheetData>
    <row r="1" s="43" customFormat="1" ht="22.5" customHeight="1" spans="1:8">
      <c r="A1" s="54" t="s">
        <v>134</v>
      </c>
      <c r="B1" s="3"/>
      <c r="C1" s="3"/>
      <c r="D1" s="3"/>
      <c r="E1" s="3"/>
      <c r="F1" s="3"/>
      <c r="G1" s="4"/>
      <c r="H1" s="65" t="s">
        <v>135</v>
      </c>
    </row>
    <row r="2" s="43" customFormat="1" ht="16.5" customHeight="1" spans="1:7">
      <c r="A2" s="5" t="s">
        <v>1</v>
      </c>
      <c r="B2" s="5" t="s">
        <v>83</v>
      </c>
      <c r="C2" s="5" t="s">
        <v>84</v>
      </c>
      <c r="D2" s="5" t="s">
        <v>136</v>
      </c>
      <c r="E2" s="31">
        <v>2025</v>
      </c>
      <c r="F2" s="31">
        <v>2026</v>
      </c>
      <c r="G2" s="31">
        <v>2027</v>
      </c>
    </row>
    <row r="3" s="43" customFormat="1" ht="16.5" customHeight="1" spans="1:7">
      <c r="A3" s="8" t="s">
        <v>86</v>
      </c>
      <c r="B3" s="8" t="s">
        <v>87</v>
      </c>
      <c r="C3" s="8"/>
      <c r="D3" s="13">
        <f>SUM(D4+D8)</f>
        <v>1824</v>
      </c>
      <c r="E3" s="13">
        <f>E4+E8</f>
        <v>308</v>
      </c>
      <c r="F3" s="13">
        <f>F4+F8</f>
        <v>608</v>
      </c>
      <c r="G3" s="13">
        <f>G4+G8</f>
        <v>908</v>
      </c>
    </row>
    <row r="4" s="43" customFormat="1" ht="16.5" customHeight="1" spans="1:7">
      <c r="A4" s="44">
        <v>1</v>
      </c>
      <c r="B4" s="44" t="s">
        <v>88</v>
      </c>
      <c r="C4" s="44"/>
      <c r="D4" s="83">
        <f>SUM(D5:D7)</f>
        <v>1800</v>
      </c>
      <c r="E4" s="83">
        <f>E5+E6+E7</f>
        <v>300</v>
      </c>
      <c r="F4" s="83">
        <f>F5+F6+F7</f>
        <v>600</v>
      </c>
      <c r="G4" s="83">
        <f>G5+G6+G7</f>
        <v>900</v>
      </c>
    </row>
    <row r="5" s="43" customFormat="1" ht="66" customHeight="1" spans="1:7">
      <c r="A5" s="8">
        <v>1.1</v>
      </c>
      <c r="B5" s="12" t="s">
        <v>89</v>
      </c>
      <c r="C5" s="66" t="s">
        <v>90</v>
      </c>
      <c r="D5" s="13">
        <f>SUM(E5:G5)</f>
        <v>600</v>
      </c>
      <c r="E5" s="37">
        <v>100</v>
      </c>
      <c r="F5" s="37">
        <v>200</v>
      </c>
      <c r="G5" s="37">
        <v>300</v>
      </c>
    </row>
    <row r="6" s="43" customFormat="1" ht="16.5" customHeight="1" spans="1:7">
      <c r="A6" s="8">
        <v>1.2</v>
      </c>
      <c r="B6" s="12" t="s">
        <v>91</v>
      </c>
      <c r="C6" s="8"/>
      <c r="D6" s="13">
        <f>SUM(E6:G6)</f>
        <v>600</v>
      </c>
      <c r="E6" s="37">
        <v>100</v>
      </c>
      <c r="F6" s="37">
        <v>200</v>
      </c>
      <c r="G6" s="37">
        <v>300</v>
      </c>
    </row>
    <row r="7" s="43" customFormat="1" ht="33" customHeight="1" spans="1:7">
      <c r="A7" s="8">
        <v>1.3</v>
      </c>
      <c r="B7" s="12" t="s">
        <v>92</v>
      </c>
      <c r="C7" s="66" t="s">
        <v>93</v>
      </c>
      <c r="D7" s="13">
        <f>SUM(E7:G7)</f>
        <v>600</v>
      </c>
      <c r="E7" s="37">
        <v>100</v>
      </c>
      <c r="F7" s="37">
        <v>200</v>
      </c>
      <c r="G7" s="37">
        <v>300</v>
      </c>
    </row>
    <row r="8" s="43" customFormat="1" ht="16.5" customHeight="1" spans="1:7">
      <c r="A8" s="44">
        <v>2</v>
      </c>
      <c r="B8" s="44" t="s">
        <v>94</v>
      </c>
      <c r="C8" s="44"/>
      <c r="D8" s="83">
        <f>SUM(D9:D12)</f>
        <v>24</v>
      </c>
      <c r="E8" s="83">
        <f>SUM(E9:E12)</f>
        <v>8</v>
      </c>
      <c r="F8" s="83">
        <f>SUM(F9:F12)</f>
        <v>8</v>
      </c>
      <c r="G8" s="83">
        <f>SUM(G9:G12)</f>
        <v>8</v>
      </c>
    </row>
    <row r="9" s="43" customFormat="1" ht="16.5" customHeight="1" spans="1:7">
      <c r="A9" s="8">
        <v>2.1</v>
      </c>
      <c r="B9" s="12" t="s">
        <v>95</v>
      </c>
      <c r="C9" s="8" t="s">
        <v>137</v>
      </c>
      <c r="D9" s="13">
        <f>SUM(E9:G9)</f>
        <v>6</v>
      </c>
      <c r="E9" s="37">
        <v>2</v>
      </c>
      <c r="F9" s="37">
        <v>2</v>
      </c>
      <c r="G9" s="37">
        <v>2</v>
      </c>
    </row>
    <row r="10" s="43" customFormat="1" ht="16.5" customHeight="1" spans="1:7">
      <c r="A10" s="8">
        <v>2.2</v>
      </c>
      <c r="B10" s="12" t="s">
        <v>96</v>
      </c>
      <c r="C10" s="8"/>
      <c r="D10" s="13">
        <f>SUM(E10:G10)</f>
        <v>6</v>
      </c>
      <c r="E10" s="37">
        <v>2</v>
      </c>
      <c r="F10" s="37">
        <v>2</v>
      </c>
      <c r="G10" s="37">
        <v>2</v>
      </c>
    </row>
    <row r="11" s="43" customFormat="1" ht="16.5" customHeight="1" spans="1:7">
      <c r="A11" s="8">
        <v>2.3</v>
      </c>
      <c r="B11" s="12" t="s">
        <v>97</v>
      </c>
      <c r="C11" s="8"/>
      <c r="D11" s="13">
        <f>SUM(E11:G11)</f>
        <v>6</v>
      </c>
      <c r="E11" s="37">
        <v>2</v>
      </c>
      <c r="F11" s="37">
        <v>2</v>
      </c>
      <c r="G11" s="37">
        <v>2</v>
      </c>
    </row>
    <row r="12" s="43" customFormat="1" ht="16.5" customHeight="1" spans="1:7">
      <c r="A12" s="8">
        <v>2.4</v>
      </c>
      <c r="B12" s="12" t="s">
        <v>98</v>
      </c>
      <c r="C12" s="8"/>
      <c r="D12" s="13">
        <f>SUM(E12:G12)</f>
        <v>6</v>
      </c>
      <c r="E12" s="37">
        <v>2</v>
      </c>
      <c r="F12" s="37">
        <v>2</v>
      </c>
      <c r="G12" s="37">
        <v>2</v>
      </c>
    </row>
    <row r="13" s="43" customFormat="1" ht="16.5" customHeight="1" spans="1:7">
      <c r="A13" s="44" t="s">
        <v>99</v>
      </c>
      <c r="B13" s="44" t="s">
        <v>100</v>
      </c>
      <c r="C13" s="44"/>
      <c r="D13" s="44">
        <f>SUM(D14:D18)</f>
        <v>24</v>
      </c>
      <c r="E13" s="44">
        <f>SUM(E14:E18)</f>
        <v>8</v>
      </c>
      <c r="F13" s="44">
        <f>SUM(F14:F18)</f>
        <v>8</v>
      </c>
      <c r="G13" s="44">
        <f>SUM(G14:G18)</f>
        <v>8</v>
      </c>
    </row>
    <row r="14" s="43" customFormat="1" ht="16.5" customHeight="1" spans="1:7">
      <c r="A14" s="8">
        <v>1</v>
      </c>
      <c r="B14" s="12" t="s">
        <v>101</v>
      </c>
      <c r="C14" s="8"/>
      <c r="D14" s="13">
        <f>SUM(E14:G14)</f>
        <v>6</v>
      </c>
      <c r="E14" s="37">
        <v>2</v>
      </c>
      <c r="F14" s="37">
        <v>2</v>
      </c>
      <c r="G14" s="37">
        <v>2</v>
      </c>
    </row>
    <row r="15" s="43" customFormat="1" ht="16.5" customHeight="1" spans="1:7">
      <c r="A15" s="8">
        <v>2</v>
      </c>
      <c r="B15" s="12" t="s">
        <v>102</v>
      </c>
      <c r="C15" s="8"/>
      <c r="D15" s="13">
        <f>SUM(E15:G15)</f>
        <v>6</v>
      </c>
      <c r="E15" s="37">
        <v>2</v>
      </c>
      <c r="F15" s="37">
        <v>2</v>
      </c>
      <c r="G15" s="37">
        <v>2</v>
      </c>
    </row>
    <row r="16" s="43" customFormat="1" ht="16.5" customHeight="1" spans="1:7">
      <c r="A16" s="8">
        <v>3</v>
      </c>
      <c r="B16" s="12" t="s">
        <v>103</v>
      </c>
      <c r="C16" s="8"/>
      <c r="D16" s="13">
        <f>SUM(E16:G16)</f>
        <v>6</v>
      </c>
      <c r="E16" s="37">
        <v>2</v>
      </c>
      <c r="F16" s="37">
        <v>2</v>
      </c>
      <c r="G16" s="37">
        <v>2</v>
      </c>
    </row>
    <row r="17" s="43" customFormat="1" ht="16.5" customHeight="1" spans="1:7">
      <c r="A17" s="8">
        <v>4</v>
      </c>
      <c r="B17" s="12" t="s">
        <v>104</v>
      </c>
      <c r="C17" s="8"/>
      <c r="D17" s="13">
        <f>SUM(E17:G17)</f>
        <v>6</v>
      </c>
      <c r="E17" s="37">
        <v>2</v>
      </c>
      <c r="F17" s="37">
        <v>2</v>
      </c>
      <c r="G17" s="37">
        <v>2</v>
      </c>
    </row>
    <row r="18" s="43" customFormat="1" ht="16.5" customHeight="1" spans="1:7">
      <c r="A18" s="8">
        <v>5</v>
      </c>
      <c r="B18" s="12" t="s">
        <v>105</v>
      </c>
      <c r="C18" s="8"/>
      <c r="D18" s="13">
        <f>SUM(E18:G18)</f>
        <v>0</v>
      </c>
      <c r="E18" s="37">
        <v>0</v>
      </c>
      <c r="F18" s="37">
        <v>0</v>
      </c>
      <c r="G18" s="37">
        <v>0</v>
      </c>
    </row>
    <row r="19" s="43" customFormat="1" ht="16.5" customHeight="1" spans="1:7">
      <c r="A19" s="44" t="s">
        <v>106</v>
      </c>
      <c r="B19" s="44" t="s">
        <v>107</v>
      </c>
      <c r="C19" s="44"/>
      <c r="D19" s="83">
        <f>D20</f>
        <v>6</v>
      </c>
      <c r="E19" s="83">
        <f>E20</f>
        <v>2</v>
      </c>
      <c r="F19" s="83">
        <f>F20</f>
        <v>2</v>
      </c>
      <c r="G19" s="83">
        <f>G20</f>
        <v>2</v>
      </c>
    </row>
    <row r="20" s="43" customFormat="1" ht="16.5" customHeight="1" spans="1:7">
      <c r="A20" s="8">
        <v>1</v>
      </c>
      <c r="B20" s="107" t="s">
        <v>108</v>
      </c>
      <c r="C20" s="107"/>
      <c r="D20" s="13">
        <f>SUM(E20:G20)</f>
        <v>6</v>
      </c>
      <c r="E20" s="37">
        <v>2</v>
      </c>
      <c r="F20" s="37">
        <v>2</v>
      </c>
      <c r="G20" s="37">
        <v>2</v>
      </c>
    </row>
    <row r="21" s="43" customFormat="1" ht="16.5" customHeight="1" spans="1:7">
      <c r="A21" s="8"/>
      <c r="B21" s="8" t="s">
        <v>109</v>
      </c>
      <c r="C21" s="4"/>
      <c r="D21" s="13">
        <f>SUM(E21:G21)</f>
        <v>1854</v>
      </c>
      <c r="E21" s="13">
        <f>E3+E13+E19</f>
        <v>318</v>
      </c>
      <c r="F21" s="13">
        <f>F3+F13+F19</f>
        <v>618</v>
      </c>
      <c r="G21" s="13">
        <f>G3+G13+G19</f>
        <v>918</v>
      </c>
    </row>
  </sheetData>
  <mergeCells count="2">
    <mergeCell ref="A1:G1"/>
    <mergeCell ref="B21:C21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FFFF00"/>
  </sheetPr>
  <dimension ref="A1:J15"/>
  <sheetViews>
    <sheetView workbookViewId="0">
      <pane xSplit="4" ySplit="2" topLeftCell="E6" activePane="bottomRight" state="frozen"/>
      <selection/>
      <selection pane="topRight"/>
      <selection pane="bottomLeft"/>
      <selection pane="bottomRight" activeCell="I9" sqref="I9"/>
    </sheetView>
  </sheetViews>
  <sheetFormatPr defaultColWidth="8.89090909090909" defaultRowHeight="28.05" customHeight="1"/>
  <cols>
    <col min="1" max="1" width="6.10909090909091" style="1" customWidth="1"/>
    <col min="2" max="2" width="20.4454545454545" style="1" customWidth="1"/>
    <col min="3" max="3" width="17.7818181818182" style="1" customWidth="1"/>
    <col min="4" max="4" width="9.55454545454545" style="1" customWidth="1"/>
    <col min="5" max="5" width="6.44545454545455" style="1" customWidth="1"/>
    <col min="6" max="9" width="7.44545454545455" style="1" customWidth="1"/>
    <col min="14" max="14" width="80.4454545454546" style="1" customWidth="1"/>
  </cols>
  <sheetData>
    <row r="1" s="43" customFormat="1" ht="22.5" customHeight="1" spans="1:10">
      <c r="A1" s="106" t="s">
        <v>138</v>
      </c>
      <c r="B1" s="11"/>
      <c r="C1" s="11"/>
      <c r="D1" s="11"/>
      <c r="E1" s="11"/>
      <c r="F1" s="11"/>
      <c r="G1" s="11"/>
      <c r="H1" s="11"/>
      <c r="I1" s="11"/>
      <c r="J1" s="65" t="s">
        <v>139</v>
      </c>
    </row>
    <row r="2" s="43" customFormat="1" ht="33" customHeight="1" spans="1:9">
      <c r="A2" s="5" t="s">
        <v>1</v>
      </c>
      <c r="B2" s="5" t="s">
        <v>140</v>
      </c>
      <c r="C2" s="5" t="s">
        <v>141</v>
      </c>
      <c r="D2" s="5" t="s">
        <v>142</v>
      </c>
      <c r="E2" s="31">
        <v>2025</v>
      </c>
      <c r="F2" s="31">
        <v>2026</v>
      </c>
      <c r="G2" s="31">
        <v>2027</v>
      </c>
      <c r="H2" s="31">
        <v>2028</v>
      </c>
      <c r="I2" s="31">
        <v>2029</v>
      </c>
    </row>
    <row r="3" s="43" customFormat="1" ht="16.5" customHeight="1" spans="1:9">
      <c r="A3" s="8">
        <v>1</v>
      </c>
      <c r="B3" s="8" t="s">
        <v>143</v>
      </c>
      <c r="C3" s="12">
        <v>2</v>
      </c>
      <c r="D3" s="8">
        <f t="shared" ref="D3:D15" si="0">360/C3</f>
        <v>180</v>
      </c>
      <c r="E3" s="22"/>
      <c r="F3" s="13">
        <f>F4+F5+F10</f>
        <v>9.43012111111111</v>
      </c>
      <c r="G3" s="13">
        <f>G4+G5+G10</f>
        <v>9.97489333333334</v>
      </c>
      <c r="H3" s="13">
        <f>H4+H5+H10</f>
        <v>12.5584433333333</v>
      </c>
      <c r="I3" s="13">
        <f>I4+I5+I10</f>
        <v>14.7795</v>
      </c>
    </row>
    <row r="4" s="43" customFormat="1" ht="16.5" customHeight="1" spans="1:9">
      <c r="A4" s="8">
        <v>1.1</v>
      </c>
      <c r="B4" s="8" t="s">
        <v>144</v>
      </c>
      <c r="C4" s="12">
        <v>1</v>
      </c>
      <c r="D4" s="8">
        <f t="shared" si="0"/>
        <v>360</v>
      </c>
      <c r="E4" s="22"/>
      <c r="F4" s="13">
        <f>F项目收入!E11/$D$4</f>
        <v>0.902777777777778</v>
      </c>
      <c r="G4" s="13">
        <f>F项目收入!F11/$D$4</f>
        <v>1.44666666666667</v>
      </c>
      <c r="H4" s="13">
        <f>F项目收入!G11/$D$4</f>
        <v>1.81116666666667</v>
      </c>
      <c r="I4" s="13">
        <f>F项目收入!H11/$D$4</f>
        <v>1.81405666666667</v>
      </c>
    </row>
    <row r="5" s="43" customFormat="1" ht="16.5" customHeight="1" spans="1:9">
      <c r="A5" s="8">
        <v>1.2</v>
      </c>
      <c r="B5" s="8" t="s">
        <v>145</v>
      </c>
      <c r="C5" s="12">
        <v>3</v>
      </c>
      <c r="D5" s="8">
        <f t="shared" si="0"/>
        <v>120</v>
      </c>
      <c r="E5" s="22"/>
      <c r="F5" s="13">
        <f>SUM(F6:F9)</f>
        <v>5.827005</v>
      </c>
      <c r="G5" s="13">
        <f>SUM(G6:G9)</f>
        <v>5.82744666666667</v>
      </c>
      <c r="H5" s="13">
        <f>SUM(H6:H9)</f>
        <v>7.660305</v>
      </c>
      <c r="I5" s="13">
        <f>SUM(I6:I9)</f>
        <v>9.49272166666667</v>
      </c>
    </row>
    <row r="6" s="43" customFormat="1" ht="16.5" customHeight="1" spans="1:9">
      <c r="A6" s="8" t="s">
        <v>146</v>
      </c>
      <c r="B6" s="8" t="s">
        <v>147</v>
      </c>
      <c r="C6" s="12">
        <v>30</v>
      </c>
      <c r="D6" s="8">
        <f t="shared" si="0"/>
        <v>12</v>
      </c>
      <c r="E6" s="22"/>
      <c r="F6" s="13">
        <f>E总成本费用估算表!D3/$D$6</f>
        <v>0.540166666666667</v>
      </c>
      <c r="G6" s="13">
        <f>E总成本费用估算表!E3/$D$6</f>
        <v>0.540166666666667</v>
      </c>
      <c r="H6" s="13">
        <f>E总成本费用估算表!F3/$D$6</f>
        <v>0.617333333333333</v>
      </c>
      <c r="I6" s="13">
        <f>E总成本费用估算表!G3/$D$6</f>
        <v>0.6945</v>
      </c>
    </row>
    <row r="7" s="43" customFormat="1" ht="16.5" customHeight="1" spans="1:9">
      <c r="A7" s="8" t="s">
        <v>148</v>
      </c>
      <c r="B7" s="8" t="s">
        <v>149</v>
      </c>
      <c r="C7" s="12">
        <v>15</v>
      </c>
      <c r="D7" s="8">
        <f t="shared" si="0"/>
        <v>24</v>
      </c>
      <c r="E7" s="22"/>
      <c r="F7" s="13">
        <f>E总成本费用估算表!D4/$D$7</f>
        <v>0.929833333333333</v>
      </c>
      <c r="G7" s="13">
        <f>E总成本费用估算表!E4/$D$7</f>
        <v>0.929833333333333</v>
      </c>
      <c r="H7" s="13">
        <f>E总成本费用估算表!F4/$D$7</f>
        <v>1.06266666666667</v>
      </c>
      <c r="I7" s="13">
        <f>E总成本费用估算表!G4/$D$7</f>
        <v>1.1955</v>
      </c>
    </row>
    <row r="8" s="43" customFormat="1" ht="16.5" customHeight="1" spans="1:9">
      <c r="A8" s="8" t="s">
        <v>150</v>
      </c>
      <c r="B8" s="8" t="s">
        <v>151</v>
      </c>
      <c r="C8" s="12">
        <v>3</v>
      </c>
      <c r="D8" s="8">
        <f t="shared" si="0"/>
        <v>120</v>
      </c>
      <c r="E8" s="22"/>
      <c r="F8" s="37">
        <v>0</v>
      </c>
      <c r="G8" s="37">
        <v>0</v>
      </c>
      <c r="H8" s="37">
        <v>1</v>
      </c>
      <c r="I8" s="37">
        <v>2</v>
      </c>
    </row>
    <row r="9" s="43" customFormat="1" ht="16.5" customHeight="1" spans="1:9">
      <c r="A9" s="8" t="s">
        <v>152</v>
      </c>
      <c r="B9" s="8" t="s">
        <v>153</v>
      </c>
      <c r="C9" s="12">
        <v>15</v>
      </c>
      <c r="D9" s="8">
        <f t="shared" si="0"/>
        <v>24</v>
      </c>
      <c r="E9" s="22"/>
      <c r="F9" s="13">
        <f>(E总成本费用估算表!D11-E总成本费用估算表!D10)/$D$9</f>
        <v>4.357005</v>
      </c>
      <c r="G9" s="13">
        <f>(E总成本费用估算表!E11-E总成本费用估算表!E10)/$D$9</f>
        <v>4.35744666666667</v>
      </c>
      <c r="H9" s="13">
        <f>(E总成本费用估算表!F11-E总成本费用估算表!F10)/$D$9</f>
        <v>4.980305</v>
      </c>
      <c r="I9" s="13">
        <f>(E总成本费用估算表!G11-E总成本费用估算表!G10)/$D$9</f>
        <v>5.60272166666667</v>
      </c>
    </row>
    <row r="10" s="43" customFormat="1" ht="16.5" customHeight="1" spans="1:9">
      <c r="A10" s="8">
        <v>1.3</v>
      </c>
      <c r="B10" s="8" t="s">
        <v>154</v>
      </c>
      <c r="C10" s="12">
        <v>15</v>
      </c>
      <c r="D10" s="8">
        <f t="shared" si="0"/>
        <v>24</v>
      </c>
      <c r="E10" s="22"/>
      <c r="F10" s="13">
        <f>(E总成本费用估算表!D5+E总成本费用估算表!D7)/$D$10</f>
        <v>2.70033833333333</v>
      </c>
      <c r="G10" s="13">
        <f>(E总成本费用估算表!E5+E总成本费用估算表!E7)/$D$10</f>
        <v>2.70078</v>
      </c>
      <c r="H10" s="13">
        <f>(E总成本费用估算表!F5+E总成本费用估算表!F7)/$D$10</f>
        <v>3.08697166666667</v>
      </c>
      <c r="I10" s="13">
        <f>(E总成本费用估算表!G5+E总成本费用估算表!G7)/$D$10</f>
        <v>3.47272166666667</v>
      </c>
    </row>
    <row r="11" s="43" customFormat="1" ht="16.5" customHeight="1" spans="1:9">
      <c r="A11" s="8">
        <v>2</v>
      </c>
      <c r="B11" s="8" t="s">
        <v>155</v>
      </c>
      <c r="C11" s="12">
        <v>3</v>
      </c>
      <c r="D11" s="8">
        <f t="shared" si="0"/>
        <v>120</v>
      </c>
      <c r="E11" s="22"/>
      <c r="F11" s="13">
        <f>F12</f>
        <v>0.239983333333333</v>
      </c>
      <c r="G11" s="13">
        <f>G12</f>
        <v>0.239983333333333</v>
      </c>
      <c r="H11" s="13">
        <f>H12</f>
        <v>0.274266666666667</v>
      </c>
      <c r="I11" s="13">
        <f>I12</f>
        <v>0.30855</v>
      </c>
    </row>
    <row r="12" s="43" customFormat="1" ht="16.5" customHeight="1" spans="1:9">
      <c r="A12" s="8">
        <v>2.1</v>
      </c>
      <c r="B12" s="8" t="s">
        <v>156</v>
      </c>
      <c r="C12" s="12">
        <v>3</v>
      </c>
      <c r="D12" s="8">
        <f t="shared" si="0"/>
        <v>120</v>
      </c>
      <c r="E12" s="22"/>
      <c r="F12" s="13">
        <f>(E总成本费用估算表!D3+E总成本费用估算表!D4)/$D$12</f>
        <v>0.239983333333333</v>
      </c>
      <c r="G12" s="13">
        <f>(E总成本费用估算表!E3+E总成本费用估算表!E4)/$D$12</f>
        <v>0.239983333333333</v>
      </c>
      <c r="H12" s="13">
        <f>(E总成本费用估算表!F3+E总成本费用估算表!F4)/$D$12</f>
        <v>0.274266666666667</v>
      </c>
      <c r="I12" s="13">
        <f>(E总成本费用估算表!G3+E总成本费用估算表!G4)/$D$12</f>
        <v>0.30855</v>
      </c>
    </row>
    <row r="13" s="43" customFormat="1" ht="16.5" customHeight="1" spans="1:9">
      <c r="A13" s="8">
        <v>3</v>
      </c>
      <c r="B13" s="8" t="s">
        <v>157</v>
      </c>
      <c r="C13" s="12">
        <v>3</v>
      </c>
      <c r="D13" s="8">
        <f t="shared" si="0"/>
        <v>120</v>
      </c>
      <c r="E13" s="22"/>
      <c r="F13" s="13">
        <f>F3-F11</f>
        <v>9.19013777777778</v>
      </c>
      <c r="G13" s="13">
        <f>G3-G11</f>
        <v>9.73491</v>
      </c>
      <c r="H13" s="13">
        <f>H3-H11</f>
        <v>12.2841766666667</v>
      </c>
      <c r="I13" s="13">
        <f>I3-I11</f>
        <v>14.47095</v>
      </c>
    </row>
    <row r="14" s="43" customFormat="1" ht="16.5" customHeight="1" spans="1:9">
      <c r="A14" s="8">
        <v>4</v>
      </c>
      <c r="B14" s="8" t="s">
        <v>158</v>
      </c>
      <c r="C14" s="12">
        <v>3</v>
      </c>
      <c r="D14" s="8">
        <f t="shared" si="0"/>
        <v>120</v>
      </c>
      <c r="E14" s="22"/>
      <c r="F14" s="13">
        <f>F13-E13</f>
        <v>9.19013777777778</v>
      </c>
      <c r="G14" s="13">
        <f>G13-F13</f>
        <v>0.544772222222226</v>
      </c>
      <c r="H14" s="13">
        <f>H13-G13</f>
        <v>2.54926666666667</v>
      </c>
      <c r="I14" s="13">
        <f>I13-H13</f>
        <v>2.18677333333333</v>
      </c>
    </row>
    <row r="15" s="43" customFormat="1" ht="16.5" customHeight="1" spans="1:9">
      <c r="A15" s="8">
        <v>5</v>
      </c>
      <c r="B15" s="8" t="s">
        <v>159</v>
      </c>
      <c r="C15" s="12">
        <v>3</v>
      </c>
      <c r="D15" s="8">
        <f t="shared" si="0"/>
        <v>120</v>
      </c>
      <c r="E15" s="9"/>
      <c r="F15" s="13">
        <f>D.2项目总投资使用计划与资金筹措表!E15</f>
        <v>0</v>
      </c>
      <c r="G15" s="13">
        <f>D.2项目总投资使用计划与资金筹措表!F15</f>
        <v>0</v>
      </c>
      <c r="H15" s="13">
        <f>D.2项目总投资使用计划与资金筹措表!G15</f>
        <v>0</v>
      </c>
      <c r="I15" s="13">
        <f>D.2项目总投资使用计划与资金筹措表!H15</f>
        <v>0</v>
      </c>
    </row>
  </sheetData>
  <mergeCells count="1">
    <mergeCell ref="A1:I1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4" tint="-0.249977111117893"/>
  </sheetPr>
  <dimension ref="A1:H18"/>
  <sheetViews>
    <sheetView workbookViewId="0">
      <pane xSplit="2" ySplit="2" topLeftCell="C3" activePane="bottomRight" state="frozen"/>
      <selection/>
      <selection pane="topRight"/>
      <selection pane="bottomLeft"/>
      <selection pane="bottomRight" activeCell="F19" sqref="F19"/>
    </sheetView>
  </sheetViews>
  <sheetFormatPr defaultColWidth="8.89090909090909" defaultRowHeight="28.05" customHeight="1" outlineLevelCol="7"/>
  <cols>
    <col min="2" max="2" width="29.7818181818182" style="1" customWidth="1"/>
    <col min="3" max="3" width="6.44545454545455" style="1" customWidth="1"/>
    <col min="4" max="7" width="8.66363636363636" style="1" customWidth="1"/>
    <col min="8" max="8" width="40.4454545454545" style="1" customWidth="1"/>
  </cols>
  <sheetData>
    <row r="1" s="43" customFormat="1" ht="22.5" customHeight="1" spans="1:8">
      <c r="A1" s="54" t="s">
        <v>160</v>
      </c>
      <c r="B1" s="3"/>
      <c r="C1" s="3"/>
      <c r="D1" s="3"/>
      <c r="E1" s="3"/>
      <c r="F1" s="3"/>
      <c r="G1" s="4"/>
      <c r="H1" s="65" t="s">
        <v>161</v>
      </c>
    </row>
    <row r="2" s="43" customFormat="1" ht="28.2" customHeight="1" spans="1:7">
      <c r="A2" s="5" t="s">
        <v>1</v>
      </c>
      <c r="B2" s="5" t="s">
        <v>111</v>
      </c>
      <c r="C2" s="104">
        <v>2025</v>
      </c>
      <c r="D2" s="31">
        <v>2026</v>
      </c>
      <c r="E2" s="31">
        <v>2027</v>
      </c>
      <c r="F2" s="31">
        <v>2028</v>
      </c>
      <c r="G2" s="31">
        <v>2029</v>
      </c>
    </row>
    <row r="3" s="43" customFormat="1" ht="16.5" customHeight="1" spans="1:7">
      <c r="A3" s="8">
        <v>1</v>
      </c>
      <c r="B3" s="8" t="s">
        <v>162</v>
      </c>
      <c r="C3" s="9"/>
      <c r="D3" s="37">
        <f>'E.1.1项目运营期费用(不含税）'!I7+'E.1.1项目运营期费用(不含税）'!I13</f>
        <v>6.482</v>
      </c>
      <c r="E3" s="37">
        <f>'E.1.1项目运营期费用(不含税）'!J7+'E.1.1项目运营期费用(不含税）'!J13</f>
        <v>6.482</v>
      </c>
      <c r="F3" s="37">
        <f>'E.1.1项目运营期费用(不含税）'!K7+'E.1.1项目运营期费用(不含税）'!K13</f>
        <v>7.408</v>
      </c>
      <c r="G3" s="37">
        <f>'E.1.1项目运营期费用(不含税）'!L7+'E.1.1项目运营期费用(不含税）'!L13</f>
        <v>8.334</v>
      </c>
    </row>
    <row r="4" s="43" customFormat="1" ht="16.5" customHeight="1" spans="1:8">
      <c r="A4" s="8">
        <v>2</v>
      </c>
      <c r="B4" s="8" t="s">
        <v>163</v>
      </c>
      <c r="C4" s="9"/>
      <c r="D4" s="37">
        <f>'E.1.1项目运营期费用(不含税）'!I8+'E.1.1项目运营期费用(不含税）'!I9+'E.1.1项目运营期费用(不含税）'!I10</f>
        <v>22.316</v>
      </c>
      <c r="E4" s="37">
        <f>'E.1.1项目运营期费用(不含税）'!J8+'E.1.1项目运营期费用(不含税）'!J9+'E.1.1项目运营期费用(不含税）'!J10</f>
        <v>22.316</v>
      </c>
      <c r="F4" s="37">
        <f>'E.1.1项目运营期费用(不含税）'!K8+'E.1.1项目运营期费用(不含税）'!K9+'E.1.1项目运营期费用(不含税）'!K10</f>
        <v>25.504</v>
      </c>
      <c r="G4" s="37">
        <f>'E.1.1项目运营期费用(不含税）'!L8+'E.1.1项目运营期费用(不含税）'!L9+'E.1.1项目运营期费用(不含税）'!L10</f>
        <v>28.692</v>
      </c>
      <c r="H4" s="65" t="s">
        <v>164</v>
      </c>
    </row>
    <row r="5" s="43" customFormat="1" ht="16.5" customHeight="1" spans="1:7">
      <c r="A5" s="8">
        <v>3</v>
      </c>
      <c r="B5" s="8" t="s">
        <v>165</v>
      </c>
      <c r="C5" s="9"/>
      <c r="D5" s="37">
        <f>'E.1.1项目运营期费用(不含税）'!I16</f>
        <v>4.2</v>
      </c>
      <c r="E5" s="37">
        <f>'E.1.1项目运营期费用(不含税）'!J16</f>
        <v>4.2</v>
      </c>
      <c r="F5" s="37">
        <f>'E.1.1项目运营期费用(不含税）'!K16</f>
        <v>4.8</v>
      </c>
      <c r="G5" s="37">
        <f>'E.1.1项目运营期费用(不含税）'!L16</f>
        <v>5.4</v>
      </c>
    </row>
    <row r="6" s="43" customFormat="1" ht="16.5" customHeight="1" spans="1:7">
      <c r="A6" s="8">
        <v>4</v>
      </c>
      <c r="B6" s="8" t="s">
        <v>166</v>
      </c>
      <c r="C6" s="9"/>
      <c r="D6" s="37">
        <f>'E.1.1项目运营期费用(不含税）'!I5+'E.1.1项目运营期费用(不含税）'!I12</f>
        <v>13.594</v>
      </c>
      <c r="E6" s="37">
        <f>'E.1.1项目运营期费用(不含税）'!J5+'E.1.1项目运营期费用(不含税）'!J12</f>
        <v>13.594</v>
      </c>
      <c r="F6" s="37">
        <f>'E.1.1项目运营期费用(不含税）'!K5+'E.1.1项目运营期费用(不含税）'!K12</f>
        <v>15.536</v>
      </c>
      <c r="G6" s="37">
        <f>'E.1.1项目运营期费用(不含税）'!L5+'E.1.1项目运营期费用(不含税）'!L12</f>
        <v>17.478</v>
      </c>
    </row>
    <row r="7" s="43" customFormat="1" ht="16.5" customHeight="1" spans="1:7">
      <c r="A7" s="8">
        <v>5</v>
      </c>
      <c r="B7" s="8" t="s">
        <v>167</v>
      </c>
      <c r="C7" s="9"/>
      <c r="D7" s="39">
        <f>D8+D9+D10</f>
        <v>60.60812</v>
      </c>
      <c r="E7" s="39">
        <f>E8+E9+E10</f>
        <v>60.61872</v>
      </c>
      <c r="F7" s="39">
        <f>F8+F9+F10</f>
        <v>69.28732</v>
      </c>
      <c r="G7" s="39">
        <f>G8+G9+G10</f>
        <v>77.94532</v>
      </c>
    </row>
    <row r="8" s="43" customFormat="1" ht="16.5" customHeight="1" spans="1:7">
      <c r="A8" s="8">
        <v>5.1</v>
      </c>
      <c r="B8" s="8" t="s">
        <v>168</v>
      </c>
      <c r="C8" s="9"/>
      <c r="D8" s="41">
        <f>'E.1.1项目运营期费用(不含税）'!I4+'E.1.1项目运营期费用(不含税）'!I14</f>
        <v>3.906</v>
      </c>
      <c r="E8" s="41">
        <f>'E.1.1项目运营期费用(不含税）'!J4+'E.1.1项目运营期费用(不含税）'!J14</f>
        <v>3.906</v>
      </c>
      <c r="F8" s="41">
        <f>'E.1.1项目运营期费用(不含税）'!K4+'E.1.1项目运营期费用(不含税）'!K14</f>
        <v>4.464</v>
      </c>
      <c r="G8" s="41">
        <f>'E.1.1项目运营期费用(不含税）'!L4+'E.1.1项目运营期费用(不含税）'!L14</f>
        <v>5.022</v>
      </c>
    </row>
    <row r="9" s="43" customFormat="1" ht="16.5" customHeight="1" spans="1:7">
      <c r="A9" s="8">
        <v>5.2</v>
      </c>
      <c r="B9" s="8" t="s">
        <v>169</v>
      </c>
      <c r="C9" s="9"/>
      <c r="D9" s="37">
        <f>'E.1.1项目运营期费用(不含税）'!I6+'E.1.1项目运营期费用(不含税）'!I11+'E.1.1项目运营期费用(不含税）'!I17+'E.1.1项目运营期费用(不含税）'!I18+'E.1.1项目运营期费用(不含税）'!I19+'E.1.1项目运营期费用(不含税）'!I20+'E.1.1项目运营期费用(不含税）'!I21+'E.1.1项目运营期费用(不含税）'!I22+'E.1.1项目运营期费用(不含税）'!I23+c借款还本付息计划表!E33</f>
        <v>54.07012</v>
      </c>
      <c r="E9" s="37">
        <f>'E.1.1项目运营期费用(不含税）'!J6+'E.1.1项目运营期费用(不含税）'!J11+'E.1.1项目运营期费用(不含税）'!J17+'E.1.1项目运营期费用(不含税）'!J18+'E.1.1项目运营期费用(不含税）'!J19+'E.1.1项目运营期费用(不含税）'!J20+'E.1.1项目运营期费用(不含税）'!J21+'E.1.1项目运营期费用(不含税）'!J22+'E.1.1项目运营期费用(不含税）'!J23+c借款还本付息计划表!F33</f>
        <v>54.08072</v>
      </c>
      <c r="F9" s="37">
        <f>'E.1.1项目运营期费用(不含税）'!K6+'E.1.1项目运营期费用(不含税）'!K11+'E.1.1项目运营期费用(不含税）'!K17+'E.1.1项目运营期费用(不含税）'!K18+'E.1.1项目运营期费用(不含税）'!K19+'E.1.1项目运营期费用(不含税）'!K20+'E.1.1项目运营期费用(不含税）'!K21+'E.1.1项目运营期费用(不含税）'!K22+'E.1.1项目运营期费用(不含税）'!K23+c借款还本付息计划表!G33</f>
        <v>61.81532</v>
      </c>
      <c r="G9" s="37">
        <f>'E.1.1项目运营期费用(不含税）'!L6+'E.1.1项目运营期费用(不含税）'!L11+'E.1.1项目运营期费用(不含税）'!L17+'E.1.1项目运营期费用(不含税）'!L18+'E.1.1项目运营期费用(不含税）'!L19+'E.1.1项目运营期费用(不含税）'!L20+'E.1.1项目运营期费用(不含税）'!L21+'E.1.1项目运营期费用(不含税）'!L22+'E.1.1项目运营期费用(不含税）'!L23+c借款还本付息计划表!H33</f>
        <v>69.53932</v>
      </c>
    </row>
    <row r="10" s="43" customFormat="1" ht="16.5" customHeight="1" spans="1:7">
      <c r="A10" s="8">
        <v>5.3</v>
      </c>
      <c r="B10" s="8" t="s">
        <v>170</v>
      </c>
      <c r="C10" s="9"/>
      <c r="D10" s="37">
        <f>'E.1.1项目运营期费用(不含税）'!I15</f>
        <v>2.632</v>
      </c>
      <c r="E10" s="37">
        <f>'E.1.1项目运营期费用(不含税）'!J15</f>
        <v>2.632</v>
      </c>
      <c r="F10" s="37">
        <f>'E.1.1项目运营期费用(不含税）'!K15</f>
        <v>3.008</v>
      </c>
      <c r="G10" s="37">
        <f>'E.1.1项目运营期费用(不含税）'!L15</f>
        <v>3.384</v>
      </c>
    </row>
    <row r="11" s="43" customFormat="1" ht="16.5" customHeight="1" spans="1:7">
      <c r="A11" s="8">
        <v>6</v>
      </c>
      <c r="B11" s="8" t="s">
        <v>171</v>
      </c>
      <c r="C11" s="9"/>
      <c r="D11" s="13">
        <f>D3+D4+D5+D6+D7</f>
        <v>107.20012</v>
      </c>
      <c r="E11" s="13">
        <f>E3+E4+E5+E6+E7</f>
        <v>107.21072</v>
      </c>
      <c r="F11" s="13">
        <f>F3+F4+F5+F6+F7</f>
        <v>122.53532</v>
      </c>
      <c r="G11" s="13">
        <f>G3+G4+G5+G6+G7</f>
        <v>137.84932</v>
      </c>
    </row>
    <row r="12" s="43" customFormat="1" ht="16.5" customHeight="1" spans="1:7">
      <c r="A12" s="8">
        <v>7</v>
      </c>
      <c r="B12" s="8" t="s">
        <v>172</v>
      </c>
      <c r="C12" s="103"/>
      <c r="D12" s="39">
        <f>E.2固定资产折旧费估算表!E4</f>
        <v>12.3079795598018</v>
      </c>
      <c r="E12" s="39">
        <f>E.2固定资产折旧费估算表!F4</f>
        <v>0</v>
      </c>
      <c r="F12" s="39">
        <f>E.2固定资产折旧费估算表!G4</f>
        <v>272.718915509293</v>
      </c>
      <c r="G12" s="39">
        <f>E.2固定资产折旧费估算表!H4</f>
        <v>260.410935949491</v>
      </c>
    </row>
    <row r="13" s="43" customFormat="1" ht="16.5" customHeight="1" spans="1:7">
      <c r="A13" s="8">
        <v>8</v>
      </c>
      <c r="B13" s="8" t="s">
        <v>173</v>
      </c>
      <c r="C13" s="103"/>
      <c r="D13" s="39">
        <f>E.3无形资产和其他资产摊销费估算表!E4</f>
        <v>0.251977109549325</v>
      </c>
      <c r="E13" s="39">
        <f>E.3无形资产和其他资产摊销费估算表!F4</f>
        <v>0</v>
      </c>
      <c r="F13" s="39">
        <f>E.3无形资产和其他资产摊销费估算表!G4</f>
        <v>5.29151930053583</v>
      </c>
      <c r="G13" s="39">
        <f>E.3无形资产和其他资产摊销费估算表!H4</f>
        <v>5.0395421909865</v>
      </c>
    </row>
    <row r="14" s="43" customFormat="1" ht="16.5" customHeight="1" spans="1:7">
      <c r="A14" s="8">
        <v>9</v>
      </c>
      <c r="B14" s="8" t="s">
        <v>174</v>
      </c>
      <c r="C14" s="89"/>
      <c r="D14" s="13">
        <f>c借款还本付息计划表!E31</f>
        <v>42.4</v>
      </c>
      <c r="E14" s="13">
        <f>c借款还本付息计划表!F31</f>
        <v>254.4</v>
      </c>
      <c r="F14" s="13">
        <f>c借款还本付息计划表!G31</f>
        <v>466.4</v>
      </c>
      <c r="G14" s="13">
        <f>c借款还本付息计划表!H31</f>
        <v>466.4</v>
      </c>
    </row>
    <row r="15" s="43" customFormat="1" ht="16.5" customHeight="1" spans="1:7">
      <c r="A15" s="8">
        <v>10</v>
      </c>
      <c r="B15" s="8" t="s">
        <v>175</v>
      </c>
      <c r="C15" s="9"/>
      <c r="D15" s="13">
        <f>D11+D12+D13+D14</f>
        <v>162.160076669351</v>
      </c>
      <c r="E15" s="13">
        <f>E11+E12+E13+E14</f>
        <v>361.61072</v>
      </c>
      <c r="F15" s="13">
        <f>F11+F12+F13+F14</f>
        <v>866.945754809829</v>
      </c>
      <c r="G15" s="13">
        <f>G11+G12+G13+G14</f>
        <v>869.699798140477</v>
      </c>
    </row>
    <row r="16" s="43" customFormat="1" ht="16.5" customHeight="1" spans="1:7">
      <c r="A16" s="8">
        <v>10.1</v>
      </c>
      <c r="B16" s="8" t="s">
        <v>176</v>
      </c>
      <c r="C16" s="9"/>
      <c r="D16" s="13">
        <f>D15-D17</f>
        <v>126.530076669351</v>
      </c>
      <c r="E16" s="13">
        <f>E15-E17</f>
        <v>325.98072</v>
      </c>
      <c r="F16" s="13">
        <f>F15-F17</f>
        <v>826.225754809829</v>
      </c>
      <c r="G16" s="13">
        <f>G15-G17</f>
        <v>823.889798140478</v>
      </c>
    </row>
    <row r="17" s="43" customFormat="1" ht="16.5" customHeight="1" spans="1:7">
      <c r="A17" s="8">
        <v>10.2</v>
      </c>
      <c r="B17" s="8" t="s">
        <v>177</v>
      </c>
      <c r="C17" s="9"/>
      <c r="D17" s="13">
        <f>D3+D4+D5+D10</f>
        <v>35.63</v>
      </c>
      <c r="E17" s="13">
        <f>E3+E4+E5+E10</f>
        <v>35.63</v>
      </c>
      <c r="F17" s="13">
        <f>F3+F4+F5+F10</f>
        <v>40.72</v>
      </c>
      <c r="G17" s="13">
        <f>G3+G4+G5+G10</f>
        <v>45.81</v>
      </c>
    </row>
    <row r="18" ht="14" customHeight="1" spans="3:3">
      <c r="C18" s="105"/>
    </row>
  </sheetData>
  <mergeCells count="1">
    <mergeCell ref="A1:G1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FFFF00"/>
  </sheetPr>
  <dimension ref="A1:M23"/>
  <sheetViews>
    <sheetView zoomScale="70" zoomScaleNormal="70" workbookViewId="0">
      <pane xSplit="7" ySplit="3" topLeftCell="H4" activePane="bottomRight" state="frozen"/>
      <selection/>
      <selection pane="topRight"/>
      <selection pane="bottomLeft"/>
      <selection pane="bottomRight" activeCell="H3" sqref="H3:L3"/>
    </sheetView>
  </sheetViews>
  <sheetFormatPr defaultColWidth="8.89090909090909" defaultRowHeight="28.05" customHeight="1"/>
  <cols>
    <col min="1" max="1" width="19.6636363636364" style="1" customWidth="1"/>
    <col min="3" max="3" width="32.3363636363636" style="1" customWidth="1"/>
    <col min="4" max="4" width="58.1090909090909" style="1" customWidth="1"/>
    <col min="5" max="5" width="14.1090909090909" style="1" customWidth="1"/>
    <col min="6" max="6" width="12.3363636363636" style="1" customWidth="1"/>
    <col min="7" max="8" width="15.1090909090909" style="1" customWidth="1"/>
    <col min="9" max="9" width="15.4454545454545" style="1" customWidth="1"/>
    <col min="10" max="10" width="16.1090909090909" style="1" customWidth="1"/>
    <col min="11" max="11" width="17" style="1" customWidth="1"/>
    <col min="12" max="12" width="15.4454545454545" style="1" customWidth="1"/>
    <col min="13" max="13" width="16.5545454545455" style="1" customWidth="1"/>
  </cols>
  <sheetData>
    <row r="1" s="43" customFormat="1" ht="22.5" customHeight="1" spans="1:1">
      <c r="A1" s="99" t="s">
        <v>178</v>
      </c>
    </row>
    <row r="2" s="43" customFormat="1" ht="16.5" customHeight="1" spans="1:13">
      <c r="A2" s="19" t="s">
        <v>179</v>
      </c>
      <c r="B2" s="19" t="s">
        <v>1</v>
      </c>
      <c r="C2" s="19" t="s">
        <v>111</v>
      </c>
      <c r="D2" s="19" t="s">
        <v>180</v>
      </c>
      <c r="E2" s="19" t="s">
        <v>181</v>
      </c>
      <c r="F2" s="20" t="s">
        <v>182</v>
      </c>
      <c r="G2" s="20" t="s">
        <v>183</v>
      </c>
      <c r="H2" s="21">
        <v>2025</v>
      </c>
      <c r="I2" s="26">
        <v>2026</v>
      </c>
      <c r="J2" s="21">
        <v>2027</v>
      </c>
      <c r="K2" s="26">
        <v>2028</v>
      </c>
      <c r="L2" s="21">
        <v>2029</v>
      </c>
      <c r="M2" s="19" t="s">
        <v>80</v>
      </c>
    </row>
    <row r="3" s="43" customFormat="1" ht="16.5" customHeight="1" spans="1:13">
      <c r="A3" s="16"/>
      <c r="B3" s="16"/>
      <c r="C3" s="16"/>
      <c r="D3" s="16"/>
      <c r="E3" s="16"/>
      <c r="F3" s="16"/>
      <c r="G3" s="16"/>
      <c r="H3" s="100" t="s">
        <v>184</v>
      </c>
      <c r="I3" s="14">
        <v>0.7</v>
      </c>
      <c r="J3" s="14">
        <v>0.7</v>
      </c>
      <c r="K3" s="63">
        <v>0.8</v>
      </c>
      <c r="L3" s="14">
        <v>0.9</v>
      </c>
      <c r="M3" s="8" t="s">
        <v>131</v>
      </c>
    </row>
    <row r="4" s="43" customFormat="1" ht="16.5" customHeight="1" spans="1:13">
      <c r="A4" s="12" t="s">
        <v>185</v>
      </c>
      <c r="B4" s="12">
        <v>1</v>
      </c>
      <c r="C4" s="12" t="s">
        <v>186</v>
      </c>
      <c r="D4" s="12" t="s">
        <v>187</v>
      </c>
      <c r="E4" s="37">
        <v>1</v>
      </c>
      <c r="F4" s="37">
        <v>2</v>
      </c>
      <c r="G4" s="102">
        <f>F4*(1+A财务假设!$D$19)</f>
        <v>2</v>
      </c>
      <c r="H4" s="103"/>
      <c r="I4" s="102">
        <f>$E4*$G4*I$3</f>
        <v>1.4</v>
      </c>
      <c r="J4" s="102">
        <f>$E4*$G4*J$3</f>
        <v>1.4</v>
      </c>
      <c r="K4" s="102">
        <f>$E4*$G4*K$3</f>
        <v>1.6</v>
      </c>
      <c r="L4" s="102">
        <f>$E4*$G4*L$3</f>
        <v>1.8</v>
      </c>
      <c r="M4" s="13">
        <f t="shared" ref="M4:M23" si="0">SUM(H4:L4)</f>
        <v>6.2</v>
      </c>
    </row>
    <row r="5" s="43" customFormat="1" ht="48" customHeight="1" spans="1:13">
      <c r="A5" s="24"/>
      <c r="B5" s="12">
        <v>2</v>
      </c>
      <c r="C5" s="23" t="s">
        <v>188</v>
      </c>
      <c r="D5" s="12" t="s">
        <v>189</v>
      </c>
      <c r="E5" s="37">
        <v>2</v>
      </c>
      <c r="F5" s="37">
        <v>2</v>
      </c>
      <c r="G5" s="102">
        <f>F5*(1+A财务假设!$D$19)</f>
        <v>2</v>
      </c>
      <c r="H5" s="103"/>
      <c r="I5" s="102">
        <f>$E5*$G5*I$3</f>
        <v>2.8</v>
      </c>
      <c r="J5" s="102">
        <f>$E5*$G5*J$3</f>
        <v>2.8</v>
      </c>
      <c r="K5" s="102">
        <f>$E5*$G5*K$3</f>
        <v>3.2</v>
      </c>
      <c r="L5" s="102">
        <f>$E5*$G5*L$3</f>
        <v>3.6</v>
      </c>
      <c r="M5" s="13">
        <f t="shared" si="0"/>
        <v>12.4</v>
      </c>
    </row>
    <row r="6" s="43" customFormat="1" ht="16.5" customHeight="1" spans="1:13">
      <c r="A6" s="24"/>
      <c r="B6" s="12">
        <v>3</v>
      </c>
      <c r="C6" s="12" t="s">
        <v>190</v>
      </c>
      <c r="D6" s="12" t="s">
        <v>191</v>
      </c>
      <c r="E6" s="37">
        <v>3</v>
      </c>
      <c r="F6" s="37">
        <v>2</v>
      </c>
      <c r="G6" s="102">
        <f>F6*(1+A财务假设!$D$19)</f>
        <v>2</v>
      </c>
      <c r="H6" s="103"/>
      <c r="I6" s="102">
        <f>$E6*$G6*I$3</f>
        <v>4.2</v>
      </c>
      <c r="J6" s="102">
        <f>$E6*$G6*J$3</f>
        <v>4.2</v>
      </c>
      <c r="K6" s="102">
        <f>$E6*$G6*K$3</f>
        <v>4.8</v>
      </c>
      <c r="L6" s="102">
        <f>$E6*$G6*L$3</f>
        <v>5.4</v>
      </c>
      <c r="M6" s="13">
        <f t="shared" si="0"/>
        <v>18.6</v>
      </c>
    </row>
    <row r="7" s="43" customFormat="1" ht="16.5" customHeight="1" spans="1:13">
      <c r="A7" s="16"/>
      <c r="B7" s="12">
        <v>4</v>
      </c>
      <c r="C7" s="12" t="s">
        <v>192</v>
      </c>
      <c r="D7" s="12" t="s">
        <v>193</v>
      </c>
      <c r="E7" s="37">
        <v>4</v>
      </c>
      <c r="F7" s="37">
        <v>2</v>
      </c>
      <c r="G7" s="102">
        <f>F7*(1+A财务假设!$D$19)</f>
        <v>2</v>
      </c>
      <c r="H7" s="103"/>
      <c r="I7" s="102">
        <f>$E7*$G7*I$3</f>
        <v>5.6</v>
      </c>
      <c r="J7" s="102">
        <f>$E7*$G7*J$3</f>
        <v>5.6</v>
      </c>
      <c r="K7" s="102">
        <f>$E7*$G7*K$3</f>
        <v>6.4</v>
      </c>
      <c r="L7" s="102">
        <f>$E7*$G7*L$3</f>
        <v>7.2</v>
      </c>
      <c r="M7" s="13">
        <f t="shared" si="0"/>
        <v>24.8</v>
      </c>
    </row>
    <row r="8" s="43" customFormat="1" ht="16.5" customHeight="1" spans="1:13">
      <c r="A8" s="12" t="s">
        <v>194</v>
      </c>
      <c r="B8" s="12">
        <v>5</v>
      </c>
      <c r="C8" s="12" t="s">
        <v>195</v>
      </c>
      <c r="D8" s="12" t="s">
        <v>196</v>
      </c>
      <c r="E8" s="37">
        <v>5</v>
      </c>
      <c r="F8" s="37">
        <v>2</v>
      </c>
      <c r="G8" s="102">
        <f>F8*(1+A财务假设!$D$19)</f>
        <v>2</v>
      </c>
      <c r="H8" s="103"/>
      <c r="I8" s="102">
        <f>$E8*$G8*I$3</f>
        <v>7</v>
      </c>
      <c r="J8" s="102">
        <f>$E8*$G8*J$3</f>
        <v>7</v>
      </c>
      <c r="K8" s="102">
        <f>$E8*$G8*K$3</f>
        <v>8</v>
      </c>
      <c r="L8" s="102">
        <f>$E8*$G8*L$3</f>
        <v>9</v>
      </c>
      <c r="M8" s="13">
        <f t="shared" si="0"/>
        <v>31</v>
      </c>
    </row>
    <row r="9" s="43" customFormat="1" ht="16.5" customHeight="1" spans="1:13">
      <c r="A9" s="24"/>
      <c r="B9" s="12">
        <v>6</v>
      </c>
      <c r="C9" s="12" t="s">
        <v>197</v>
      </c>
      <c r="D9" s="12" t="s">
        <v>198</v>
      </c>
      <c r="E9" s="37">
        <v>6</v>
      </c>
      <c r="F9" s="37">
        <v>2</v>
      </c>
      <c r="G9" s="102">
        <f>F9*(1+A财务假设!$D$19)</f>
        <v>2</v>
      </c>
      <c r="H9" s="103"/>
      <c r="I9" s="102">
        <f>$E9*$G9*I$3</f>
        <v>8.4</v>
      </c>
      <c r="J9" s="102">
        <f>$E9*$G9*J$3</f>
        <v>8.4</v>
      </c>
      <c r="K9" s="102">
        <f>$E9*$G9*K$3</f>
        <v>9.6</v>
      </c>
      <c r="L9" s="102">
        <f>$E9*$G9*L$3</f>
        <v>10.8</v>
      </c>
      <c r="M9" s="13">
        <f t="shared" si="0"/>
        <v>37.2</v>
      </c>
    </row>
    <row r="10" s="43" customFormat="1" ht="16.5" customHeight="1" spans="1:13">
      <c r="A10" s="16"/>
      <c r="B10" s="12">
        <v>7</v>
      </c>
      <c r="C10" s="12" t="s">
        <v>199</v>
      </c>
      <c r="D10" s="12" t="s">
        <v>200</v>
      </c>
      <c r="E10" s="37">
        <v>7</v>
      </c>
      <c r="F10" s="37">
        <v>2</v>
      </c>
      <c r="G10" s="102">
        <f>F10*(1+A财务假设!$D$19)</f>
        <v>2</v>
      </c>
      <c r="H10" s="103"/>
      <c r="I10" s="102">
        <f>$E10*$G10*I$3</f>
        <v>9.8</v>
      </c>
      <c r="J10" s="102">
        <f>$E10*$G10*J$3</f>
        <v>9.8</v>
      </c>
      <c r="K10" s="102">
        <f>$E10*$G10*K$3</f>
        <v>11.2</v>
      </c>
      <c r="L10" s="102">
        <f>$E10*$G10*L$3</f>
        <v>12.6</v>
      </c>
      <c r="M10" s="13">
        <f t="shared" si="0"/>
        <v>43.4</v>
      </c>
    </row>
    <row r="11" s="43" customFormat="1" ht="16.5" customHeight="1" spans="1:13">
      <c r="A11" s="12" t="s">
        <v>201</v>
      </c>
      <c r="B11" s="12">
        <v>8</v>
      </c>
      <c r="C11" s="12" t="s">
        <v>202</v>
      </c>
      <c r="D11" s="12" t="s">
        <v>203</v>
      </c>
      <c r="E11" s="37">
        <v>8</v>
      </c>
      <c r="F11" s="37">
        <v>2</v>
      </c>
      <c r="G11" s="102">
        <f>F11*(1+A财务假设!$D$19)</f>
        <v>2</v>
      </c>
      <c r="H11" s="103"/>
      <c r="I11" s="102">
        <f>$E11*$G11*I$3</f>
        <v>11.2</v>
      </c>
      <c r="J11" s="102">
        <f>$E11*$G11*J$3</f>
        <v>11.2</v>
      </c>
      <c r="K11" s="102">
        <f>$E11*$G11*K$3</f>
        <v>12.8</v>
      </c>
      <c r="L11" s="102">
        <f>$E11*$G11*L$3</f>
        <v>14.4</v>
      </c>
      <c r="M11" s="13">
        <f t="shared" si="0"/>
        <v>49.6</v>
      </c>
    </row>
    <row r="12" s="43" customFormat="1" ht="16.5" customHeight="1" spans="1:13">
      <c r="A12" s="12" t="s">
        <v>204</v>
      </c>
      <c r="B12" s="12">
        <v>9</v>
      </c>
      <c r="C12" s="12" t="s">
        <v>205</v>
      </c>
      <c r="D12" s="12" t="s">
        <v>206</v>
      </c>
      <c r="E12" s="37">
        <v>9</v>
      </c>
      <c r="F12" s="37">
        <v>2</v>
      </c>
      <c r="G12" s="102">
        <f>F12*(1+A财务假设!$D$19)</f>
        <v>2</v>
      </c>
      <c r="H12" s="103"/>
      <c r="I12" s="102">
        <f>$E12*$G12*I$3</f>
        <v>12.6</v>
      </c>
      <c r="J12" s="102">
        <f>$E12*$G12*J$3</f>
        <v>12.6</v>
      </c>
      <c r="K12" s="102">
        <f>$E12*$G12*K$3</f>
        <v>14.4</v>
      </c>
      <c r="L12" s="102">
        <f>$E12*$G12*L$3</f>
        <v>16.2</v>
      </c>
      <c r="M12" s="13">
        <f t="shared" si="0"/>
        <v>55.8</v>
      </c>
    </row>
    <row r="13" s="43" customFormat="1" ht="16.5" customHeight="1" spans="1:13">
      <c r="A13" s="16"/>
      <c r="B13" s="12">
        <v>10</v>
      </c>
      <c r="C13" s="12" t="s">
        <v>207</v>
      </c>
      <c r="D13" s="12" t="s">
        <v>208</v>
      </c>
      <c r="E13" s="37">
        <v>1</v>
      </c>
      <c r="F13" s="37">
        <v>2</v>
      </c>
      <c r="G13" s="102">
        <f>F13*(1+A财务假设!$D$19)</f>
        <v>2</v>
      </c>
      <c r="H13" s="103"/>
      <c r="I13" s="102">
        <f>$E13*$G13*I$3</f>
        <v>1.4</v>
      </c>
      <c r="J13" s="102">
        <f>$E13*$G13*J$3</f>
        <v>1.4</v>
      </c>
      <c r="K13" s="102">
        <f>$E13*$G13*K$3</f>
        <v>1.6</v>
      </c>
      <c r="L13" s="102">
        <f>$E13*$G13*L$3</f>
        <v>1.8</v>
      </c>
      <c r="M13" s="13">
        <f t="shared" si="0"/>
        <v>6.2</v>
      </c>
    </row>
    <row r="14" s="43" customFormat="1" ht="16.5" customHeight="1" spans="1:13">
      <c r="A14" s="12" t="s">
        <v>209</v>
      </c>
      <c r="B14" s="12">
        <v>11</v>
      </c>
      <c r="C14" s="12" t="s">
        <v>210</v>
      </c>
      <c r="D14" s="12" t="s">
        <v>211</v>
      </c>
      <c r="E14" s="37">
        <v>2</v>
      </c>
      <c r="F14" s="37">
        <v>2</v>
      </c>
      <c r="G14" s="102">
        <f>F14*(1+A财务假设!$D$19)</f>
        <v>2</v>
      </c>
      <c r="H14" s="103"/>
      <c r="I14" s="102">
        <f>$E14*$G14*I$3</f>
        <v>2.8</v>
      </c>
      <c r="J14" s="102">
        <f>$E14*$G14*J$3</f>
        <v>2.8</v>
      </c>
      <c r="K14" s="102">
        <f>$E14*$G14*K$3</f>
        <v>3.2</v>
      </c>
      <c r="L14" s="102">
        <f>$E14*$G14*L$3</f>
        <v>3.6</v>
      </c>
      <c r="M14" s="13">
        <f t="shared" si="0"/>
        <v>12.4</v>
      </c>
    </row>
    <row r="15" s="43" customFormat="1" ht="16.5" customHeight="1" spans="1:13">
      <c r="A15" s="12" t="s">
        <v>212</v>
      </c>
      <c r="B15" s="12">
        <v>12</v>
      </c>
      <c r="C15" s="12" t="s">
        <v>213</v>
      </c>
      <c r="D15" s="12" t="s">
        <v>214</v>
      </c>
      <c r="E15" s="37">
        <v>2</v>
      </c>
      <c r="F15" s="37">
        <v>2</v>
      </c>
      <c r="G15" s="102">
        <f>F15*(1+A财务假设!$D$19)</f>
        <v>2</v>
      </c>
      <c r="H15" s="103"/>
      <c r="I15" s="102">
        <f>$E15*$G15*I$3</f>
        <v>2.8</v>
      </c>
      <c r="J15" s="102">
        <f>$E15*$G15*J$3</f>
        <v>2.8</v>
      </c>
      <c r="K15" s="102">
        <f>$E15*$G15*K$3</f>
        <v>3.2</v>
      </c>
      <c r="L15" s="102">
        <f>$E15*$G15*L$3</f>
        <v>3.6</v>
      </c>
      <c r="M15" s="13">
        <f t="shared" si="0"/>
        <v>12.4</v>
      </c>
    </row>
    <row r="16" s="43" customFormat="1" ht="16.5" customHeight="1" spans="1:13">
      <c r="A16" s="12" t="s">
        <v>215</v>
      </c>
      <c r="B16" s="12">
        <v>13</v>
      </c>
      <c r="C16" s="12" t="s">
        <v>216</v>
      </c>
      <c r="D16" s="12" t="s">
        <v>217</v>
      </c>
      <c r="E16" s="37">
        <v>3</v>
      </c>
      <c r="F16" s="37">
        <v>2</v>
      </c>
      <c r="G16" s="102">
        <f>F16*(1+A财务假设!$D$19)</f>
        <v>2</v>
      </c>
      <c r="H16" s="103"/>
      <c r="I16" s="102">
        <f>$E16*$G16*I$3</f>
        <v>4.2</v>
      </c>
      <c r="J16" s="102">
        <f>$E16*$G16*J$3</f>
        <v>4.2</v>
      </c>
      <c r="K16" s="102">
        <f>$E16*$G16*K$3</f>
        <v>4.8</v>
      </c>
      <c r="L16" s="102">
        <f>$E16*$G16*L$3</f>
        <v>5.4</v>
      </c>
      <c r="M16" s="13">
        <f t="shared" si="0"/>
        <v>18.6</v>
      </c>
    </row>
    <row r="17" s="43" customFormat="1" ht="16.5" customHeight="1" spans="1:13">
      <c r="A17" s="24"/>
      <c r="B17" s="12">
        <v>14</v>
      </c>
      <c r="C17" s="12" t="s">
        <v>218</v>
      </c>
      <c r="D17" s="12" t="s">
        <v>219</v>
      </c>
      <c r="E17" s="37">
        <v>3</v>
      </c>
      <c r="F17" s="37">
        <v>2</v>
      </c>
      <c r="G17" s="102">
        <f>F17*(1+A财务假设!$D$19)</f>
        <v>2</v>
      </c>
      <c r="H17" s="103"/>
      <c r="I17" s="102">
        <f>$E17*$G17*I$3</f>
        <v>4.2</v>
      </c>
      <c r="J17" s="102">
        <f>$E17*$G17*J$3</f>
        <v>4.2</v>
      </c>
      <c r="K17" s="102">
        <f>$E17*$G17*K$3</f>
        <v>4.8</v>
      </c>
      <c r="L17" s="102">
        <f>$E17*$G17*L$3</f>
        <v>5.4</v>
      </c>
      <c r="M17" s="13">
        <f t="shared" si="0"/>
        <v>18.6</v>
      </c>
    </row>
    <row r="18" s="43" customFormat="1" ht="16.5" customHeight="1" spans="1:13">
      <c r="A18" s="16"/>
      <c r="B18" s="12">
        <v>15</v>
      </c>
      <c r="C18" s="12" t="s">
        <v>220</v>
      </c>
      <c r="D18" s="12" t="s">
        <v>221</v>
      </c>
      <c r="E18" s="37">
        <v>4</v>
      </c>
      <c r="F18" s="37">
        <v>2</v>
      </c>
      <c r="G18" s="102">
        <f>F18*(1+A财务假设!$D$19)</f>
        <v>2</v>
      </c>
      <c r="H18" s="103"/>
      <c r="I18" s="102">
        <f>$E18*$G18*I$3</f>
        <v>5.6</v>
      </c>
      <c r="J18" s="102">
        <f>$E18*$G18*J$3</f>
        <v>5.6</v>
      </c>
      <c r="K18" s="102">
        <f>$E18*$G18*K$3</f>
        <v>6.4</v>
      </c>
      <c r="L18" s="102">
        <f>$E18*$G18*L$3</f>
        <v>7.2</v>
      </c>
      <c r="M18" s="13">
        <f t="shared" si="0"/>
        <v>24.8</v>
      </c>
    </row>
    <row r="19" s="43" customFormat="1" ht="16.5" customHeight="1" spans="1:13">
      <c r="A19" s="12" t="s">
        <v>222</v>
      </c>
      <c r="B19" s="12">
        <v>16</v>
      </c>
      <c r="C19" s="12" t="s">
        <v>223</v>
      </c>
      <c r="D19" s="12" t="s">
        <v>224</v>
      </c>
      <c r="E19" s="37">
        <v>1</v>
      </c>
      <c r="F19" s="37">
        <v>2</v>
      </c>
      <c r="G19" s="102">
        <f>F19*(1+A财务假设!$D$19)</f>
        <v>2</v>
      </c>
      <c r="H19" s="103"/>
      <c r="I19" s="102">
        <f>$E19*$G19*I$3</f>
        <v>1.4</v>
      </c>
      <c r="J19" s="102">
        <f>$E19*$G19*J$3</f>
        <v>1.4</v>
      </c>
      <c r="K19" s="102">
        <f>$E19*$G19*K$3</f>
        <v>1.6</v>
      </c>
      <c r="L19" s="102">
        <f>$E19*$G19*L$3</f>
        <v>1.8</v>
      </c>
      <c r="M19" s="13">
        <f t="shared" si="0"/>
        <v>6.2</v>
      </c>
    </row>
    <row r="20" s="43" customFormat="1" ht="16.5" customHeight="1" spans="1:13">
      <c r="A20" s="24"/>
      <c r="B20" s="12">
        <v>17</v>
      </c>
      <c r="C20" s="12" t="s">
        <v>225</v>
      </c>
      <c r="D20" s="12" t="s">
        <v>226</v>
      </c>
      <c r="E20" s="37">
        <v>4</v>
      </c>
      <c r="F20" s="37">
        <v>2</v>
      </c>
      <c r="G20" s="102">
        <f>F20*(1+A财务假设!$D$19)</f>
        <v>2</v>
      </c>
      <c r="H20" s="103"/>
      <c r="I20" s="102">
        <f>$E20*$G20*I$3</f>
        <v>5.6</v>
      </c>
      <c r="J20" s="102">
        <f>$E20*$G20*J$3</f>
        <v>5.6</v>
      </c>
      <c r="K20" s="102">
        <f>$E20*$G20*K$3</f>
        <v>6.4</v>
      </c>
      <c r="L20" s="102">
        <f>$E20*$G20*L$3</f>
        <v>7.2</v>
      </c>
      <c r="M20" s="13">
        <f t="shared" si="0"/>
        <v>24.8</v>
      </c>
    </row>
    <row r="21" s="43" customFormat="1" ht="16.5" customHeight="1" spans="1:13">
      <c r="A21" s="16"/>
      <c r="B21" s="12">
        <v>18</v>
      </c>
      <c r="C21" s="12" t="s">
        <v>227</v>
      </c>
      <c r="D21" s="12" t="s">
        <v>228</v>
      </c>
      <c r="E21" s="37">
        <v>8</v>
      </c>
      <c r="F21" s="37">
        <v>2</v>
      </c>
      <c r="G21" s="102">
        <f>F21*(1+A财务假设!$D$19)</f>
        <v>2</v>
      </c>
      <c r="H21" s="103"/>
      <c r="I21" s="102">
        <f>$E21*$G21*I$3</f>
        <v>11.2</v>
      </c>
      <c r="J21" s="102">
        <f>$E21*$G21*J$3</f>
        <v>11.2</v>
      </c>
      <c r="K21" s="102">
        <f>$E21*$G21*K$3</f>
        <v>12.8</v>
      </c>
      <c r="L21" s="102">
        <f>$E21*$G21*L$3</f>
        <v>14.4</v>
      </c>
      <c r="M21" s="13">
        <f t="shared" si="0"/>
        <v>49.6</v>
      </c>
    </row>
    <row r="22" s="43" customFormat="1" ht="16.5" customHeight="1" spans="1:13">
      <c r="A22" s="12" t="s">
        <v>229</v>
      </c>
      <c r="B22" s="12">
        <v>19</v>
      </c>
      <c r="C22" s="12" t="s">
        <v>230</v>
      </c>
      <c r="D22" s="12" t="s">
        <v>231</v>
      </c>
      <c r="E22" s="37">
        <v>1</v>
      </c>
      <c r="F22" s="37">
        <v>2</v>
      </c>
      <c r="G22" s="102">
        <f>F22*(1+A财务假设!$D$19)</f>
        <v>2</v>
      </c>
      <c r="H22" s="103"/>
      <c r="I22" s="102">
        <f>$E22*$G22*I$3</f>
        <v>1.4</v>
      </c>
      <c r="J22" s="102">
        <f>$E22*$G22*J$3</f>
        <v>1.4</v>
      </c>
      <c r="K22" s="102">
        <f>$E22*$G22*K$3</f>
        <v>1.6</v>
      </c>
      <c r="L22" s="102">
        <f>$E22*$G22*L$3</f>
        <v>1.8</v>
      </c>
      <c r="M22" s="13">
        <f t="shared" si="0"/>
        <v>6.2</v>
      </c>
    </row>
    <row r="23" s="43" customFormat="1" ht="16.5" customHeight="1" spans="1:13">
      <c r="A23" s="16"/>
      <c r="B23" s="12">
        <v>20</v>
      </c>
      <c r="C23" s="12" t="s">
        <v>232</v>
      </c>
      <c r="D23" s="12" t="s">
        <v>233</v>
      </c>
      <c r="E23" s="37">
        <v>9</v>
      </c>
      <c r="F23" s="37">
        <v>2</v>
      </c>
      <c r="G23" s="102">
        <f>F23*(1+A财务假设!$D$19)</f>
        <v>2</v>
      </c>
      <c r="H23" s="103"/>
      <c r="I23" s="102">
        <f>$E23*$G23*I$3</f>
        <v>12.6</v>
      </c>
      <c r="J23" s="102">
        <f>$E23*$G23*J$3</f>
        <v>12.6</v>
      </c>
      <c r="K23" s="102">
        <f>$E23*$G23*K$3</f>
        <v>14.4</v>
      </c>
      <c r="L23" s="102">
        <f>$E23*$G23*L$3</f>
        <v>16.2</v>
      </c>
      <c r="M23" s="13">
        <f t="shared" si="0"/>
        <v>55.8</v>
      </c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tabColor rgb="FF0070C0"/>
  </sheetPr>
  <dimension ref="A1:N23"/>
  <sheetViews>
    <sheetView zoomScale="70" zoomScaleNormal="70" workbookViewId="0">
      <pane xSplit="7" ySplit="3" topLeftCell="H4" activePane="bottomRight" state="frozen"/>
      <selection/>
      <selection pane="topRight"/>
      <selection pane="bottomLeft"/>
      <selection pane="bottomRight" activeCell="N11" sqref="N11"/>
    </sheetView>
  </sheetViews>
  <sheetFormatPr defaultColWidth="20.7818181818182" defaultRowHeight="30" customHeight="1"/>
  <cols>
    <col min="1" max="1" width="18.4454545454545" style="1" customWidth="1"/>
    <col min="2" max="2" width="13.3363636363636" style="1" customWidth="1"/>
    <col min="3" max="3" width="24.7818181818182" style="17" customWidth="1"/>
    <col min="4" max="4" width="23.8909090909091" style="17" customWidth="1"/>
    <col min="5" max="6" width="6.78181818181818" style="1" customWidth="1"/>
    <col min="7" max="7" width="12.3363636363636" style="1" customWidth="1"/>
    <col min="8" max="8" width="10.1090909090909" style="1" customWidth="1"/>
    <col min="9" max="10" width="9.33636363636364" style="1" customWidth="1"/>
    <col min="11" max="11" width="8" style="1" customWidth="1"/>
    <col min="12" max="13" width="9.33636363636364" style="1" customWidth="1"/>
  </cols>
  <sheetData>
    <row r="1" ht="22.5" customHeight="1" spans="1:14">
      <c r="A1" s="99" t="s">
        <v>234</v>
      </c>
      <c r="N1" s="101" t="s">
        <v>235</v>
      </c>
    </row>
    <row r="2" ht="16.5" customHeight="1" spans="1:13">
      <c r="A2" s="19" t="s">
        <v>179</v>
      </c>
      <c r="B2" s="19" t="s">
        <v>1</v>
      </c>
      <c r="C2" s="20" t="s">
        <v>111</v>
      </c>
      <c r="D2" s="20" t="s">
        <v>180</v>
      </c>
      <c r="E2" s="19" t="s">
        <v>181</v>
      </c>
      <c r="F2" s="20" t="s">
        <v>182</v>
      </c>
      <c r="G2" s="20" t="s">
        <v>183</v>
      </c>
      <c r="H2" s="21">
        <v>2025</v>
      </c>
      <c r="I2" s="26">
        <v>2026</v>
      </c>
      <c r="J2" s="21">
        <v>2027</v>
      </c>
      <c r="K2" s="26">
        <v>2028</v>
      </c>
      <c r="L2" s="21">
        <v>2029</v>
      </c>
      <c r="M2" s="19" t="s">
        <v>80</v>
      </c>
    </row>
    <row r="3" ht="16.5" customHeight="1" spans="1:13">
      <c r="A3" s="16"/>
      <c r="B3" s="16"/>
      <c r="C3" s="16"/>
      <c r="D3" s="16"/>
      <c r="E3" s="16"/>
      <c r="F3" s="16"/>
      <c r="G3" s="16"/>
      <c r="H3" s="100" t="s">
        <v>184</v>
      </c>
      <c r="I3" s="33">
        <f>E.1项目运营期费用!I3</f>
        <v>0.7</v>
      </c>
      <c r="J3" s="33">
        <f>E.1项目运营期费用!J3</f>
        <v>0.7</v>
      </c>
      <c r="K3" s="85">
        <f>E.1项目运营期费用!K3</f>
        <v>0.8</v>
      </c>
      <c r="L3" s="33">
        <f>E.1项目运营期费用!L3</f>
        <v>0.9</v>
      </c>
      <c r="M3" s="8" t="s">
        <v>131</v>
      </c>
    </row>
    <row r="4" ht="16.5" customHeight="1" spans="1:14">
      <c r="A4" s="12" t="s">
        <v>185</v>
      </c>
      <c r="B4" s="12">
        <f>E.1项目运营期费用!B4</f>
        <v>1</v>
      </c>
      <c r="C4" s="23" t="str">
        <f>E.1项目运营期费用!C4</f>
        <v>场地租金</v>
      </c>
      <c r="D4" s="23" t="str">
        <f>E.1项目运营期费用!D4</f>
        <v>按面积×租金单价</v>
      </c>
      <c r="E4" s="13">
        <f>E.1项目运营期费用!E4</f>
        <v>1</v>
      </c>
      <c r="F4" s="13">
        <f>E.1项目运营期费用!F4</f>
        <v>2</v>
      </c>
      <c r="G4" s="13">
        <f>E.1项目运营期费用!G4</f>
        <v>2</v>
      </c>
      <c r="H4" s="89"/>
      <c r="I4" s="13">
        <f>$E4*$G4*I$3*(1-'G.2进项增值税率-运营成本'!$C3)</f>
        <v>1.274</v>
      </c>
      <c r="J4" s="13">
        <f>$E4*$G4*J$3*(1-'G.2进项增值税率-运营成本'!$C3)</f>
        <v>1.274</v>
      </c>
      <c r="K4" s="13">
        <f>$E4*$G4*K$3*(1-'G.2进项增值税率-运营成本'!$C3)</f>
        <v>1.456</v>
      </c>
      <c r="L4" s="13">
        <f>$E4*$G4*L$3*(1-'G.2进项增值税率-运营成本'!$C3)</f>
        <v>1.638</v>
      </c>
      <c r="M4" s="13">
        <f t="shared" ref="M4:M23" si="0">SUM(H4:L4)</f>
        <v>5.642</v>
      </c>
      <c r="N4" s="101" t="s">
        <v>236</v>
      </c>
    </row>
    <row r="5" ht="37.95" customHeight="1" spans="1:13">
      <c r="A5" s="24"/>
      <c r="B5" s="12">
        <f>E.1项目运营期费用!B5</f>
        <v>2</v>
      </c>
      <c r="C5" s="23" t="str">
        <f>E.1项目运营期费用!C5</f>
        <v>场地日常维护（停机坪/起降场/交通枢纽/飞行营地/指挥中心等）</v>
      </c>
      <c r="D5" s="23" t="str">
        <f>E.1项目运营期费用!D5</f>
        <v>按面积 × 单位维护单价（元 / ㎡・年）</v>
      </c>
      <c r="E5" s="13">
        <f>E.1项目运营期费用!E5</f>
        <v>2</v>
      </c>
      <c r="F5" s="13">
        <f>E.1项目运营期费用!F5</f>
        <v>2</v>
      </c>
      <c r="G5" s="13">
        <f>E.1项目运营期费用!G5</f>
        <v>2</v>
      </c>
      <c r="H5" s="89"/>
      <c r="I5" s="13">
        <f>$E5*$G5*I$3*(1-'G.2进项增值税率-运营成本'!$C4)</f>
        <v>2.632</v>
      </c>
      <c r="J5" s="13">
        <f>$E5*$G5*J$3*(1-'G.2进项增值税率-运营成本'!$C4)</f>
        <v>2.632</v>
      </c>
      <c r="K5" s="13">
        <f>$E5*$G5*K$3*(1-'G.2进项增值税率-运营成本'!$C4)</f>
        <v>3.008</v>
      </c>
      <c r="L5" s="13">
        <f>$E5*$G5*L$3*(1-'G.2进项增值税率-运营成本'!$C4)</f>
        <v>3.384</v>
      </c>
      <c r="M5" s="13">
        <f t="shared" si="0"/>
        <v>11.656</v>
      </c>
    </row>
    <row r="6" ht="16.5" customHeight="1" spans="1:13">
      <c r="A6" s="24"/>
      <c r="B6" s="12">
        <f>E.1项目运营期费用!B6</f>
        <v>3</v>
      </c>
      <c r="C6" s="23" t="str">
        <f>E.1项目运营期费用!C6</f>
        <v>消防设施年检</v>
      </c>
      <c r="D6" s="23" t="str">
        <f>E.1项目运营期费用!D6</f>
        <v>按设备数量 × 单台年检费（元 / 台・次）</v>
      </c>
      <c r="E6" s="13">
        <f>E.1项目运营期费用!E6</f>
        <v>3</v>
      </c>
      <c r="F6" s="13">
        <f>E.1项目运营期费用!F6</f>
        <v>2</v>
      </c>
      <c r="G6" s="13">
        <f>E.1项目运营期费用!G6</f>
        <v>2</v>
      </c>
      <c r="H6" s="89"/>
      <c r="I6" s="13">
        <f>$E6*$G6*I$3*(1-'G.2进项增值税率-运营成本'!$C5)</f>
        <v>3.948</v>
      </c>
      <c r="J6" s="13">
        <f>$E6*$G6*J$3*(1-'G.2进项增值税率-运营成本'!$C5)</f>
        <v>3.948</v>
      </c>
      <c r="K6" s="13">
        <f>$E6*$G6*K$3*(1-'G.2进项增值税率-运营成本'!$C5)</f>
        <v>4.512</v>
      </c>
      <c r="L6" s="13">
        <f>$E6*$G6*L$3*(1-'G.2进项增值税率-运营成本'!$C5)</f>
        <v>5.076</v>
      </c>
      <c r="M6" s="13">
        <f t="shared" si="0"/>
        <v>17.484</v>
      </c>
    </row>
    <row r="7" ht="16.5" customHeight="1" spans="1:13">
      <c r="A7" s="16"/>
      <c r="B7" s="12">
        <f>E.1项目运营期费用!B7</f>
        <v>4</v>
      </c>
      <c r="C7" s="23" t="str">
        <f>E.1项目运营期费用!C7</f>
        <v>防鸟措施（驱鸟器维护）</v>
      </c>
      <c r="D7" s="23" t="str">
        <f>E.1项目运营期费用!D7</f>
        <v>按套数 × 年费（元 / 套・年）+ 耗材费（如驱鸟剂）</v>
      </c>
      <c r="E7" s="13">
        <f>E.1项目运营期费用!E7</f>
        <v>4</v>
      </c>
      <c r="F7" s="13">
        <f>E.1项目运营期费用!F7</f>
        <v>2</v>
      </c>
      <c r="G7" s="13">
        <f>E.1项目运营期费用!G7</f>
        <v>2</v>
      </c>
      <c r="H7" s="89"/>
      <c r="I7" s="13">
        <f>$E7*$G7*I$3*(1-'G.2进项增值税率-运营成本'!$C6)</f>
        <v>5.264</v>
      </c>
      <c r="J7" s="13">
        <f>$E7*$G7*J$3*(1-'G.2进项增值税率-运营成本'!$C6)</f>
        <v>5.264</v>
      </c>
      <c r="K7" s="13">
        <f>$E7*$G7*K$3*(1-'G.2进项增值税率-运营成本'!$C6)</f>
        <v>6.016</v>
      </c>
      <c r="L7" s="13">
        <f>$E7*$G7*L$3*(1-'G.2进项增值税率-运营成本'!$C6)</f>
        <v>6.768</v>
      </c>
      <c r="M7" s="13">
        <f t="shared" si="0"/>
        <v>23.312</v>
      </c>
    </row>
    <row r="8" ht="16.5" customHeight="1" spans="1:13">
      <c r="A8" s="12" t="s">
        <v>194</v>
      </c>
      <c r="B8" s="12">
        <f>E.1项目运营期费用!B8</f>
        <v>5</v>
      </c>
      <c r="C8" s="23" t="str">
        <f>E.1项目运营期费用!C8</f>
        <v>飞行器能耗</v>
      </c>
      <c r="D8" s="23" t="str">
        <f>E.1项目运营期费用!D8</f>
        <v>按电耗或油耗计算</v>
      </c>
      <c r="E8" s="13">
        <f>E.1项目运营期费用!E8</f>
        <v>5</v>
      </c>
      <c r="F8" s="13">
        <f>E.1项目运营期费用!F8</f>
        <v>2</v>
      </c>
      <c r="G8" s="13">
        <f>E.1项目运营期费用!G8</f>
        <v>2</v>
      </c>
      <c r="H8" s="89"/>
      <c r="I8" s="13">
        <f>$E8*$G8*I$3*(1-'G.2进项增值税率-运营成本'!$C7)</f>
        <v>6.09</v>
      </c>
      <c r="J8" s="13">
        <f>$E8*$G8*J$3*(1-'G.2进项增值税率-运营成本'!$C7)</f>
        <v>6.09</v>
      </c>
      <c r="K8" s="13">
        <f>$E8*$G8*K$3*(1-'G.2进项增值税率-运营成本'!$C7)</f>
        <v>6.96</v>
      </c>
      <c r="L8" s="13">
        <f>$E8*$G8*L$3*(1-'G.2进项增值税率-运营成本'!$C7)</f>
        <v>7.83</v>
      </c>
      <c r="M8" s="13">
        <f t="shared" si="0"/>
        <v>26.97</v>
      </c>
    </row>
    <row r="9" ht="16.5" customHeight="1" spans="1:13">
      <c r="A9" s="24"/>
      <c r="B9" s="12">
        <f>E.1项目运营期费用!B9</f>
        <v>6</v>
      </c>
      <c r="C9" s="23" t="str">
        <f>E.1项目运营期费用!C9</f>
        <v>核心设备电力能耗</v>
      </c>
      <c r="D9" s="23" t="str">
        <f>E.1项目运营期费用!D9</f>
        <v>按实际用电量 × 电价（元 / 千瓦 时）</v>
      </c>
      <c r="E9" s="13">
        <f>E.1项目运营期费用!E9</f>
        <v>6</v>
      </c>
      <c r="F9" s="13">
        <f>E.1项目运营期费用!F9</f>
        <v>2</v>
      </c>
      <c r="G9" s="13">
        <f>E.1项目运营期费用!G9</f>
        <v>2</v>
      </c>
      <c r="H9" s="89"/>
      <c r="I9" s="13">
        <f>$E9*$G9*I$3*(1-'G.2进项增值税率-运营成本'!$C8)</f>
        <v>7.308</v>
      </c>
      <c r="J9" s="13">
        <f>$E9*$G9*J$3*(1-'G.2进项增值税率-运营成本'!$C8)</f>
        <v>7.308</v>
      </c>
      <c r="K9" s="13">
        <f>$E9*$G9*K$3*(1-'G.2进项增值税率-运营成本'!$C8)</f>
        <v>8.352</v>
      </c>
      <c r="L9" s="13">
        <f>$E9*$G9*L$3*(1-'G.2进项增值税率-运营成本'!$C8)</f>
        <v>9.396</v>
      </c>
      <c r="M9" s="13">
        <f t="shared" si="0"/>
        <v>32.364</v>
      </c>
    </row>
    <row r="10" ht="16.5" customHeight="1" spans="1:13">
      <c r="A10" s="16"/>
      <c r="B10" s="12">
        <f>E.1项目运营期费用!B10</f>
        <v>7</v>
      </c>
      <c r="C10" s="23" t="str">
        <f>E.1项目运营期费用!C10</f>
        <v>水电能耗</v>
      </c>
      <c r="D10" s="23" t="str">
        <f>E.1项目运营期费用!D10</f>
        <v>按面积估算</v>
      </c>
      <c r="E10" s="13">
        <f>E.1项目运营期费用!E10</f>
        <v>7</v>
      </c>
      <c r="F10" s="13">
        <f>E.1项目运营期费用!F10</f>
        <v>2</v>
      </c>
      <c r="G10" s="13">
        <f>E.1项目运营期费用!G10</f>
        <v>2</v>
      </c>
      <c r="H10" s="89"/>
      <c r="I10" s="13">
        <f>$E10*$G10*I$3*(1-'G.2进项增值税率-运营成本'!$C9)</f>
        <v>8.918</v>
      </c>
      <c r="J10" s="13">
        <f>$E10*$G10*J$3*(1-'G.2进项增值税率-运营成本'!$C9)</f>
        <v>8.918</v>
      </c>
      <c r="K10" s="13">
        <f>$E10*$G10*K$3*(1-'G.2进项增值税率-运营成本'!$C9)</f>
        <v>10.192</v>
      </c>
      <c r="L10" s="13">
        <f>$E10*$G10*L$3*(1-'G.2进项增值税率-运营成本'!$C9)</f>
        <v>11.466</v>
      </c>
      <c r="M10" s="13">
        <f t="shared" si="0"/>
        <v>39.494</v>
      </c>
    </row>
    <row r="11" ht="16.5" customHeight="1" spans="1:13">
      <c r="A11" s="12" t="s">
        <v>201</v>
      </c>
      <c r="B11" s="12">
        <f>E.1项目运营期费用!B11</f>
        <v>8</v>
      </c>
      <c r="C11" s="23" t="str">
        <f>E.1项目运营期费用!C11</f>
        <v>网络通信费用</v>
      </c>
      <c r="D11" s="23" t="str">
        <f>E.1项目运营期费用!D11</f>
        <v>按年计算租金</v>
      </c>
      <c r="E11" s="13">
        <f>E.1项目运营期费用!E11</f>
        <v>8</v>
      </c>
      <c r="F11" s="13">
        <f>E.1项目运营期费用!F11</f>
        <v>2</v>
      </c>
      <c r="G11" s="13">
        <f>E.1项目运营期费用!G11</f>
        <v>2</v>
      </c>
      <c r="H11" s="89"/>
      <c r="I11" s="13">
        <f>$E11*$G11*I$3*(1-'G.2进项增值税率-运营成本'!$C10)</f>
        <v>10.192</v>
      </c>
      <c r="J11" s="13">
        <f>$E11*$G11*J$3*(1-'G.2进项增值税率-运营成本'!$C10)</f>
        <v>10.192</v>
      </c>
      <c r="K11" s="13">
        <f>$E11*$G11*K$3*(1-'G.2进项增值税率-运营成本'!$C10)</f>
        <v>11.648</v>
      </c>
      <c r="L11" s="13">
        <f>$E11*$G11*L$3*(1-'G.2进项增值税率-运营成本'!$C10)</f>
        <v>13.104</v>
      </c>
      <c r="M11" s="13">
        <f t="shared" si="0"/>
        <v>45.136</v>
      </c>
    </row>
    <row r="12" ht="16.5" customHeight="1" spans="1:13">
      <c r="A12" s="12" t="s">
        <v>204</v>
      </c>
      <c r="B12" s="12">
        <f>E.1项目运营期费用!B12</f>
        <v>9</v>
      </c>
      <c r="C12" s="23" t="str">
        <f>E.1项目运营期费用!C12</f>
        <v>硬件设备维护</v>
      </c>
      <c r="D12" s="23" t="str">
        <f>E.1项目运营期费用!D12</f>
        <v>按照固定资产15%计算</v>
      </c>
      <c r="E12" s="13">
        <f>E.1项目运营期费用!E12</f>
        <v>9</v>
      </c>
      <c r="F12" s="13">
        <f>E.1项目运营期费用!F12</f>
        <v>2</v>
      </c>
      <c r="G12" s="13">
        <f>E.1项目运营期费用!G12</f>
        <v>2</v>
      </c>
      <c r="H12" s="89"/>
      <c r="I12" s="13">
        <f>$E12*$G12*I$3*(1-'G.2进项增值税率-运营成本'!$C11)</f>
        <v>10.962</v>
      </c>
      <c r="J12" s="13">
        <f>$E12*$G12*J$3*(1-'G.2进项增值税率-运营成本'!$C11)</f>
        <v>10.962</v>
      </c>
      <c r="K12" s="13">
        <f>$E12*$G12*K$3*(1-'G.2进项增值税率-运营成本'!$C11)</f>
        <v>12.528</v>
      </c>
      <c r="L12" s="13">
        <f>$E12*$G12*L$3*(1-'G.2进项增值税率-运营成本'!$C11)</f>
        <v>14.094</v>
      </c>
      <c r="M12" s="13">
        <f t="shared" si="0"/>
        <v>48.546</v>
      </c>
    </row>
    <row r="13" ht="16.5" customHeight="1" spans="1:13">
      <c r="A13" s="16"/>
      <c r="B13" s="12">
        <f>E.1项目运营期费用!B13</f>
        <v>10</v>
      </c>
      <c r="C13" s="23" t="str">
        <f>E.1项目运营期费用!C13</f>
        <v>备品备件储备</v>
      </c>
      <c r="D13" s="23" t="str">
        <f>E.1项目运营期费用!D13</f>
        <v>按年度设备维护预算 × 储备比例 （10%-20%）</v>
      </c>
      <c r="E13" s="13">
        <f>E.1项目运营期费用!E13</f>
        <v>1</v>
      </c>
      <c r="F13" s="13">
        <f>E.1项目运营期费用!F13</f>
        <v>2</v>
      </c>
      <c r="G13" s="13">
        <f>E.1项目运营期费用!G13</f>
        <v>2</v>
      </c>
      <c r="H13" s="89"/>
      <c r="I13" s="13">
        <f>$E13*$G13*I$3*(1-'G.2进项增值税率-运营成本'!$C12)</f>
        <v>1.218</v>
      </c>
      <c r="J13" s="13">
        <f>$E13*$G13*J$3*(1-'G.2进项增值税率-运营成本'!$C12)</f>
        <v>1.218</v>
      </c>
      <c r="K13" s="13">
        <f>$E13*$G13*K$3*(1-'G.2进项增值税率-运营成本'!$C12)</f>
        <v>1.392</v>
      </c>
      <c r="L13" s="13">
        <f>$E13*$G13*L$3*(1-'G.2进项增值税率-运营成本'!$C12)</f>
        <v>1.566</v>
      </c>
      <c r="M13" s="13">
        <f t="shared" si="0"/>
        <v>5.394</v>
      </c>
    </row>
    <row r="14" ht="16.5" customHeight="1" spans="1:13">
      <c r="A14" s="12" t="s">
        <v>209</v>
      </c>
      <c r="B14" s="12">
        <f>E.1项目运营期费用!B14</f>
        <v>11</v>
      </c>
      <c r="C14" s="23" t="str">
        <f>E.1项目运营期费用!C14</f>
        <v>软件维护</v>
      </c>
      <c r="D14" s="23" t="str">
        <f>E.1项目运营期费用!D14</f>
        <v>按无形资产造价的20%计算</v>
      </c>
      <c r="E14" s="13">
        <f>E.1项目运营期费用!E14</f>
        <v>2</v>
      </c>
      <c r="F14" s="13">
        <f>E.1项目运营期费用!F14</f>
        <v>2</v>
      </c>
      <c r="G14" s="13">
        <f>E.1项目运营期费用!G14</f>
        <v>2</v>
      </c>
      <c r="H14" s="89"/>
      <c r="I14" s="13">
        <f>$E14*$G14*I$3*(1-'G.2进项增值税率-运营成本'!$C13)</f>
        <v>2.632</v>
      </c>
      <c r="J14" s="13">
        <f>$E14*$G14*J$3*(1-'G.2进项增值税率-运营成本'!$C13)</f>
        <v>2.632</v>
      </c>
      <c r="K14" s="13">
        <f>$E14*$G14*K$3*(1-'G.2进项增值税率-运营成本'!$C13)</f>
        <v>3.008</v>
      </c>
      <c r="L14" s="13">
        <f>$E14*$G14*L$3*(1-'G.2进项增值税率-运营成本'!$C13)</f>
        <v>3.384</v>
      </c>
      <c r="M14" s="13">
        <f t="shared" si="0"/>
        <v>11.656</v>
      </c>
    </row>
    <row r="15" ht="16.5" customHeight="1" spans="1:13">
      <c r="A15" s="12" t="s">
        <v>212</v>
      </c>
      <c r="B15" s="12">
        <f>E.1项目运营期费用!B15</f>
        <v>12</v>
      </c>
      <c r="C15" s="23" t="str">
        <f>E.1项目运营期费用!C15</f>
        <v>营销及活动</v>
      </c>
      <c r="D15" s="23" t="str">
        <f>E.1项目运营期费用!D15</f>
        <v>按年平均营业收入的2%计算</v>
      </c>
      <c r="E15" s="13">
        <f>E.1项目运营期费用!E15</f>
        <v>2</v>
      </c>
      <c r="F15" s="13">
        <f>E.1项目运营期费用!F15</f>
        <v>2</v>
      </c>
      <c r="G15" s="13">
        <f>E.1项目运营期费用!G15</f>
        <v>2</v>
      </c>
      <c r="H15" s="89"/>
      <c r="I15" s="13">
        <f>$E15*$G15*I$3*(1-'G.2进项增值税率-运营成本'!$C14)</f>
        <v>2.632</v>
      </c>
      <c r="J15" s="13">
        <f>$E15*$G15*J$3*(1-'G.2进项增值税率-运营成本'!$C14)</f>
        <v>2.632</v>
      </c>
      <c r="K15" s="13">
        <f>$E15*$G15*K$3*(1-'G.2进项增值税率-运营成本'!$C14)</f>
        <v>3.008</v>
      </c>
      <c r="L15" s="13">
        <f>$E15*$G15*L$3*(1-'G.2进项增值税率-运营成本'!$C14)</f>
        <v>3.384</v>
      </c>
      <c r="M15" s="13">
        <f t="shared" si="0"/>
        <v>11.656</v>
      </c>
    </row>
    <row r="16" ht="16.5" customHeight="1" spans="1:13">
      <c r="A16" s="12" t="s">
        <v>215</v>
      </c>
      <c r="B16" s="12">
        <f>E.1项目运营期费用!B16</f>
        <v>13</v>
      </c>
      <c r="C16" s="23" t="str">
        <f>E.1项目运营期费用!C16</f>
        <v>人员薪酬</v>
      </c>
      <c r="D16" s="23" t="str">
        <f>E.1项目运营期费用!D16</f>
        <v>按岗位月薪 ×12 + 福利（月薪 ×20%-30%）</v>
      </c>
      <c r="E16" s="13">
        <f>E.1项目运营期费用!E16</f>
        <v>3</v>
      </c>
      <c r="F16" s="13">
        <f>E.1项目运营期费用!F16</f>
        <v>2</v>
      </c>
      <c r="G16" s="13">
        <f>E.1项目运营期费用!G16</f>
        <v>2</v>
      </c>
      <c r="H16" s="89"/>
      <c r="I16" s="13">
        <f>$E16*$G16*I$3*(1-'G.2进项增值税率-运营成本'!$C15)</f>
        <v>4.2</v>
      </c>
      <c r="J16" s="13">
        <f>$E16*$G16*J$3*(1-'G.2进项增值税率-运营成本'!$C15)</f>
        <v>4.2</v>
      </c>
      <c r="K16" s="13">
        <f>$E16*$G16*K$3*(1-'G.2进项增值税率-运营成本'!$C15)</f>
        <v>4.8</v>
      </c>
      <c r="L16" s="13">
        <f>$E16*$G16*L$3*(1-'G.2进项增值税率-运营成本'!$C15)</f>
        <v>5.4</v>
      </c>
      <c r="M16" s="13">
        <f t="shared" si="0"/>
        <v>18.6</v>
      </c>
    </row>
    <row r="17" ht="16.5" customHeight="1" spans="1:13">
      <c r="A17" s="24"/>
      <c r="B17" s="12">
        <f>E.1项目运营期费用!B17</f>
        <v>14</v>
      </c>
      <c r="C17" s="23" t="str">
        <f>E.1项目运营期费用!C17</f>
        <v>培训与资质认证</v>
      </c>
      <c r="D17" s="23" t="str">
        <f>E.1项目运营期费用!D17</f>
        <v>按人次 × 人均培训费（元 / 人 次）</v>
      </c>
      <c r="E17" s="13">
        <f>E.1项目运营期费用!E17</f>
        <v>3</v>
      </c>
      <c r="F17" s="13">
        <f>E.1项目运营期费用!F17</f>
        <v>2</v>
      </c>
      <c r="G17" s="13">
        <f>E.1项目运营期费用!G17</f>
        <v>2</v>
      </c>
      <c r="H17" s="89"/>
      <c r="I17" s="13">
        <f>$E17*$G17*I$3*(1-'G.2进项增值税率-运营成本'!$C16)</f>
        <v>3.948</v>
      </c>
      <c r="J17" s="13">
        <f>$E17*$G17*J$3*(1-'G.2进项增值税率-运营成本'!$C16)</f>
        <v>3.948</v>
      </c>
      <c r="K17" s="13">
        <f>$E17*$G17*K$3*(1-'G.2进项增值税率-运营成本'!$C16)</f>
        <v>4.512</v>
      </c>
      <c r="L17" s="13">
        <f>$E17*$G17*L$3*(1-'G.2进项增值税率-运营成本'!$C16)</f>
        <v>5.076</v>
      </c>
      <c r="M17" s="13">
        <f t="shared" si="0"/>
        <v>17.484</v>
      </c>
    </row>
    <row r="18" ht="16.5" customHeight="1" spans="1:13">
      <c r="A18" s="16"/>
      <c r="B18" s="12">
        <f>E.1项目运营期费用!B18</f>
        <v>15</v>
      </c>
      <c r="C18" s="23" t="str">
        <f>E.1项目运营期费用!C18</f>
        <v>办公与行政支出</v>
      </c>
      <c r="D18" s="23" t="str">
        <f>E.1项目运营期费用!D18</f>
        <v>按人员数量 × 人均办公费（元 / 人・月）</v>
      </c>
      <c r="E18" s="13">
        <f>E.1项目运营期费用!E18</f>
        <v>4</v>
      </c>
      <c r="F18" s="13">
        <f>E.1项目运营期费用!F18</f>
        <v>2</v>
      </c>
      <c r="G18" s="13">
        <f>E.1项目运营期费用!G18</f>
        <v>2</v>
      </c>
      <c r="H18" s="89"/>
      <c r="I18" s="13">
        <f>$E18*$G18*I$3*(1-'G.2进项增值税率-运营成本'!$C17)</f>
        <v>4.872</v>
      </c>
      <c r="J18" s="13">
        <f>$E18*$G18*J$3*(1-'G.2进项增值税率-运营成本'!$C17)</f>
        <v>4.872</v>
      </c>
      <c r="K18" s="13">
        <f>$E18*$G18*K$3*(1-'G.2进项增值税率-运营成本'!$C17)</f>
        <v>5.568</v>
      </c>
      <c r="L18" s="13">
        <f>$E18*$G18*L$3*(1-'G.2进项增值税率-运营成本'!$C17)</f>
        <v>6.264</v>
      </c>
      <c r="M18" s="13">
        <f t="shared" si="0"/>
        <v>21.576</v>
      </c>
    </row>
    <row r="19" ht="16.5" customHeight="1" spans="1:13">
      <c r="A19" s="12" t="s">
        <v>222</v>
      </c>
      <c r="B19" s="12">
        <f>E.1项目运营期费用!B19</f>
        <v>16</v>
      </c>
      <c r="C19" s="23" t="str">
        <f>E.1项目运营期费用!C19</f>
        <v>空域使用审批费</v>
      </c>
      <c r="D19" s="23" t="str">
        <f>E.1项目运营期费用!D19</f>
        <v>按空域面积 × 年费率（元 / 平方 公里・年）</v>
      </c>
      <c r="E19" s="13">
        <f>E.1项目运营期费用!E19</f>
        <v>1</v>
      </c>
      <c r="F19" s="13">
        <f>E.1项目运营期费用!F19</f>
        <v>2</v>
      </c>
      <c r="G19" s="13">
        <f>E.1项目运营期费用!G19</f>
        <v>2</v>
      </c>
      <c r="H19" s="89"/>
      <c r="I19" s="13">
        <f>$E19*$G19*I$3*(1-'G.2进项增值税率-运营成本'!$C18)</f>
        <v>1.4</v>
      </c>
      <c r="J19" s="13">
        <f>$E19*$G19*J$3*(1-'G.2进项增值税率-运营成本'!$C18)</f>
        <v>1.4</v>
      </c>
      <c r="K19" s="13">
        <f>$E19*$G19*K$3*(1-'G.2进项增值税率-运营成本'!$C18)</f>
        <v>1.6</v>
      </c>
      <c r="L19" s="13">
        <f>$E19*$G19*L$3*(1-'G.2进项增值税率-运营成本'!$C18)</f>
        <v>1.8</v>
      </c>
      <c r="M19" s="13">
        <f t="shared" si="0"/>
        <v>6.2</v>
      </c>
    </row>
    <row r="20" ht="16.5" customHeight="1" spans="1:13">
      <c r="A20" s="24"/>
      <c r="B20" s="12">
        <f>E.1项目运营期费用!B20</f>
        <v>17</v>
      </c>
      <c r="C20" s="23" t="str">
        <f>E.1项目运营期费用!C20</f>
        <v>场地责任险</v>
      </c>
      <c r="D20" s="23" t="str">
        <f>E.1项目运营期费用!D20</f>
        <v>按保额 × 保险费率（年费率 0.1%-0.3%）</v>
      </c>
      <c r="E20" s="13">
        <f>E.1项目运营期费用!E20</f>
        <v>4</v>
      </c>
      <c r="F20" s="13">
        <f>E.1项目运营期费用!F20</f>
        <v>2</v>
      </c>
      <c r="G20" s="13">
        <f>E.1项目运营期费用!G20</f>
        <v>2</v>
      </c>
      <c r="H20" s="89"/>
      <c r="I20" s="13">
        <f>$E20*$G20*I$3*(1-'G.2进项增值税率-运营成本'!$C19)</f>
        <v>5.264</v>
      </c>
      <c r="J20" s="13">
        <f>$E20*$G20*J$3*(1-'G.2进项增值税率-运营成本'!$C19)</f>
        <v>5.264</v>
      </c>
      <c r="K20" s="13">
        <f>$E20*$G20*K$3*(1-'G.2进项增值税率-运营成本'!$C19)</f>
        <v>6.016</v>
      </c>
      <c r="L20" s="13">
        <f>$E20*$G20*L$3*(1-'G.2进项增值税率-运营成本'!$C19)</f>
        <v>6.768</v>
      </c>
      <c r="M20" s="13">
        <f t="shared" si="0"/>
        <v>23.312</v>
      </c>
    </row>
    <row r="21" ht="16.5" customHeight="1" spans="1:13">
      <c r="A21" s="16"/>
      <c r="B21" s="12">
        <f>E.1项目运营期费用!B21</f>
        <v>18</v>
      </c>
      <c r="C21" s="23" t="str">
        <f>E.1项目运营期费用!C21</f>
        <v>安全演练与应急处置</v>
      </c>
      <c r="D21" s="23" t="str">
        <f>E.1项目运营期费用!D21</f>
        <v>按次数 × 单次演练成本（元 / 次）</v>
      </c>
      <c r="E21" s="13">
        <f>E.1项目运营期费用!E21</f>
        <v>8</v>
      </c>
      <c r="F21" s="13">
        <f>E.1项目运营期费用!F21</f>
        <v>2</v>
      </c>
      <c r="G21" s="13">
        <f>E.1项目运营期费用!G21</f>
        <v>2</v>
      </c>
      <c r="H21" s="89"/>
      <c r="I21" s="13">
        <f>$E21*$G21*I$3*(1-'G.2进项增值税率-运营成本'!$C20)</f>
        <v>10.528</v>
      </c>
      <c r="J21" s="13">
        <f>$E21*$G21*J$3*(1-'G.2进项增值税率-运营成本'!$C20)</f>
        <v>10.528</v>
      </c>
      <c r="K21" s="13">
        <f>$E21*$G21*K$3*(1-'G.2进项增值税率-运营成本'!$C20)</f>
        <v>12.032</v>
      </c>
      <c r="L21" s="13">
        <f>$E21*$G21*L$3*(1-'G.2进项增值税率-运营成本'!$C20)</f>
        <v>13.536</v>
      </c>
      <c r="M21" s="13">
        <f t="shared" si="0"/>
        <v>46.624</v>
      </c>
    </row>
    <row r="22" ht="16.5" customHeight="1" spans="1:13">
      <c r="A22" s="12" t="s">
        <v>229</v>
      </c>
      <c r="B22" s="12">
        <f>E.1项目运营期费用!B22</f>
        <v>19</v>
      </c>
      <c r="C22" s="23" t="str">
        <f>E.1项目运营期费用!C22</f>
        <v>第三方安全评估</v>
      </c>
      <c r="D22" s="23" t="str">
        <f>E.1项目运营期费用!D22</f>
        <v>按项目投资额 × 评估费率 （0.1%-0.3%）</v>
      </c>
      <c r="E22" s="13">
        <f>E.1项目运营期费用!E22</f>
        <v>1</v>
      </c>
      <c r="F22" s="13">
        <f>E.1项目运营期费用!F22</f>
        <v>2</v>
      </c>
      <c r="G22" s="13">
        <f>E.1项目运营期费用!G22</f>
        <v>2</v>
      </c>
      <c r="H22" s="89"/>
      <c r="I22" s="13">
        <f>$E22*$G22*I$3*(1-'G.2进项增值税率-运营成本'!$C21)</f>
        <v>1.316</v>
      </c>
      <c r="J22" s="13">
        <f>$E22*$G22*J$3*(1-'G.2进项增值税率-运营成本'!$C21)</f>
        <v>1.316</v>
      </c>
      <c r="K22" s="13">
        <f>$E22*$G22*K$3*(1-'G.2进项增值税率-运营成本'!$C21)</f>
        <v>1.504</v>
      </c>
      <c r="L22" s="13">
        <f>$E22*$G22*L$3*(1-'G.2进项增值税率-运营成本'!$C21)</f>
        <v>1.692</v>
      </c>
      <c r="M22" s="13">
        <f t="shared" si="0"/>
        <v>5.828</v>
      </c>
    </row>
    <row r="23" ht="16.5" customHeight="1" spans="1:13">
      <c r="A23" s="16"/>
      <c r="B23" s="12">
        <f>E.1项目运营期费用!B23</f>
        <v>20</v>
      </c>
      <c r="C23" s="23" t="str">
        <f>E.1项目运营期费用!C23</f>
        <v>不可预见支出</v>
      </c>
      <c r="D23" s="23" t="str">
        <f>E.1项目运营期费用!D23</f>
        <v>按年度总成本 × 计提比例 （5%-10%）</v>
      </c>
      <c r="E23" s="13">
        <f>E.1项目运营期费用!E23</f>
        <v>9</v>
      </c>
      <c r="F23" s="13">
        <f>E.1项目运营期费用!F23</f>
        <v>2</v>
      </c>
      <c r="G23" s="13">
        <f>E.1项目运营期费用!G23</f>
        <v>2</v>
      </c>
      <c r="H23" s="89"/>
      <c r="I23" s="13">
        <f>$E23*$G23*I$3*(1-'G.2进项增值税率-运营成本'!$C22)</f>
        <v>12.6</v>
      </c>
      <c r="J23" s="13">
        <f>$E23*$G23*J$3*(1-'G.2进项增值税率-运营成本'!$C22)</f>
        <v>12.6</v>
      </c>
      <c r="K23" s="13">
        <f>$E23*$G23*K$3*(1-'G.2进项增值税率-运营成本'!$C22)</f>
        <v>14.4</v>
      </c>
      <c r="L23" s="13">
        <f>$E23*$G23*L$3*(1-'G.2进项增值税率-运营成本'!$C22)</f>
        <v>16.2</v>
      </c>
      <c r="M23" s="13">
        <f t="shared" si="0"/>
        <v>55.8</v>
      </c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theme="4" tint="-0.249977111117893"/>
  </sheetPr>
  <dimension ref="A1:K7"/>
  <sheetViews>
    <sheetView workbookViewId="0">
      <pane xSplit="5" ySplit="3" topLeftCell="F4" activePane="bottomRight" state="frozen"/>
      <selection/>
      <selection pane="topRight"/>
      <selection pane="bottomLeft"/>
      <selection pane="bottomRight" activeCell="I14" sqref="I14"/>
    </sheetView>
  </sheetViews>
  <sheetFormatPr defaultColWidth="8.89090909090909" defaultRowHeight="14" outlineLevelRow="6"/>
  <cols>
    <col min="2" max="2" width="13.4454545454545" style="1" customWidth="1"/>
    <col min="3" max="3" width="23.8909090909091" style="1" customWidth="1"/>
    <col min="4" max="4" width="14.2181818181818" style="1" customWidth="1"/>
    <col min="5" max="5" width="17.5545454545455" style="1" customWidth="1"/>
    <col min="6" max="6" width="6.44545454545455" style="1" customWidth="1"/>
    <col min="7" max="8" width="8.66363636363636" style="1" customWidth="1"/>
    <col min="9" max="10" width="9.89090909090909" style="1" customWidth="1"/>
  </cols>
  <sheetData>
    <row r="1" s="43" customFormat="1" ht="20" customHeight="1" spans="1:11">
      <c r="A1" s="93" t="s">
        <v>237</v>
      </c>
      <c r="B1" s="93"/>
      <c r="C1" s="36"/>
      <c r="D1" s="3"/>
      <c r="E1" s="3"/>
      <c r="F1" s="3"/>
      <c r="G1" s="3"/>
      <c r="H1" s="3"/>
      <c r="I1" s="3"/>
      <c r="J1" s="4"/>
      <c r="K1" s="65" t="s">
        <v>238</v>
      </c>
    </row>
    <row r="2" s="43" customFormat="1" ht="16.5" customHeight="1" spans="1:10">
      <c r="A2" s="94" t="s">
        <v>1</v>
      </c>
      <c r="B2" s="94" t="s">
        <v>140</v>
      </c>
      <c r="C2" s="94" t="s">
        <v>239</v>
      </c>
      <c r="D2" s="94" t="s">
        <v>240</v>
      </c>
      <c r="E2" s="94" t="s">
        <v>241</v>
      </c>
      <c r="F2" s="95" t="s">
        <v>242</v>
      </c>
      <c r="G2" s="3"/>
      <c r="H2" s="3"/>
      <c r="I2" s="3"/>
      <c r="J2" s="3"/>
    </row>
    <row r="3" s="43" customFormat="1" ht="66" customHeight="1" spans="1:10">
      <c r="A3" s="8"/>
      <c r="B3" s="8"/>
      <c r="C3" s="66" t="s">
        <v>243</v>
      </c>
      <c r="D3" s="66" t="s">
        <v>244</v>
      </c>
      <c r="E3" s="66" t="s">
        <v>245</v>
      </c>
      <c r="F3" s="23">
        <v>2025</v>
      </c>
      <c r="G3" s="23">
        <v>2026</v>
      </c>
      <c r="H3" s="23">
        <v>2027</v>
      </c>
      <c r="I3" s="23">
        <v>2028</v>
      </c>
      <c r="J3" s="23">
        <v>2029</v>
      </c>
    </row>
    <row r="4" s="43" customFormat="1" ht="16.5" customHeight="1" spans="1:11">
      <c r="A4" s="12" t="s">
        <v>246</v>
      </c>
      <c r="B4" s="8" t="s">
        <v>247</v>
      </c>
      <c r="C4" s="96">
        <f>E.4建设投资税后金额表!H4+E.4建设投资税后金额表!H9+E.4建设投资税后金额表!H13+E.4建设投资税后金额表!H19+c借款还本付息计划表!D31+c借款还本付息计划表!D34</f>
        <v>285.026895069095</v>
      </c>
      <c r="D4" s="97">
        <f>1/B项目信息!$D$8*100%</f>
        <v>0.0454545454545455</v>
      </c>
      <c r="E4" s="89">
        <f>C4*(1-A财务假设!$D$12)*D4</f>
        <v>12.3079795598018</v>
      </c>
      <c r="F4" s="89"/>
      <c r="G4" s="98">
        <f>$C4-$E4*(G3-$F$3)</f>
        <v>272.718915509293</v>
      </c>
      <c r="H4" s="98">
        <f>$C4-$E4*(H3-$F$3)</f>
        <v>260.410935949491</v>
      </c>
      <c r="I4" s="98">
        <f>$C4-$E4*(I3-$F$3)</f>
        <v>248.102956389689</v>
      </c>
      <c r="J4" s="98">
        <f>$C4-$E4*(J3-$F$3)</f>
        <v>235.794976829887</v>
      </c>
      <c r="K4" s="65" t="s">
        <v>248</v>
      </c>
    </row>
    <row r="5" s="43" customFormat="1" ht="16.5" customHeight="1" spans="1:11">
      <c r="A5" s="12" t="s">
        <v>249</v>
      </c>
      <c r="B5" s="8" t="s">
        <v>247</v>
      </c>
      <c r="C5" s="96">
        <f>E.4建设投资税后金额表!I4+E.4建设投资税后金额表!I9+E.4建设投资税后金额表!I13+E.4建设投资税后金额表!I19+c借款还本付息计划表!E31+c借款还本付息计划表!E34</f>
        <v>606.320708822443</v>
      </c>
      <c r="D5" s="97">
        <f>1/B项目信息!$D$14*100%</f>
        <v>0.0476190476190476</v>
      </c>
      <c r="E5" s="89">
        <f>C5*(1-A财务假设!$D$12)*D5</f>
        <v>27.4287939705391</v>
      </c>
      <c r="F5" s="89"/>
      <c r="G5" s="98"/>
      <c r="H5" s="98">
        <f>$C5-$E5*(H3-$G$3)</f>
        <v>578.891914851904</v>
      </c>
      <c r="I5" s="98">
        <f>$C5-$E5*(I3-$G$3)</f>
        <v>551.463120881365</v>
      </c>
      <c r="J5" s="98">
        <f>$C5-$E5*(J3-$G$3)</f>
        <v>524.034326910826</v>
      </c>
      <c r="K5" s="65" t="s">
        <v>250</v>
      </c>
    </row>
    <row r="6" s="43" customFormat="1" ht="16.5" customHeight="1" spans="1:10">
      <c r="A6" s="12" t="s">
        <v>251</v>
      </c>
      <c r="B6" s="8" t="s">
        <v>247</v>
      </c>
      <c r="C6" s="96">
        <f>E.4建设投资税后金额表!J4+E.4建设投资税后金额表!J9+E.4建设投资税后金额表!J13+E.4建设投资税后金额表!J19+c借款还本付息计划表!F31+c借款还本付息计划表!F34</f>
        <v>1090.30252257579</v>
      </c>
      <c r="D6" s="97">
        <f>1/B项目信息!$D$20*100%</f>
        <v>0.05</v>
      </c>
      <c r="E6" s="89">
        <f>C6*(1-A财务假设!$D$12)*D6</f>
        <v>51.7893698223502</v>
      </c>
      <c r="F6" s="89"/>
      <c r="G6" s="98"/>
      <c r="H6" s="98"/>
      <c r="I6" s="98">
        <f>$C6-$E6*(I3-$H$3)</f>
        <v>1038.51315275344</v>
      </c>
      <c r="J6" s="98">
        <f>$C6-$E6*(J3-$H$3)</f>
        <v>986.723782931092</v>
      </c>
    </row>
    <row r="7" s="43" customFormat="1" ht="16.5" customHeight="1" spans="1:10">
      <c r="A7" s="8" t="s">
        <v>80</v>
      </c>
      <c r="B7" s="8" t="s">
        <v>247</v>
      </c>
      <c r="C7" s="67">
        <f>SUM(C4:C6)</f>
        <v>1981.65012646733</v>
      </c>
      <c r="D7" s="33" t="s">
        <v>131</v>
      </c>
      <c r="E7" s="67">
        <f t="shared" ref="E7:J7" si="0">SUM(E4:E6)</f>
        <v>91.5261433526911</v>
      </c>
      <c r="F7" s="67">
        <f t="shared" si="0"/>
        <v>0</v>
      </c>
      <c r="G7" s="67">
        <f t="shared" si="0"/>
        <v>272.718915509293</v>
      </c>
      <c r="H7" s="67">
        <f t="shared" si="0"/>
        <v>839.302850801395</v>
      </c>
      <c r="I7" s="67">
        <f t="shared" si="0"/>
        <v>1838.0792300245</v>
      </c>
      <c r="J7" s="67">
        <f t="shared" si="0"/>
        <v>1746.55308667181</v>
      </c>
    </row>
  </sheetData>
  <mergeCells count="2">
    <mergeCell ref="C1:J1"/>
    <mergeCell ref="F2:J2"/>
  </mergeCells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theme="4" tint="-0.249977111117893"/>
  </sheetPr>
  <dimension ref="A1:K25"/>
  <sheetViews>
    <sheetView topLeftCell="B1" workbookViewId="0">
      <pane xSplit="4" ySplit="3" topLeftCell="F11" activePane="bottomRight" state="frozen"/>
      <selection/>
      <selection pane="topRight"/>
      <selection pane="bottomLeft"/>
      <selection pane="bottomRight" activeCell="C25" sqref="C25"/>
    </sheetView>
  </sheetViews>
  <sheetFormatPr defaultColWidth="8.89090909090909" defaultRowHeight="16.5"/>
  <cols>
    <col min="1" max="1" width="8.89090909090909" style="43" customWidth="1"/>
    <col min="2" max="2" width="32.5545454545455" style="43" customWidth="1"/>
    <col min="3" max="3" width="33.5545454545455" style="43" customWidth="1"/>
    <col min="4" max="4" width="15.2181818181818" style="43" customWidth="1"/>
    <col min="5" max="5" width="15.7818181818182" style="43" customWidth="1"/>
    <col min="6" max="6" width="6.44545454545455" style="43" customWidth="1"/>
    <col min="7" max="7" width="6.44545454545455" style="86" customWidth="1"/>
    <col min="8" max="8" width="7.44545454545455" style="86" customWidth="1"/>
    <col min="9" max="10" width="6.44545454545455" style="86" customWidth="1"/>
    <col min="11" max="16384" width="8.89090909090909" style="43" customWidth="1"/>
  </cols>
  <sheetData>
    <row r="1" ht="22.5" customHeight="1" spans="1:11">
      <c r="A1" s="54" t="s">
        <v>252</v>
      </c>
      <c r="B1" s="3"/>
      <c r="C1" s="3"/>
      <c r="D1" s="3"/>
      <c r="E1" s="3"/>
      <c r="F1" s="3"/>
      <c r="G1" s="3"/>
      <c r="H1" s="3"/>
      <c r="I1" s="3"/>
      <c r="J1" s="4"/>
      <c r="K1" s="65" t="s">
        <v>253</v>
      </c>
    </row>
    <row r="2" spans="1:10">
      <c r="A2" s="5" t="s">
        <v>1</v>
      </c>
      <c r="B2" s="5" t="s">
        <v>140</v>
      </c>
      <c r="C2" s="5" t="s">
        <v>239</v>
      </c>
      <c r="D2" s="5" t="s">
        <v>240</v>
      </c>
      <c r="E2" s="5" t="s">
        <v>241</v>
      </c>
      <c r="F2" s="28" t="s">
        <v>254</v>
      </c>
      <c r="G2" s="3"/>
      <c r="H2" s="3"/>
      <c r="I2" s="3"/>
      <c r="J2" s="3"/>
    </row>
    <row r="3" ht="66" customHeight="1" spans="1:10">
      <c r="A3" s="8"/>
      <c r="B3" s="8"/>
      <c r="C3" s="34" t="s">
        <v>255</v>
      </c>
      <c r="D3" s="87" t="s">
        <v>244</v>
      </c>
      <c r="E3" s="34" t="s">
        <v>256</v>
      </c>
      <c r="F3" s="23">
        <v>2025</v>
      </c>
      <c r="G3" s="23">
        <v>2026</v>
      </c>
      <c r="H3" s="23">
        <v>2027</v>
      </c>
      <c r="I3" s="23">
        <v>2028</v>
      </c>
      <c r="J3" s="23">
        <v>2029</v>
      </c>
    </row>
    <row r="4" spans="1:10">
      <c r="A4" s="12" t="s">
        <v>246</v>
      </c>
      <c r="B4" s="88" t="s">
        <v>257</v>
      </c>
      <c r="C4" s="89">
        <f>C5+C9</f>
        <v>5.54349641008516</v>
      </c>
      <c r="D4" s="87" t="s">
        <v>131</v>
      </c>
      <c r="E4" s="67">
        <f>E5+E9</f>
        <v>0.251977109549325</v>
      </c>
      <c r="F4" s="67"/>
      <c r="G4" s="67">
        <f>G5+G9</f>
        <v>5.29151930053583</v>
      </c>
      <c r="H4" s="67">
        <f>H5+H9</f>
        <v>5.0395421909865</v>
      </c>
      <c r="I4" s="67">
        <f>I5+I9</f>
        <v>4.78756508143718</v>
      </c>
      <c r="J4" s="67">
        <f>J5+J9</f>
        <v>4.53558797188785</v>
      </c>
    </row>
    <row r="5" spans="1:10">
      <c r="A5" s="8">
        <v>1.1</v>
      </c>
      <c r="B5" s="8" t="s">
        <v>258</v>
      </c>
      <c r="C5" s="13">
        <f>SUM(C6:C8)</f>
        <v>5.54349641008516</v>
      </c>
      <c r="D5" s="90" t="s">
        <v>131</v>
      </c>
      <c r="E5" s="13">
        <f>SUM(E6:E8)</f>
        <v>0.251977109549325</v>
      </c>
      <c r="F5" s="13"/>
      <c r="G5" s="13">
        <f>SUM(G6:G8)</f>
        <v>5.29151930053583</v>
      </c>
      <c r="H5" s="13">
        <f>SUM(H6:H8)</f>
        <v>5.0395421909865</v>
      </c>
      <c r="I5" s="13">
        <f>SUM(I6:I8)</f>
        <v>4.78756508143718</v>
      </c>
      <c r="J5" s="13">
        <f>SUM(J6:J8)</f>
        <v>4.53558797188785</v>
      </c>
    </row>
    <row r="6" spans="1:10">
      <c r="A6" s="8" t="s">
        <v>259</v>
      </c>
      <c r="B6" s="8" t="s">
        <v>260</v>
      </c>
      <c r="C6" s="37">
        <v>0</v>
      </c>
      <c r="D6" s="78">
        <f>$D$8</f>
        <v>0.0454545454545455</v>
      </c>
      <c r="E6" s="13">
        <f>C6*D6</f>
        <v>0</v>
      </c>
      <c r="F6" s="13"/>
      <c r="G6" s="37">
        <f>$C6-$E6*(G$3-$F$3)</f>
        <v>0</v>
      </c>
      <c r="H6" s="37">
        <f>$C6-$E6*(H$3-$F$3)</f>
        <v>0</v>
      </c>
      <c r="I6" s="37">
        <f>$C6-$E6*(I$3-$F$3)</f>
        <v>0</v>
      </c>
      <c r="J6" s="37">
        <f>$C6-$E6*(J$3-$F$3)</f>
        <v>0</v>
      </c>
    </row>
    <row r="7" spans="1:10">
      <c r="A7" s="8" t="s">
        <v>261</v>
      </c>
      <c r="B7" s="8" t="s">
        <v>262</v>
      </c>
      <c r="C7" s="37">
        <v>0</v>
      </c>
      <c r="D7" s="78">
        <f>$D$8</f>
        <v>0.0454545454545455</v>
      </c>
      <c r="E7" s="13">
        <f>C7*D7</f>
        <v>0</v>
      </c>
      <c r="F7" s="13"/>
      <c r="G7" s="37">
        <f>$C7-$E7*(G$3-$F$3)</f>
        <v>0</v>
      </c>
      <c r="H7" s="37">
        <f>$C7-$E7*(H$3-$F$3)</f>
        <v>0</v>
      </c>
      <c r="I7" s="37">
        <f>$C7-$E7*(I$3-$F$3)</f>
        <v>0</v>
      </c>
      <c r="J7" s="37">
        <f>$C7-$E7*(J$3-$F$3)</f>
        <v>0</v>
      </c>
    </row>
    <row r="8" spans="1:11">
      <c r="A8" s="8" t="s">
        <v>263</v>
      </c>
      <c r="B8" s="34" t="s">
        <v>264</v>
      </c>
      <c r="C8" s="72">
        <f>E.4建设投资税后金额表!H10+E.4建设投资税后金额表!H11+E.4建设投资税后金额表!H12</f>
        <v>5.54349641008516</v>
      </c>
      <c r="D8" s="78">
        <f>1/B项目信息!$D$8*100%</f>
        <v>0.0454545454545455</v>
      </c>
      <c r="E8" s="13">
        <f>C8*D8</f>
        <v>0.251977109549325</v>
      </c>
      <c r="F8" s="13"/>
      <c r="G8" s="37">
        <f>$C8-$E8*(G$3-$F$3)</f>
        <v>5.29151930053583</v>
      </c>
      <c r="H8" s="37">
        <f>$C8-$E8*(H$3-$F$3)</f>
        <v>5.0395421909865</v>
      </c>
      <c r="I8" s="37">
        <f>$C8-$E8*(I$3-$F$3)</f>
        <v>4.78756508143718</v>
      </c>
      <c r="J8" s="37">
        <f>$C8-$E8*(J$3-$F$3)</f>
        <v>4.53558797188785</v>
      </c>
      <c r="K8" s="65" t="s">
        <v>265</v>
      </c>
    </row>
    <row r="9" spans="1:10">
      <c r="A9" s="8">
        <v>1.2</v>
      </c>
      <c r="B9" s="8" t="s">
        <v>266</v>
      </c>
      <c r="C9" s="13">
        <f>C10</f>
        <v>0</v>
      </c>
      <c r="D9" s="91" t="s">
        <v>131</v>
      </c>
      <c r="E9" s="13">
        <f>E10</f>
        <v>0</v>
      </c>
      <c r="F9" s="13"/>
      <c r="G9" s="13">
        <f>G10</f>
        <v>0</v>
      </c>
      <c r="H9" s="13">
        <f>H10</f>
        <v>0</v>
      </c>
      <c r="I9" s="13">
        <f>I10</f>
        <v>0</v>
      </c>
      <c r="J9" s="13">
        <f>J10</f>
        <v>0</v>
      </c>
    </row>
    <row r="10" spans="1:10">
      <c r="A10" s="8" t="s">
        <v>146</v>
      </c>
      <c r="B10" s="8" t="s">
        <v>267</v>
      </c>
      <c r="C10" s="37">
        <v>0</v>
      </c>
      <c r="D10" s="78">
        <f>$D$8</f>
        <v>0.0454545454545455</v>
      </c>
      <c r="E10" s="13">
        <f>C10*D10</f>
        <v>0</v>
      </c>
      <c r="F10" s="13"/>
      <c r="G10" s="37">
        <f>$C10-$E10*(G$3-$F$3)</f>
        <v>0</v>
      </c>
      <c r="H10" s="37">
        <f>$C10-$E10*(H$3-$F$3)</f>
        <v>0</v>
      </c>
      <c r="I10" s="37">
        <f>$C10-$E10*(I$3-$F$3)</f>
        <v>0</v>
      </c>
      <c r="J10" s="37">
        <f>$C10-$E10*(J$3-$F$3)</f>
        <v>0</v>
      </c>
    </row>
    <row r="11" spans="1:10">
      <c r="A11" s="12" t="s">
        <v>249</v>
      </c>
      <c r="B11" s="88" t="s">
        <v>268</v>
      </c>
      <c r="C11" s="13">
        <f>C12+C16</f>
        <v>5.54349641008516</v>
      </c>
      <c r="D11" s="38"/>
      <c r="E11" s="13">
        <f>E12+E16</f>
        <v>0.263976019527865</v>
      </c>
      <c r="F11" s="13"/>
      <c r="G11" s="13">
        <f>G12+G16</f>
        <v>0</v>
      </c>
      <c r="H11" s="13">
        <f>H12+H16</f>
        <v>5.27952039055729</v>
      </c>
      <c r="I11" s="13">
        <f>I12+I16</f>
        <v>5.01554437102943</v>
      </c>
      <c r="J11" s="13">
        <f>J12+J16</f>
        <v>4.75156835150156</v>
      </c>
    </row>
    <row r="12" spans="1:10">
      <c r="A12" s="8">
        <v>2.1</v>
      </c>
      <c r="B12" s="8" t="s">
        <v>258</v>
      </c>
      <c r="C12" s="13">
        <f>SUM(C13:C15)</f>
        <v>5.54349641008516</v>
      </c>
      <c r="D12" s="38" t="s">
        <v>131</v>
      </c>
      <c r="E12" s="13">
        <f>SUM(E13:E15)</f>
        <v>0.263976019527865</v>
      </c>
      <c r="F12" s="13"/>
      <c r="G12" s="13"/>
      <c r="H12" s="37">
        <f>SUM(H13:H15)</f>
        <v>5.27952039055729</v>
      </c>
      <c r="I12" s="37">
        <f>SUM(I13:I15)</f>
        <v>5.01554437102943</v>
      </c>
      <c r="J12" s="37">
        <f>SUM(J13:J15)</f>
        <v>4.75156835150156</v>
      </c>
    </row>
    <row r="13" spans="1:10">
      <c r="A13" s="8" t="s">
        <v>118</v>
      </c>
      <c r="B13" s="8" t="s">
        <v>260</v>
      </c>
      <c r="C13" s="37">
        <v>0</v>
      </c>
      <c r="D13" s="78">
        <f>$D$15</f>
        <v>0.0476190476190476</v>
      </c>
      <c r="E13" s="13">
        <f>C13*D13</f>
        <v>0</v>
      </c>
      <c r="F13" s="13"/>
      <c r="G13" s="13"/>
      <c r="H13" s="37">
        <f>$C13-$E13*(H$3-$H$3)</f>
        <v>0</v>
      </c>
      <c r="I13" s="37">
        <f>$C13-$E13*(I$3-$H$3)</f>
        <v>0</v>
      </c>
      <c r="J13" s="37">
        <f>$C13-$E13*(J$3-$H$3)</f>
        <v>0</v>
      </c>
    </row>
    <row r="14" spans="1:10">
      <c r="A14" s="8" t="s">
        <v>120</v>
      </c>
      <c r="B14" s="8" t="s">
        <v>262</v>
      </c>
      <c r="C14" s="37">
        <v>0</v>
      </c>
      <c r="D14" s="78">
        <f>$D$15</f>
        <v>0.0476190476190476</v>
      </c>
      <c r="E14" s="13">
        <f>C14*D14</f>
        <v>0</v>
      </c>
      <c r="F14" s="13"/>
      <c r="G14" s="13"/>
      <c r="H14" s="37">
        <f>$C14-$E14*(H$3-$H$3)</f>
        <v>0</v>
      </c>
      <c r="I14" s="37">
        <f>$C14-$E14*(I$3-$H$3)</f>
        <v>0</v>
      </c>
      <c r="J14" s="37">
        <f>$C14-$E14*(J$3-$H$3)</f>
        <v>0</v>
      </c>
    </row>
    <row r="15" spans="1:11">
      <c r="A15" s="8" t="s">
        <v>122</v>
      </c>
      <c r="B15" s="34" t="s">
        <v>264</v>
      </c>
      <c r="C15" s="37">
        <f>E.4建设投资税后金额表!I10+E.4建设投资税后金额表!I11+E.4建设投资税后金额表!I12</f>
        <v>5.54349641008516</v>
      </c>
      <c r="D15" s="78">
        <f>1/B项目信息!$D$14*100%</f>
        <v>0.0476190476190476</v>
      </c>
      <c r="E15" s="13">
        <f>C15*D15</f>
        <v>0.263976019527865</v>
      </c>
      <c r="F15" s="13"/>
      <c r="G15" s="13"/>
      <c r="H15" s="37">
        <f>$C15-$E15*(H$3-$G$3)</f>
        <v>5.27952039055729</v>
      </c>
      <c r="I15" s="37">
        <f>$C15-$E15*(I$3-$G$3)</f>
        <v>5.01554437102943</v>
      </c>
      <c r="J15" s="37">
        <f>$C15-$E15*(J$3-$G$3)</f>
        <v>4.75156835150156</v>
      </c>
      <c r="K15" s="65" t="s">
        <v>265</v>
      </c>
    </row>
    <row r="16" spans="1:10">
      <c r="A16" s="8">
        <v>2.2</v>
      </c>
      <c r="B16" s="8" t="s">
        <v>266</v>
      </c>
      <c r="C16" s="13">
        <f>C17</f>
        <v>0</v>
      </c>
      <c r="D16" s="78"/>
      <c r="E16" s="13">
        <f>E17</f>
        <v>0</v>
      </c>
      <c r="F16" s="13"/>
      <c r="G16" s="13"/>
      <c r="H16" s="13">
        <f>H17</f>
        <v>0</v>
      </c>
      <c r="I16" s="13">
        <f>I17</f>
        <v>0</v>
      </c>
      <c r="J16" s="13">
        <f>J17</f>
        <v>0</v>
      </c>
    </row>
    <row r="17" spans="1:10">
      <c r="A17" s="8" t="s">
        <v>126</v>
      </c>
      <c r="B17" s="8" t="s">
        <v>267</v>
      </c>
      <c r="C17" s="37">
        <v>0</v>
      </c>
      <c r="D17" s="78">
        <f>$D$15</f>
        <v>0.0476190476190476</v>
      </c>
      <c r="E17" s="13">
        <f>C17*D17</f>
        <v>0</v>
      </c>
      <c r="F17" s="13"/>
      <c r="G17" s="13"/>
      <c r="H17" s="37">
        <f>$C$17-$E$17*(H3-$G$3)</f>
        <v>0</v>
      </c>
      <c r="I17" s="37">
        <f>$C$17-$E$17*(I3-$G$3)</f>
        <v>0</v>
      </c>
      <c r="J17" s="37">
        <f>$C$17-$E$17*(J3-$G$3)</f>
        <v>0</v>
      </c>
    </row>
    <row r="18" spans="1:10">
      <c r="A18" s="12" t="s">
        <v>251</v>
      </c>
      <c r="B18" s="88" t="s">
        <v>269</v>
      </c>
      <c r="C18" s="13">
        <f>C19+C23</f>
        <v>5.54349641008516</v>
      </c>
      <c r="D18" s="75"/>
      <c r="E18" s="13">
        <f>E19+E23</f>
        <v>0.277174820504258</v>
      </c>
      <c r="F18" s="13"/>
      <c r="G18" s="13">
        <f>G19+G23</f>
        <v>0</v>
      </c>
      <c r="H18" s="13">
        <f>H19+H23</f>
        <v>0</v>
      </c>
      <c r="I18" s="13">
        <f>I19+I23</f>
        <v>5.2663215895809</v>
      </c>
      <c r="J18" s="13">
        <f>J19+J23</f>
        <v>4.98914676907664</v>
      </c>
    </row>
    <row r="19" spans="1:10">
      <c r="A19" s="8">
        <v>2.1</v>
      </c>
      <c r="B19" s="8" t="s">
        <v>258</v>
      </c>
      <c r="C19" s="13">
        <f>SUM(C20:C22)</f>
        <v>5.54349641008516</v>
      </c>
      <c r="D19" s="92" t="s">
        <v>131</v>
      </c>
      <c r="E19" s="13">
        <f>SUM(E20:E22)</f>
        <v>0.277174820504258</v>
      </c>
      <c r="F19" s="13"/>
      <c r="G19" s="13"/>
      <c r="H19" s="13"/>
      <c r="I19" s="37">
        <f>SUM(I20:I22)</f>
        <v>5.2663215895809</v>
      </c>
      <c r="J19" s="37">
        <f>SUM(J20:J22)</f>
        <v>4.98914676907664</v>
      </c>
    </row>
    <row r="20" spans="1:10">
      <c r="A20" s="8" t="s">
        <v>118</v>
      </c>
      <c r="B20" s="8" t="s">
        <v>260</v>
      </c>
      <c r="C20" s="37">
        <v>0</v>
      </c>
      <c r="D20" s="78">
        <f>$D$22</f>
        <v>0.05</v>
      </c>
      <c r="E20" s="13">
        <f>C20*D20</f>
        <v>0</v>
      </c>
      <c r="F20" s="13"/>
      <c r="G20" s="13"/>
      <c r="H20" s="13"/>
      <c r="I20" s="37">
        <f>$C20-$E20*(I$3-$H$3)</f>
        <v>0</v>
      </c>
      <c r="J20" s="37">
        <f>$C20-$E20*(J$3-$H$3)</f>
        <v>0</v>
      </c>
    </row>
    <row r="21" spans="1:10">
      <c r="A21" s="8" t="s">
        <v>120</v>
      </c>
      <c r="B21" s="8" t="s">
        <v>262</v>
      </c>
      <c r="C21" s="37">
        <v>0</v>
      </c>
      <c r="D21" s="78">
        <f>$D$22</f>
        <v>0.05</v>
      </c>
      <c r="E21" s="13">
        <f>C21*D21</f>
        <v>0</v>
      </c>
      <c r="F21" s="13"/>
      <c r="G21" s="13"/>
      <c r="H21" s="13"/>
      <c r="I21" s="37">
        <f>$C21-$E21*(I$3-$H$3)</f>
        <v>0</v>
      </c>
      <c r="J21" s="37">
        <f>$C21-$E21*(J$3-$H$3)</f>
        <v>0</v>
      </c>
    </row>
    <row r="22" spans="1:11">
      <c r="A22" s="8" t="s">
        <v>122</v>
      </c>
      <c r="B22" s="34" t="s">
        <v>264</v>
      </c>
      <c r="C22" s="37">
        <f>E.4建设投资税后金额表!J10+E.4建设投资税后金额表!J11+E.4建设投资税后金额表!J12</f>
        <v>5.54349641008516</v>
      </c>
      <c r="D22" s="78">
        <f>1/B项目信息!$D$20*100%</f>
        <v>0.05</v>
      </c>
      <c r="E22" s="13">
        <f>C22*D22</f>
        <v>0.277174820504258</v>
      </c>
      <c r="F22" s="13"/>
      <c r="G22" s="13"/>
      <c r="H22" s="13"/>
      <c r="I22" s="37">
        <f>$C22-$E22*(I$3-$H$3)</f>
        <v>5.2663215895809</v>
      </c>
      <c r="J22" s="37">
        <f>$C22-$E22*(J$3-$H$3)</f>
        <v>4.98914676907664</v>
      </c>
      <c r="K22" s="65" t="s">
        <v>265</v>
      </c>
    </row>
    <row r="23" spans="1:10">
      <c r="A23" s="8">
        <v>2.2</v>
      </c>
      <c r="B23" s="8" t="s">
        <v>266</v>
      </c>
      <c r="C23" s="13">
        <f>C24</f>
        <v>0</v>
      </c>
      <c r="D23" s="78" t="s">
        <v>131</v>
      </c>
      <c r="E23" s="13">
        <f>E24</f>
        <v>0</v>
      </c>
      <c r="F23" s="13"/>
      <c r="G23" s="13"/>
      <c r="H23" s="13"/>
      <c r="I23" s="13">
        <f>I24</f>
        <v>0</v>
      </c>
      <c r="J23" s="13">
        <f>J24</f>
        <v>0</v>
      </c>
    </row>
    <row r="24" spans="1:10">
      <c r="A24" s="8" t="s">
        <v>126</v>
      </c>
      <c r="B24" s="8" t="s">
        <v>267</v>
      </c>
      <c r="C24" s="37">
        <v>0</v>
      </c>
      <c r="D24" s="78">
        <f>$D$22</f>
        <v>0.05</v>
      </c>
      <c r="E24" s="13">
        <f>C24*D24</f>
        <v>0</v>
      </c>
      <c r="F24" s="13"/>
      <c r="G24" s="13"/>
      <c r="H24" s="13"/>
      <c r="I24" s="37">
        <f>$C$17-$E$17*(I10-$G$3)</f>
        <v>0</v>
      </c>
      <c r="J24" s="37">
        <f>$C$17-$E$17*(J10-$G$3)</f>
        <v>0</v>
      </c>
    </row>
    <row r="25" spans="1:10">
      <c r="A25" s="8" t="s">
        <v>80</v>
      </c>
      <c r="B25" s="4"/>
      <c r="C25" s="13">
        <f>C4+C11+C19</f>
        <v>16.6304892302555</v>
      </c>
      <c r="D25" s="13" t="s">
        <v>131</v>
      </c>
      <c r="E25" s="13">
        <f t="shared" ref="E25:J25" si="0">E4+E11+E19</f>
        <v>0.793127949581447</v>
      </c>
      <c r="F25" s="13">
        <f t="shared" si="0"/>
        <v>0</v>
      </c>
      <c r="G25" s="13">
        <f t="shared" si="0"/>
        <v>5.29151930053583</v>
      </c>
      <c r="H25" s="13">
        <f t="shared" si="0"/>
        <v>10.3190625815438</v>
      </c>
      <c r="I25" s="13">
        <f t="shared" si="0"/>
        <v>15.0694310420475</v>
      </c>
      <c r="J25" s="13">
        <f t="shared" si="0"/>
        <v>14.2763030924661</v>
      </c>
    </row>
  </sheetData>
  <mergeCells count="3">
    <mergeCell ref="A1:J1"/>
    <mergeCell ref="F2:J2"/>
    <mergeCell ref="A25:B25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0070C0"/>
  </sheetPr>
  <dimension ref="A1:K21"/>
  <sheetViews>
    <sheetView workbookViewId="0">
      <selection activeCell="L9" sqref="L9"/>
    </sheetView>
  </sheetViews>
  <sheetFormatPr defaultColWidth="8.89090909090909" defaultRowHeight="28.05" customHeight="1"/>
  <cols>
    <col min="2" max="2" width="18.3363636363636" style="1" customWidth="1"/>
    <col min="3" max="3" width="14.1090909090909" style="1" customWidth="1"/>
    <col min="4" max="4" width="9.55454545454545" style="1" customWidth="1"/>
    <col min="7" max="7" width="9.89090909090909" style="1" customWidth="1"/>
    <col min="8" max="8" width="10.3363636363636" style="1" customWidth="1"/>
    <col min="9" max="9" width="9.78181818181818" style="1" customWidth="1"/>
    <col min="10" max="10" width="10.4454545454545" style="1" customWidth="1"/>
  </cols>
  <sheetData>
    <row r="1" s="43" customFormat="1" ht="20" customHeight="1" spans="1:11">
      <c r="A1" s="81" t="s">
        <v>270</v>
      </c>
      <c r="K1" s="65" t="s">
        <v>271</v>
      </c>
    </row>
    <row r="2" s="43" customFormat="1" ht="52.05" customHeight="1" spans="1:10">
      <c r="A2" s="19" t="s">
        <v>1</v>
      </c>
      <c r="B2" s="19" t="s">
        <v>83</v>
      </c>
      <c r="C2" s="19" t="s">
        <v>136</v>
      </c>
      <c r="D2" s="26">
        <v>2025</v>
      </c>
      <c r="E2" s="26">
        <v>2026</v>
      </c>
      <c r="F2" s="26">
        <v>2027</v>
      </c>
      <c r="G2" s="19" t="s">
        <v>272</v>
      </c>
      <c r="H2" s="82" t="s">
        <v>273</v>
      </c>
      <c r="I2" s="82" t="s">
        <v>274</v>
      </c>
      <c r="J2" s="82" t="s">
        <v>275</v>
      </c>
    </row>
    <row r="3" s="43" customFormat="1" ht="16.5" customHeight="1" spans="1:10">
      <c r="A3" s="8" t="s">
        <v>86</v>
      </c>
      <c r="B3" s="8" t="s">
        <v>87</v>
      </c>
      <c r="C3" s="13">
        <f>C4+C8</f>
        <v>1824</v>
      </c>
      <c r="D3" s="13">
        <f>D4+D8</f>
        <v>308</v>
      </c>
      <c r="E3" s="13">
        <f>E4+E8</f>
        <v>608</v>
      </c>
      <c r="F3" s="13">
        <f>F4+F8</f>
        <v>908</v>
      </c>
      <c r="G3" s="8" t="str">
        <f>'G.1进项增值税率-建设投资'!E3</f>
        <v>/</v>
      </c>
      <c r="H3" s="9">
        <f>H4+H8</f>
        <v>279.295221667859</v>
      </c>
      <c r="I3" s="9">
        <f>I4+I8</f>
        <v>551.277035421208</v>
      </c>
      <c r="J3" s="9">
        <f>J4+J8</f>
        <v>823.258849174557</v>
      </c>
    </row>
    <row r="4" s="43" customFormat="1" ht="16.5" customHeight="1" spans="1:10">
      <c r="A4" s="44">
        <v>1</v>
      </c>
      <c r="B4" s="44" t="s">
        <v>88</v>
      </c>
      <c r="C4" s="83">
        <f>SUM(C5:C7)</f>
        <v>1800</v>
      </c>
      <c r="D4" s="83">
        <f>SUM(D5:D7)</f>
        <v>300</v>
      </c>
      <c r="E4" s="83">
        <f>SUM(E5:E7)</f>
        <v>600</v>
      </c>
      <c r="F4" s="83">
        <f>SUM(F5:F7)</f>
        <v>900</v>
      </c>
      <c r="G4" s="44" t="str">
        <f>'G.1进项增值税率-建设投资'!E4</f>
        <v>/</v>
      </c>
      <c r="H4" s="84">
        <f>SUM(H5:H7)</f>
        <v>271.981813753349</v>
      </c>
      <c r="I4" s="84">
        <f>SUM(I5:I7)</f>
        <v>543.963627506698</v>
      </c>
      <c r="J4" s="84">
        <f>SUM(J5:J7)</f>
        <v>815.945441260047</v>
      </c>
    </row>
    <row r="5" s="43" customFormat="1" ht="16.5" customHeight="1" spans="1:11">
      <c r="A5" s="8">
        <v>1.1</v>
      </c>
      <c r="B5" s="12" t="s">
        <v>89</v>
      </c>
      <c r="C5" s="13">
        <f>'G.1进项增值税率-建设投资'!D5</f>
        <v>600</v>
      </c>
      <c r="D5" s="32">
        <f>D.3建设投资分年计划表!E5</f>
        <v>100</v>
      </c>
      <c r="E5" s="32">
        <f>D.3建设投资分年计划表!F5</f>
        <v>200</v>
      </c>
      <c r="F5" s="32">
        <f>D.3建设投资分年计划表!G5</f>
        <v>300</v>
      </c>
      <c r="G5" s="85">
        <f>'G.1进项增值税率-建设投资'!$E$5</f>
        <v>0.09</v>
      </c>
      <c r="H5" s="32">
        <f>D5/(1+'G.1进项增值税率-建设投资'!$E5)</f>
        <v>91.743119266055</v>
      </c>
      <c r="I5" s="32">
        <f>E5/(1+'G.1进项增值税率-建设投资'!$E5)</f>
        <v>183.48623853211</v>
      </c>
      <c r="J5" s="32">
        <f>F5/(1+'G.1进项增值税率-建设投资'!$E5)</f>
        <v>275.229357798165</v>
      </c>
      <c r="K5" s="65" t="s">
        <v>276</v>
      </c>
    </row>
    <row r="6" s="43" customFormat="1" ht="16.5" customHeight="1" spans="1:10">
      <c r="A6" s="8">
        <v>1.2</v>
      </c>
      <c r="B6" s="12" t="s">
        <v>91</v>
      </c>
      <c r="C6" s="13">
        <f>'G.1进项增值税率-建设投资'!D6</f>
        <v>600</v>
      </c>
      <c r="D6" s="32">
        <f>D.3建设投资分年计划表!E6</f>
        <v>100</v>
      </c>
      <c r="E6" s="32">
        <f>D.3建设投资分年计划表!F6</f>
        <v>200</v>
      </c>
      <c r="F6" s="32">
        <f>D.3建设投资分年计划表!G6</f>
        <v>300</v>
      </c>
      <c r="G6" s="85">
        <f>'G.1进项增值税率-建设投资'!$E$6</f>
        <v>0.13</v>
      </c>
      <c r="H6" s="32">
        <f>D6/(1+'G.1进项增值税率-建设投资'!$E6)</f>
        <v>88.495575221239</v>
      </c>
      <c r="I6" s="32">
        <f>E6/(1+'G.1进项增值税率-建设投资'!$E6)</f>
        <v>176.991150442478</v>
      </c>
      <c r="J6" s="32">
        <f>F6/(1+'G.1进项增值税率-建设投资'!$E6)</f>
        <v>265.486725663717</v>
      </c>
    </row>
    <row r="7" s="43" customFormat="1" ht="16.5" customHeight="1" spans="1:10">
      <c r="A7" s="8">
        <v>1.3</v>
      </c>
      <c r="B7" s="12" t="s">
        <v>92</v>
      </c>
      <c r="C7" s="13">
        <f>'G.1进项增值税率-建设投资'!D7</f>
        <v>600</v>
      </c>
      <c r="D7" s="32">
        <f>D.3建设投资分年计划表!E7</f>
        <v>100</v>
      </c>
      <c r="E7" s="32">
        <f>D.3建设投资分年计划表!F7</f>
        <v>200</v>
      </c>
      <c r="F7" s="32">
        <f>D.3建设投资分年计划表!G7</f>
        <v>300</v>
      </c>
      <c r="G7" s="85">
        <f>'G.1进项增值税率-建设投资'!$E$7</f>
        <v>0.09</v>
      </c>
      <c r="H7" s="32">
        <f>D7/(1+'G.1进项增值税率-建设投资'!$E7)</f>
        <v>91.743119266055</v>
      </c>
      <c r="I7" s="32">
        <f>E7/(1+'G.1进项增值税率-建设投资'!$E7)</f>
        <v>183.48623853211</v>
      </c>
      <c r="J7" s="32">
        <f>F7/(1+'G.1进项增值税率-建设投资'!$E7)</f>
        <v>275.229357798165</v>
      </c>
    </row>
    <row r="8" s="43" customFormat="1" ht="16.5" customHeight="1" spans="1:10">
      <c r="A8" s="44">
        <v>2</v>
      </c>
      <c r="B8" s="44" t="s">
        <v>94</v>
      </c>
      <c r="C8" s="83">
        <f>SUM(C9:C12)</f>
        <v>24</v>
      </c>
      <c r="D8" s="83">
        <f>SUM(D9:D12)</f>
        <v>8</v>
      </c>
      <c r="E8" s="83">
        <f>SUM(E9:E12)</f>
        <v>8</v>
      </c>
      <c r="F8" s="83">
        <f>SUM(F9:F12)</f>
        <v>8</v>
      </c>
      <c r="G8" s="44" t="str">
        <f>'G.1进项增值税率-建设投资'!E8</f>
        <v>/</v>
      </c>
      <c r="H8" s="84">
        <f>SUM(H9:H12)</f>
        <v>7.31340791450993</v>
      </c>
      <c r="I8" s="84">
        <f>SUM(I9:I12)</f>
        <v>7.31340791450993</v>
      </c>
      <c r="J8" s="84">
        <f>SUM(J9:J12)</f>
        <v>7.31340791450993</v>
      </c>
    </row>
    <row r="9" s="43" customFormat="1" ht="16.5" customHeight="1" spans="1:10">
      <c r="A9" s="8">
        <v>2.1</v>
      </c>
      <c r="B9" s="12" t="s">
        <v>95</v>
      </c>
      <c r="C9" s="13">
        <f>'G.1进项增值税率-建设投资'!D9</f>
        <v>6</v>
      </c>
      <c r="D9" s="32">
        <f>D.3建设投资分年计划表!E9</f>
        <v>2</v>
      </c>
      <c r="E9" s="32">
        <f>D.3建设投资分年计划表!F9</f>
        <v>2</v>
      </c>
      <c r="F9" s="32">
        <f>D.3建设投资分年计划表!G9</f>
        <v>2</v>
      </c>
      <c r="G9" s="85">
        <f>'G.1进项增值税率-建设投资'!$E$9</f>
        <v>0.13</v>
      </c>
      <c r="H9" s="32">
        <f>D9/(1+'G.1进项增值税率-建设投资'!$E9)</f>
        <v>1.76991150442478</v>
      </c>
      <c r="I9" s="32">
        <f>E9/(1+'G.1进项增值税率-建设投资'!$E9)</f>
        <v>1.76991150442478</v>
      </c>
      <c r="J9" s="32">
        <f>F9/(1+'G.1进项增值税率-建设投资'!$E9)</f>
        <v>1.76991150442478</v>
      </c>
    </row>
    <row r="10" s="43" customFormat="1" ht="16.5" customHeight="1" spans="1:10">
      <c r="A10" s="8">
        <v>2.2</v>
      </c>
      <c r="B10" s="12" t="s">
        <v>96</v>
      </c>
      <c r="C10" s="13">
        <f>'G.1进项增值税率-建设投资'!D10</f>
        <v>6</v>
      </c>
      <c r="D10" s="32">
        <f>D.3建设投资分年计划表!E10</f>
        <v>2</v>
      </c>
      <c r="E10" s="32">
        <f>D.3建设投资分年计划表!F10</f>
        <v>2</v>
      </c>
      <c r="F10" s="32">
        <f>D.3建设投资分年计划表!G10</f>
        <v>2</v>
      </c>
      <c r="G10" s="85">
        <f>'G.1进项增值税率-建设投资'!$E$10</f>
        <v>0.06</v>
      </c>
      <c r="H10" s="32">
        <f>D10/(1+'G.1进项增值税率-建设投资'!$E10)</f>
        <v>1.88679245283019</v>
      </c>
      <c r="I10" s="32">
        <f>E10/(1+'G.1进项增值税率-建设投资'!$E10)</f>
        <v>1.88679245283019</v>
      </c>
      <c r="J10" s="32">
        <f>F10/(1+'G.1进项增值税率-建设投资'!$E10)</f>
        <v>1.88679245283019</v>
      </c>
    </row>
    <row r="11" s="43" customFormat="1" ht="16.5" customHeight="1" spans="1:10">
      <c r="A11" s="8">
        <v>2.3</v>
      </c>
      <c r="B11" s="12" t="s">
        <v>97</v>
      </c>
      <c r="C11" s="13">
        <f>'G.1进项增值税率-建设投资'!D11</f>
        <v>6</v>
      </c>
      <c r="D11" s="32">
        <f>D.3建设投资分年计划表!E11</f>
        <v>2</v>
      </c>
      <c r="E11" s="32">
        <f>D.3建设投资分年计划表!F11</f>
        <v>2</v>
      </c>
      <c r="F11" s="32">
        <f>D.3建设投资分年计划表!G11</f>
        <v>2</v>
      </c>
      <c r="G11" s="85">
        <f>'G.1进项增值税率-建设投资'!$E$11</f>
        <v>0.13</v>
      </c>
      <c r="H11" s="32">
        <f>D11/(1+'G.1进项增值税率-建设投资'!$E11)</f>
        <v>1.76991150442478</v>
      </c>
      <c r="I11" s="32">
        <f>E11/(1+'G.1进项增值税率-建设投资'!$E11)</f>
        <v>1.76991150442478</v>
      </c>
      <c r="J11" s="32">
        <f>F11/(1+'G.1进项增值税率-建设投资'!$E11)</f>
        <v>1.76991150442478</v>
      </c>
    </row>
    <row r="12" s="43" customFormat="1" ht="16.5" customHeight="1" spans="1:10">
      <c r="A12" s="8">
        <v>2.4</v>
      </c>
      <c r="B12" s="12" t="s">
        <v>98</v>
      </c>
      <c r="C12" s="13">
        <f>'G.1进项增值税率-建设投资'!D12</f>
        <v>6</v>
      </c>
      <c r="D12" s="32">
        <f>D.3建设投资分年计划表!E12</f>
        <v>2</v>
      </c>
      <c r="E12" s="32">
        <f>D.3建设投资分年计划表!F12</f>
        <v>2</v>
      </c>
      <c r="F12" s="32">
        <f>D.3建设投资分年计划表!G12</f>
        <v>2</v>
      </c>
      <c r="G12" s="85">
        <f>'G.1进项增值税率-建设投资'!$E$12</f>
        <v>0.06</v>
      </c>
      <c r="H12" s="32">
        <f>D12/(1+'G.1进项增值税率-建设投资'!$E12)</f>
        <v>1.88679245283019</v>
      </c>
      <c r="I12" s="32">
        <f>E12/(1+'G.1进项增值税率-建设投资'!$E12)</f>
        <v>1.88679245283019</v>
      </c>
      <c r="J12" s="32">
        <f>F12/(1+'G.1进项增值税率-建设投资'!$E12)</f>
        <v>1.88679245283019</v>
      </c>
    </row>
    <row r="13" s="43" customFormat="1" ht="16.5" customHeight="1" spans="1:10">
      <c r="A13" s="44" t="s">
        <v>99</v>
      </c>
      <c r="B13" s="44" t="s">
        <v>100</v>
      </c>
      <c r="C13" s="83">
        <f>SUM(C14:C18)</f>
        <v>24</v>
      </c>
      <c r="D13" s="83">
        <f>SUM(D14:D18)</f>
        <v>8</v>
      </c>
      <c r="E13" s="83">
        <f>SUM(E14:E18)</f>
        <v>8</v>
      </c>
      <c r="F13" s="83">
        <f>SUM(F14:F18)</f>
        <v>8</v>
      </c>
      <c r="G13" s="44" t="str">
        <f>'G.1进项增值税率-建设投资'!E13</f>
        <v>/</v>
      </c>
      <c r="H13" s="84">
        <f>SUM(H14:H18)</f>
        <v>7.54716981132075</v>
      </c>
      <c r="I13" s="84">
        <f>SUM(I14:I18)</f>
        <v>7.54716981132075</v>
      </c>
      <c r="J13" s="84">
        <f>SUM(J14:J18)</f>
        <v>7.54716981132075</v>
      </c>
    </row>
    <row r="14" s="43" customFormat="1" ht="16.5" customHeight="1" spans="1:10">
      <c r="A14" s="8">
        <v>1</v>
      </c>
      <c r="B14" s="8" t="s">
        <v>101</v>
      </c>
      <c r="C14" s="13">
        <f>'G.1进项增值税率-建设投资'!D14</f>
        <v>6</v>
      </c>
      <c r="D14" s="32">
        <f>D.3建设投资分年计划表!E14</f>
        <v>2</v>
      </c>
      <c r="E14" s="32">
        <f>D.3建设投资分年计划表!F14</f>
        <v>2</v>
      </c>
      <c r="F14" s="32">
        <f>D.3建设投资分年计划表!G14</f>
        <v>2</v>
      </c>
      <c r="G14" s="85">
        <f>'G.1进项增值税率-建设投资'!$E$14</f>
        <v>0.06</v>
      </c>
      <c r="H14" s="32">
        <f>D14/(1+'G.1进项增值税率-建设投资'!$E14)</f>
        <v>1.88679245283019</v>
      </c>
      <c r="I14" s="32">
        <f>E14/(1+'G.1进项增值税率-建设投资'!$E14)</f>
        <v>1.88679245283019</v>
      </c>
      <c r="J14" s="32">
        <f>F14/(1+'G.1进项增值税率-建设投资'!$E14)</f>
        <v>1.88679245283019</v>
      </c>
    </row>
    <row r="15" s="43" customFormat="1" ht="16.5" customHeight="1" spans="1:10">
      <c r="A15" s="8">
        <v>2</v>
      </c>
      <c r="B15" s="12" t="s">
        <v>102</v>
      </c>
      <c r="C15" s="13">
        <f>'G.1进项增值税率-建设投资'!D15</f>
        <v>6</v>
      </c>
      <c r="D15" s="32">
        <f>D.3建设投资分年计划表!E15</f>
        <v>2</v>
      </c>
      <c r="E15" s="32">
        <f>D.3建设投资分年计划表!F15</f>
        <v>2</v>
      </c>
      <c r="F15" s="32">
        <f>D.3建设投资分年计划表!G15</f>
        <v>2</v>
      </c>
      <c r="G15" s="85">
        <f>'G.1进项增值税率-建设投资'!$E$15</f>
        <v>0.06</v>
      </c>
      <c r="H15" s="32">
        <f>D15/(1+'G.1进项增值税率-建设投资'!$E15)</f>
        <v>1.88679245283019</v>
      </c>
      <c r="I15" s="32">
        <f>E15/(1+'G.1进项增值税率-建设投资'!$E15)</f>
        <v>1.88679245283019</v>
      </c>
      <c r="J15" s="32">
        <f>F15/(1+'G.1进项增值税率-建设投资'!$E15)</f>
        <v>1.88679245283019</v>
      </c>
    </row>
    <row r="16" s="43" customFormat="1" ht="16.5" customHeight="1" spans="1:10">
      <c r="A16" s="8">
        <v>3</v>
      </c>
      <c r="B16" s="12" t="s">
        <v>103</v>
      </c>
      <c r="C16" s="13">
        <f>'G.1进项增值税率-建设投资'!D16</f>
        <v>6</v>
      </c>
      <c r="D16" s="32">
        <f>D.3建设投资分年计划表!E16</f>
        <v>2</v>
      </c>
      <c r="E16" s="32">
        <f>D.3建设投资分年计划表!F16</f>
        <v>2</v>
      </c>
      <c r="F16" s="32">
        <f>D.3建设投资分年计划表!G16</f>
        <v>2</v>
      </c>
      <c r="G16" s="85">
        <f>'G.1进项增值税率-建设投资'!$E$16</f>
        <v>0.06</v>
      </c>
      <c r="H16" s="32">
        <f>D16/(1+'G.1进项增值税率-建设投资'!$E16)</f>
        <v>1.88679245283019</v>
      </c>
      <c r="I16" s="32">
        <f>E16/(1+'G.1进项增值税率-建设投资'!$E16)</f>
        <v>1.88679245283019</v>
      </c>
      <c r="J16" s="32">
        <f>F16/(1+'G.1进项增值税率-建设投资'!$E16)</f>
        <v>1.88679245283019</v>
      </c>
    </row>
    <row r="17" s="43" customFormat="1" ht="16.5" customHeight="1" spans="1:10">
      <c r="A17" s="8">
        <v>4</v>
      </c>
      <c r="B17" s="12" t="s">
        <v>104</v>
      </c>
      <c r="C17" s="13">
        <f>'G.1进项增值税率-建设投资'!D17</f>
        <v>6</v>
      </c>
      <c r="D17" s="32">
        <f>D.3建设投资分年计划表!E17</f>
        <v>2</v>
      </c>
      <c r="E17" s="32">
        <f>D.3建设投资分年计划表!F17</f>
        <v>2</v>
      </c>
      <c r="F17" s="32">
        <f>D.3建设投资分年计划表!G17</f>
        <v>2</v>
      </c>
      <c r="G17" s="85">
        <f>'G.1进项增值税率-建设投资'!$E$17</f>
        <v>0.06</v>
      </c>
      <c r="H17" s="32">
        <f>D17/(1+'G.1进项增值税率-建设投资'!$E17)</f>
        <v>1.88679245283019</v>
      </c>
      <c r="I17" s="32">
        <f>E17/(1+'G.1进项增值税率-建设投资'!$E17)</f>
        <v>1.88679245283019</v>
      </c>
      <c r="J17" s="32">
        <f>F17/(1+'G.1进项增值税率-建设投资'!$E17)</f>
        <v>1.88679245283019</v>
      </c>
    </row>
    <row r="18" s="43" customFormat="1" ht="16.5" customHeight="1" spans="1:10">
      <c r="A18" s="8">
        <v>5</v>
      </c>
      <c r="B18" s="12" t="s">
        <v>105</v>
      </c>
      <c r="C18" s="13">
        <f>'G.1进项增值税率-建设投资'!D18</f>
        <v>0</v>
      </c>
      <c r="D18" s="32">
        <f>D.3建设投资分年计划表!E18</f>
        <v>0</v>
      </c>
      <c r="E18" s="32">
        <f>D.3建设投资分年计划表!F18</f>
        <v>0</v>
      </c>
      <c r="F18" s="32">
        <f>D.3建设投资分年计划表!G18</f>
        <v>0</v>
      </c>
      <c r="G18" s="85">
        <f>'G.1进项增值税率-建设投资'!$E$18</f>
        <v>0.06</v>
      </c>
      <c r="H18" s="32">
        <f>D18/(1+'G.1进项增值税率-建设投资'!$E18)</f>
        <v>0</v>
      </c>
      <c r="I18" s="32">
        <f>E18/(1+'G.1进项增值税率-建设投资'!$E18)</f>
        <v>0</v>
      </c>
      <c r="J18" s="32">
        <f>F18/(1+'G.1进项增值税率-建设投资'!$E18)</f>
        <v>0</v>
      </c>
    </row>
    <row r="19" s="43" customFormat="1" ht="16.5" customHeight="1" spans="1:10">
      <c r="A19" s="44" t="s">
        <v>106</v>
      </c>
      <c r="B19" s="44" t="s">
        <v>107</v>
      </c>
      <c r="C19" s="83">
        <f>C20</f>
        <v>6</v>
      </c>
      <c r="D19" s="83">
        <f>D20</f>
        <v>2</v>
      </c>
      <c r="E19" s="83">
        <f>E20</f>
        <v>2</v>
      </c>
      <c r="F19" s="83">
        <f>F20</f>
        <v>2</v>
      </c>
      <c r="G19" s="44" t="str">
        <f>'G.1进项增值税率-建设投资'!E19</f>
        <v>/</v>
      </c>
      <c r="H19" s="84">
        <f>H20</f>
        <v>2</v>
      </c>
      <c r="I19" s="84">
        <f>I20</f>
        <v>2</v>
      </c>
      <c r="J19" s="84">
        <f>J20</f>
        <v>2</v>
      </c>
    </row>
    <row r="20" s="43" customFormat="1" ht="16.5" customHeight="1" spans="1:10">
      <c r="A20" s="8">
        <v>1</v>
      </c>
      <c r="B20" s="12" t="s">
        <v>108</v>
      </c>
      <c r="C20" s="13">
        <f>'G.1进项增值税率-建设投资'!D20</f>
        <v>6</v>
      </c>
      <c r="D20" s="32">
        <f>D.3建设投资分年计划表!E20</f>
        <v>2</v>
      </c>
      <c r="E20" s="32">
        <f>D.3建设投资分年计划表!F20</f>
        <v>2</v>
      </c>
      <c r="F20" s="32">
        <f>D.3建设投资分年计划表!G20</f>
        <v>2</v>
      </c>
      <c r="G20" s="85">
        <f>'G.1进项增值税率-建设投资'!$E$20</f>
        <v>0</v>
      </c>
      <c r="H20" s="32">
        <f>D20/(1+'G.1进项增值税率-建设投资'!$E20)</f>
        <v>2</v>
      </c>
      <c r="I20" s="32">
        <f>E20/(1+'G.1进项增值税率-建设投资'!$E20)</f>
        <v>2</v>
      </c>
      <c r="J20" s="32">
        <f>F20/(1+'G.1进项增值税率-建设投资'!$E20)</f>
        <v>2</v>
      </c>
    </row>
    <row r="21" s="43" customFormat="1" ht="16.5" customHeight="1" spans="1:10">
      <c r="A21" s="8"/>
      <c r="B21" s="8" t="s">
        <v>80</v>
      </c>
      <c r="C21" s="13">
        <f>C3+C13+C19</f>
        <v>1854</v>
      </c>
      <c r="D21" s="13">
        <f>D3+D13+D19</f>
        <v>318</v>
      </c>
      <c r="E21" s="13">
        <f>E3+E13+E19</f>
        <v>618</v>
      </c>
      <c r="F21" s="13">
        <f>F3+F13+F19</f>
        <v>918</v>
      </c>
      <c r="G21" s="13" t="s">
        <v>131</v>
      </c>
      <c r="H21" s="13">
        <f>H3+H13+H19</f>
        <v>288.84239147918</v>
      </c>
      <c r="I21" s="13">
        <f>I3+I13+I19</f>
        <v>560.824205232529</v>
      </c>
      <c r="J21" s="13">
        <f>J3+J13+J19</f>
        <v>832.806018985878</v>
      </c>
    </row>
  </sheetData>
  <mergeCells count="1">
    <mergeCell ref="A1:J1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FFFF00"/>
  </sheetPr>
  <dimension ref="A1:H12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K13" sqref="K13"/>
    </sheetView>
  </sheetViews>
  <sheetFormatPr defaultColWidth="8.89090909090909" defaultRowHeight="28.05" customHeight="1" outlineLevelCol="7"/>
  <cols>
    <col min="1" max="1" width="6" style="43" customWidth="1"/>
    <col min="2" max="2" width="12.4454545454545" style="43" customWidth="1"/>
    <col min="3" max="3" width="13.5545454545455" style="43" customWidth="1"/>
    <col min="4" max="4" width="7" style="43" customWidth="1"/>
    <col min="5" max="16384" width="8.89090909090909" style="43" customWidth="1"/>
  </cols>
  <sheetData>
    <row r="1" customHeight="1" spans="1:8">
      <c r="A1" s="36" t="s">
        <v>277</v>
      </c>
      <c r="B1" s="3"/>
      <c r="C1" s="3"/>
      <c r="D1" s="3"/>
      <c r="E1" s="3"/>
      <c r="F1" s="3"/>
      <c r="G1" s="3"/>
      <c r="H1" s="4"/>
    </row>
    <row r="2" customHeight="1" spans="1:8">
      <c r="A2" s="5" t="s">
        <v>1</v>
      </c>
      <c r="B2" s="5" t="s">
        <v>278</v>
      </c>
      <c r="C2" s="5" t="s">
        <v>279</v>
      </c>
      <c r="D2" s="31">
        <v>2025</v>
      </c>
      <c r="E2" s="31">
        <v>2026</v>
      </c>
      <c r="F2" s="31">
        <v>2027</v>
      </c>
      <c r="G2" s="31">
        <v>2028</v>
      </c>
      <c r="H2" s="31">
        <v>2029</v>
      </c>
    </row>
    <row r="3" customHeight="1" spans="1:8">
      <c r="A3" s="12">
        <v>1</v>
      </c>
      <c r="B3" s="12" t="s">
        <v>280</v>
      </c>
      <c r="C3" s="8" t="s">
        <v>281</v>
      </c>
      <c r="D3" s="13">
        <f>F.1项目单项收入信息!H3</f>
        <v>0</v>
      </c>
      <c r="E3" s="13">
        <f>F.1项目单项收入信息!I3</f>
        <v>100</v>
      </c>
      <c r="F3" s="13">
        <f>F.1项目单项收入信息!J3</f>
        <v>160</v>
      </c>
      <c r="G3" s="13">
        <f>F.1项目单项收入信息!K3</f>
        <v>200</v>
      </c>
      <c r="H3" s="13">
        <f>F.1项目单项收入信息!L3</f>
        <v>200</v>
      </c>
    </row>
    <row r="4" customHeight="1" spans="1:8">
      <c r="A4" s="16"/>
      <c r="B4" s="16"/>
      <c r="C4" s="8" t="s">
        <v>282</v>
      </c>
      <c r="D4" s="39">
        <f>D3/(1+G.3销项增值税率!$C$3)</f>
        <v>0</v>
      </c>
      <c r="E4" s="39">
        <f>E3/(1+G.3销项增值税率!$C$3)</f>
        <v>91.743119266055</v>
      </c>
      <c r="F4" s="39">
        <f>F3/(1+G.3销项增值税率!$C$3)</f>
        <v>146.788990825688</v>
      </c>
      <c r="G4" s="39">
        <f>G3/(1+G.3销项增值税率!$C$3)</f>
        <v>183.48623853211</v>
      </c>
      <c r="H4" s="39">
        <f>H3/(1+G.3销项增值税率!$C$3)</f>
        <v>183.48623853211</v>
      </c>
    </row>
    <row r="5" customHeight="1" spans="1:8">
      <c r="A5" s="12">
        <v>2</v>
      </c>
      <c r="B5" s="12" t="s">
        <v>283</v>
      </c>
      <c r="C5" s="8" t="s">
        <v>281</v>
      </c>
      <c r="D5" s="13">
        <f>F.1项目单项收入信息!H5</f>
        <v>0</v>
      </c>
      <c r="E5" s="13">
        <f>F.1项目单项收入信息!I5</f>
        <v>200</v>
      </c>
      <c r="F5" s="13">
        <f>F.1项目单项收入信息!J5</f>
        <v>320</v>
      </c>
      <c r="G5" s="13">
        <f>F.1项目单项收入信息!K5</f>
        <v>400</v>
      </c>
      <c r="H5" s="13">
        <f>F.1项目单项收入信息!L5</f>
        <v>400</v>
      </c>
    </row>
    <row r="6" customHeight="1" spans="1:8">
      <c r="A6" s="16"/>
      <c r="B6" s="16"/>
      <c r="C6" s="8" t="s">
        <v>282</v>
      </c>
      <c r="D6" s="13">
        <f>D5/(1+G.3销项增值税率!$C$4)</f>
        <v>0</v>
      </c>
      <c r="E6" s="13">
        <f>E5/(1+G.3销项增值税率!$C$4)</f>
        <v>183.48623853211</v>
      </c>
      <c r="F6" s="13">
        <f>F5/(1+G.3销项增值税率!$C$4)</f>
        <v>293.577981651376</v>
      </c>
      <c r="G6" s="13">
        <f>G5/(1+G.3销项增值税率!$C$4)</f>
        <v>366.97247706422</v>
      </c>
      <c r="H6" s="13">
        <f>H5/(1+G.3销项增值税率!$C$4)</f>
        <v>366.97247706422</v>
      </c>
    </row>
    <row r="7" customHeight="1" spans="1:8">
      <c r="A7" s="12">
        <v>3</v>
      </c>
      <c r="B7" s="12" t="s">
        <v>284</v>
      </c>
      <c r="C7" s="8" t="s">
        <v>281</v>
      </c>
      <c r="D7" s="13">
        <f>F.1项目单项收入信息!H7</f>
        <v>0</v>
      </c>
      <c r="E7" s="13">
        <f>F.1项目单项收入信息!I7</f>
        <v>25</v>
      </c>
      <c r="F7" s="13">
        <f>F.1项目单项收入信息!J7</f>
        <v>40.8</v>
      </c>
      <c r="G7" s="13">
        <f>F.1项目单项收入信息!K7</f>
        <v>52.02</v>
      </c>
      <c r="H7" s="13">
        <f>F.1项目单项收入信息!L7</f>
        <v>53.0604</v>
      </c>
    </row>
    <row r="8" customHeight="1" spans="1:8">
      <c r="A8" s="16"/>
      <c r="B8" s="16"/>
      <c r="C8" s="8" t="s">
        <v>282</v>
      </c>
      <c r="D8" s="13">
        <f>D7/(1+G.3销项增值税率!$C$5)</f>
        <v>0</v>
      </c>
      <c r="E8" s="13">
        <f>E7/(1+G.3销项增值税率!$C$5)</f>
        <v>23.5849056603774</v>
      </c>
      <c r="F8" s="13">
        <f>F7/(1+G.3销项增值税率!$C$5)</f>
        <v>38.4905660377358</v>
      </c>
      <c r="G8" s="13">
        <f>G7/(1+G.3销项增值税率!$C$5)</f>
        <v>49.0754716981132</v>
      </c>
      <c r="H8" s="13">
        <f>H7/(1+G.3销项增值税率!$C$5)</f>
        <v>50.0569811320755</v>
      </c>
    </row>
    <row r="9" customHeight="1" spans="1:8">
      <c r="A9" s="12">
        <v>4</v>
      </c>
      <c r="B9" s="12" t="s">
        <v>285</v>
      </c>
      <c r="C9" s="8"/>
      <c r="D9" s="8">
        <v>0</v>
      </c>
      <c r="E9" s="37">
        <v>0</v>
      </c>
      <c r="F9" s="37">
        <v>0</v>
      </c>
      <c r="G9" s="37">
        <v>0</v>
      </c>
      <c r="H9" s="37">
        <v>0</v>
      </c>
    </row>
    <row r="10" customHeight="1" spans="1:8">
      <c r="A10" s="12"/>
      <c r="B10" s="80" t="s">
        <v>286</v>
      </c>
      <c r="C10" s="8"/>
      <c r="D10" s="8"/>
      <c r="E10" s="37"/>
      <c r="F10" s="37"/>
      <c r="G10" s="37"/>
      <c r="H10" s="37"/>
    </row>
    <row r="11" customHeight="1" spans="1:8">
      <c r="A11" s="12">
        <v>5</v>
      </c>
      <c r="B11" s="38" t="s">
        <v>287</v>
      </c>
      <c r="C11" s="4"/>
      <c r="D11" s="37">
        <f>D3+D5+D7+D9</f>
        <v>0</v>
      </c>
      <c r="E11" s="37">
        <f>E3+E5+E7+E9</f>
        <v>325</v>
      </c>
      <c r="F11" s="37">
        <f>F3+F5+F7+F9</f>
        <v>520.8</v>
      </c>
      <c r="G11" s="37">
        <f>G3+G5+G7+G9</f>
        <v>652.02</v>
      </c>
      <c r="H11" s="37">
        <f>H3+H5+H7+H9</f>
        <v>653.0604</v>
      </c>
    </row>
    <row r="12" customHeight="1" spans="1:8">
      <c r="A12" s="12">
        <v>6</v>
      </c>
      <c r="B12" s="8" t="s">
        <v>288</v>
      </c>
      <c r="C12" s="4"/>
      <c r="D12" s="37">
        <f>D4+D6+D8+D9</f>
        <v>0</v>
      </c>
      <c r="E12" s="37">
        <f>E4+E6+E8+E9</f>
        <v>298.814263458542</v>
      </c>
      <c r="F12" s="37">
        <f>F4+F6+F8+F9</f>
        <v>478.8575385148</v>
      </c>
      <c r="G12" s="37">
        <f>G4+G6+G8+G9</f>
        <v>599.534187294443</v>
      </c>
      <c r="H12" s="37">
        <f>H4+H6+H8+H9</f>
        <v>600.515696728406</v>
      </c>
    </row>
  </sheetData>
  <mergeCells count="9">
    <mergeCell ref="A1:H1"/>
    <mergeCell ref="B11:C11"/>
    <mergeCell ref="B12:C12"/>
    <mergeCell ref="A3:A4"/>
    <mergeCell ref="A5:A6"/>
    <mergeCell ref="A7:A8"/>
    <mergeCell ref="B3:B4"/>
    <mergeCell ref="B5:B6"/>
    <mergeCell ref="B7:B8"/>
  </mergeCell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rgb="FFFFFF00"/>
  </sheetPr>
  <dimension ref="A1:M9"/>
  <sheetViews>
    <sheetView zoomScale="85" zoomScaleNormal="85" workbookViewId="0">
      <pane xSplit="7" ySplit="2" topLeftCell="H3" activePane="bottomRight" state="frozen"/>
      <selection/>
      <selection pane="topRight"/>
      <selection pane="bottomLeft"/>
      <selection pane="bottomRight" activeCell="H12" sqref="H12"/>
    </sheetView>
  </sheetViews>
  <sheetFormatPr defaultColWidth="8.89090909090909" defaultRowHeight="28.05" customHeight="1"/>
  <cols>
    <col min="1" max="1" width="6" style="1" customWidth="1"/>
    <col min="2" max="2" width="12.4454545454545" style="1" customWidth="1"/>
    <col min="3" max="3" width="6" style="1" customWidth="1"/>
    <col min="4" max="4" width="18.3363636363636" style="1" customWidth="1"/>
    <col min="5" max="5" width="21.6636363636364" style="1" customWidth="1"/>
    <col min="6" max="6" width="17.1090909090909" style="1" customWidth="1"/>
    <col min="7" max="7" width="10.2181818181818" style="1" customWidth="1"/>
    <col min="8" max="8" width="6.44545454545455" style="1" customWidth="1"/>
    <col min="9" max="9" width="8.66363636363636" style="1" customWidth="1"/>
    <col min="10" max="12" width="9.89090909090909" style="1" customWidth="1"/>
    <col min="13" max="13" width="9.55454545454545" style="1" customWidth="1"/>
  </cols>
  <sheetData>
    <row r="1" customHeight="1" spans="1:13">
      <c r="A1" s="68" t="s">
        <v>289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0" t="s">
        <v>290</v>
      </c>
    </row>
    <row r="2" customHeight="1" spans="1:12">
      <c r="A2" s="5" t="s">
        <v>1</v>
      </c>
      <c r="B2" s="5" t="s">
        <v>278</v>
      </c>
      <c r="C2" s="5" t="s">
        <v>181</v>
      </c>
      <c r="D2" s="5" t="s">
        <v>291</v>
      </c>
      <c r="E2" s="5" t="s">
        <v>292</v>
      </c>
      <c r="F2" s="5" t="s">
        <v>293</v>
      </c>
      <c r="G2" s="5" t="s">
        <v>294</v>
      </c>
      <c r="H2" s="31">
        <v>2025</v>
      </c>
      <c r="I2" s="31">
        <v>2026</v>
      </c>
      <c r="J2" s="31">
        <v>2027</v>
      </c>
      <c r="K2" s="31">
        <v>2028</v>
      </c>
      <c r="L2" s="31">
        <v>2029</v>
      </c>
    </row>
    <row r="3" customHeight="1" spans="1:13">
      <c r="A3" s="12">
        <v>1</v>
      </c>
      <c r="B3" s="12" t="s">
        <v>280</v>
      </c>
      <c r="C3" s="12">
        <v>2</v>
      </c>
      <c r="D3" s="37">
        <v>100</v>
      </c>
      <c r="E3" s="13">
        <f>D3*(1+A财务假设!$D$20)</f>
        <v>100</v>
      </c>
      <c r="F3" s="75" t="s">
        <v>295</v>
      </c>
      <c r="G3" s="14">
        <v>0</v>
      </c>
      <c r="H3" s="76"/>
      <c r="I3" s="77">
        <f>$C3*$E3*I4</f>
        <v>100</v>
      </c>
      <c r="J3" s="77">
        <f>$C3*$E3*J4</f>
        <v>160</v>
      </c>
      <c r="K3" s="77">
        <f>$C3*$E3*K4</f>
        <v>200</v>
      </c>
      <c r="L3" s="77">
        <f>$C3*$E3*L4</f>
        <v>200</v>
      </c>
      <c r="M3" s="30" t="s">
        <v>296</v>
      </c>
    </row>
    <row r="4" customHeight="1" spans="1:12">
      <c r="A4" s="16"/>
      <c r="B4" s="16"/>
      <c r="C4" s="8" t="s">
        <v>297</v>
      </c>
      <c r="D4" s="3"/>
      <c r="E4" s="3"/>
      <c r="F4" s="3"/>
      <c r="G4" s="4"/>
      <c r="H4" s="76"/>
      <c r="I4" s="78">
        <v>0.5</v>
      </c>
      <c r="J4" s="78">
        <v>0.8</v>
      </c>
      <c r="K4" s="78">
        <v>1</v>
      </c>
      <c r="L4" s="78">
        <v>1</v>
      </c>
    </row>
    <row r="5" customHeight="1" spans="1:12">
      <c r="A5" s="12">
        <v>2</v>
      </c>
      <c r="B5" s="12" t="s">
        <v>283</v>
      </c>
      <c r="C5" s="12">
        <v>2</v>
      </c>
      <c r="D5" s="37">
        <v>200</v>
      </c>
      <c r="E5" s="13">
        <f>D5*(1+A财务假设!$D$20)</f>
        <v>200</v>
      </c>
      <c r="F5" s="75" t="s">
        <v>295</v>
      </c>
      <c r="G5" s="14">
        <v>0</v>
      </c>
      <c r="H5" s="76"/>
      <c r="I5" s="77">
        <f>$C5*$E5*I6</f>
        <v>200</v>
      </c>
      <c r="J5" s="77">
        <f>$C5*$E5*J6</f>
        <v>320</v>
      </c>
      <c r="K5" s="77">
        <f>$C5*$E5*K6</f>
        <v>400</v>
      </c>
      <c r="L5" s="77">
        <f>$C5*$E5*L6</f>
        <v>400</v>
      </c>
    </row>
    <row r="6" customHeight="1" spans="1:12">
      <c r="A6" s="16"/>
      <c r="B6" s="16"/>
      <c r="C6" s="8" t="s">
        <v>297</v>
      </c>
      <c r="D6" s="3"/>
      <c r="E6" s="3"/>
      <c r="F6" s="3"/>
      <c r="G6" s="4"/>
      <c r="H6" s="76"/>
      <c r="I6" s="78">
        <v>0.5</v>
      </c>
      <c r="J6" s="78">
        <v>0.8</v>
      </c>
      <c r="K6" s="78">
        <v>1</v>
      </c>
      <c r="L6" s="78">
        <v>1</v>
      </c>
    </row>
    <row r="7" customHeight="1" spans="1:13">
      <c r="A7" s="12">
        <v>3</v>
      </c>
      <c r="B7" s="12" t="s">
        <v>284</v>
      </c>
      <c r="C7" s="12">
        <v>1</v>
      </c>
      <c r="D7" s="37">
        <v>50</v>
      </c>
      <c r="E7" s="13">
        <f>D7*(1+A财务假设!$D$20)</f>
        <v>50</v>
      </c>
      <c r="F7" s="75" t="s">
        <v>298</v>
      </c>
      <c r="G7" s="63">
        <v>0.02</v>
      </c>
      <c r="H7" s="76"/>
      <c r="I7" s="79">
        <f>I8*$C7*$E7*POWER(1+$G7,I$2-$I$2)</f>
        <v>25</v>
      </c>
      <c r="J7" s="79">
        <f>J8*$C7*$E7*POWER(1+$G7,J$2-$I$2)</f>
        <v>40.8</v>
      </c>
      <c r="K7" s="79">
        <f>K8*$C7*$E7*POWER(1+$G7,K$2-$I$2)</f>
        <v>52.02</v>
      </c>
      <c r="L7" s="79">
        <f>L8*$C7*$E7*POWER(1+$G7,L$2-$I$2)</f>
        <v>53.0604</v>
      </c>
      <c r="M7" s="30" t="s">
        <v>299</v>
      </c>
    </row>
    <row r="8" customHeight="1" spans="1:12">
      <c r="A8" s="16"/>
      <c r="B8" s="16"/>
      <c r="C8" s="8" t="s">
        <v>297</v>
      </c>
      <c r="D8" s="3"/>
      <c r="E8" s="3"/>
      <c r="F8" s="3"/>
      <c r="G8" s="4"/>
      <c r="H8" s="76"/>
      <c r="I8" s="78">
        <v>0.5</v>
      </c>
      <c r="J8" s="78">
        <v>0.8</v>
      </c>
      <c r="K8" s="78">
        <v>1</v>
      </c>
      <c r="L8" s="78">
        <v>1</v>
      </c>
    </row>
    <row r="9" customHeight="1" spans="1:12">
      <c r="A9" s="8" t="s">
        <v>300</v>
      </c>
      <c r="B9" s="8"/>
      <c r="C9" s="8"/>
      <c r="D9" s="8"/>
      <c r="E9" s="8"/>
      <c r="F9" s="8"/>
      <c r="G9" s="8"/>
      <c r="H9" s="8"/>
      <c r="I9" s="38"/>
      <c r="J9" s="38"/>
      <c r="K9" s="8"/>
      <c r="L9" s="38"/>
    </row>
  </sheetData>
  <mergeCells count="10">
    <mergeCell ref="A1:L1"/>
    <mergeCell ref="C4:G4"/>
    <mergeCell ref="C6:G6"/>
    <mergeCell ref="C8:G8"/>
    <mergeCell ref="A3:A4"/>
    <mergeCell ref="A5:A6"/>
    <mergeCell ref="A7:A8"/>
    <mergeCell ref="B3:B4"/>
    <mergeCell ref="B5:B6"/>
    <mergeCell ref="B7:B8"/>
  </mergeCells>
  <dataValidations count="2">
    <dataValidation type="list" allowBlank="1" showInputMessage="1" showErrorMessage="1" sqref="F3">
      <formula1>"不增长,每2年增长,每3年增长,每5年增长,自定义增长"</formula1>
    </dataValidation>
    <dataValidation type="list" allowBlank="1" showInputMessage="1" showErrorMessage="1" sqref="F5 F7">
      <formula1>"不增长,每年增长,每2年增长,每3年增长,每5年增长,自定义增长"</formula1>
    </dataValidation>
  </dataValidations>
  <pageMargins left="0.75" right="0.75" top="1" bottom="1" header="0.5" footer="0.5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tabColor rgb="FFFFFF00"/>
  </sheetPr>
  <dimension ref="A1:I31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K13" sqref="K13"/>
    </sheetView>
  </sheetViews>
  <sheetFormatPr defaultColWidth="8.89090909090909" defaultRowHeight="14"/>
  <cols>
    <col min="1" max="1" width="13.1090909090909" style="1" customWidth="1"/>
    <col min="2" max="2" width="33.2181818181818" style="1" customWidth="1"/>
    <col min="3" max="3" width="25.7818181818182" style="1" customWidth="1"/>
    <col min="4" max="4" width="14.7818181818182" style="1" customWidth="1"/>
    <col min="5" max="5" width="13.8909090909091" style="1" customWidth="1"/>
    <col min="6" max="6" width="14.7818181818182" style="1" customWidth="1"/>
    <col min="7" max="7" width="17.1090909090909" style="1" customWidth="1"/>
    <col min="8" max="8" width="14.7818181818182" style="1" customWidth="1"/>
  </cols>
  <sheetData>
    <row r="1" ht="20" customHeight="1" spans="1:9">
      <c r="A1" s="68" t="s">
        <v>301</v>
      </c>
      <c r="B1" s="3"/>
      <c r="C1" s="3"/>
      <c r="D1" s="3"/>
      <c r="E1" s="3"/>
      <c r="F1" s="3"/>
      <c r="G1" s="3"/>
      <c r="H1" s="3"/>
      <c r="I1" s="30" t="s">
        <v>302</v>
      </c>
    </row>
    <row r="2" ht="16.5" customHeight="1" spans="1:8">
      <c r="A2" s="5" t="s">
        <v>1</v>
      </c>
      <c r="B2" s="5" t="s">
        <v>111</v>
      </c>
      <c r="C2" s="5" t="s">
        <v>303</v>
      </c>
      <c r="D2" s="31" t="s">
        <v>304</v>
      </c>
      <c r="E2" s="31" t="s">
        <v>305</v>
      </c>
      <c r="F2" s="31" t="s">
        <v>306</v>
      </c>
      <c r="G2" s="31" t="s">
        <v>307</v>
      </c>
      <c r="H2" s="31" t="s">
        <v>308</v>
      </c>
    </row>
    <row r="3" ht="33" customHeight="1" spans="1:9">
      <c r="A3" s="8"/>
      <c r="B3" s="8"/>
      <c r="C3" s="34" t="s">
        <v>309</v>
      </c>
      <c r="D3" s="60">
        <f>'G.1进项增值税率-建设投资'!F21</f>
        <v>189.72</v>
      </c>
      <c r="E3" s="69">
        <f>IF(D29=0,ABS(D25-D4-D3),0)</f>
        <v>189.72</v>
      </c>
      <c r="F3" s="69">
        <f>IF(E29=0,ABS(E25-E4-E3),0)</f>
        <v>171.70846662306</v>
      </c>
      <c r="G3" s="69">
        <f>IF(F29=0,ABS(F25-F4-F3),0)</f>
        <v>137.940208302377</v>
      </c>
      <c r="H3" s="38">
        <f>IF(G29=0,ABS(G25-G4-G3),0)</f>
        <v>94.7963420705544</v>
      </c>
      <c r="I3" s="30" t="s">
        <v>310</v>
      </c>
    </row>
    <row r="4" ht="16.5" customHeight="1" spans="1:8">
      <c r="A4" s="8">
        <v>1</v>
      </c>
      <c r="B4" s="8" t="s">
        <v>311</v>
      </c>
      <c r="C4" s="8"/>
      <c r="D4" s="13">
        <f>SUM(D5:D24)</f>
        <v>0</v>
      </c>
      <c r="E4" s="13">
        <f>SUM(E5:E24)</f>
        <v>8.17420316451721</v>
      </c>
      <c r="F4" s="13">
        <f>SUM(F5:F24)</f>
        <v>8.17420316451721</v>
      </c>
      <c r="G4" s="13">
        <f>SUM(G5:G24)</f>
        <v>9.34194647373396</v>
      </c>
      <c r="H4" s="13">
        <f>SUM(H5:H24)</f>
        <v>10.5096897829507</v>
      </c>
    </row>
    <row r="5" ht="16.5" customHeight="1" spans="1:8">
      <c r="A5" s="8"/>
      <c r="B5" s="70" t="s">
        <v>186</v>
      </c>
      <c r="C5" s="8"/>
      <c r="D5" s="71">
        <f>E.1项目运营期费用!H4*'G.2进项增值税率-运营成本'!$C3/(1+'G.2进项增值税率-运营成本'!$C3)</f>
        <v>0</v>
      </c>
      <c r="E5" s="72">
        <f>E.1项目运营期费用!I4*'G.2进项增值税率-运营成本'!$C3/(1+'G.2进项增值税率-运营成本'!$C3)</f>
        <v>0.115596330275229</v>
      </c>
      <c r="F5" s="72">
        <f>E.1项目运营期费用!J4*'G.2进项增值税率-运营成本'!$C3/(1+'G.2进项增值税率-运营成本'!$C3)</f>
        <v>0.115596330275229</v>
      </c>
      <c r="G5" s="72">
        <f>E.1项目运营期费用!K4*'G.2进项增值税率-运营成本'!$C3/(1+'G.2进项增值税率-运营成本'!$C3)</f>
        <v>0.132110091743119</v>
      </c>
      <c r="H5" s="72">
        <f>E.1项目运营期费用!L4*'G.2进项增值税率-运营成本'!$C3/(1+'G.2进项增值税率-运营成本'!$C3)</f>
        <v>0.148623853211009</v>
      </c>
    </row>
    <row r="6" ht="29" customHeight="1" spans="1:8">
      <c r="A6" s="8"/>
      <c r="B6" s="73" t="s">
        <v>188</v>
      </c>
      <c r="C6" s="8"/>
      <c r="D6" s="71">
        <f>E.1项目运营期费用!H5*'G.2进项增值税率-运营成本'!$C4/(1+'G.2进项增值税率-运营成本'!$C4)</f>
        <v>0</v>
      </c>
      <c r="E6" s="72">
        <f>E.1项目运营期费用!I5*'G.2进项增值税率-运营成本'!$C4/(1+'G.2进项增值税率-运营成本'!$C4)</f>
        <v>0.158490566037736</v>
      </c>
      <c r="F6" s="72">
        <f>E.1项目运营期费用!J5*'G.2进项增值税率-运营成本'!$C4/(1+'G.2进项增值税率-运营成本'!$C4)</f>
        <v>0.158490566037736</v>
      </c>
      <c r="G6" s="72">
        <f>E.1项目运营期费用!K5*'G.2进项增值税率-运营成本'!$C4/(1+'G.2进项增值税率-运营成本'!$C4)</f>
        <v>0.181132075471698</v>
      </c>
      <c r="H6" s="72">
        <f>E.1项目运营期费用!L5*'G.2进项增值税率-运营成本'!$C4/(1+'G.2进项增值税率-运营成本'!$C4)</f>
        <v>0.20377358490566</v>
      </c>
    </row>
    <row r="7" ht="16.5" customHeight="1" spans="1:8">
      <c r="A7" s="8"/>
      <c r="B7" s="70" t="s">
        <v>190</v>
      </c>
      <c r="C7" s="8"/>
      <c r="D7" s="71">
        <f>E.1项目运营期费用!H6*'G.2进项增值税率-运营成本'!$C5/(1+'G.2进项增值税率-运营成本'!$C5)</f>
        <v>0</v>
      </c>
      <c r="E7" s="72">
        <f>E.1项目运营期费用!I6*'G.2进项增值税率-运营成本'!$C5/(1+'G.2进项增值税率-运营成本'!$C5)</f>
        <v>0.237735849056604</v>
      </c>
      <c r="F7" s="72">
        <f>E.1项目运营期费用!J6*'G.2进项增值税率-运营成本'!$C5/(1+'G.2进项增值税率-运营成本'!$C5)</f>
        <v>0.237735849056604</v>
      </c>
      <c r="G7" s="72">
        <f>E.1项目运营期费用!K6*'G.2进项增值税率-运营成本'!$C5/(1+'G.2进项增值税率-运营成本'!$C5)</f>
        <v>0.271698113207547</v>
      </c>
      <c r="H7" s="72">
        <f>E.1项目运营期费用!L6*'G.2进项增值税率-运营成本'!$C5/(1+'G.2进项增值税率-运营成本'!$C5)</f>
        <v>0.305660377358491</v>
      </c>
    </row>
    <row r="8" ht="16.5" customHeight="1" spans="1:8">
      <c r="A8" s="8"/>
      <c r="B8" s="70" t="s">
        <v>192</v>
      </c>
      <c r="C8" s="8"/>
      <c r="D8" s="71">
        <f>E.1项目运营期费用!H7*'G.2进项增值税率-运营成本'!$C6/(1+'G.2进项增值税率-运营成本'!$C6)</f>
        <v>0</v>
      </c>
      <c r="E8" s="72">
        <f>E.1项目运营期费用!I7*'G.2进项增值税率-运营成本'!$C6/(1+'G.2进项增值税率-运营成本'!$C6)</f>
        <v>0.316981132075472</v>
      </c>
      <c r="F8" s="72">
        <f>E.1项目运营期费用!J7*'G.2进项增值税率-运营成本'!$C6/(1+'G.2进项增值税率-运营成本'!$C6)</f>
        <v>0.316981132075472</v>
      </c>
      <c r="G8" s="72">
        <f>E.1项目运营期费用!K7*'G.2进项增值税率-运营成本'!$C6/(1+'G.2进项增值税率-运营成本'!$C6)</f>
        <v>0.362264150943396</v>
      </c>
      <c r="H8" s="72">
        <f>E.1项目运营期费用!L7*'G.2进项增值税率-运营成本'!$C6/(1+'G.2进项增值税率-运营成本'!$C6)</f>
        <v>0.407547169811321</v>
      </c>
    </row>
    <row r="9" ht="16.5" customHeight="1" spans="1:8">
      <c r="A9" s="8"/>
      <c r="B9" s="70" t="s">
        <v>195</v>
      </c>
      <c r="C9" s="8"/>
      <c r="D9" s="71">
        <f>E.1项目运营期费用!H8*'G.2进项增值税率-运营成本'!$C7/(1+'G.2进项增值税率-运营成本'!$C7)</f>
        <v>0</v>
      </c>
      <c r="E9" s="72">
        <f>E.1项目运营期费用!I8*'G.2进项增值税率-运营成本'!$C7/(1+'G.2进项增值税率-运营成本'!$C7)</f>
        <v>0.805309734513274</v>
      </c>
      <c r="F9" s="72">
        <f>E.1项目运营期费用!J8*'G.2进项增值税率-运营成本'!$C7/(1+'G.2进项增值税率-运营成本'!$C7)</f>
        <v>0.805309734513274</v>
      </c>
      <c r="G9" s="72">
        <f>E.1项目运营期费用!K8*'G.2进项增值税率-运营成本'!$C7/(1+'G.2进项增值税率-运营成本'!$C7)</f>
        <v>0.920353982300885</v>
      </c>
      <c r="H9" s="72">
        <f>E.1项目运营期费用!L8*'G.2进项增值税率-运营成本'!$C7/(1+'G.2进项增值税率-运营成本'!$C7)</f>
        <v>1.0353982300885</v>
      </c>
    </row>
    <row r="10" ht="16.5" customHeight="1" spans="1:8">
      <c r="A10" s="8"/>
      <c r="B10" s="70" t="s">
        <v>197</v>
      </c>
      <c r="C10" s="8"/>
      <c r="D10" s="71">
        <f>E.1项目运营期费用!H9*'G.2进项增值税率-运营成本'!$C8/(1+'G.2进项增值税率-运营成本'!$C8)</f>
        <v>0</v>
      </c>
      <c r="E10" s="72">
        <f>E.1项目运营期费用!I9*'G.2进项增值税率-运营成本'!$C8/(1+'G.2进项增值税率-运营成本'!$C8)</f>
        <v>0.966371681415929</v>
      </c>
      <c r="F10" s="72">
        <f>E.1项目运营期费用!J9*'G.2进项增值税率-运营成本'!$C8/(1+'G.2进项增值税率-运营成本'!$C8)</f>
        <v>0.966371681415929</v>
      </c>
      <c r="G10" s="72">
        <f>E.1项目运营期费用!K9*'G.2进项增值税率-运营成本'!$C8/(1+'G.2进项增值税率-运营成本'!$C8)</f>
        <v>1.10442477876106</v>
      </c>
      <c r="H10" s="72">
        <f>E.1项目运营期费用!L9*'G.2进项增值税率-运营成本'!$C8/(1+'G.2进项增值税率-运营成本'!$C8)</f>
        <v>1.24247787610619</v>
      </c>
    </row>
    <row r="11" ht="16.5" customHeight="1" spans="1:8">
      <c r="A11" s="8"/>
      <c r="B11" s="70" t="s">
        <v>199</v>
      </c>
      <c r="C11" s="8"/>
      <c r="D11" s="71">
        <f>E.1项目运营期费用!H10*'G.2进项增值税率-运营成本'!$C9/(1+'G.2进项增值税率-运营成本'!$C9)</f>
        <v>0</v>
      </c>
      <c r="E11" s="72">
        <f>E.1项目运营期费用!I10*'G.2进项增值税率-运营成本'!$C9/(1+'G.2进项增值税率-运营成本'!$C9)</f>
        <v>0.809174311926605</v>
      </c>
      <c r="F11" s="72">
        <f>E.1项目运营期费用!J10*'G.2进项增值税率-运营成本'!$C9/(1+'G.2进项增值税率-运营成本'!$C9)</f>
        <v>0.809174311926605</v>
      </c>
      <c r="G11" s="72">
        <f>E.1项目运营期费用!K10*'G.2进项增值税率-运营成本'!$C9/(1+'G.2进项增值税率-运营成本'!$C9)</f>
        <v>0.924770642201835</v>
      </c>
      <c r="H11" s="72">
        <f>E.1项目运营期费用!L10*'G.2进项增值税率-运营成本'!$C9/(1+'G.2进项增值税率-运营成本'!$C9)</f>
        <v>1.04036697247706</v>
      </c>
    </row>
    <row r="12" ht="16.5" customHeight="1" spans="1:8">
      <c r="A12" s="8"/>
      <c r="B12" s="70" t="s">
        <v>202</v>
      </c>
      <c r="C12" s="8"/>
      <c r="D12" s="71">
        <f>E.1项目运营期费用!H11*'G.2进项增值税率-运营成本'!$C10/(1+'G.2进项增值税率-运营成本'!$C10)</f>
        <v>0</v>
      </c>
      <c r="E12" s="72">
        <f>E.1项目运营期费用!I11*'G.2进项增值税率-运营成本'!$C10/(1+'G.2进项增值税率-运营成本'!$C10)</f>
        <v>0.924770642201835</v>
      </c>
      <c r="F12" s="72">
        <f>E.1项目运营期费用!J11*'G.2进项增值税率-运营成本'!$C10/(1+'G.2进项增值税率-运营成本'!$C10)</f>
        <v>0.924770642201835</v>
      </c>
      <c r="G12" s="72">
        <f>E.1项目运营期费用!K11*'G.2进项增值税率-运营成本'!$C10/(1+'G.2进项增值税率-运营成本'!$C10)</f>
        <v>1.05688073394495</v>
      </c>
      <c r="H12" s="72">
        <f>E.1项目运营期费用!L11*'G.2进项增值税率-运营成本'!$C10/(1+'G.2进项增值税率-运营成本'!$C10)</f>
        <v>1.18899082568807</v>
      </c>
    </row>
    <row r="13" ht="16.5" customHeight="1" spans="1:8">
      <c r="A13" s="8"/>
      <c r="B13" s="70" t="s">
        <v>205</v>
      </c>
      <c r="C13" s="8"/>
      <c r="D13" s="71">
        <f>E.1项目运营期费用!H12*'G.2进项增值税率-运营成本'!$C11/(1+'G.2进项增值税率-运营成本'!$C11)</f>
        <v>0</v>
      </c>
      <c r="E13" s="72">
        <f>E.1项目运营期费用!I12*'G.2进项增值税率-运营成本'!$C11/(1+'G.2进项增值税率-运营成本'!$C11)</f>
        <v>1.44955752212389</v>
      </c>
      <c r="F13" s="72">
        <f>E.1项目运营期费用!J12*'G.2进项增值税率-运营成本'!$C11/(1+'G.2进项增值税率-运营成本'!$C11)</f>
        <v>1.44955752212389</v>
      </c>
      <c r="G13" s="72">
        <f>E.1项目运营期费用!K12*'G.2进项增值税率-运营成本'!$C11/(1+'G.2进项增值税率-运营成本'!$C11)</f>
        <v>1.65663716814159</v>
      </c>
      <c r="H13" s="72">
        <f>E.1项目运营期费用!L12*'G.2进项增值税率-运营成本'!$C11/(1+'G.2进项增值税率-运营成本'!$C11)</f>
        <v>1.86371681415929</v>
      </c>
    </row>
    <row r="14" ht="16.5" customHeight="1" spans="1:8">
      <c r="A14" s="8"/>
      <c r="B14" s="70" t="s">
        <v>207</v>
      </c>
      <c r="C14" s="8"/>
      <c r="D14" s="71">
        <f>E.1项目运营期费用!H13*'G.2进项增值税率-运营成本'!$C12/(1+'G.2进项增值税率-运营成本'!$C12)</f>
        <v>0</v>
      </c>
      <c r="E14" s="72">
        <f>E.1项目运营期费用!I13*'G.2进项增值税率-运营成本'!$C12/(1+'G.2进项增值税率-运营成本'!$C12)</f>
        <v>0.161061946902655</v>
      </c>
      <c r="F14" s="72">
        <f>E.1项目运营期费用!J13*'G.2进项增值税率-运营成本'!$C12/(1+'G.2进项增值税率-运营成本'!$C12)</f>
        <v>0.161061946902655</v>
      </c>
      <c r="G14" s="72">
        <f>E.1项目运营期费用!K13*'G.2进项增值税率-运营成本'!$C12/(1+'G.2进项增值税率-运营成本'!$C12)</f>
        <v>0.184070796460177</v>
      </c>
      <c r="H14" s="72">
        <f>E.1项目运营期费用!L13*'G.2进项增值税率-运营成本'!$C12/(1+'G.2进项增值税率-运营成本'!$C12)</f>
        <v>0.207079646017699</v>
      </c>
    </row>
    <row r="15" ht="16.5" customHeight="1" spans="1:8">
      <c r="A15" s="8"/>
      <c r="B15" s="70" t="s">
        <v>210</v>
      </c>
      <c r="C15" s="8"/>
      <c r="D15" s="71">
        <f>E.1项目运营期费用!H14*'G.2进项增值税率-运营成本'!$C13/(1+'G.2进项增值税率-运营成本'!$C13)</f>
        <v>0</v>
      </c>
      <c r="E15" s="72">
        <f>E.1项目运营期费用!I14*'G.2进项增值税率-运营成本'!$C13/(1+'G.2进项增值税率-运营成本'!$C13)</f>
        <v>0.158490566037736</v>
      </c>
      <c r="F15" s="72">
        <f>E.1项目运营期费用!J14*'G.2进项增值税率-运营成本'!$C13/(1+'G.2进项增值税率-运营成本'!$C13)</f>
        <v>0.158490566037736</v>
      </c>
      <c r="G15" s="72">
        <f>E.1项目运营期费用!K14*'G.2进项增值税率-运营成本'!$C13/(1+'G.2进项增值税率-运营成本'!$C13)</f>
        <v>0.181132075471698</v>
      </c>
      <c r="H15" s="72">
        <f>E.1项目运营期费用!L14*'G.2进项增值税率-运营成本'!$C13/(1+'G.2进项增值税率-运营成本'!$C13)</f>
        <v>0.20377358490566</v>
      </c>
    </row>
    <row r="16" ht="16.5" customHeight="1" spans="1:8">
      <c r="A16" s="8"/>
      <c r="B16" s="70" t="s">
        <v>213</v>
      </c>
      <c r="C16" s="8"/>
      <c r="D16" s="71">
        <f>E.1项目运营期费用!H15*'G.2进项增值税率-运营成本'!$C14/(1+'G.2进项增值税率-运营成本'!$C14)</f>
        <v>0</v>
      </c>
      <c r="E16" s="72">
        <f>E.1项目运营期费用!I15*'G.2进项增值税率-运营成本'!$C14/(1+'G.2进项增值税率-运营成本'!$C14)</f>
        <v>0.158490566037736</v>
      </c>
      <c r="F16" s="72">
        <f>E.1项目运营期费用!J15*'G.2进项增值税率-运营成本'!$C14/(1+'G.2进项增值税率-运营成本'!$C14)</f>
        <v>0.158490566037736</v>
      </c>
      <c r="G16" s="72">
        <f>E.1项目运营期费用!K15*'G.2进项增值税率-运营成本'!$C14/(1+'G.2进项增值税率-运营成本'!$C14)</f>
        <v>0.181132075471698</v>
      </c>
      <c r="H16" s="72">
        <f>E.1项目运营期费用!L15*'G.2进项增值税率-运营成本'!$C14/(1+'G.2进项增值税率-运营成本'!$C14)</f>
        <v>0.20377358490566</v>
      </c>
    </row>
    <row r="17" ht="16.5" customHeight="1" spans="1:8">
      <c r="A17" s="8"/>
      <c r="B17" s="70" t="s">
        <v>216</v>
      </c>
      <c r="C17" s="8"/>
      <c r="D17" s="71">
        <f>E.1项目运营期费用!H16*'G.2进项增值税率-运营成本'!$C15/(1+'G.2进项增值税率-运营成本'!$C15)</f>
        <v>0</v>
      </c>
      <c r="E17" s="72">
        <f>E.1项目运营期费用!I16*'G.2进项增值税率-运营成本'!$C15/(1+'G.2进项增值税率-运营成本'!$C15)</f>
        <v>0</v>
      </c>
      <c r="F17" s="72">
        <f>E.1项目运营期费用!J16*'G.2进项增值税率-运营成本'!$C15/(1+'G.2进项增值税率-运营成本'!$C15)</f>
        <v>0</v>
      </c>
      <c r="G17" s="72">
        <f>E.1项目运营期费用!K16*'G.2进项增值税率-运营成本'!$C15/(1+'G.2进项增值税率-运营成本'!$C15)</f>
        <v>0</v>
      </c>
      <c r="H17" s="72">
        <f>E.1项目运营期费用!L16*'G.2进项增值税率-运营成本'!$C15/(1+'G.2进项增值税率-运营成本'!$C15)</f>
        <v>0</v>
      </c>
    </row>
    <row r="18" ht="16.5" customHeight="1" spans="1:8">
      <c r="A18" s="8"/>
      <c r="B18" s="70" t="s">
        <v>218</v>
      </c>
      <c r="C18" s="8"/>
      <c r="D18" s="71">
        <f>E.1项目运营期费用!H17*'G.2进项增值税率-运营成本'!$C16/(1+'G.2进项增值税率-运营成本'!$C16)</f>
        <v>0</v>
      </c>
      <c r="E18" s="72">
        <f>E.1项目运营期费用!I17*'G.2进项增值税率-运营成本'!$C16/(1+'G.2进项增值税率-运营成本'!$C16)</f>
        <v>0.237735849056604</v>
      </c>
      <c r="F18" s="72">
        <f>E.1项目运营期费用!J17*'G.2进项增值税率-运营成本'!$C16/(1+'G.2进项增值税率-运营成本'!$C16)</f>
        <v>0.237735849056604</v>
      </c>
      <c r="G18" s="72">
        <f>E.1项目运营期费用!K17*'G.2进项增值税率-运营成本'!$C16/(1+'G.2进项增值税率-运营成本'!$C16)</f>
        <v>0.271698113207547</v>
      </c>
      <c r="H18" s="72">
        <f>E.1项目运营期费用!L17*'G.2进项增值税率-运营成本'!$C16/(1+'G.2进项增值税率-运营成本'!$C16)</f>
        <v>0.305660377358491</v>
      </c>
    </row>
    <row r="19" ht="16.5" customHeight="1" spans="1:8">
      <c r="A19" s="8"/>
      <c r="B19" s="70" t="s">
        <v>220</v>
      </c>
      <c r="C19" s="8"/>
      <c r="D19" s="71">
        <f>E.1项目运营期费用!H18*'G.2进项增值税率-运营成本'!$C17/(1+'G.2进项增值税率-运营成本'!$C17)</f>
        <v>0</v>
      </c>
      <c r="E19" s="72">
        <f>E.1项目运营期费用!I18*'G.2进项增值税率-运营成本'!$C17/(1+'G.2进项增值税率-运营成本'!$C17)</f>
        <v>0.64424778761062</v>
      </c>
      <c r="F19" s="72">
        <f>E.1项目运营期费用!J18*'G.2进项增值税率-运营成本'!$C17/(1+'G.2进项增值税率-运营成本'!$C17)</f>
        <v>0.64424778761062</v>
      </c>
      <c r="G19" s="72">
        <f>E.1项目运营期费用!K18*'G.2进项增值税率-运营成本'!$C17/(1+'G.2进项增值税率-运营成本'!$C17)</f>
        <v>0.736283185840708</v>
      </c>
      <c r="H19" s="72">
        <f>E.1项目运营期费用!L18*'G.2进项增值税率-运营成本'!$C17/(1+'G.2进项增值税率-运营成本'!$C17)</f>
        <v>0.828318584070797</v>
      </c>
    </row>
    <row r="20" ht="16.5" customHeight="1" spans="1:8">
      <c r="A20" s="8"/>
      <c r="B20" s="70" t="s">
        <v>223</v>
      </c>
      <c r="C20" s="8"/>
      <c r="D20" s="71">
        <f>E.1项目运营期费用!H19*'G.2进项增值税率-运营成本'!$C18/(1+'G.2进项增值税率-运营成本'!$C18)</f>
        <v>0</v>
      </c>
      <c r="E20" s="72">
        <f>E.1项目运营期费用!I19*'G.2进项增值税率-运营成本'!$C18/(1+'G.2进项增值税率-运营成本'!$C18)</f>
        <v>0</v>
      </c>
      <c r="F20" s="72">
        <f>E.1项目运营期费用!J19*'G.2进项增值税率-运营成本'!$C18/(1+'G.2进项增值税率-运营成本'!$C18)</f>
        <v>0</v>
      </c>
      <c r="G20" s="72">
        <f>E.1项目运营期费用!K19*'G.2进项增值税率-运营成本'!$C18/(1+'G.2进项增值税率-运营成本'!$C18)</f>
        <v>0</v>
      </c>
      <c r="H20" s="72">
        <f>E.1项目运营期费用!L19*'G.2进项增值税率-运营成本'!$C18/(1+'G.2进项增值税率-运营成本'!$C18)</f>
        <v>0</v>
      </c>
    </row>
    <row r="21" ht="16.5" customHeight="1" spans="1:8">
      <c r="A21" s="8"/>
      <c r="B21" s="70" t="s">
        <v>225</v>
      </c>
      <c r="C21" s="8"/>
      <c r="D21" s="71">
        <f>E.1项目运营期费用!H20*'G.2进项增值税率-运营成本'!$C19/(1+'G.2进项增值税率-运营成本'!$C19)</f>
        <v>0</v>
      </c>
      <c r="E21" s="72">
        <f>E.1项目运营期费用!I20*'G.2进项增值税率-运营成本'!$C19/(1+'G.2进项增值税率-运营成本'!$C19)</f>
        <v>0.316981132075472</v>
      </c>
      <c r="F21" s="72">
        <f>E.1项目运营期费用!J20*'G.2进项增值税率-运营成本'!$C19/(1+'G.2进项增值税率-运营成本'!$C19)</f>
        <v>0.316981132075472</v>
      </c>
      <c r="G21" s="72">
        <f>E.1项目运营期费用!K20*'G.2进项增值税率-运营成本'!$C19/(1+'G.2进项增值税率-运营成本'!$C19)</f>
        <v>0.362264150943396</v>
      </c>
      <c r="H21" s="72">
        <f>E.1项目运营期费用!L20*'G.2进项增值税率-运营成本'!$C19/(1+'G.2进项增值税率-运营成本'!$C19)</f>
        <v>0.407547169811321</v>
      </c>
    </row>
    <row r="22" ht="16.5" customHeight="1" spans="1:8">
      <c r="A22" s="8"/>
      <c r="B22" s="70" t="s">
        <v>227</v>
      </c>
      <c r="C22" s="8"/>
      <c r="D22" s="71">
        <f>E.1项目运营期费用!H21*'G.2进项增值税率-运营成本'!$C20/(1+'G.2进项增值税率-运营成本'!$C20)</f>
        <v>0</v>
      </c>
      <c r="E22" s="72">
        <f>E.1项目运营期费用!I21*'G.2进项增值税率-运营成本'!$C20/(1+'G.2进项增值税率-运营成本'!$C20)</f>
        <v>0.633962264150943</v>
      </c>
      <c r="F22" s="72">
        <f>E.1项目运营期费用!J21*'G.2进项增值税率-运营成本'!$C20/(1+'G.2进项增值税率-运营成本'!$C20)</f>
        <v>0.633962264150943</v>
      </c>
      <c r="G22" s="72">
        <f>E.1项目运营期费用!K21*'G.2进项增值税率-运营成本'!$C20/(1+'G.2进项增值税率-运营成本'!$C20)</f>
        <v>0.724528301886792</v>
      </c>
      <c r="H22" s="72">
        <f>E.1项目运营期费用!L21*'G.2进项增值税率-运营成本'!$C20/(1+'G.2进项增值税率-运营成本'!$C20)</f>
        <v>0.815094339622641</v>
      </c>
    </row>
    <row r="23" ht="16.5" customHeight="1" spans="1:8">
      <c r="A23" s="8"/>
      <c r="B23" s="70" t="s">
        <v>230</v>
      </c>
      <c r="C23" s="8"/>
      <c r="D23" s="71">
        <f>E.1项目运营期费用!H22*'G.2进项增值税率-运营成本'!$C21/(1+'G.2进项增值税率-运营成本'!$C21)</f>
        <v>0</v>
      </c>
      <c r="E23" s="72">
        <f>E.1项目运营期费用!I22*'G.2进项增值税率-运营成本'!$C21/(1+'G.2进项增值税率-运营成本'!$C21)</f>
        <v>0.0792452830188679</v>
      </c>
      <c r="F23" s="72">
        <f>E.1项目运营期费用!J22*'G.2进项增值税率-运营成本'!$C21/(1+'G.2进项增值税率-运营成本'!$C21)</f>
        <v>0.0792452830188679</v>
      </c>
      <c r="G23" s="72">
        <f>E.1项目运营期费用!K22*'G.2进项增值税率-运营成本'!$C21/(1+'G.2进项增值税率-运营成本'!$C21)</f>
        <v>0.0905660377358491</v>
      </c>
      <c r="H23" s="72">
        <f>E.1项目运营期费用!L22*'G.2进项增值税率-运营成本'!$C21/(1+'G.2进项增值税率-运营成本'!$C21)</f>
        <v>0.10188679245283</v>
      </c>
    </row>
    <row r="24" ht="16.5" customHeight="1" spans="1:8">
      <c r="A24" s="8"/>
      <c r="B24" s="70" t="s">
        <v>232</v>
      </c>
      <c r="C24" s="8"/>
      <c r="D24" s="71">
        <f>E.1项目运营期费用!H23*'G.2进项增值税率-运营成本'!$C22/(1+'G.2进项增值税率-运营成本'!$C22)</f>
        <v>0</v>
      </c>
      <c r="E24" s="72">
        <f>E.1项目运营期费用!I23*'G.2进项增值税率-运营成本'!$C22/(1+'G.2进项增值税率-运营成本'!$C22)</f>
        <v>0</v>
      </c>
      <c r="F24" s="72">
        <f>E.1项目运营期费用!J23*'G.2进项增值税率-运营成本'!$C22/(1+'G.2进项增值税率-运营成本'!$C22)</f>
        <v>0</v>
      </c>
      <c r="G24" s="72">
        <f>E.1项目运营期费用!K23*'G.2进项增值税率-运营成本'!$C22/(1+'G.2进项增值税率-运营成本'!$C22)</f>
        <v>0</v>
      </c>
      <c r="H24" s="72">
        <f>E.1项目运营期费用!L23*'G.2进项增值税率-运营成本'!$C22/(1+'G.2进项增值税率-运营成本'!$C22)</f>
        <v>0</v>
      </c>
    </row>
    <row r="25" ht="16.5" customHeight="1" spans="1:8">
      <c r="A25" s="8">
        <v>2</v>
      </c>
      <c r="B25" s="8" t="s">
        <v>312</v>
      </c>
      <c r="C25" s="8"/>
      <c r="D25" s="39">
        <f>SUM(D26:D28)</f>
        <v>0</v>
      </c>
      <c r="E25" s="39">
        <f>SUM(E26:E28)</f>
        <v>26.1857365414575</v>
      </c>
      <c r="F25" s="39">
        <f>SUM(F26:F28)</f>
        <v>41.9424614851999</v>
      </c>
      <c r="G25" s="39">
        <f>SUM(G26:G28)</f>
        <v>52.4858127055565</v>
      </c>
      <c r="H25" s="39">
        <f>SUM(H26:H28)</f>
        <v>52.5447032715943</v>
      </c>
    </row>
    <row r="26" ht="16.5" customHeight="1" spans="1:9">
      <c r="A26" s="8"/>
      <c r="B26" s="70" t="s">
        <v>280</v>
      </c>
      <c r="C26" s="8"/>
      <c r="D26" s="74">
        <f>F项目收入!D3*G.3销项增值税率!$C3/(1+G.3销项增值税率!$C3)</f>
        <v>0</v>
      </c>
      <c r="E26" s="37">
        <f>F项目收入!E3*G.3销项增值税率!$C3/(1+G.3销项增值税率!$C3)</f>
        <v>8.25688073394495</v>
      </c>
      <c r="F26" s="37">
        <f>F项目收入!F3*G.3销项增值税率!$C3/(1+G.3销项增值税率!$C3)</f>
        <v>13.2110091743119</v>
      </c>
      <c r="G26" s="37">
        <f>F项目收入!G3*G.3销项增值税率!$C3/(1+G.3销项增值税率!$C3)</f>
        <v>16.5137614678899</v>
      </c>
      <c r="H26" s="37">
        <f>F项目收入!H3*G.3销项增值税率!$C3/(1+G.3销项增值税率!$C3)</f>
        <v>16.5137614678899</v>
      </c>
      <c r="I26" s="25" t="s">
        <v>313</v>
      </c>
    </row>
    <row r="27" ht="16.5" customHeight="1" spans="1:8">
      <c r="A27" s="8"/>
      <c r="B27" s="70" t="s">
        <v>283</v>
      </c>
      <c r="C27" s="8"/>
      <c r="D27" s="74">
        <f>F项目收入!D5*G.3销项增值税率!$C4/(1+G.3销项增值税率!$C4)</f>
        <v>0</v>
      </c>
      <c r="E27" s="37">
        <f>F项目收入!E5*G.3销项增值税率!$C4/(1+G.3销项增值税率!$C4)</f>
        <v>16.5137614678899</v>
      </c>
      <c r="F27" s="37">
        <f>F项目收入!F5*G.3销项增值税率!$C4/(1+G.3销项增值税率!$C4)</f>
        <v>26.4220183486238</v>
      </c>
      <c r="G27" s="37">
        <f>F项目收入!G5*G.3销项增值税率!$C4/(1+G.3销项增值税率!$C4)</f>
        <v>33.0275229357798</v>
      </c>
      <c r="H27" s="37">
        <f>F项目收入!H5*G.3销项增值税率!$C4/(1+G.3销项增值税率!$C4)</f>
        <v>33.0275229357798</v>
      </c>
    </row>
    <row r="28" ht="16.5" customHeight="1" spans="1:8">
      <c r="A28" s="8"/>
      <c r="B28" s="70" t="s">
        <v>284</v>
      </c>
      <c r="C28" s="8"/>
      <c r="D28" s="74">
        <f>F项目收入!D7*G.3销项增值税率!$C5/(1+G.3销项增值税率!$C5)</f>
        <v>0</v>
      </c>
      <c r="E28" s="37">
        <f>F项目收入!E7*G.3销项增值税率!$C5/(1+G.3销项增值税率!$C5)</f>
        <v>1.41509433962264</v>
      </c>
      <c r="F28" s="37">
        <f>F项目收入!F7*G.3销项增值税率!$C5/(1+G.3销项增值税率!$C5)</f>
        <v>2.30943396226415</v>
      </c>
      <c r="G28" s="37">
        <f>F项目收入!G7*G.3销项增值税率!$C5/(1+G.3销项增值税率!$C5)</f>
        <v>2.94452830188679</v>
      </c>
      <c r="H28" s="37">
        <f>F项目收入!H7*G.3销项增值税率!$C5/(1+G.3销项增值税率!$C5)</f>
        <v>3.00341886792453</v>
      </c>
    </row>
    <row r="29" ht="16.5" customHeight="1" spans="1:8">
      <c r="A29" s="8">
        <v>3</v>
      </c>
      <c r="B29" s="34" t="s">
        <v>314</v>
      </c>
      <c r="C29" s="8"/>
      <c r="D29" s="34">
        <v>0</v>
      </c>
      <c r="E29" s="39">
        <f>MAX(E25-E4-E3,0)</f>
        <v>0</v>
      </c>
      <c r="F29" s="39">
        <f>MAX(F25-F4-F3,0)</f>
        <v>0</v>
      </c>
      <c r="G29" s="39">
        <f>MAX(G25-G4-G3,0)</f>
        <v>0</v>
      </c>
      <c r="H29" s="39">
        <f>MAX(H25-H4-H3,0)</f>
        <v>0</v>
      </c>
    </row>
    <row r="30" ht="16.5" customHeight="1" spans="1:8">
      <c r="A30" s="8">
        <v>4</v>
      </c>
      <c r="B30" s="34" t="s">
        <v>315</v>
      </c>
      <c r="C30" s="8"/>
      <c r="D30" s="34">
        <v>0</v>
      </c>
      <c r="E30" s="39">
        <f>E29*(A财务假设!$D$6+A财务假设!$D$7+A财务假设!$D$8)</f>
        <v>0</v>
      </c>
      <c r="F30" s="39">
        <f>F29*(A财务假设!$D$6+A财务假设!$D$7+A财务假设!$D$8)</f>
        <v>0</v>
      </c>
      <c r="G30" s="39">
        <f>G29*(A财务假设!$D$6+A财务假设!$D$7+A财务假设!$D$8)</f>
        <v>0</v>
      </c>
      <c r="H30" s="39">
        <f>H29*(A财务假设!$D$6+A财务假设!$D$7+A财务假设!$D$8)</f>
        <v>0</v>
      </c>
    </row>
    <row r="31" ht="16.5" customHeight="1" spans="1:8">
      <c r="A31" s="8"/>
      <c r="B31" s="8" t="s">
        <v>80</v>
      </c>
      <c r="C31" s="8"/>
      <c r="D31" s="34">
        <v>0</v>
      </c>
      <c r="E31" s="39">
        <f>E30+E29</f>
        <v>0</v>
      </c>
      <c r="F31" s="39">
        <f>F30+F29</f>
        <v>0</v>
      </c>
      <c r="G31" s="39">
        <f>G30+G29</f>
        <v>0</v>
      </c>
      <c r="H31" s="39">
        <f>H30+H29</f>
        <v>0</v>
      </c>
    </row>
  </sheetData>
  <mergeCells count="1">
    <mergeCell ref="A1:H1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rgb="FFFFFF00"/>
  </sheetPr>
  <dimension ref="A1:G21"/>
  <sheetViews>
    <sheetView zoomScale="70" zoomScaleNormal="70" workbookViewId="0">
      <selection activeCell="G11" sqref="G11"/>
    </sheetView>
  </sheetViews>
  <sheetFormatPr defaultColWidth="8.89090909090909" defaultRowHeight="28.05" customHeight="1" outlineLevelCol="6"/>
  <cols>
    <col min="1" max="1" width="8.89090909090909" style="43" customWidth="1"/>
    <col min="2" max="2" width="17.6636363636364" style="43" customWidth="1"/>
    <col min="3" max="3" width="37.5545454545455" style="43" customWidth="1"/>
    <col min="4" max="4" width="15.1090909090909" style="43" customWidth="1"/>
    <col min="5" max="5" width="10.4454545454545" style="43" customWidth="1"/>
    <col min="6" max="6" width="14.8909090909091" style="43" customWidth="1"/>
    <col min="7" max="16384" width="8.89090909090909" style="43" customWidth="1"/>
  </cols>
  <sheetData>
    <row r="1" ht="20" customHeight="1" spans="1:7">
      <c r="A1" s="36" t="s">
        <v>316</v>
      </c>
      <c r="B1" s="3"/>
      <c r="C1" s="3"/>
      <c r="D1" s="3"/>
      <c r="E1" s="3"/>
      <c r="F1" s="4"/>
      <c r="G1" s="65" t="s">
        <v>317</v>
      </c>
    </row>
    <row r="2" ht="16.5" customHeight="1" spans="1:6">
      <c r="A2" s="5" t="s">
        <v>1</v>
      </c>
      <c r="B2" s="5" t="s">
        <v>83</v>
      </c>
      <c r="C2" s="5" t="s">
        <v>84</v>
      </c>
      <c r="D2" s="5" t="s">
        <v>85</v>
      </c>
      <c r="E2" s="5" t="s">
        <v>272</v>
      </c>
      <c r="F2" s="5" t="s">
        <v>318</v>
      </c>
    </row>
    <row r="3" ht="16.5" customHeight="1" spans="1:6">
      <c r="A3" s="8" t="s">
        <v>86</v>
      </c>
      <c r="B3" s="8" t="s">
        <v>87</v>
      </c>
      <c r="C3" s="8"/>
      <c r="D3" s="37">
        <f>D.1建设投资!D3</f>
        <v>1824</v>
      </c>
      <c r="E3" s="8" t="s">
        <v>131</v>
      </c>
      <c r="F3" s="13">
        <f>F4+F8</f>
        <v>188.28</v>
      </c>
    </row>
    <row r="4" ht="16.5" customHeight="1" spans="1:6">
      <c r="A4" s="8">
        <v>1</v>
      </c>
      <c r="B4" s="8" t="s">
        <v>319</v>
      </c>
      <c r="C4" s="8"/>
      <c r="D4" s="37">
        <f>D.1建设投资!D4</f>
        <v>1800</v>
      </c>
      <c r="E4" s="8" t="s">
        <v>131</v>
      </c>
      <c r="F4" s="13">
        <f>SUM(F5:F7)</f>
        <v>186</v>
      </c>
    </row>
    <row r="5" ht="112.95" customHeight="1" spans="1:6">
      <c r="A5" s="8">
        <v>1.1</v>
      </c>
      <c r="B5" s="12" t="s">
        <v>89</v>
      </c>
      <c r="C5" s="66" t="s">
        <v>90</v>
      </c>
      <c r="D5" s="37">
        <f>D.1建设投资!D5</f>
        <v>600</v>
      </c>
      <c r="E5" s="63">
        <v>0.09</v>
      </c>
      <c r="F5" s="67">
        <f>D5*E5</f>
        <v>54</v>
      </c>
    </row>
    <row r="6" ht="16.5" customHeight="1" spans="1:6">
      <c r="A6" s="8">
        <v>1.2</v>
      </c>
      <c r="B6" s="12" t="s">
        <v>91</v>
      </c>
      <c r="C6" s="8"/>
      <c r="D6" s="37">
        <f>D.1建设投资!D6</f>
        <v>600</v>
      </c>
      <c r="E6" s="63">
        <v>0.13</v>
      </c>
      <c r="F6" s="13">
        <f>D6*E6</f>
        <v>78</v>
      </c>
    </row>
    <row r="7" ht="64.05" customHeight="1" spans="1:6">
      <c r="A7" s="8">
        <v>1.3</v>
      </c>
      <c r="B7" s="12" t="s">
        <v>92</v>
      </c>
      <c r="C7" s="66" t="s">
        <v>93</v>
      </c>
      <c r="D7" s="37">
        <f>D.1建设投资!D7</f>
        <v>600</v>
      </c>
      <c r="E7" s="63">
        <v>0.09</v>
      </c>
      <c r="F7" s="13">
        <f>D7*E7</f>
        <v>54</v>
      </c>
    </row>
    <row r="8" ht="16.5" customHeight="1" spans="1:6">
      <c r="A8" s="8">
        <v>2</v>
      </c>
      <c r="B8" s="8" t="s">
        <v>94</v>
      </c>
      <c r="C8" s="8"/>
      <c r="D8" s="37">
        <f>D.1建设投资!D8</f>
        <v>24</v>
      </c>
      <c r="E8" s="8" t="s">
        <v>131</v>
      </c>
      <c r="F8" s="13">
        <f>SUM(F9:F12)</f>
        <v>2.28</v>
      </c>
    </row>
    <row r="9" ht="16.5" customHeight="1" spans="1:6">
      <c r="A9" s="8">
        <v>2.1</v>
      </c>
      <c r="B9" s="12" t="s">
        <v>95</v>
      </c>
      <c r="C9" s="8" t="s">
        <v>137</v>
      </c>
      <c r="D9" s="37">
        <f>D.1建设投资!D9</f>
        <v>6</v>
      </c>
      <c r="E9" s="63">
        <v>0.13</v>
      </c>
      <c r="F9" s="13">
        <f>D9*E9</f>
        <v>0.78</v>
      </c>
    </row>
    <row r="10" ht="16.5" customHeight="1" spans="1:6">
      <c r="A10" s="8">
        <v>2.2</v>
      </c>
      <c r="B10" s="12" t="s">
        <v>96</v>
      </c>
      <c r="C10" s="8"/>
      <c r="D10" s="37">
        <f>D.1建设投资!D10</f>
        <v>6</v>
      </c>
      <c r="E10" s="63">
        <v>0.06</v>
      </c>
      <c r="F10" s="13">
        <f>D10*E10</f>
        <v>0.36</v>
      </c>
    </row>
    <row r="11" ht="16.5" customHeight="1" spans="1:6">
      <c r="A11" s="8">
        <v>2.3</v>
      </c>
      <c r="B11" s="12" t="s">
        <v>97</v>
      </c>
      <c r="C11" s="8"/>
      <c r="D11" s="37">
        <f>D.1建设投资!D11</f>
        <v>6</v>
      </c>
      <c r="E11" s="63">
        <v>0.13</v>
      </c>
      <c r="F11" s="13">
        <f>D11*E11</f>
        <v>0.78</v>
      </c>
    </row>
    <row r="12" ht="16.5" customHeight="1" spans="1:6">
      <c r="A12" s="8">
        <v>2.4</v>
      </c>
      <c r="B12" s="12" t="s">
        <v>98</v>
      </c>
      <c r="C12" s="8"/>
      <c r="D12" s="37">
        <f>D.1建设投资!D12</f>
        <v>6</v>
      </c>
      <c r="E12" s="63">
        <v>0.06</v>
      </c>
      <c r="F12" s="13">
        <f>D12*E12</f>
        <v>0.36</v>
      </c>
    </row>
    <row r="13" ht="16.5" customHeight="1" spans="1:6">
      <c r="A13" s="8" t="s">
        <v>99</v>
      </c>
      <c r="B13" s="8" t="s">
        <v>100</v>
      </c>
      <c r="C13" s="8"/>
      <c r="D13" s="37">
        <f>SUM(D14:D18)</f>
        <v>24</v>
      </c>
      <c r="E13" s="8" t="s">
        <v>131</v>
      </c>
      <c r="F13" s="13">
        <f>SUM(F14:F18)</f>
        <v>1.44</v>
      </c>
    </row>
    <row r="14" ht="16.5" customHeight="1" spans="1:6">
      <c r="A14" s="8">
        <v>1</v>
      </c>
      <c r="B14" s="12" t="s">
        <v>101</v>
      </c>
      <c r="C14" s="8"/>
      <c r="D14" s="37">
        <f>D.1建设投资!D14</f>
        <v>6</v>
      </c>
      <c r="E14" s="63">
        <v>0.06</v>
      </c>
      <c r="F14" s="13">
        <f>D14*E14</f>
        <v>0.36</v>
      </c>
    </row>
    <row r="15" ht="16.5" customHeight="1" spans="1:6">
      <c r="A15" s="8">
        <v>2</v>
      </c>
      <c r="B15" s="12" t="s">
        <v>102</v>
      </c>
      <c r="C15" s="8"/>
      <c r="D15" s="37">
        <f>D.1建设投资!D15</f>
        <v>6</v>
      </c>
      <c r="E15" s="63">
        <v>0.06</v>
      </c>
      <c r="F15" s="13">
        <f>D15*E15</f>
        <v>0.36</v>
      </c>
    </row>
    <row r="16" ht="16.5" customHeight="1" spans="1:6">
      <c r="A16" s="8">
        <v>3</v>
      </c>
      <c r="B16" s="12" t="s">
        <v>103</v>
      </c>
      <c r="C16" s="8"/>
      <c r="D16" s="37">
        <f>D.1建设投资!D16</f>
        <v>6</v>
      </c>
      <c r="E16" s="63">
        <v>0.06</v>
      </c>
      <c r="F16" s="13">
        <f>D16*E16</f>
        <v>0.36</v>
      </c>
    </row>
    <row r="17" ht="16.5" customHeight="1" spans="1:6">
      <c r="A17" s="8">
        <v>4</v>
      </c>
      <c r="B17" s="12" t="s">
        <v>104</v>
      </c>
      <c r="C17" s="8"/>
      <c r="D17" s="37">
        <f>D.1建设投资!D17</f>
        <v>6</v>
      </c>
      <c r="E17" s="63">
        <v>0.06</v>
      </c>
      <c r="F17" s="13">
        <f>D17*E17</f>
        <v>0.36</v>
      </c>
    </row>
    <row r="18" ht="16.5" customHeight="1" spans="1:6">
      <c r="A18" s="8">
        <v>5</v>
      </c>
      <c r="B18" s="12" t="s">
        <v>105</v>
      </c>
      <c r="C18" s="8"/>
      <c r="D18" s="37">
        <f>D.1建设投资!D18</f>
        <v>0</v>
      </c>
      <c r="E18" s="63">
        <v>0.06</v>
      </c>
      <c r="F18" s="13">
        <f>D18*E18</f>
        <v>0</v>
      </c>
    </row>
    <row r="19" ht="16.5" customHeight="1" spans="1:6">
      <c r="A19" s="8" t="s">
        <v>106</v>
      </c>
      <c r="B19" s="8" t="s">
        <v>107</v>
      </c>
      <c r="C19" s="8"/>
      <c r="D19" s="37">
        <f>D20</f>
        <v>6</v>
      </c>
      <c r="E19" s="8" t="s">
        <v>131</v>
      </c>
      <c r="F19" s="13">
        <f>F20</f>
        <v>0</v>
      </c>
    </row>
    <row r="20" ht="16.5" customHeight="1" spans="1:6">
      <c r="A20" s="8">
        <v>1</v>
      </c>
      <c r="B20" s="8" t="s">
        <v>108</v>
      </c>
      <c r="C20" s="8"/>
      <c r="D20" s="37">
        <f>D.1建设投资!D20</f>
        <v>6</v>
      </c>
      <c r="E20" s="63">
        <v>0</v>
      </c>
      <c r="F20" s="13">
        <f>D20*E20</f>
        <v>0</v>
      </c>
    </row>
    <row r="21" ht="16.5" customHeight="1" spans="1:6">
      <c r="A21" s="8"/>
      <c r="B21" s="8" t="s">
        <v>320</v>
      </c>
      <c r="C21" s="4"/>
      <c r="D21" s="8"/>
      <c r="E21" s="8"/>
      <c r="F21" s="13">
        <f>F3+F13+F19</f>
        <v>189.72</v>
      </c>
    </row>
  </sheetData>
  <mergeCells count="2">
    <mergeCell ref="A1:F1"/>
    <mergeCell ref="B21:C21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rgb="FFFFFF00"/>
  </sheetPr>
  <dimension ref="A1:D22"/>
  <sheetViews>
    <sheetView zoomScale="70" zoomScaleNormal="70" workbookViewId="0">
      <selection activeCell="C3" sqref="C3"/>
    </sheetView>
  </sheetViews>
  <sheetFormatPr defaultColWidth="8.89090909090909" defaultRowHeight="28.05" customHeight="1" outlineLevelCol="3"/>
  <cols>
    <col min="2" max="2" width="67.5545454545454" style="1" customWidth="1"/>
    <col min="3" max="3" width="20.3363636363636" style="1" customWidth="1"/>
    <col min="4" max="4" width="14.3363636363636" style="1" customWidth="1"/>
  </cols>
  <sheetData>
    <row r="1" ht="31.8" customHeight="1" spans="1:4">
      <c r="A1" s="62" t="s">
        <v>321</v>
      </c>
      <c r="B1" s="3"/>
      <c r="C1" s="4"/>
      <c r="D1" s="25" t="s">
        <v>322</v>
      </c>
    </row>
    <row r="2" ht="16.5" customHeight="1" spans="1:3">
      <c r="A2" s="5" t="s">
        <v>1</v>
      </c>
      <c r="B2" s="5" t="s">
        <v>111</v>
      </c>
      <c r="C2" s="5" t="s">
        <v>272</v>
      </c>
    </row>
    <row r="3" ht="16.5" customHeight="1" spans="1:3">
      <c r="A3" s="12">
        <f>E.1项目运营期费用!B4</f>
        <v>1</v>
      </c>
      <c r="B3" s="12" t="str">
        <f>E.1项目运营期费用!C4</f>
        <v>场地租金</v>
      </c>
      <c r="C3" s="63">
        <v>0.09</v>
      </c>
    </row>
    <row r="4" ht="27.6" customHeight="1" spans="1:3">
      <c r="A4" s="12">
        <f>E.1项目运营期费用!B5</f>
        <v>2</v>
      </c>
      <c r="B4" s="12" t="str">
        <f>E.1项目运营期费用!C5</f>
        <v>场地日常维护（停机坪/起降场/交通枢纽/飞行营地/指挥中心等）</v>
      </c>
      <c r="C4" s="63">
        <v>0.06</v>
      </c>
    </row>
    <row r="5" ht="16.5" customHeight="1" spans="1:3">
      <c r="A5" s="12">
        <f>E.1项目运营期费用!B6</f>
        <v>3</v>
      </c>
      <c r="B5" s="12" t="str">
        <f>E.1项目运营期费用!C6</f>
        <v>消防设施年检</v>
      </c>
      <c r="C5" s="63">
        <v>0.06</v>
      </c>
    </row>
    <row r="6" ht="16.5" customHeight="1" spans="1:3">
      <c r="A6" s="12">
        <f>E.1项目运营期费用!B7</f>
        <v>4</v>
      </c>
      <c r="B6" s="12" t="str">
        <f>E.1项目运营期费用!C7</f>
        <v>防鸟措施（驱鸟器维护）</v>
      </c>
      <c r="C6" s="63">
        <v>0.06</v>
      </c>
    </row>
    <row r="7" ht="16.5" customHeight="1" spans="1:3">
      <c r="A7" s="12">
        <f>E.1项目运营期费用!B8</f>
        <v>5</v>
      </c>
      <c r="B7" s="12" t="str">
        <f>E.1项目运营期费用!C8</f>
        <v>飞行器能耗</v>
      </c>
      <c r="C7" s="63">
        <v>0.13</v>
      </c>
    </row>
    <row r="8" ht="16.5" customHeight="1" spans="1:3">
      <c r="A8" s="12">
        <f>E.1项目运营期费用!B9</f>
        <v>6</v>
      </c>
      <c r="B8" s="12" t="str">
        <f>E.1项目运营期费用!C9</f>
        <v>核心设备电力能耗</v>
      </c>
      <c r="C8" s="63">
        <v>0.13</v>
      </c>
    </row>
    <row r="9" ht="16.5" customHeight="1" spans="1:4">
      <c r="A9" s="12">
        <f>E.1项目运营期费用!B10</f>
        <v>7</v>
      </c>
      <c r="B9" s="12" t="str">
        <f>E.1项目运营期费用!C10</f>
        <v>水电能耗</v>
      </c>
      <c r="C9" s="63">
        <v>0.09</v>
      </c>
      <c r="D9" s="64"/>
    </row>
    <row r="10" ht="16.5" customHeight="1" spans="1:3">
      <c r="A10" s="12">
        <f>E.1项目运营期费用!B11</f>
        <v>8</v>
      </c>
      <c r="B10" s="12" t="str">
        <f>E.1项目运营期费用!C11</f>
        <v>网络通信费用</v>
      </c>
      <c r="C10" s="63">
        <v>0.09</v>
      </c>
    </row>
    <row r="11" ht="16.5" customHeight="1" spans="1:3">
      <c r="A11" s="12">
        <f>E.1项目运营期费用!B12</f>
        <v>9</v>
      </c>
      <c r="B11" s="12" t="str">
        <f>E.1项目运营期费用!C12</f>
        <v>硬件设备维护</v>
      </c>
      <c r="C11" s="63">
        <v>0.13</v>
      </c>
    </row>
    <row r="12" ht="16.5" customHeight="1" spans="1:3">
      <c r="A12" s="12">
        <f>E.1项目运营期费用!B13</f>
        <v>10</v>
      </c>
      <c r="B12" s="12" t="str">
        <f>E.1项目运营期费用!C13</f>
        <v>备品备件储备</v>
      </c>
      <c r="C12" s="63">
        <v>0.13</v>
      </c>
    </row>
    <row r="13" ht="16.5" customHeight="1" spans="1:3">
      <c r="A13" s="12">
        <f>E.1项目运营期费用!B14</f>
        <v>11</v>
      </c>
      <c r="B13" s="12" t="str">
        <f>E.1项目运营期费用!C14</f>
        <v>软件维护</v>
      </c>
      <c r="C13" s="63">
        <v>0.06</v>
      </c>
    </row>
    <row r="14" ht="16.5" customHeight="1" spans="1:3">
      <c r="A14" s="12">
        <f>E.1项目运营期费用!B15</f>
        <v>12</v>
      </c>
      <c r="B14" s="12" t="str">
        <f>E.1项目运营期费用!C15</f>
        <v>营销及活动</v>
      </c>
      <c r="C14" s="63">
        <v>0.06</v>
      </c>
    </row>
    <row r="15" ht="16.5" customHeight="1" spans="1:3">
      <c r="A15" s="12">
        <f>E.1项目运营期费用!B16</f>
        <v>13</v>
      </c>
      <c r="B15" s="12" t="str">
        <f>E.1项目运营期费用!C16</f>
        <v>人员薪酬</v>
      </c>
      <c r="C15" s="63">
        <v>0</v>
      </c>
    </row>
    <row r="16" ht="16.5" customHeight="1" spans="1:3">
      <c r="A16" s="12">
        <f>E.1项目运营期费用!B17</f>
        <v>14</v>
      </c>
      <c r="B16" s="12" t="str">
        <f>E.1项目运营期费用!C17</f>
        <v>培训与资质认证</v>
      </c>
      <c r="C16" s="63">
        <v>0.06</v>
      </c>
    </row>
    <row r="17" ht="16.5" customHeight="1" spans="1:3">
      <c r="A17" s="12">
        <f>E.1项目运营期费用!B18</f>
        <v>15</v>
      </c>
      <c r="B17" s="12" t="str">
        <f>E.1项目运营期费用!C18</f>
        <v>办公与行政支出</v>
      </c>
      <c r="C17" s="63">
        <v>0.13</v>
      </c>
    </row>
    <row r="18" ht="16.5" customHeight="1" spans="1:3">
      <c r="A18" s="12">
        <f>E.1项目运营期费用!B19</f>
        <v>16</v>
      </c>
      <c r="B18" s="12" t="str">
        <f>E.1项目运营期费用!C19</f>
        <v>空域使用审批费</v>
      </c>
      <c r="C18" s="63">
        <v>0</v>
      </c>
    </row>
    <row r="19" ht="16.5" customHeight="1" spans="1:3">
      <c r="A19" s="12">
        <f>E.1项目运营期费用!B20</f>
        <v>17</v>
      </c>
      <c r="B19" s="12" t="str">
        <f>E.1项目运营期费用!C20</f>
        <v>场地责任险</v>
      </c>
      <c r="C19" s="63">
        <v>0.06</v>
      </c>
    </row>
    <row r="20" ht="16.5" customHeight="1" spans="1:3">
      <c r="A20" s="12">
        <f>E.1项目运营期费用!B21</f>
        <v>18</v>
      </c>
      <c r="B20" s="12" t="str">
        <f>E.1项目运营期费用!C21</f>
        <v>安全演练与应急处置</v>
      </c>
      <c r="C20" s="63">
        <v>0.06</v>
      </c>
    </row>
    <row r="21" ht="16.5" customHeight="1" spans="1:3">
      <c r="A21" s="12">
        <f>E.1项目运营期费用!B22</f>
        <v>19</v>
      </c>
      <c r="B21" s="12" t="str">
        <f>E.1项目运营期费用!C22</f>
        <v>第三方安全评估</v>
      </c>
      <c r="C21" s="63">
        <v>0.06</v>
      </c>
    </row>
    <row r="22" ht="16.5" customHeight="1" spans="1:3">
      <c r="A22" s="12">
        <f>E.1项目运营期费用!B23</f>
        <v>20</v>
      </c>
      <c r="B22" s="12" t="str">
        <f>E.1项目运营期费用!C23</f>
        <v>不可预见支出</v>
      </c>
      <c r="C22" s="63">
        <v>0</v>
      </c>
    </row>
  </sheetData>
  <mergeCells count="1">
    <mergeCell ref="A1:C1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rgb="FFFFFF00"/>
  </sheetPr>
  <dimension ref="A1:D12"/>
  <sheetViews>
    <sheetView workbookViewId="0">
      <selection activeCell="G5" sqref="G5:G6"/>
    </sheetView>
  </sheetViews>
  <sheetFormatPr defaultColWidth="8.89090909090909" defaultRowHeight="28.05" customHeight="1" outlineLevelCol="3"/>
  <cols>
    <col min="2" max="2" width="27.4454545454545" style="1" customWidth="1"/>
    <col min="3" max="3" width="14.7818181818182" style="1" customWidth="1"/>
  </cols>
  <sheetData>
    <row r="1" ht="20" customHeight="1" spans="1:4">
      <c r="A1" s="62" t="s">
        <v>323</v>
      </c>
      <c r="B1" s="3"/>
      <c r="C1" s="4"/>
      <c r="D1" s="25" t="s">
        <v>324</v>
      </c>
    </row>
    <row r="2" ht="16.5" customHeight="1" spans="1:3">
      <c r="A2" s="5" t="s">
        <v>1</v>
      </c>
      <c r="B2" s="5" t="s">
        <v>278</v>
      </c>
      <c r="C2" s="5" t="s">
        <v>272</v>
      </c>
    </row>
    <row r="3" ht="16.5" customHeight="1" spans="1:3">
      <c r="A3" s="12">
        <v>1</v>
      </c>
      <c r="B3" s="12" t="s">
        <v>280</v>
      </c>
      <c r="C3" s="63">
        <v>0.09</v>
      </c>
    </row>
    <row r="4" ht="16.5" customHeight="1" spans="1:3">
      <c r="A4" s="12">
        <v>2</v>
      </c>
      <c r="B4" s="12" t="s">
        <v>283</v>
      </c>
      <c r="C4" s="63">
        <v>0.09</v>
      </c>
    </row>
    <row r="5" ht="16.5" customHeight="1" spans="1:3">
      <c r="A5" s="12">
        <v>3</v>
      </c>
      <c r="B5" s="12" t="s">
        <v>284</v>
      </c>
      <c r="C5" s="63">
        <v>0.06</v>
      </c>
    </row>
    <row r="6" ht="16.5" customHeight="1" spans="1:3">
      <c r="A6" s="12">
        <v>4</v>
      </c>
      <c r="B6" s="12" t="s">
        <v>325</v>
      </c>
      <c r="C6" s="63">
        <v>0.06</v>
      </c>
    </row>
    <row r="7" ht="16.5" customHeight="1" spans="1:3">
      <c r="A7" s="12">
        <v>5</v>
      </c>
      <c r="B7" s="12" t="s">
        <v>326</v>
      </c>
      <c r="C7" s="63">
        <v>0.06</v>
      </c>
    </row>
    <row r="8" ht="16.5" customHeight="1" spans="1:3">
      <c r="A8" s="12">
        <v>6</v>
      </c>
      <c r="B8" s="12" t="s">
        <v>327</v>
      </c>
      <c r="C8" s="63">
        <v>0.06</v>
      </c>
    </row>
    <row r="9" ht="16.5" customHeight="1" spans="1:3">
      <c r="A9" s="12">
        <v>7</v>
      </c>
      <c r="B9" s="12" t="s">
        <v>328</v>
      </c>
      <c r="C9" s="63">
        <v>0.06</v>
      </c>
    </row>
    <row r="10" ht="16.5" customHeight="1" spans="1:3">
      <c r="A10" s="12">
        <v>8</v>
      </c>
      <c r="B10" s="12" t="s">
        <v>329</v>
      </c>
      <c r="C10" s="63">
        <v>0.06</v>
      </c>
    </row>
    <row r="11" ht="16.5" customHeight="1" spans="1:3">
      <c r="A11" s="12">
        <v>9</v>
      </c>
      <c r="B11" s="12" t="s">
        <v>330</v>
      </c>
      <c r="C11" s="63">
        <v>0.06</v>
      </c>
    </row>
    <row r="12" ht="16.5" customHeight="1" spans="1:3">
      <c r="A12" s="12">
        <v>10</v>
      </c>
      <c r="B12" s="12" t="s">
        <v>331</v>
      </c>
      <c r="C12" s="63">
        <v>0.06</v>
      </c>
    </row>
  </sheetData>
  <mergeCells count="1">
    <mergeCell ref="A1:C1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FFC000"/>
  </sheetPr>
  <dimension ref="A1:R31"/>
  <sheetViews>
    <sheetView tabSelected="1"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L25" sqref="L25"/>
    </sheetView>
  </sheetViews>
  <sheetFormatPr defaultColWidth="8.89090909090909" defaultRowHeight="28.05" customHeight="1"/>
  <cols>
    <col min="2" max="2" width="36.7818181818182" style="1" customWidth="1"/>
    <col min="3" max="3" width="14.2181818181818" style="1" customWidth="1"/>
    <col min="4" max="5" width="9.78181818181818" style="1" customWidth="1"/>
    <col min="6" max="6" width="11" style="1" customWidth="1"/>
    <col min="7" max="8" width="9.78181818181818" style="1" customWidth="1"/>
    <col min="9" max="9" width="10" style="1" customWidth="1"/>
    <col min="10" max="12" width="9.90909090909091" style="1" customWidth="1"/>
    <col min="13" max="14" width="11.1181818181818" style="1" customWidth="1"/>
  </cols>
  <sheetData>
    <row r="1" ht="22.5" customHeight="1" spans="1:12">
      <c r="A1" s="54" t="s">
        <v>332</v>
      </c>
      <c r="B1" s="3"/>
      <c r="C1" s="3"/>
      <c r="D1" s="3"/>
      <c r="E1" s="3"/>
      <c r="F1" s="3"/>
      <c r="G1" s="3"/>
      <c r="H1" s="3"/>
      <c r="I1" s="4"/>
      <c r="J1"/>
      <c r="K1"/>
      <c r="L1"/>
    </row>
    <row r="2" ht="16.5" customHeight="1" spans="1:14">
      <c r="A2" s="5" t="s">
        <v>1</v>
      </c>
      <c r="B2" s="5" t="s">
        <v>140</v>
      </c>
      <c r="C2" s="5" t="s">
        <v>80</v>
      </c>
      <c r="D2" s="31">
        <v>2025</v>
      </c>
      <c r="E2" s="31">
        <v>2026</v>
      </c>
      <c r="F2" s="31">
        <v>2027</v>
      </c>
      <c r="G2" s="31">
        <v>2028</v>
      </c>
      <c r="H2" s="31">
        <v>2029</v>
      </c>
      <c r="I2" s="31">
        <v>2030</v>
      </c>
      <c r="J2"/>
      <c r="K2"/>
      <c r="L2"/>
      <c r="M2"/>
      <c r="N2"/>
    </row>
    <row r="3" ht="16.5" customHeight="1" spans="1:14">
      <c r="A3" s="8">
        <v>1</v>
      </c>
      <c r="B3" s="8" t="s">
        <v>333</v>
      </c>
      <c r="C3" s="13">
        <f t="shared" ref="C3:C23" si="0">SUM(D3:I3)</f>
        <v>2091.27514231956</v>
      </c>
      <c r="D3" s="13">
        <f t="shared" ref="D3:I3" si="1">SUM(D4:D7)</f>
        <v>0</v>
      </c>
      <c r="E3" s="13">
        <f t="shared" si="1"/>
        <v>298.814263458542</v>
      </c>
      <c r="F3" s="13">
        <f t="shared" si="1"/>
        <v>478.8575385148</v>
      </c>
      <c r="G3" s="13">
        <f t="shared" si="1"/>
        <v>599.534187294443</v>
      </c>
      <c r="H3" s="13">
        <f t="shared" si="1"/>
        <v>600.515696728406</v>
      </c>
      <c r="I3" s="13">
        <f t="shared" si="1"/>
        <v>113.553456323367</v>
      </c>
      <c r="J3"/>
      <c r="K3"/>
      <c r="L3"/>
      <c r="M3"/>
      <c r="N3"/>
    </row>
    <row r="4" ht="16.5" customHeight="1" spans="1:14">
      <c r="A4" s="8">
        <v>1.1</v>
      </c>
      <c r="B4" s="8" t="s">
        <v>334</v>
      </c>
      <c r="C4" s="13">
        <f t="shared" si="0"/>
        <v>1977.72168599619</v>
      </c>
      <c r="D4" s="39">
        <f>F项目收入!D12-F项目收入!D9</f>
        <v>0</v>
      </c>
      <c r="E4" s="39">
        <f>F项目收入!E12-F项目收入!E9</f>
        <v>298.814263458542</v>
      </c>
      <c r="F4" s="39">
        <f>F项目收入!F12-F项目收入!F9</f>
        <v>478.8575385148</v>
      </c>
      <c r="G4" s="39">
        <f>F项目收入!G12-F项目收入!G9</f>
        <v>599.534187294443</v>
      </c>
      <c r="H4" s="39">
        <f>F项目收入!H12-F项目收入!H9</f>
        <v>600.515696728406</v>
      </c>
      <c r="I4" s="39">
        <f>F项目收入!I12-F项目收入!I9</f>
        <v>0</v>
      </c>
      <c r="J4"/>
      <c r="K4"/>
      <c r="L4"/>
      <c r="M4"/>
      <c r="N4"/>
    </row>
    <row r="5" ht="16.5" customHeight="1" spans="1:14">
      <c r="A5" s="8">
        <v>1.2</v>
      </c>
      <c r="B5" s="8" t="s">
        <v>285</v>
      </c>
      <c r="C5" s="13">
        <f t="shared" si="0"/>
        <v>0</v>
      </c>
      <c r="D5" s="39">
        <f>F项目收入!D9</f>
        <v>0</v>
      </c>
      <c r="E5" s="39">
        <f>F项目收入!E9</f>
        <v>0</v>
      </c>
      <c r="F5" s="39">
        <f>F项目收入!F9</f>
        <v>0</v>
      </c>
      <c r="G5" s="39">
        <f>F项目收入!G9</f>
        <v>0</v>
      </c>
      <c r="H5" s="39">
        <f>F项目收入!H9</f>
        <v>0</v>
      </c>
      <c r="I5" s="39">
        <f>F项目收入!I9</f>
        <v>0</v>
      </c>
      <c r="J5"/>
      <c r="K5"/>
      <c r="L5"/>
      <c r="M5"/>
      <c r="N5"/>
    </row>
    <row r="6" ht="16.5" customHeight="1" spans="1:14">
      <c r="A6" s="8">
        <v>1.3</v>
      </c>
      <c r="B6" s="8" t="s">
        <v>335</v>
      </c>
      <c r="C6" s="13">
        <f t="shared" si="0"/>
        <v>99.0825063233665</v>
      </c>
      <c r="D6" s="13" t="s">
        <v>131</v>
      </c>
      <c r="E6" s="13" t="s">
        <v>131</v>
      </c>
      <c r="F6" s="13" t="s">
        <v>131</v>
      </c>
      <c r="G6" s="13" t="s">
        <v>131</v>
      </c>
      <c r="H6" s="13" t="s">
        <v>131</v>
      </c>
      <c r="I6" s="50">
        <f>E.2固定资产折旧费估算表!C7*A财务假设!$D$12</f>
        <v>99.0825063233665</v>
      </c>
      <c r="J6"/>
      <c r="K6"/>
      <c r="L6"/>
      <c r="M6"/>
      <c r="N6"/>
    </row>
    <row r="7" ht="16.5" customHeight="1" spans="1:14">
      <c r="A7" s="8">
        <v>1.4</v>
      </c>
      <c r="B7" s="8" t="s">
        <v>336</v>
      </c>
      <c r="C7" s="13">
        <f t="shared" si="0"/>
        <v>14.47095</v>
      </c>
      <c r="D7" s="13" t="s">
        <v>131</v>
      </c>
      <c r="E7" s="13" t="s">
        <v>131</v>
      </c>
      <c r="F7" s="13" t="s">
        <v>131</v>
      </c>
      <c r="G7" s="13" t="s">
        <v>131</v>
      </c>
      <c r="H7" s="13" t="s">
        <v>131</v>
      </c>
      <c r="I7" s="50">
        <f>D.4流动资金估算表!I13</f>
        <v>14.47095</v>
      </c>
      <c r="J7"/>
      <c r="K7"/>
      <c r="L7"/>
      <c r="M7"/>
      <c r="N7"/>
    </row>
    <row r="8" ht="16.5" customHeight="1" spans="1:14">
      <c r="A8" s="8">
        <v>2</v>
      </c>
      <c r="B8" s="8" t="s">
        <v>337</v>
      </c>
      <c r="C8" s="13">
        <f t="shared" si="0"/>
        <v>2171.73904569759</v>
      </c>
      <c r="D8" s="13">
        <f t="shared" ref="D8:I8" si="2">SUM(D9:D14)</f>
        <v>288.84239147918</v>
      </c>
      <c r="E8" s="13">
        <f t="shared" si="2"/>
        <v>677.214463010307</v>
      </c>
      <c r="F8" s="13">
        <f t="shared" si="2"/>
        <v>940.5615112081</v>
      </c>
      <c r="G8" s="13">
        <f t="shared" si="2"/>
        <v>125.084586666667</v>
      </c>
      <c r="H8" s="13">
        <f t="shared" si="2"/>
        <v>140.036093333333</v>
      </c>
      <c r="I8" s="13">
        <f t="shared" si="2"/>
        <v>0</v>
      </c>
      <c r="J8"/>
      <c r="K8"/>
      <c r="L8"/>
      <c r="M8"/>
      <c r="N8"/>
    </row>
    <row r="9" ht="16.5" customHeight="1" spans="1:14">
      <c r="A9" s="8">
        <v>2.1</v>
      </c>
      <c r="B9" s="8" t="s">
        <v>113</v>
      </c>
      <c r="C9" s="13">
        <f t="shared" si="0"/>
        <v>1682.47261569759</v>
      </c>
      <c r="D9" s="13">
        <f>E.4建设投资税后金额表!H21</f>
        <v>288.84239147918</v>
      </c>
      <c r="E9" s="13">
        <f>E.4建设投资税后金额表!I21</f>
        <v>560.824205232529</v>
      </c>
      <c r="F9" s="13">
        <f>E.4建设投资税后金额表!J21</f>
        <v>832.806018985878</v>
      </c>
      <c r="G9" s="13">
        <f>E.4建设投资税后金额表!K21</f>
        <v>0</v>
      </c>
      <c r="H9" s="13">
        <f>E.4建设投资税后金额表!L21</f>
        <v>0</v>
      </c>
      <c r="I9" s="13">
        <f>E.4建设投资税后金额表!AD21</f>
        <v>0</v>
      </c>
      <c r="J9"/>
      <c r="K9"/>
      <c r="L9"/>
      <c r="M9"/>
      <c r="N9"/>
    </row>
    <row r="10" ht="16.5" customHeight="1" spans="1:14">
      <c r="A10" s="8">
        <v>2.2</v>
      </c>
      <c r="B10" s="8" t="s">
        <v>115</v>
      </c>
      <c r="C10" s="13">
        <f t="shared" si="0"/>
        <v>14.47095</v>
      </c>
      <c r="D10" s="13">
        <f>D.2项目总投资使用计划与资金筹措表!D6</f>
        <v>0</v>
      </c>
      <c r="E10" s="13">
        <f>D.2项目总投资使用计划与资金筹措表!E6</f>
        <v>9.19013777777778</v>
      </c>
      <c r="F10" s="13">
        <f>D.2项目总投资使用计划与资金筹措表!F6</f>
        <v>0.544772222222226</v>
      </c>
      <c r="G10" s="13">
        <f>D.2项目总投资使用计划与资金筹措表!G6</f>
        <v>2.54926666666667</v>
      </c>
      <c r="H10" s="13">
        <f>D.2项目总投资使用计划与资金筹措表!H6</f>
        <v>2.18677333333333</v>
      </c>
      <c r="I10" s="13">
        <f>D.2项目总投资使用计划与资金筹措表!I6</f>
        <v>0</v>
      </c>
      <c r="J10"/>
      <c r="K10"/>
      <c r="L10"/>
      <c r="M10"/>
      <c r="N10"/>
    </row>
    <row r="11" ht="16.5" customHeight="1" spans="1:14">
      <c r="A11" s="8">
        <v>2.3</v>
      </c>
      <c r="B11" s="8" t="s">
        <v>338</v>
      </c>
      <c r="C11" s="13">
        <f t="shared" si="0"/>
        <v>474.79548</v>
      </c>
      <c r="D11" s="13">
        <f>E总成本费用估算表!C11</f>
        <v>0</v>
      </c>
      <c r="E11" s="13">
        <f>E总成本费用估算表!D11</f>
        <v>107.20012</v>
      </c>
      <c r="F11" s="13">
        <f>E总成本费用估算表!E11</f>
        <v>107.21072</v>
      </c>
      <c r="G11" s="13">
        <f>E总成本费用估算表!F11</f>
        <v>122.53532</v>
      </c>
      <c r="H11" s="13">
        <f>E总成本费用估算表!G11</f>
        <v>137.84932</v>
      </c>
      <c r="I11" s="13">
        <f>E总成本费用估算表!H11</f>
        <v>0</v>
      </c>
      <c r="J11"/>
      <c r="K11"/>
      <c r="L11"/>
      <c r="M11"/>
      <c r="N11"/>
    </row>
    <row r="12" ht="16.5" customHeight="1" spans="1:14">
      <c r="A12" s="8">
        <v>2.4</v>
      </c>
      <c r="B12" s="8" t="s">
        <v>339</v>
      </c>
      <c r="C12" s="13">
        <f t="shared" si="0"/>
        <v>0</v>
      </c>
      <c r="D12" s="39">
        <f>G.税金及附加测算表!D30</f>
        <v>0</v>
      </c>
      <c r="E12" s="39">
        <f>G.税金及附加测算表!E30</f>
        <v>0</v>
      </c>
      <c r="F12" s="39">
        <f>G.税金及附加测算表!F30</f>
        <v>0</v>
      </c>
      <c r="G12" s="39">
        <f>G.税金及附加测算表!G30</f>
        <v>0</v>
      </c>
      <c r="H12" s="39">
        <f>G.税金及附加测算表!H30</f>
        <v>0</v>
      </c>
      <c r="I12" s="39">
        <f>G.税金及附加测算表!I30</f>
        <v>0</v>
      </c>
      <c r="J12"/>
      <c r="K12"/>
      <c r="L12"/>
      <c r="M12"/>
      <c r="N12"/>
    </row>
    <row r="13" ht="16.5" customHeight="1" spans="1:14">
      <c r="A13" s="8">
        <v>2.5</v>
      </c>
      <c r="B13" s="8" t="s">
        <v>340</v>
      </c>
      <c r="C13" s="13">
        <f t="shared" si="0"/>
        <v>0</v>
      </c>
      <c r="D13" s="39">
        <f>G.税金及附加测算表!D29</f>
        <v>0</v>
      </c>
      <c r="E13" s="39">
        <f>G.税金及附加测算表!E29</f>
        <v>0</v>
      </c>
      <c r="F13" s="39">
        <f>G.税金及附加测算表!F29</f>
        <v>0</v>
      </c>
      <c r="G13" s="39">
        <f>G.税金及附加测算表!G29</f>
        <v>0</v>
      </c>
      <c r="H13" s="39">
        <f>G.税金及附加测算表!H31</f>
        <v>0</v>
      </c>
      <c r="I13" s="39">
        <f>G.税金及附加测算表!I31</f>
        <v>0</v>
      </c>
      <c r="J13"/>
      <c r="K13"/>
      <c r="L13"/>
      <c r="M13"/>
      <c r="N13"/>
    </row>
    <row r="14" ht="16.5" customHeight="1" spans="1:14">
      <c r="A14" s="8">
        <v>2.6</v>
      </c>
      <c r="B14" s="8" t="s">
        <v>341</v>
      </c>
      <c r="C14" s="13">
        <f t="shared" si="0"/>
        <v>0</v>
      </c>
      <c r="D14" s="37">
        <v>0</v>
      </c>
      <c r="E14" s="37">
        <v>0</v>
      </c>
      <c r="F14" s="37">
        <v>0</v>
      </c>
      <c r="G14" s="37">
        <v>0</v>
      </c>
      <c r="H14" s="39">
        <f>G.税金及附加测算表!H32</f>
        <v>0</v>
      </c>
      <c r="I14" s="39">
        <f>G.税金及附加测算表!I32</f>
        <v>0</v>
      </c>
      <c r="J14"/>
      <c r="K14"/>
      <c r="L14"/>
      <c r="M14"/>
      <c r="N14"/>
    </row>
    <row r="15" ht="16.5" customHeight="1" spans="1:14">
      <c r="A15" s="8">
        <v>3</v>
      </c>
      <c r="B15" s="8" t="s">
        <v>342</v>
      </c>
      <c r="C15" s="13">
        <f t="shared" si="0"/>
        <v>-80.4639033780296</v>
      </c>
      <c r="D15" s="13">
        <f t="shared" ref="D15:I15" si="3">D3-D8</f>
        <v>-288.84239147918</v>
      </c>
      <c r="E15" s="13">
        <f t="shared" si="3"/>
        <v>-378.400199551765</v>
      </c>
      <c r="F15" s="13">
        <f t="shared" si="3"/>
        <v>-461.7039726933</v>
      </c>
      <c r="G15" s="13">
        <f t="shared" si="3"/>
        <v>474.449600627776</v>
      </c>
      <c r="H15" s="13">
        <f t="shared" si="3"/>
        <v>460.479603395073</v>
      </c>
      <c r="I15" s="13">
        <f t="shared" si="3"/>
        <v>113.553456323367</v>
      </c>
      <c r="J15"/>
      <c r="K15"/>
      <c r="L15"/>
      <c r="M15"/>
      <c r="N15"/>
    </row>
    <row r="16" ht="16.5" customHeight="1" spans="1:14">
      <c r="A16" s="8">
        <v>4</v>
      </c>
      <c r="B16" s="8" t="s">
        <v>343</v>
      </c>
      <c r="C16" s="13">
        <f t="shared" si="0"/>
        <v>-3014.00977241026</v>
      </c>
      <c r="D16" s="13">
        <f>D15</f>
        <v>-288.84239147918</v>
      </c>
      <c r="E16" s="13">
        <f>E15+D16</f>
        <v>-667.242591030945</v>
      </c>
      <c r="F16" s="13">
        <f>F15+E16</f>
        <v>-1128.94656372425</v>
      </c>
      <c r="G16" s="13">
        <f>G15+F16</f>
        <v>-654.496963096469</v>
      </c>
      <c r="H16" s="13">
        <f>H15+G16</f>
        <v>-194.017359701396</v>
      </c>
      <c r="I16" s="13">
        <f>I15+H16</f>
        <v>-80.4639033780296</v>
      </c>
      <c r="J16"/>
      <c r="K16"/>
      <c r="L16"/>
      <c r="M16"/>
      <c r="N16"/>
    </row>
    <row r="17" s="35" customFormat="1" ht="16.5" customHeight="1" spans="1:18">
      <c r="A17" s="38">
        <v>5</v>
      </c>
      <c r="B17" s="38" t="s">
        <v>344</v>
      </c>
      <c r="C17" s="39">
        <f t="shared" si="0"/>
        <v>245.776344740563</v>
      </c>
      <c r="D17" s="39">
        <f>'b利润与利润分配表（损益和利润分配表）'!D25*A财务假设!$D$9</f>
        <v>0</v>
      </c>
      <c r="E17" s="39">
        <f>'b利润与利润分配表（损益和利润分配表）'!E25*A财务假设!$D$9</f>
        <v>46.807097488427</v>
      </c>
      <c r="F17" s="39">
        <f>'b利润与利润分配表（损益和利润分配表）'!F25*A财务假设!$D$9</f>
        <v>94.9552554198293</v>
      </c>
      <c r="G17" s="39">
        <f>'b利润与利润分配表（损益和利润分配表）'!G25*A财务假设!$D$9</f>
        <v>52.082594739587</v>
      </c>
      <c r="H17" s="39">
        <f>'b利润与利润分配表（损益和利润分配表）'!H25*A财务假设!$D$9</f>
        <v>51.9313970927198</v>
      </c>
      <c r="I17" s="39">
        <f>'b利润与利润分配表（损益和利润分配表）'!I25*A财务假设!$D$9</f>
        <v>0</v>
      </c>
      <c r="J17"/>
      <c r="K17"/>
      <c r="L17"/>
      <c r="M17"/>
      <c r="N17"/>
      <c r="O17"/>
      <c r="P17"/>
      <c r="Q17"/>
      <c r="R17"/>
    </row>
    <row r="18" ht="16.5" customHeight="1" spans="1:14">
      <c r="A18" s="8">
        <v>6</v>
      </c>
      <c r="B18" s="8" t="s">
        <v>345</v>
      </c>
      <c r="C18" s="13">
        <f t="shared" si="0"/>
        <v>-326.240248118593</v>
      </c>
      <c r="D18" s="13">
        <f t="shared" ref="D18:I18" si="4">D15-D17</f>
        <v>-288.84239147918</v>
      </c>
      <c r="E18" s="13">
        <f t="shared" si="4"/>
        <v>-425.207297040192</v>
      </c>
      <c r="F18" s="13">
        <f t="shared" si="4"/>
        <v>-556.65922811313</v>
      </c>
      <c r="G18" s="13">
        <f t="shared" si="4"/>
        <v>422.367005888189</v>
      </c>
      <c r="H18" s="13">
        <f t="shared" si="4"/>
        <v>408.548206302353</v>
      </c>
      <c r="I18" s="13">
        <f t="shared" si="4"/>
        <v>113.553456323367</v>
      </c>
      <c r="J18"/>
      <c r="K18"/>
      <c r="L18"/>
      <c r="M18"/>
      <c r="N18"/>
    </row>
    <row r="19" ht="16.5" customHeight="1" spans="1:14">
      <c r="A19" s="8">
        <v>7</v>
      </c>
      <c r="B19" s="8" t="s">
        <v>346</v>
      </c>
      <c r="C19" s="13">
        <f t="shared" si="0"/>
        <v>-3887.97685993592</v>
      </c>
      <c r="D19" s="13">
        <f>D18</f>
        <v>-288.84239147918</v>
      </c>
      <c r="E19" s="13">
        <f>E18+D19</f>
        <v>-714.049688519372</v>
      </c>
      <c r="F19" s="13">
        <f>F18+E19</f>
        <v>-1270.7089166325</v>
      </c>
      <c r="G19" s="13">
        <f>G18+F19</f>
        <v>-848.341910744312</v>
      </c>
      <c r="H19" s="13">
        <f>H18+G19</f>
        <v>-439.793704441959</v>
      </c>
      <c r="I19" s="13">
        <f>I18+H19</f>
        <v>-326.240248118593</v>
      </c>
      <c r="J19"/>
      <c r="K19"/>
      <c r="L19"/>
      <c r="M19"/>
      <c r="N19"/>
    </row>
    <row r="20" ht="16.5" customHeight="1" spans="1:14">
      <c r="A20" s="8">
        <v>8</v>
      </c>
      <c r="B20" s="8" t="s">
        <v>347</v>
      </c>
      <c r="C20" s="13">
        <f t="shared" si="0"/>
        <v>-150.150534721422</v>
      </c>
      <c r="D20" s="13">
        <f>D15/(1+A财务假设!$D$14)^(D2-$D$2)</f>
        <v>-288.84239147918</v>
      </c>
      <c r="E20" s="13">
        <f>E15/(1+A财务假设!$D$14)^(E2-$D$2)</f>
        <v>-367.378834516276</v>
      </c>
      <c r="F20" s="13">
        <f>F15/(1+A财务假设!$D$14)^(F2-$D$2)</f>
        <v>-435.200275891508</v>
      </c>
      <c r="G20" s="13">
        <f>G15/(1+A财务假设!$D$14)^(G2-$D$2)</f>
        <v>434.188594797947</v>
      </c>
      <c r="H20" s="13">
        <f>H15/(1+A财务假设!$D$14)^(H2-$D$2)</f>
        <v>409.130163445875</v>
      </c>
      <c r="I20" s="13">
        <f>I15/(1+A财务假设!$D$14)^(I2-$D$2)</f>
        <v>97.9522089217194</v>
      </c>
      <c r="J20"/>
      <c r="K20"/>
      <c r="L20"/>
      <c r="M20"/>
      <c r="N20"/>
    </row>
    <row r="21" ht="16.5" customHeight="1" spans="1:14">
      <c r="A21" s="8">
        <v>9</v>
      </c>
      <c r="B21" s="8" t="s">
        <v>348</v>
      </c>
      <c r="C21" s="13">
        <f t="shared" si="0"/>
        <v>-3091.97130481518</v>
      </c>
      <c r="D21" s="13">
        <f>D20</f>
        <v>-288.84239147918</v>
      </c>
      <c r="E21" s="13">
        <f>E20+D21</f>
        <v>-656.221225995457</v>
      </c>
      <c r="F21" s="13">
        <f>F20+E21</f>
        <v>-1091.42150188696</v>
      </c>
      <c r="G21" s="13">
        <f>G20+F21</f>
        <v>-657.232907089017</v>
      </c>
      <c r="H21" s="13">
        <f>H20+G21</f>
        <v>-248.102743643142</v>
      </c>
      <c r="I21" s="13">
        <f>I20+H21</f>
        <v>-150.150534721422</v>
      </c>
      <c r="J21"/>
      <c r="K21"/>
      <c r="L21"/>
      <c r="M21"/>
      <c r="N21"/>
    </row>
    <row r="22" ht="16.5" customHeight="1" spans="1:14">
      <c r="A22" s="8">
        <v>10</v>
      </c>
      <c r="B22" s="8" t="s">
        <v>349</v>
      </c>
      <c r="C22" s="13">
        <f t="shared" si="0"/>
        <v>-378.902079870702</v>
      </c>
      <c r="D22" s="13">
        <f>D18/(1+A财务假设!$D$14)^(D2-$D$2)</f>
        <v>-288.84239147918</v>
      </c>
      <c r="E22" s="13">
        <f>E18/(1+A财务假设!$D$14)^(E2-$D$2)</f>
        <v>-412.822618485623</v>
      </c>
      <c r="F22" s="13">
        <f>F18/(1+A财务假设!$D$14)^(F2-$D$2)</f>
        <v>-524.704711200989</v>
      </c>
      <c r="G22" s="13">
        <f>G18/(1+A财务假设!$D$14)^(G2-$D$2)</f>
        <v>386.525642624543</v>
      </c>
      <c r="H22" s="13">
        <f>H18/(1+A财务假设!$D$14)^(H2-$D$2)</f>
        <v>362.989789748827</v>
      </c>
      <c r="I22" s="13">
        <f>I18/(1+A财务假设!$D$14)^(I2-$D$2)</f>
        <v>97.9522089217194</v>
      </c>
      <c r="J22"/>
      <c r="K22"/>
      <c r="L22"/>
      <c r="M22"/>
      <c r="N22"/>
    </row>
    <row r="23" ht="16.5" customHeight="1" spans="1:14">
      <c r="A23" s="8">
        <v>11</v>
      </c>
      <c r="B23" s="8" t="s">
        <v>350</v>
      </c>
      <c r="C23" s="13">
        <f t="shared" si="0"/>
        <v>-3912.47756981415</v>
      </c>
      <c r="D23" s="55">
        <f>D22</f>
        <v>-288.84239147918</v>
      </c>
      <c r="E23" s="55">
        <f>E22+D23</f>
        <v>-701.665009964803</v>
      </c>
      <c r="F23" s="55">
        <f>F22+E23</f>
        <v>-1226.36972116579</v>
      </c>
      <c r="G23" s="55">
        <f>G22+F23</f>
        <v>-839.844078541249</v>
      </c>
      <c r="H23" s="55">
        <f>H22+G23</f>
        <v>-476.854288792422</v>
      </c>
      <c r="I23" s="55">
        <f>I22+H23</f>
        <v>-378.902079870702</v>
      </c>
      <c r="J23"/>
      <c r="K23"/>
      <c r="L23"/>
      <c r="M23"/>
      <c r="N23"/>
    </row>
    <row r="24" ht="37.95" customHeight="1" spans="1:14">
      <c r="A24" s="8" t="s">
        <v>351</v>
      </c>
      <c r="B24" s="56" t="s">
        <v>352</v>
      </c>
      <c r="C24" s="8"/>
      <c r="D24" s="57">
        <f>(IRR(D15:I15))</f>
        <v>-0.0291458562004472</v>
      </c>
      <c r="E24" s="57"/>
      <c r="F24" s="57"/>
      <c r="G24" s="57"/>
      <c r="H24" s="57"/>
      <c r="I24" s="57"/>
      <c r="J24"/>
      <c r="K24"/>
      <c r="L24"/>
      <c r="M24"/>
      <c r="N24"/>
    </row>
    <row r="25" ht="34.95" customHeight="1" spans="1:14">
      <c r="A25" s="8" t="s">
        <v>353</v>
      </c>
      <c r="B25" s="56" t="s">
        <v>354</v>
      </c>
      <c r="C25" s="8"/>
      <c r="D25" s="51">
        <f>(IRR(D18:I18))</f>
        <v>-0.113908599725509</v>
      </c>
      <c r="E25" s="51"/>
      <c r="F25" s="51"/>
      <c r="G25" s="51"/>
      <c r="H25" s="51"/>
      <c r="I25" s="51"/>
      <c r="J25"/>
      <c r="K25"/>
      <c r="L25"/>
      <c r="M25"/>
      <c r="N25"/>
    </row>
    <row r="26" ht="34.05" customHeight="1" spans="1:9">
      <c r="A26" s="8" t="s">
        <v>355</v>
      </c>
      <c r="B26" s="56" t="s">
        <v>356</v>
      </c>
      <c r="C26" s="58" t="s">
        <v>357</v>
      </c>
      <c r="D26" s="59">
        <f>(NPV(A财务假设!$D$3,D15:I15))</f>
        <v>-181.281362101265</v>
      </c>
      <c r="E26" s="59"/>
      <c r="F26" s="59"/>
      <c r="G26" s="59"/>
      <c r="H26" s="59"/>
      <c r="I26" s="59"/>
    </row>
    <row r="27" ht="34.05" customHeight="1" spans="1:9">
      <c r="A27" s="8" t="s">
        <v>358</v>
      </c>
      <c r="B27" s="56" t="s">
        <v>359</v>
      </c>
      <c r="C27" s="58" t="s">
        <v>357</v>
      </c>
      <c r="D27" s="59">
        <f>(NPV(A财务假设!$D$4,D18:I18))</f>
        <v>-367.866096961847</v>
      </c>
      <c r="E27" s="59"/>
      <c r="F27" s="59"/>
      <c r="G27" s="59"/>
      <c r="H27" s="59"/>
      <c r="I27" s="59"/>
    </row>
    <row r="28" ht="37.05" customHeight="1" spans="1:9">
      <c r="A28" s="8" t="s">
        <v>360</v>
      </c>
      <c r="B28" s="56" t="s">
        <v>361</v>
      </c>
      <c r="C28" s="60"/>
      <c r="D28" s="38" t="s">
        <v>362</v>
      </c>
      <c r="E28" s="3"/>
      <c r="F28" s="3"/>
      <c r="G28" s="3"/>
      <c r="H28" s="4"/>
      <c r="I28" s="38"/>
    </row>
    <row r="29" ht="37.05" customHeight="1" spans="1:9">
      <c r="A29" s="8" t="s">
        <v>363</v>
      </c>
      <c r="B29" s="56" t="s">
        <v>364</v>
      </c>
      <c r="C29" s="60"/>
      <c r="D29" s="61" t="s">
        <v>365</v>
      </c>
      <c r="E29" s="3"/>
      <c r="F29" s="3"/>
      <c r="G29" s="3"/>
      <c r="H29" s="3"/>
      <c r="I29" s="8"/>
    </row>
    <row r="30" ht="34.05" customHeight="1" spans="1:9">
      <c r="A30" s="8" t="s">
        <v>366</v>
      </c>
      <c r="B30" s="56" t="s">
        <v>367</v>
      </c>
      <c r="C30" s="60"/>
      <c r="D30" s="61" t="s">
        <v>368</v>
      </c>
      <c r="E30" s="3"/>
      <c r="F30" s="3"/>
      <c r="G30" s="3"/>
      <c r="H30" s="3"/>
      <c r="I30" s="8"/>
    </row>
    <row r="31" ht="34.95" customHeight="1" spans="1:9">
      <c r="A31" s="8" t="s">
        <v>369</v>
      </c>
      <c r="B31" s="56" t="s">
        <v>370</v>
      </c>
      <c r="C31" s="60"/>
      <c r="D31" s="61" t="s">
        <v>371</v>
      </c>
      <c r="E31" s="3"/>
      <c r="F31" s="3"/>
      <c r="G31" s="3"/>
      <c r="H31" s="3"/>
      <c r="I31" s="8"/>
    </row>
  </sheetData>
  <mergeCells count="5">
    <mergeCell ref="A1:I1"/>
    <mergeCell ref="D28:H28"/>
    <mergeCell ref="D29:H29"/>
    <mergeCell ref="D30:H30"/>
    <mergeCell ref="D31:H31"/>
  </mergeCells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tabColor rgb="FFFFC000"/>
  </sheetPr>
  <dimension ref="A1:H18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F18" sqref="F18"/>
    </sheetView>
  </sheetViews>
  <sheetFormatPr defaultColWidth="8.89090909090909" defaultRowHeight="28.05" customHeight="1" outlineLevelCol="7"/>
  <cols>
    <col min="2" max="2" width="29.6636363636364" style="1" customWidth="1"/>
    <col min="3" max="3" width="17.1090909090909" style="1" customWidth="1"/>
    <col min="4" max="6" width="11.5545454545455" style="1" customWidth="1"/>
    <col min="7" max="7" width="10.5545454545455" style="1" customWidth="1"/>
    <col min="8" max="8" width="11.8909090909091" style="1" customWidth="1"/>
  </cols>
  <sheetData>
    <row r="1" customHeight="1" spans="1:8">
      <c r="A1" s="48" t="s">
        <v>372</v>
      </c>
      <c r="B1" s="3"/>
      <c r="C1" s="3"/>
      <c r="D1" s="3"/>
      <c r="E1" s="3"/>
      <c r="F1" s="3"/>
      <c r="G1" s="3"/>
      <c r="H1" s="49"/>
    </row>
    <row r="2" customHeight="1" spans="1:8">
      <c r="A2" s="5" t="s">
        <v>1</v>
      </c>
      <c r="B2" s="5" t="s">
        <v>140</v>
      </c>
      <c r="C2" s="5" t="s">
        <v>80</v>
      </c>
      <c r="D2" s="31">
        <v>2025</v>
      </c>
      <c r="E2" s="31">
        <v>2026</v>
      </c>
      <c r="F2" s="31">
        <v>2027</v>
      </c>
      <c r="G2" s="31">
        <v>2028</v>
      </c>
      <c r="H2" s="31">
        <v>2029</v>
      </c>
    </row>
    <row r="3" customHeight="1" spans="1:8">
      <c r="A3" s="8">
        <v>1</v>
      </c>
      <c r="B3" s="8" t="s">
        <v>333</v>
      </c>
      <c r="C3" s="13">
        <f t="shared" ref="C3:C17" si="0">SUM(D3:G3)</f>
        <v>1377.20598926779</v>
      </c>
      <c r="D3" s="13">
        <f>SUM(D4:D7)</f>
        <v>0</v>
      </c>
      <c r="E3" s="13">
        <f>SUM(E4:E7)</f>
        <v>298.814263458542</v>
      </c>
      <c r="F3" s="13">
        <f>SUM(F4:F7)</f>
        <v>478.8575385148</v>
      </c>
      <c r="G3" s="13">
        <f>SUM(G4:G7)</f>
        <v>599.534187294443</v>
      </c>
      <c r="H3" s="13">
        <f>SUM(H4:H7)</f>
        <v>714.069153051773</v>
      </c>
    </row>
    <row r="4" customHeight="1" spans="1:8">
      <c r="A4" s="8">
        <v>1.1</v>
      </c>
      <c r="B4" s="8" t="s">
        <v>334</v>
      </c>
      <c r="C4" s="13">
        <f t="shared" si="0"/>
        <v>1377.20598926779</v>
      </c>
      <c r="D4" s="13">
        <f>F项目收入!D12-F项目收入!D9</f>
        <v>0</v>
      </c>
      <c r="E4" s="13">
        <f>F项目收入!E12-F项目收入!E9</f>
        <v>298.814263458542</v>
      </c>
      <c r="F4" s="13">
        <f>F项目收入!F12-F项目收入!F9</f>
        <v>478.8575385148</v>
      </c>
      <c r="G4" s="13">
        <f>F项目收入!G12-F项目收入!G9</f>
        <v>599.534187294443</v>
      </c>
      <c r="H4" s="13">
        <f>F项目收入!H12-F项目收入!H9</f>
        <v>600.515696728406</v>
      </c>
    </row>
    <row r="5" customHeight="1" spans="1:8">
      <c r="A5" s="8">
        <v>1.2</v>
      </c>
      <c r="B5" s="8" t="s">
        <v>285</v>
      </c>
      <c r="C5" s="13">
        <f t="shared" si="0"/>
        <v>0</v>
      </c>
      <c r="D5" s="13">
        <f>F项目收入!D9</f>
        <v>0</v>
      </c>
      <c r="E5" s="13">
        <f>F项目收入!E9</f>
        <v>0</v>
      </c>
      <c r="F5" s="13">
        <f>F项目收入!F9</f>
        <v>0</v>
      </c>
      <c r="G5" s="13">
        <f>F项目收入!G9</f>
        <v>0</v>
      </c>
      <c r="H5" s="13">
        <f>F项目收入!H9</f>
        <v>0</v>
      </c>
    </row>
    <row r="6" customHeight="1" spans="1:8">
      <c r="A6" s="8">
        <v>1.3</v>
      </c>
      <c r="B6" s="8" t="s">
        <v>335</v>
      </c>
      <c r="C6" s="13">
        <f t="shared" si="0"/>
        <v>0</v>
      </c>
      <c r="D6" s="13" t="s">
        <v>131</v>
      </c>
      <c r="E6" s="13" t="s">
        <v>131</v>
      </c>
      <c r="F6" s="13" t="s">
        <v>131</v>
      </c>
      <c r="G6" s="13" t="s">
        <v>131</v>
      </c>
      <c r="H6" s="50">
        <f>E.2固定资产折旧费估算表!C7*A财务假设!$D$12</f>
        <v>99.0825063233665</v>
      </c>
    </row>
    <row r="7" customHeight="1" spans="1:8">
      <c r="A7" s="8">
        <v>1.4</v>
      </c>
      <c r="B7" s="8" t="s">
        <v>336</v>
      </c>
      <c r="C7" s="13">
        <f t="shared" si="0"/>
        <v>0</v>
      </c>
      <c r="D7" s="13" t="s">
        <v>131</v>
      </c>
      <c r="E7" s="13" t="s">
        <v>131</v>
      </c>
      <c r="F7" s="13" t="s">
        <v>131</v>
      </c>
      <c r="G7" s="13" t="s">
        <v>131</v>
      </c>
      <c r="H7" s="50">
        <f>D.4流动资金估算表!I13</f>
        <v>14.47095</v>
      </c>
    </row>
    <row r="8" customHeight="1" spans="1:8">
      <c r="A8" s="8">
        <v>2</v>
      </c>
      <c r="B8" s="8" t="s">
        <v>337</v>
      </c>
      <c r="C8" s="13">
        <f t="shared" si="0"/>
        <v>-18177.7993104251</v>
      </c>
      <c r="D8" s="13">
        <f>SUM(D9:D16)</f>
        <v>-1680.272</v>
      </c>
      <c r="E8" s="13">
        <f>SUM(E9:E16)</f>
        <v>-9134.9626447338</v>
      </c>
      <c r="F8" s="13">
        <f>SUM(F9:F16)</f>
        <v>-8423.44925235795</v>
      </c>
      <c r="G8" s="13">
        <f>SUM(G9:G16)</f>
        <v>1060.88458666667</v>
      </c>
      <c r="H8" s="13">
        <f>SUM(H9:H16)</f>
        <v>1078.83609333333</v>
      </c>
    </row>
    <row r="9" customHeight="1" spans="1:8">
      <c r="A9" s="8">
        <v>2.1</v>
      </c>
      <c r="B9" s="8" t="s">
        <v>117</v>
      </c>
      <c r="C9" s="13">
        <f t="shared" si="0"/>
        <v>-19351.5078233333</v>
      </c>
      <c r="D9" s="13">
        <f>D.2项目总投资使用计划与资金筹措表!D8</f>
        <v>-1680.272</v>
      </c>
      <c r="E9" s="13">
        <f>D.2项目总投资使用计划与资金筹措表!E8</f>
        <v>-9321.76986222222</v>
      </c>
      <c r="F9" s="13">
        <f>D.2项目总投资使用计划与资金筹措表!F8</f>
        <v>-8818.41522777778</v>
      </c>
      <c r="G9" s="13">
        <f>D.2项目总投资使用计划与资金筹措表!G8</f>
        <v>468.949266666667</v>
      </c>
      <c r="H9" s="13">
        <f>D.2项目总投资使用计划与资金筹措表!H8</f>
        <v>470.586773333333</v>
      </c>
    </row>
    <row r="10" customHeight="1" spans="1:8">
      <c r="A10" s="8">
        <v>2.2</v>
      </c>
      <c r="B10" s="8" t="s">
        <v>373</v>
      </c>
      <c r="C10" s="13">
        <f t="shared" si="0"/>
        <v>0</v>
      </c>
      <c r="D10" s="13">
        <f>c借款还本付息计划表!D30</f>
        <v>0</v>
      </c>
      <c r="E10" s="13">
        <f>c借款还本付息计划表!E30</f>
        <v>0</v>
      </c>
      <c r="F10" s="13">
        <f>c借款还本付息计划表!F30</f>
        <v>0</v>
      </c>
      <c r="G10" s="13">
        <f>c借款还本付息计划表!G30</f>
        <v>0</v>
      </c>
      <c r="H10" s="13">
        <f>c借款还本付息计划表!H30</f>
        <v>0</v>
      </c>
    </row>
    <row r="11" customHeight="1" spans="1:8">
      <c r="A11" s="8">
        <v>2.3</v>
      </c>
      <c r="B11" s="8" t="s">
        <v>374</v>
      </c>
      <c r="C11" s="13">
        <f t="shared" si="0"/>
        <v>763.2</v>
      </c>
      <c r="D11" s="13">
        <f>c借款还本付息计划表!D31</f>
        <v>0</v>
      </c>
      <c r="E11" s="13">
        <f>c借款还本付息计划表!E31</f>
        <v>42.4</v>
      </c>
      <c r="F11" s="13">
        <f>c借款还本付息计划表!F31</f>
        <v>254.4</v>
      </c>
      <c r="G11" s="13">
        <f>c借款还本付息计划表!G31</f>
        <v>466.4</v>
      </c>
      <c r="H11" s="13">
        <f>c借款还本付息计划表!H31</f>
        <v>466.4</v>
      </c>
    </row>
    <row r="12" customHeight="1" spans="1:8">
      <c r="A12" s="8">
        <v>2.4</v>
      </c>
      <c r="B12" s="8" t="s">
        <v>338</v>
      </c>
      <c r="C12" s="13">
        <f t="shared" si="0"/>
        <v>336.94616</v>
      </c>
      <c r="D12" s="13">
        <f>E总成本费用估算表!C11</f>
        <v>0</v>
      </c>
      <c r="E12" s="13">
        <f>E总成本费用估算表!D11</f>
        <v>107.20012</v>
      </c>
      <c r="F12" s="13">
        <f>E总成本费用估算表!E11</f>
        <v>107.21072</v>
      </c>
      <c r="G12" s="13">
        <f>E总成本费用估算表!F11</f>
        <v>122.53532</v>
      </c>
      <c r="H12" s="13">
        <f>E总成本费用估算表!G11</f>
        <v>137.84932</v>
      </c>
    </row>
    <row r="13" customHeight="1" spans="1:8">
      <c r="A13" s="8">
        <v>2.5</v>
      </c>
      <c r="B13" s="8" t="s">
        <v>339</v>
      </c>
      <c r="C13" s="13">
        <f t="shared" si="0"/>
        <v>0</v>
      </c>
      <c r="D13" s="39">
        <f>G.税金及附加测算表!D30</f>
        <v>0</v>
      </c>
      <c r="E13" s="39">
        <f>G.税金及附加测算表!E30</f>
        <v>0</v>
      </c>
      <c r="F13" s="39">
        <f>G.税金及附加测算表!F30</f>
        <v>0</v>
      </c>
      <c r="G13" s="39">
        <f>G.税金及附加测算表!G30</f>
        <v>0</v>
      </c>
      <c r="H13" s="39">
        <f>G.税金及附加测算表!H30</f>
        <v>0</v>
      </c>
    </row>
    <row r="14" customHeight="1" spans="1:8">
      <c r="A14" s="8">
        <v>2.6</v>
      </c>
      <c r="B14" s="8" t="s">
        <v>340</v>
      </c>
      <c r="C14" s="13">
        <f t="shared" si="0"/>
        <v>0</v>
      </c>
      <c r="D14" s="39">
        <f>G.税金及附加测算表!D29</f>
        <v>0</v>
      </c>
      <c r="E14" s="39">
        <f>G.税金及附加测算表!E29</f>
        <v>0</v>
      </c>
      <c r="F14" s="39">
        <f>G.税金及附加测算表!F29</f>
        <v>0</v>
      </c>
      <c r="G14" s="39">
        <f>G.税金及附加测算表!G29</f>
        <v>0</v>
      </c>
      <c r="H14" s="39">
        <f>G.税金及附加测算表!H29</f>
        <v>0</v>
      </c>
    </row>
    <row r="15" customHeight="1" spans="1:8">
      <c r="A15" s="8">
        <v>2.7</v>
      </c>
      <c r="B15" s="8" t="s">
        <v>375</v>
      </c>
      <c r="C15" s="13">
        <f t="shared" si="0"/>
        <v>67.5623529082563</v>
      </c>
      <c r="D15" s="13">
        <f>'b利润与利润分配表（损益和利润分配表）'!D11</f>
        <v>0</v>
      </c>
      <c r="E15" s="13">
        <f>'b利润与利润分配表（损益和利润分配表）'!E11</f>
        <v>36.207097488427</v>
      </c>
      <c r="F15" s="13">
        <f>'b利润与利润分配表（损益和利润分配表）'!F11</f>
        <v>31.3552554198293</v>
      </c>
      <c r="G15" s="13">
        <f>'b利润与利润分配表（损益和利润分配表）'!G11</f>
        <v>0</v>
      </c>
      <c r="H15" s="13">
        <f>'b利润与利润分配表（损益和利润分配表）'!H11</f>
        <v>0</v>
      </c>
    </row>
    <row r="16" customHeight="1" spans="1:8">
      <c r="A16" s="8">
        <v>2.8</v>
      </c>
      <c r="B16" s="8" t="s">
        <v>341</v>
      </c>
      <c r="C16" s="13">
        <f t="shared" si="0"/>
        <v>6</v>
      </c>
      <c r="D16" s="37">
        <v>0</v>
      </c>
      <c r="E16" s="37">
        <v>1</v>
      </c>
      <c r="F16" s="37">
        <v>2</v>
      </c>
      <c r="G16" s="37">
        <v>3</v>
      </c>
      <c r="H16" s="37">
        <v>4</v>
      </c>
    </row>
    <row r="17" customHeight="1" spans="1:8">
      <c r="A17" s="8">
        <v>3</v>
      </c>
      <c r="B17" s="8" t="s">
        <v>376</v>
      </c>
      <c r="C17" s="13">
        <f t="shared" si="0"/>
        <v>19555.0052996929</v>
      </c>
      <c r="D17" s="13">
        <f>D3-D8</f>
        <v>1680.272</v>
      </c>
      <c r="E17" s="13">
        <f>E3-E8</f>
        <v>9433.77690819234</v>
      </c>
      <c r="F17" s="13">
        <f>F3-F8</f>
        <v>8902.30679087275</v>
      </c>
      <c r="G17" s="13">
        <f>G3-G8</f>
        <v>-461.350399372224</v>
      </c>
      <c r="H17" s="13">
        <f>H3-H8</f>
        <v>-364.766940281561</v>
      </c>
    </row>
    <row r="18" customHeight="1" spans="1:8">
      <c r="A18" s="8" t="s">
        <v>351</v>
      </c>
      <c r="B18" s="40" t="s">
        <v>377</v>
      </c>
      <c r="C18" s="8"/>
      <c r="D18" s="51" t="e">
        <f>IRR(D17:H17)</f>
        <v>#NUM!</v>
      </c>
      <c r="E18" s="52"/>
      <c r="F18" s="52"/>
      <c r="G18" s="52"/>
      <c r="H18" s="53"/>
    </row>
  </sheetData>
  <mergeCells count="1">
    <mergeCell ref="A1:G1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tabColor rgb="FFFFC000"/>
  </sheetPr>
  <dimension ref="A1:P31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G30" sqref="G30"/>
    </sheetView>
  </sheetViews>
  <sheetFormatPr defaultColWidth="8.89090909090909" defaultRowHeight="28.05" customHeight="1"/>
  <cols>
    <col min="1" max="1" width="8.89090909090909" style="43" customWidth="1"/>
    <col min="2" max="2" width="30.2181818181818" style="43" customWidth="1"/>
    <col min="3" max="3" width="12.5545454545455" style="43" customWidth="1"/>
    <col min="4" max="4" width="6.89090909090909" style="43" customWidth="1"/>
    <col min="5" max="6" width="9.33636363636364" style="43" customWidth="1"/>
    <col min="7" max="8" width="10.2181818181818" style="43" customWidth="1"/>
    <col min="9" max="16384" width="8.89090909090909" style="43" customWidth="1"/>
  </cols>
  <sheetData>
    <row r="1" ht="20" customHeight="1" spans="1:8">
      <c r="A1" s="36" t="s">
        <v>378</v>
      </c>
      <c r="B1" s="3"/>
      <c r="C1" s="3"/>
      <c r="D1" s="3"/>
      <c r="E1" s="3"/>
      <c r="F1" s="3"/>
      <c r="G1" s="3"/>
      <c r="H1" s="4"/>
    </row>
    <row r="2" ht="16.5" customHeight="1" spans="1:16">
      <c r="A2" s="5" t="s">
        <v>1</v>
      </c>
      <c r="B2" s="5" t="s">
        <v>140</v>
      </c>
      <c r="C2" s="5" t="s">
        <v>80</v>
      </c>
      <c r="D2" s="31">
        <v>2025</v>
      </c>
      <c r="E2" s="31">
        <v>2026</v>
      </c>
      <c r="F2" s="31">
        <v>2027</v>
      </c>
      <c r="G2" s="31">
        <v>2028</v>
      </c>
      <c r="H2" s="31">
        <v>2029</v>
      </c>
      <c r="I2"/>
      <c r="J2"/>
      <c r="K2"/>
      <c r="L2"/>
      <c r="M2"/>
      <c r="N2"/>
      <c r="O2"/>
      <c r="P2"/>
    </row>
    <row r="3" ht="21.6" customHeight="1" spans="1:16">
      <c r="A3" s="8">
        <v>1</v>
      </c>
      <c r="B3" s="8" t="s">
        <v>379</v>
      </c>
      <c r="C3" s="39">
        <f t="shared" ref="C3:C8" si="0">SUM(D3:H3)</f>
        <v>1977.72168599619</v>
      </c>
      <c r="D3" s="39">
        <f>F项目收入!D12</f>
        <v>0</v>
      </c>
      <c r="E3" s="39">
        <f>F项目收入!E12</f>
        <v>298.814263458542</v>
      </c>
      <c r="F3" s="39">
        <f>F项目收入!F12</f>
        <v>478.8575385148</v>
      </c>
      <c r="G3" s="39">
        <f>F项目收入!G12</f>
        <v>599.534187294443</v>
      </c>
      <c r="H3" s="39">
        <f>F项目收入!H12</f>
        <v>600.515696728406</v>
      </c>
      <c r="I3"/>
      <c r="J3"/>
      <c r="K3"/>
      <c r="L3"/>
      <c r="M3"/>
      <c r="N3"/>
      <c r="O3"/>
      <c r="P3"/>
    </row>
    <row r="4" ht="21.6" customHeight="1" spans="1:16">
      <c r="A4" s="8">
        <v>2</v>
      </c>
      <c r="B4" s="8" t="s">
        <v>339</v>
      </c>
      <c r="C4" s="13">
        <f t="shared" si="0"/>
        <v>0</v>
      </c>
      <c r="D4" s="39">
        <f>G.税金及附加测算表!D30</f>
        <v>0</v>
      </c>
      <c r="E4" s="39">
        <f>G.税金及附加测算表!E30</f>
        <v>0</v>
      </c>
      <c r="F4" s="39">
        <f>G.税金及附加测算表!F30</f>
        <v>0</v>
      </c>
      <c r="G4" s="39">
        <f>G.税金及附加测算表!G30</f>
        <v>0</v>
      </c>
      <c r="H4" s="39">
        <f>G.税金及附加测算表!H30</f>
        <v>0</v>
      </c>
      <c r="I4"/>
      <c r="J4"/>
      <c r="K4"/>
      <c r="L4"/>
      <c r="M4"/>
      <c r="N4"/>
      <c r="O4"/>
      <c r="P4"/>
    </row>
    <row r="5" ht="21.6" customHeight="1" spans="1:16">
      <c r="A5" s="8">
        <v>3</v>
      </c>
      <c r="B5" s="8" t="s">
        <v>380</v>
      </c>
      <c r="C5" s="13">
        <f t="shared" si="0"/>
        <v>2224.21630703394</v>
      </c>
      <c r="D5" s="13">
        <f>E总成本费用估算表!C15-G.税金及附加测算表!D4</f>
        <v>0</v>
      </c>
      <c r="E5" s="13">
        <f>E总成本费用估算表!D15-G.税金及附加测算表!E4</f>
        <v>153.985873504834</v>
      </c>
      <c r="F5" s="13">
        <f>E总成本费用估算表!E15-G.税金及附加测算表!F4</f>
        <v>353.436516835483</v>
      </c>
      <c r="G5" s="13">
        <f>E总成本费用估算表!F15-G.税金及附加测算表!G4</f>
        <v>857.603808336095</v>
      </c>
      <c r="H5" s="13">
        <f>E总成本费用估算表!G15-G.税金及附加测算表!H4</f>
        <v>859.190108357527</v>
      </c>
      <c r="I5"/>
      <c r="J5"/>
      <c r="K5"/>
      <c r="L5"/>
      <c r="M5"/>
      <c r="N5"/>
      <c r="O5"/>
      <c r="P5"/>
    </row>
    <row r="6" ht="21.6" customHeight="1" spans="1:16">
      <c r="A6" s="8">
        <v>4</v>
      </c>
      <c r="B6" s="8" t="s">
        <v>285</v>
      </c>
      <c r="C6" s="13">
        <f t="shared" si="0"/>
        <v>0</v>
      </c>
      <c r="D6" s="13">
        <f>F项目收入!D9</f>
        <v>0</v>
      </c>
      <c r="E6" s="13">
        <f>F项目收入!E9</f>
        <v>0</v>
      </c>
      <c r="F6" s="13">
        <f>F项目收入!F9</f>
        <v>0</v>
      </c>
      <c r="G6" s="13">
        <f>F项目收入!G9</f>
        <v>0</v>
      </c>
      <c r="H6" s="13">
        <f>F项目收入!H9</f>
        <v>0</v>
      </c>
      <c r="I6"/>
      <c r="J6"/>
      <c r="K6"/>
      <c r="L6"/>
      <c r="M6"/>
      <c r="N6"/>
      <c r="O6"/>
      <c r="P6"/>
    </row>
    <row r="7" ht="21.6" customHeight="1" spans="1:16">
      <c r="A7" s="8">
        <v>5</v>
      </c>
      <c r="B7" s="8" t="s">
        <v>381</v>
      </c>
      <c r="C7" s="13">
        <f t="shared" si="0"/>
        <v>-246.494621037747</v>
      </c>
      <c r="D7" s="13">
        <f>D3-D4-D5+D6</f>
        <v>0</v>
      </c>
      <c r="E7" s="13">
        <f>E3-E4-E5+E6</f>
        <v>144.828389953708</v>
      </c>
      <c r="F7" s="13">
        <f>F3-F4-F5+F6</f>
        <v>125.421021679317</v>
      </c>
      <c r="G7" s="13">
        <f>G3-G4-G5+G6</f>
        <v>-258.069621041652</v>
      </c>
      <c r="H7" s="13">
        <f>H3-H4-H5+H6</f>
        <v>-258.674411629121</v>
      </c>
      <c r="I7"/>
      <c r="J7"/>
      <c r="K7"/>
      <c r="L7"/>
      <c r="M7"/>
      <c r="N7"/>
      <c r="O7"/>
      <c r="P7"/>
    </row>
    <row r="8" ht="21.6" customHeight="1" spans="1:16">
      <c r="A8" s="8">
        <v>6</v>
      </c>
      <c r="B8" s="8" t="s">
        <v>382</v>
      </c>
      <c r="C8" s="13">
        <f t="shared" si="0"/>
        <v>0</v>
      </c>
      <c r="D8" s="39">
        <v>0</v>
      </c>
      <c r="E8" s="13">
        <f>IF(E7&lt;0,0,IF(D9&lt;0,IF((E7+D9)&lt;0,E7,-D9),0))</f>
        <v>0</v>
      </c>
      <c r="F8" s="13">
        <f>IF(F7&lt;0,0,IF(E9&lt;0,IF((F7+E9)&lt;0,F7,-E9),0))</f>
        <v>0</v>
      </c>
      <c r="G8" s="13">
        <f>IF(G7&lt;0,0,IF(F9&lt;0,IF((G7+F9)&lt;0,G7,-F9),0))</f>
        <v>0</v>
      </c>
      <c r="H8" s="13">
        <f>IF(H7&lt;0,0,IF(G9&lt;0,IF((H7+G9)&lt;0,H7,-G9),0))</f>
        <v>0</v>
      </c>
      <c r="I8"/>
      <c r="J8"/>
      <c r="K8"/>
      <c r="L8"/>
      <c r="M8"/>
      <c r="N8"/>
      <c r="O8"/>
      <c r="P8"/>
    </row>
    <row r="9" ht="21.6" customHeight="1" spans="1:16">
      <c r="A9" s="8"/>
      <c r="B9" s="8" t="s">
        <v>383</v>
      </c>
      <c r="C9" s="13" t="s">
        <v>131</v>
      </c>
      <c r="D9" s="13">
        <f>IF(D7&lt;0,D7,0)</f>
        <v>0</v>
      </c>
      <c r="E9" s="13">
        <f>IF(E7&lt;0,E7+D9,D9+E8)</f>
        <v>0</v>
      </c>
      <c r="F9" s="13">
        <f>IF(F7&lt;0,F7+E9,E9+F8)</f>
        <v>0</v>
      </c>
      <c r="G9" s="13">
        <f>IF(G7&lt;0,G7+F9,F9+G8)</f>
        <v>-258.069621041652</v>
      </c>
      <c r="H9" s="13">
        <f>IF(H7&lt;0,H7+G9,G9+H8)</f>
        <v>-516.744032670773</v>
      </c>
      <c r="I9"/>
      <c r="J9"/>
      <c r="K9"/>
      <c r="L9"/>
      <c r="M9"/>
      <c r="N9"/>
      <c r="O9"/>
      <c r="P9"/>
    </row>
    <row r="10" ht="21.6" customHeight="1" spans="1:16">
      <c r="A10" s="8">
        <v>7</v>
      </c>
      <c r="B10" s="8" t="s">
        <v>384</v>
      </c>
      <c r="C10" s="13">
        <f t="shared" ref="C10:C26" si="1">SUM(D10:H10)</f>
        <v>270.249411633025</v>
      </c>
      <c r="D10" s="13">
        <f>IF(D9&lt;0,0,(D7-D8))</f>
        <v>0</v>
      </c>
      <c r="E10" s="13">
        <f>IF(E9&lt;0,0,(E7-E8))</f>
        <v>144.828389953708</v>
      </c>
      <c r="F10" s="13">
        <f>IF(F9&lt;0,0,(F7-F8))</f>
        <v>125.421021679317</v>
      </c>
      <c r="G10" s="13">
        <f>IF(G9&lt;0,0,(G7-G8))</f>
        <v>0</v>
      </c>
      <c r="H10" s="13">
        <f>IF(H9&lt;0,0,(H7-H8))</f>
        <v>0</v>
      </c>
      <c r="I10"/>
      <c r="J10"/>
      <c r="K10"/>
      <c r="L10"/>
      <c r="M10"/>
      <c r="N10"/>
      <c r="O10"/>
      <c r="P10"/>
    </row>
    <row r="11" ht="21.6" customHeight="1" spans="1:16">
      <c r="A11" s="8">
        <v>8</v>
      </c>
      <c r="B11" s="34" t="s">
        <v>375</v>
      </c>
      <c r="C11" s="13">
        <f t="shared" si="1"/>
        <v>67.5623529082563</v>
      </c>
      <c r="D11" s="13">
        <f>D10*A财务假设!$D$9</f>
        <v>0</v>
      </c>
      <c r="E11" s="13">
        <f>E10*A财务假设!$D$9</f>
        <v>36.207097488427</v>
      </c>
      <c r="F11" s="13">
        <f>F10*A财务假设!$D$9</f>
        <v>31.3552554198293</v>
      </c>
      <c r="G11" s="13">
        <f>G10*A财务假设!$D$9</f>
        <v>0</v>
      </c>
      <c r="H11" s="13">
        <f>H10*A财务假设!$D$9</f>
        <v>0</v>
      </c>
      <c r="I11"/>
      <c r="J11"/>
      <c r="K11"/>
      <c r="L11"/>
      <c r="M11"/>
      <c r="N11"/>
      <c r="O11"/>
      <c r="P11"/>
    </row>
    <row r="12" ht="21.6" customHeight="1" spans="1:16">
      <c r="A12" s="8">
        <v>9</v>
      </c>
      <c r="B12" s="8" t="s">
        <v>385</v>
      </c>
      <c r="C12" s="13">
        <f t="shared" si="1"/>
        <v>-314.056973946004</v>
      </c>
      <c r="D12" s="13">
        <f>D7-D11</f>
        <v>0</v>
      </c>
      <c r="E12" s="13">
        <f>E7-E11</f>
        <v>108.621292465281</v>
      </c>
      <c r="F12" s="13">
        <f>F7-F11</f>
        <v>94.0657662594879</v>
      </c>
      <c r="G12" s="13">
        <f>G7-G11</f>
        <v>-258.069621041652</v>
      </c>
      <c r="H12" s="13">
        <f>H7-H11</f>
        <v>-258.674411629121</v>
      </c>
      <c r="I12"/>
      <c r="J12"/>
      <c r="K12"/>
      <c r="L12"/>
      <c r="M12"/>
      <c r="N12"/>
      <c r="O12"/>
      <c r="P12"/>
    </row>
    <row r="13" ht="21.6" customHeight="1" spans="1:16">
      <c r="A13" s="8">
        <v>10</v>
      </c>
      <c r="B13" s="8" t="s">
        <v>386</v>
      </c>
      <c r="C13" s="13">
        <f t="shared" si="1"/>
        <v>0</v>
      </c>
      <c r="D13" s="37">
        <v>0</v>
      </c>
      <c r="E13" s="37">
        <v>0</v>
      </c>
      <c r="F13" s="37">
        <v>0</v>
      </c>
      <c r="G13" s="37">
        <v>0</v>
      </c>
      <c r="H13" s="37">
        <v>0</v>
      </c>
      <c r="I13"/>
      <c r="J13"/>
      <c r="K13"/>
      <c r="L13"/>
      <c r="M13"/>
      <c r="N13"/>
      <c r="O13"/>
      <c r="P13"/>
    </row>
    <row r="14" ht="21.6" customHeight="1" spans="1:16">
      <c r="A14" s="8">
        <v>11</v>
      </c>
      <c r="B14" s="8" t="s">
        <v>387</v>
      </c>
      <c r="C14" s="13">
        <f t="shared" si="1"/>
        <v>-314.056973946004</v>
      </c>
      <c r="D14" s="13">
        <f>SUM(D12:D13)</f>
        <v>0</v>
      </c>
      <c r="E14" s="13">
        <f>SUM(E12:E13)</f>
        <v>108.621292465281</v>
      </c>
      <c r="F14" s="13">
        <f>SUM(F12:F13)</f>
        <v>94.0657662594879</v>
      </c>
      <c r="G14" s="13">
        <f>SUM(G12:G13)</f>
        <v>-258.069621041652</v>
      </c>
      <c r="H14" s="13">
        <f>SUM(H12:H13)</f>
        <v>-258.674411629121</v>
      </c>
      <c r="I14"/>
      <c r="J14"/>
      <c r="K14"/>
      <c r="L14"/>
      <c r="M14"/>
      <c r="N14"/>
      <c r="O14"/>
      <c r="P14"/>
    </row>
    <row r="15" ht="21.6" customHeight="1" spans="1:16">
      <c r="A15" s="8">
        <v>12</v>
      </c>
      <c r="B15" s="8" t="s">
        <v>388</v>
      </c>
      <c r="C15" s="13">
        <f t="shared" si="1"/>
        <v>-31.4056973946004</v>
      </c>
      <c r="D15" s="13">
        <f>D12*A财务假设!$D$10</f>
        <v>0</v>
      </c>
      <c r="E15" s="13">
        <f>E12*A财务假设!$D$10</f>
        <v>10.8621292465281</v>
      </c>
      <c r="F15" s="13">
        <f>F12*A财务假设!$D$10</f>
        <v>9.40657662594879</v>
      </c>
      <c r="G15" s="13">
        <f>G12*A财务假设!$D$10</f>
        <v>-25.8069621041652</v>
      </c>
      <c r="H15" s="13">
        <f>H12*A财务假设!$D$10</f>
        <v>-25.8674411629121</v>
      </c>
      <c r="I15"/>
      <c r="J15"/>
      <c r="K15"/>
      <c r="L15"/>
      <c r="M15"/>
      <c r="N15"/>
      <c r="O15"/>
      <c r="P15"/>
    </row>
    <row r="16" ht="21.6" customHeight="1" spans="1:16">
      <c r="A16" s="8">
        <v>13</v>
      </c>
      <c r="B16" s="8" t="s">
        <v>389</v>
      </c>
      <c r="C16" s="13">
        <f t="shared" si="1"/>
        <v>-282.651276551403</v>
      </c>
      <c r="D16" s="13">
        <f>D14-D15</f>
        <v>0</v>
      </c>
      <c r="E16" s="13">
        <f>E14-E15</f>
        <v>97.7591632187529</v>
      </c>
      <c r="F16" s="13">
        <f>F14-F15</f>
        <v>84.6591896335391</v>
      </c>
      <c r="G16" s="13">
        <f>G14-G15</f>
        <v>-232.262658937487</v>
      </c>
      <c r="H16" s="13">
        <f>H14-H15</f>
        <v>-232.806970466209</v>
      </c>
      <c r="I16"/>
      <c r="J16"/>
      <c r="K16"/>
      <c r="L16"/>
      <c r="M16"/>
      <c r="N16"/>
      <c r="O16"/>
      <c r="P16"/>
    </row>
    <row r="17" ht="21.6" customHeight="1" spans="1:16">
      <c r="A17" s="8">
        <v>14</v>
      </c>
      <c r="B17" s="44" t="s">
        <v>390</v>
      </c>
      <c r="C17" s="13">
        <f t="shared" si="1"/>
        <v>0</v>
      </c>
      <c r="D17" s="37">
        <v>0</v>
      </c>
      <c r="E17" s="37">
        <v>0</v>
      </c>
      <c r="F17" s="37">
        <v>0</v>
      </c>
      <c r="G17" s="37">
        <v>0</v>
      </c>
      <c r="H17" s="37">
        <v>0</v>
      </c>
      <c r="I17"/>
      <c r="J17"/>
      <c r="K17"/>
      <c r="L17"/>
      <c r="M17"/>
      <c r="N17"/>
      <c r="O17"/>
      <c r="P17"/>
    </row>
    <row r="18" ht="21.6" customHeight="1" spans="1:16">
      <c r="A18" s="8">
        <v>15</v>
      </c>
      <c r="B18" s="44" t="s">
        <v>391</v>
      </c>
      <c r="C18" s="13">
        <f t="shared" si="1"/>
        <v>-14.1325638275702</v>
      </c>
      <c r="D18" s="13">
        <f>D16*A财务假设!$D$11</f>
        <v>0</v>
      </c>
      <c r="E18" s="13">
        <f>E16*A财务假设!$D$11</f>
        <v>4.88795816093765</v>
      </c>
      <c r="F18" s="13">
        <f>F16*A财务假设!$D$11</f>
        <v>4.23295948167696</v>
      </c>
      <c r="G18" s="13">
        <f>G16*A财务假设!$D$11</f>
        <v>-11.6131329468743</v>
      </c>
      <c r="H18" s="13">
        <f>H16*A财务假设!$D$11</f>
        <v>-11.6403485233104</v>
      </c>
      <c r="I18"/>
      <c r="J18"/>
      <c r="K18"/>
      <c r="L18"/>
      <c r="M18"/>
      <c r="N18"/>
      <c r="O18"/>
      <c r="P18"/>
    </row>
    <row r="19" ht="21.6" customHeight="1" spans="1:16">
      <c r="A19" s="8">
        <v>16</v>
      </c>
      <c r="B19" s="44" t="s">
        <v>392</v>
      </c>
      <c r="C19" s="13">
        <f t="shared" si="1"/>
        <v>-268.518712723833</v>
      </c>
      <c r="D19" s="45">
        <f>D16-D17-D18</f>
        <v>0</v>
      </c>
      <c r="E19" s="45">
        <f>E16-E17-E18</f>
        <v>92.8712050578153</v>
      </c>
      <c r="F19" s="45">
        <f>F16-F17-F18</f>
        <v>80.4262301518622</v>
      </c>
      <c r="G19" s="45">
        <f>G16-G17-G18</f>
        <v>-220.649525990612</v>
      </c>
      <c r="H19" s="45">
        <f>H16-H17-H18</f>
        <v>-221.166621942898</v>
      </c>
      <c r="I19"/>
      <c r="J19"/>
      <c r="K19"/>
      <c r="L19"/>
      <c r="M19"/>
      <c r="N19"/>
      <c r="O19"/>
      <c r="P19"/>
    </row>
    <row r="20" ht="21.6" customHeight="1" spans="1:16">
      <c r="A20" s="8">
        <v>17</v>
      </c>
      <c r="B20" s="44" t="s">
        <v>393</v>
      </c>
      <c r="C20" s="13">
        <f t="shared" si="1"/>
        <v>0</v>
      </c>
      <c r="D20" s="37">
        <v>0</v>
      </c>
      <c r="E20" s="37">
        <v>0</v>
      </c>
      <c r="F20" s="37">
        <v>0</v>
      </c>
      <c r="G20" s="37">
        <v>0</v>
      </c>
      <c r="H20" s="37">
        <v>0</v>
      </c>
      <c r="I20"/>
      <c r="J20"/>
      <c r="K20"/>
      <c r="L20"/>
      <c r="M20"/>
      <c r="N20"/>
      <c r="O20"/>
      <c r="P20"/>
    </row>
    <row r="21" ht="21.6" customHeight="1" spans="1:16">
      <c r="A21" s="8">
        <v>17.1</v>
      </c>
      <c r="B21" s="44" t="s">
        <v>394</v>
      </c>
      <c r="C21" s="13">
        <f t="shared" si="1"/>
        <v>0</v>
      </c>
      <c r="D21" s="37">
        <v>0</v>
      </c>
      <c r="E21" s="37">
        <v>0</v>
      </c>
      <c r="F21" s="37">
        <v>0</v>
      </c>
      <c r="G21" s="37">
        <v>0</v>
      </c>
      <c r="H21" s="37">
        <v>0</v>
      </c>
      <c r="I21"/>
      <c r="J21"/>
      <c r="K21"/>
      <c r="L21"/>
      <c r="M21"/>
      <c r="N21"/>
      <c r="O21"/>
      <c r="P21"/>
    </row>
    <row r="22" ht="21.6" customHeight="1" spans="1:16">
      <c r="A22" s="8">
        <v>18</v>
      </c>
      <c r="B22" s="8" t="s">
        <v>395</v>
      </c>
      <c r="C22" s="13">
        <f t="shared" si="1"/>
        <v>0</v>
      </c>
      <c r="D22" s="13">
        <f>D16-D17-D18-D19</f>
        <v>0</v>
      </c>
      <c r="E22" s="13">
        <f>E16-E17-E18-E19</f>
        <v>0</v>
      </c>
      <c r="F22" s="13">
        <f>F16-F17-F18-F19</f>
        <v>0</v>
      </c>
      <c r="G22" s="13">
        <f>G16-G17-G18-G19</f>
        <v>0</v>
      </c>
      <c r="H22" s="13">
        <f>H16-H17-H18-H19</f>
        <v>0</v>
      </c>
      <c r="I22"/>
      <c r="J22"/>
      <c r="K22"/>
      <c r="L22"/>
      <c r="M22"/>
      <c r="N22"/>
      <c r="O22"/>
      <c r="P22"/>
    </row>
    <row r="23" ht="21.6" customHeight="1" spans="1:16">
      <c r="A23" s="8">
        <v>18.1</v>
      </c>
      <c r="B23" s="8" t="s">
        <v>396</v>
      </c>
      <c r="C23" s="13">
        <f t="shared" si="1"/>
        <v>0</v>
      </c>
      <c r="D23" s="37">
        <v>0</v>
      </c>
      <c r="E23" s="37">
        <v>0</v>
      </c>
      <c r="F23" s="37">
        <v>0</v>
      </c>
      <c r="G23" s="37">
        <v>0</v>
      </c>
      <c r="H23" s="37">
        <v>0</v>
      </c>
      <c r="I23"/>
      <c r="J23"/>
      <c r="K23"/>
      <c r="L23"/>
      <c r="M23"/>
      <c r="N23"/>
      <c r="O23"/>
      <c r="P23"/>
    </row>
    <row r="24" ht="21.6" customHeight="1" spans="1:16">
      <c r="A24" s="8">
        <v>18.2</v>
      </c>
      <c r="B24" s="8" t="s">
        <v>397</v>
      </c>
      <c r="C24" s="13">
        <f t="shared" si="1"/>
        <v>0</v>
      </c>
      <c r="D24" s="13">
        <f>D22</f>
        <v>0</v>
      </c>
      <c r="E24" s="13">
        <f>E22</f>
        <v>0</v>
      </c>
      <c r="F24" s="13">
        <f>F22</f>
        <v>0</v>
      </c>
      <c r="G24" s="13">
        <f>G22</f>
        <v>0</v>
      </c>
      <c r="H24" s="13">
        <f>H22</f>
        <v>0</v>
      </c>
      <c r="I24"/>
      <c r="J24"/>
      <c r="K24"/>
      <c r="L24"/>
      <c r="M24"/>
      <c r="N24"/>
      <c r="O24"/>
      <c r="P24"/>
    </row>
    <row r="25" ht="33" customHeight="1" spans="1:16">
      <c r="A25" s="8">
        <v>19</v>
      </c>
      <c r="B25" s="34" t="s">
        <v>398</v>
      </c>
      <c r="C25" s="13">
        <f t="shared" si="1"/>
        <v>983.105378962253</v>
      </c>
      <c r="D25" s="13">
        <f>D7+E总成本费用估算表!C14</f>
        <v>0</v>
      </c>
      <c r="E25" s="13">
        <f>E7+E总成本费用估算表!D14</f>
        <v>187.228389953708</v>
      </c>
      <c r="F25" s="13">
        <f>F7+E总成本费用估算表!E14</f>
        <v>379.821021679317</v>
      </c>
      <c r="G25" s="13">
        <f>G7+E总成本费用估算表!F14</f>
        <v>208.330378958348</v>
      </c>
      <c r="H25" s="13">
        <f>H7+E总成本费用估算表!G14</f>
        <v>207.725588370879</v>
      </c>
      <c r="I25"/>
      <c r="J25"/>
      <c r="K25"/>
      <c r="L25"/>
      <c r="M25"/>
      <c r="N25"/>
      <c r="O25"/>
      <c r="P25"/>
    </row>
    <row r="26" ht="33" customHeight="1" spans="1:16">
      <c r="A26" s="8">
        <v>20</v>
      </c>
      <c r="B26" s="34" t="s">
        <v>399</v>
      </c>
      <c r="C26" s="13">
        <f t="shared" si="1"/>
        <v>1539.12624858191</v>
      </c>
      <c r="D26" s="13">
        <f>D25+E总成本费用估算表!C12+E总成本费用估算表!C13</f>
        <v>0</v>
      </c>
      <c r="E26" s="13">
        <f>E25+E总成本费用估算表!D12+E总成本费用估算表!D13</f>
        <v>199.788346623059</v>
      </c>
      <c r="F26" s="13">
        <f>F25+E总成本费用估算表!E12+E总成本费用估算表!E13</f>
        <v>379.821021679317</v>
      </c>
      <c r="G26" s="13">
        <f>G25+E总成本费用估算表!F12+E总成本费用估算表!F13</f>
        <v>486.340813768177</v>
      </c>
      <c r="H26" s="13">
        <f>H25+E总成本费用估算表!G12+E总成本费用估算表!G13</f>
        <v>473.176066511357</v>
      </c>
      <c r="I26"/>
      <c r="J26"/>
      <c r="K26"/>
      <c r="L26"/>
      <c r="M26"/>
      <c r="N26"/>
      <c r="O26"/>
      <c r="P26"/>
    </row>
    <row r="27" ht="21.6" customHeight="1" spans="1:16">
      <c r="A27" s="8">
        <v>21</v>
      </c>
      <c r="B27" s="34" t="s">
        <v>400</v>
      </c>
      <c r="C27" s="46">
        <f>(C26-C11)/[1]c借款还本付息计划表!C29</f>
        <v>0.0628894960372001</v>
      </c>
      <c r="D27" s="46"/>
      <c r="E27" s="46"/>
      <c r="F27" s="46"/>
      <c r="G27" s="46"/>
      <c r="H27" s="46"/>
      <c r="I27" s="47"/>
      <c r="J27"/>
      <c r="K27"/>
      <c r="L27"/>
      <c r="M27"/>
      <c r="N27"/>
      <c r="O27"/>
      <c r="P27"/>
    </row>
    <row r="28" ht="21.6" customHeight="1" spans="1:16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ht="14" customHeight="1" spans="9:16">
      <c r="I29"/>
      <c r="J29"/>
      <c r="K29"/>
      <c r="L29"/>
      <c r="M29"/>
      <c r="N29"/>
      <c r="O29"/>
      <c r="P29"/>
    </row>
    <row r="30" ht="14" customHeight="1" spans="9:16">
      <c r="I30"/>
      <c r="J30"/>
      <c r="K30"/>
      <c r="L30"/>
      <c r="M30"/>
      <c r="N30"/>
      <c r="O30"/>
      <c r="P30"/>
    </row>
    <row r="31" ht="14" customHeight="1" spans="9:16">
      <c r="I31"/>
      <c r="J31"/>
      <c r="K31"/>
      <c r="L31"/>
      <c r="M31"/>
      <c r="N31"/>
      <c r="O31"/>
      <c r="P31"/>
    </row>
  </sheetData>
  <mergeCells count="1">
    <mergeCell ref="A1:H1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tabColor rgb="FFFFC000"/>
  </sheetPr>
  <dimension ref="A1:Z36"/>
  <sheetViews>
    <sheetView zoomScale="70" zoomScaleNormal="70" workbookViewId="0">
      <pane xSplit="2" ySplit="2" topLeftCell="C3" activePane="bottomRight" state="frozen"/>
      <selection/>
      <selection pane="topRight"/>
      <selection pane="bottomLeft"/>
      <selection pane="bottomRight" activeCell="O36" sqref="O36"/>
    </sheetView>
  </sheetViews>
  <sheetFormatPr defaultColWidth="8.89090909090909" defaultRowHeight="28.05" customHeight="1"/>
  <cols>
    <col min="1" max="1" width="10.3363636363636" style="1" customWidth="1"/>
    <col min="2" max="2" width="22.2181818181818" style="1" customWidth="1"/>
    <col min="3" max="3" width="18.1090909090909" style="1" customWidth="1"/>
    <col min="4" max="4" width="12.1090909090909" style="1" customWidth="1"/>
    <col min="5" max="9" width="11.2181818181818" style="1" customWidth="1"/>
    <col min="10" max="10" width="11.3" style="1" customWidth="1"/>
  </cols>
  <sheetData>
    <row r="2" customHeight="1" spans="1:26">
      <c r="A2" s="42" t="s">
        <v>1</v>
      </c>
      <c r="B2" s="42" t="s">
        <v>140</v>
      </c>
      <c r="C2" s="42" t="s">
        <v>80</v>
      </c>
      <c r="D2" s="42" t="s">
        <v>401</v>
      </c>
      <c r="E2" s="42" t="s">
        <v>402</v>
      </c>
      <c r="F2" s="42" t="s">
        <v>403</v>
      </c>
      <c r="G2" s="42" t="s">
        <v>404</v>
      </c>
      <c r="H2" s="42" t="s">
        <v>405</v>
      </c>
      <c r="I2" s="42" t="s">
        <v>406</v>
      </c>
      <c r="J2" s="42" t="s">
        <v>407</v>
      </c>
      <c r="K2" s="42" t="s">
        <v>408</v>
      </c>
      <c r="L2" s="42" t="s">
        <v>409</v>
      </c>
      <c r="M2" s="42" t="s">
        <v>410</v>
      </c>
      <c r="N2" s="42" t="s">
        <v>411</v>
      </c>
      <c r="O2" s="42" t="s">
        <v>412</v>
      </c>
      <c r="P2" s="42" t="s">
        <v>413</v>
      </c>
      <c r="Q2" s="42" t="s">
        <v>414</v>
      </c>
      <c r="R2" s="42" t="s">
        <v>415</v>
      </c>
      <c r="S2" s="42" t="s">
        <v>416</v>
      </c>
      <c r="T2" s="42" t="s">
        <v>417</v>
      </c>
      <c r="U2" s="42" t="s">
        <v>418</v>
      </c>
      <c r="V2" s="42" t="s">
        <v>419</v>
      </c>
      <c r="W2" s="42" t="s">
        <v>420</v>
      </c>
      <c r="X2" s="42" t="s">
        <v>421</v>
      </c>
      <c r="Y2" s="42" t="s">
        <v>422</v>
      </c>
      <c r="Z2" s="42" t="s">
        <v>423</v>
      </c>
    </row>
    <row r="3" customHeight="1" spans="1:10">
      <c r="A3" s="22">
        <v>1</v>
      </c>
      <c r="B3" s="22" t="s">
        <v>72</v>
      </c>
      <c r="C3"/>
      <c r="J3"/>
    </row>
    <row r="4" customHeight="1" spans="1:26">
      <c r="A4" s="22" t="s">
        <v>424</v>
      </c>
      <c r="B4" s="22" t="s">
        <v>425</v>
      </c>
      <c r="C4" s="22">
        <v>0</v>
      </c>
      <c r="D4" s="22">
        <f t="shared" ref="D4:X4" si="0">(C8)</f>
        <v>0</v>
      </c>
      <c r="E4" s="22">
        <f t="shared" si="0"/>
        <v>2000</v>
      </c>
      <c r="F4" s="22">
        <f t="shared" si="0"/>
        <v>2000</v>
      </c>
      <c r="G4" s="22">
        <f t="shared" si="0"/>
        <v>2000</v>
      </c>
      <c r="H4" s="22">
        <f t="shared" si="0"/>
        <v>2000</v>
      </c>
      <c r="I4" s="22">
        <f t="shared" si="0"/>
        <v>2000</v>
      </c>
      <c r="J4" s="22">
        <f t="shared" si="0"/>
        <v>2000</v>
      </c>
      <c r="K4" s="22">
        <f t="shared" si="0"/>
        <v>2000</v>
      </c>
      <c r="L4" s="22">
        <f t="shared" si="0"/>
        <v>2000</v>
      </c>
      <c r="M4" s="22">
        <f t="shared" si="0"/>
        <v>2000</v>
      </c>
      <c r="N4" s="22">
        <f t="shared" si="0"/>
        <v>2000</v>
      </c>
      <c r="O4" s="22">
        <f t="shared" si="0"/>
        <v>2000</v>
      </c>
      <c r="P4" s="22">
        <f t="shared" si="0"/>
        <v>2000</v>
      </c>
      <c r="Q4" s="22">
        <f t="shared" si="0"/>
        <v>2000</v>
      </c>
      <c r="R4" s="22">
        <f t="shared" si="0"/>
        <v>2000</v>
      </c>
      <c r="S4" s="22">
        <f t="shared" si="0"/>
        <v>2000</v>
      </c>
      <c r="T4" s="22">
        <f t="shared" si="0"/>
        <v>2000</v>
      </c>
      <c r="U4" s="22">
        <f t="shared" si="0"/>
        <v>2000</v>
      </c>
      <c r="V4" s="22">
        <f t="shared" si="0"/>
        <v>2000</v>
      </c>
      <c r="W4" s="22">
        <f t="shared" si="0"/>
        <v>2000</v>
      </c>
      <c r="X4" s="22">
        <f t="shared" si="0"/>
        <v>2000</v>
      </c>
      <c r="Y4" s="22">
        <v>0</v>
      </c>
      <c r="Z4" s="22">
        <v>0</v>
      </c>
    </row>
    <row r="5" customHeight="1" spans="1:26">
      <c r="A5" s="22" t="s">
        <v>426</v>
      </c>
      <c r="B5" s="22" t="s">
        <v>427</v>
      </c>
      <c r="C5" s="22">
        <f>(SUM(D5:Y5))</f>
        <v>2848</v>
      </c>
      <c r="D5" s="22">
        <f t="shared" ref="D5:X5" si="1">(D6+D7)</f>
        <v>0</v>
      </c>
      <c r="E5" s="22">
        <f t="shared" si="1"/>
        <v>42.4</v>
      </c>
      <c r="F5" s="22">
        <f t="shared" si="1"/>
        <v>42.4</v>
      </c>
      <c r="G5" s="22">
        <f t="shared" si="1"/>
        <v>42.4</v>
      </c>
      <c r="H5" s="22">
        <f t="shared" si="1"/>
        <v>42.4</v>
      </c>
      <c r="I5" s="22">
        <f t="shared" si="1"/>
        <v>42.4</v>
      </c>
      <c r="J5" s="22">
        <f t="shared" si="1"/>
        <v>42.4</v>
      </c>
      <c r="K5" s="22">
        <f t="shared" si="1"/>
        <v>42.4</v>
      </c>
      <c r="L5" s="22">
        <f t="shared" si="1"/>
        <v>42.4</v>
      </c>
      <c r="M5" s="22">
        <f t="shared" si="1"/>
        <v>42.4</v>
      </c>
      <c r="N5" s="22">
        <f t="shared" si="1"/>
        <v>42.4</v>
      </c>
      <c r="O5" s="22">
        <f t="shared" si="1"/>
        <v>42.4</v>
      </c>
      <c r="P5" s="22">
        <f t="shared" si="1"/>
        <v>42.4</v>
      </c>
      <c r="Q5" s="22">
        <f t="shared" si="1"/>
        <v>42.4</v>
      </c>
      <c r="R5" s="22">
        <f t="shared" si="1"/>
        <v>42.4</v>
      </c>
      <c r="S5" s="22">
        <f t="shared" si="1"/>
        <v>42.4</v>
      </c>
      <c r="T5" s="22">
        <f t="shared" si="1"/>
        <v>42.4</v>
      </c>
      <c r="U5" s="22">
        <f t="shared" si="1"/>
        <v>42.4</v>
      </c>
      <c r="V5" s="22">
        <f t="shared" si="1"/>
        <v>42.4</v>
      </c>
      <c r="W5" s="22">
        <f t="shared" si="1"/>
        <v>42.4</v>
      </c>
      <c r="X5" s="22">
        <f t="shared" si="1"/>
        <v>2042.4</v>
      </c>
      <c r="Y5" s="22">
        <v>0</v>
      </c>
      <c r="Z5" s="22">
        <v>0</v>
      </c>
    </row>
    <row r="6" customHeight="1" spans="1:26">
      <c r="A6" s="22" t="s">
        <v>146</v>
      </c>
      <c r="B6" s="22" t="s">
        <v>428</v>
      </c>
      <c r="C6" s="22">
        <f>(SUM(D6:Y6))</f>
        <v>2000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2">
        <v>0</v>
      </c>
      <c r="U6" s="22">
        <v>0</v>
      </c>
      <c r="V6" s="22">
        <v>0</v>
      </c>
      <c r="W6" s="22">
        <v>0</v>
      </c>
      <c r="X6" s="22">
        <f>(C.1项目融资信息!$D$4)</f>
        <v>2000</v>
      </c>
      <c r="Y6" s="22">
        <v>0</v>
      </c>
      <c r="Z6" s="22">
        <v>0</v>
      </c>
    </row>
    <row r="7" customHeight="1" spans="1:26">
      <c r="A7" s="22" t="s">
        <v>148</v>
      </c>
      <c r="B7" s="22" t="s">
        <v>429</v>
      </c>
      <c r="C7" s="22">
        <f>(SUM(D7:Y7))</f>
        <v>848</v>
      </c>
      <c r="D7" s="22">
        <v>0</v>
      </c>
      <c r="E7" s="22">
        <f>((E8+E6)*C.1项目融资信息!$H$4)</f>
        <v>42.4</v>
      </c>
      <c r="F7" s="22">
        <f>((F8+F6)*C.1项目融资信息!$H$4)</f>
        <v>42.4</v>
      </c>
      <c r="G7" s="22">
        <f>((G8+G6)*C.1项目融资信息!$H$4)</f>
        <v>42.4</v>
      </c>
      <c r="H7" s="22">
        <f>((H8+H6)*C.1项目融资信息!$H$4)</f>
        <v>42.4</v>
      </c>
      <c r="I7" s="22">
        <f>((I8+I6)*C.1项目融资信息!$H$4)</f>
        <v>42.4</v>
      </c>
      <c r="J7" s="22">
        <f>((J8+J6)*C.1项目融资信息!$H$4)</f>
        <v>42.4</v>
      </c>
      <c r="K7" s="22">
        <f>((K8+K6)*C.1项目融资信息!$H$4)</f>
        <v>42.4</v>
      </c>
      <c r="L7" s="22">
        <f>((L8+L6)*C.1项目融资信息!$H$4)</f>
        <v>42.4</v>
      </c>
      <c r="M7" s="22">
        <f>((M8+M6)*C.1项目融资信息!$H$4)</f>
        <v>42.4</v>
      </c>
      <c r="N7" s="22">
        <f>((N8+N6)*C.1项目融资信息!$H$4)</f>
        <v>42.4</v>
      </c>
      <c r="O7" s="22">
        <f>((O8+O6)*C.1项目融资信息!$H$4)</f>
        <v>42.4</v>
      </c>
      <c r="P7" s="22">
        <f>((P8+P6)*C.1项目融资信息!$H$4)</f>
        <v>42.4</v>
      </c>
      <c r="Q7" s="22">
        <f>((Q8+Q6)*C.1项目融资信息!$H$4)</f>
        <v>42.4</v>
      </c>
      <c r="R7" s="22">
        <f>((R8+R6)*C.1项目融资信息!$H$4)</f>
        <v>42.4</v>
      </c>
      <c r="S7" s="22">
        <f>((S8+S6)*C.1项目融资信息!$H$4)</f>
        <v>42.4</v>
      </c>
      <c r="T7" s="22">
        <f>((T8+T6)*C.1项目融资信息!$H$4)</f>
        <v>42.4</v>
      </c>
      <c r="U7" s="22">
        <f>((U8+U6)*C.1项目融资信息!$H$4)</f>
        <v>42.4</v>
      </c>
      <c r="V7" s="22">
        <f>((V8+V6)*C.1项目融资信息!$H$4)</f>
        <v>42.4</v>
      </c>
      <c r="W7" s="22">
        <f>((W8+W6)*C.1项目融资信息!$H$4)</f>
        <v>42.4</v>
      </c>
      <c r="X7" s="22">
        <f>((X8+X6)*C.1项目融资信息!$H$4)</f>
        <v>42.4</v>
      </c>
      <c r="Y7" s="22">
        <v>0</v>
      </c>
      <c r="Z7" s="22">
        <v>0</v>
      </c>
    </row>
    <row r="8" customHeight="1" spans="1:26">
      <c r="A8" s="22" t="s">
        <v>430</v>
      </c>
      <c r="B8" s="22" t="s">
        <v>431</v>
      </c>
      <c r="C8" s="22">
        <v>0</v>
      </c>
      <c r="D8" s="22">
        <f>(D4+C.2项目每年借款信息!$C$3-D6)</f>
        <v>2000</v>
      </c>
      <c r="E8" s="22">
        <f>(E4+C.2项目每年借款信息!$D$3-E6)</f>
        <v>2000</v>
      </c>
      <c r="F8" s="22">
        <f>(F4+C.2项目每年借款信息!$E$3-F6)</f>
        <v>2000</v>
      </c>
      <c r="G8" s="22">
        <f>(G4+C.2项目每年借款信息!$F$3-G6)</f>
        <v>2000</v>
      </c>
      <c r="H8" s="22">
        <f>(H4+C.2项目每年借款信息!$G$3-H6)</f>
        <v>2000</v>
      </c>
      <c r="I8" s="22">
        <f>(I4+C.2项目每年借款信息!$H$3-I6)</f>
        <v>2000</v>
      </c>
      <c r="J8" s="22">
        <f>(J4+C.2项目每年借款信息!$I$3-J6)</f>
        <v>2000</v>
      </c>
      <c r="K8" s="22">
        <f>(K4+C.2项目每年借款信息!$J$3-K6)</f>
        <v>2000</v>
      </c>
      <c r="L8" s="22">
        <f>(L4+C.2项目每年借款信息!$K$3-L6)</f>
        <v>2000</v>
      </c>
      <c r="M8" s="22">
        <f>(M4+C.2项目每年借款信息!$L$3-M6)</f>
        <v>2000</v>
      </c>
      <c r="N8" s="22">
        <f>(N4+C.2项目每年借款信息!$M$3-N6)</f>
        <v>2000</v>
      </c>
      <c r="O8" s="22">
        <f>(O4+C.2项目每年借款信息!$N$3-O6)</f>
        <v>2000</v>
      </c>
      <c r="P8" s="22">
        <f>(P4+C.2项目每年借款信息!$O$3-P6)</f>
        <v>2000</v>
      </c>
      <c r="Q8" s="22">
        <f>(Q4+C.2项目每年借款信息!$P$3-Q6)</f>
        <v>2000</v>
      </c>
      <c r="R8" s="22">
        <f>(R4+C.2项目每年借款信息!$Q$3-R6)</f>
        <v>2000</v>
      </c>
      <c r="S8" s="22">
        <f>(S4+C.2项目每年借款信息!$R$3-S6)</f>
        <v>2000</v>
      </c>
      <c r="T8" s="22">
        <f>(T4+C.2项目每年借款信息!$S$3-T6)</f>
        <v>2000</v>
      </c>
      <c r="U8" s="22">
        <f>(U4+C.2项目每年借款信息!$T$3-U6)</f>
        <v>2000</v>
      </c>
      <c r="V8" s="22">
        <f>(V4+C.2项目每年借款信息!$U$3-V6)</f>
        <v>2000</v>
      </c>
      <c r="W8" s="22">
        <f>(W4+C.2项目每年借款信息!$V$3-W6)</f>
        <v>2000</v>
      </c>
      <c r="X8" s="22">
        <f>(X4+C.2项目每年借款信息!$W$3-X6)</f>
        <v>0</v>
      </c>
      <c r="Y8" s="22">
        <v>0</v>
      </c>
      <c r="Z8" s="22">
        <v>0</v>
      </c>
    </row>
    <row r="9" customHeight="1" spans="1:26">
      <c r="A9" s="22" t="s">
        <v>432</v>
      </c>
      <c r="B9" s="22" t="s">
        <v>433</v>
      </c>
      <c r="C9" s="22">
        <f>(SUM(D9:Y9))</f>
        <v>0.1424</v>
      </c>
      <c r="D9" s="22">
        <f>(D5*A财务假设!$D$18)</f>
        <v>0</v>
      </c>
      <c r="E9" s="22">
        <f>(E5*A财务假设!$D$18)</f>
        <v>0.00212</v>
      </c>
      <c r="F9" s="22">
        <f>(F5*A财务假设!$D$18)</f>
        <v>0.00212</v>
      </c>
      <c r="G9" s="22">
        <f>(G5*A财务假设!$D$18)</f>
        <v>0.00212</v>
      </c>
      <c r="H9" s="22">
        <f>(H5*A财务假设!$D$18)</f>
        <v>0.00212</v>
      </c>
      <c r="I9" s="22">
        <f>(I5*A财务假设!$D$18)</f>
        <v>0.00212</v>
      </c>
      <c r="J9" s="22">
        <f>(J5*A财务假设!$D$18)</f>
        <v>0.00212</v>
      </c>
      <c r="K9" s="22">
        <f>(K5*A财务假设!$D$18)</f>
        <v>0.00212</v>
      </c>
      <c r="L9" s="22">
        <f>(L5*A财务假设!$D$18)</f>
        <v>0.00212</v>
      </c>
      <c r="M9" s="22">
        <f>(M5*A财务假设!$D$18)</f>
        <v>0.00212</v>
      </c>
      <c r="N9" s="22">
        <f>(N5*A财务假设!$D$18)</f>
        <v>0.00212</v>
      </c>
      <c r="O9" s="22">
        <f>(O5*A财务假设!$D$18)</f>
        <v>0.00212</v>
      </c>
      <c r="P9" s="22">
        <f>(P5*A财务假设!$D$18)</f>
        <v>0.00212</v>
      </c>
      <c r="Q9" s="22">
        <f>(Q5*A财务假设!$D$18)</f>
        <v>0.00212</v>
      </c>
      <c r="R9" s="22">
        <f>(R5*A财务假设!$D$18)</f>
        <v>0.00212</v>
      </c>
      <c r="S9" s="22">
        <f>(S5*A财务假设!$D$18)</f>
        <v>0.00212</v>
      </c>
      <c r="T9" s="22">
        <f>(T5*A财务假设!$D$18)</f>
        <v>0.00212</v>
      </c>
      <c r="U9" s="22">
        <f>(U5*A财务假设!$D$18)</f>
        <v>0.00212</v>
      </c>
      <c r="V9" s="22">
        <f>(V5*A财务假设!$D$18)</f>
        <v>0.00212</v>
      </c>
      <c r="W9" s="22">
        <f>(W5*A财务假设!$D$18)</f>
        <v>0.00212</v>
      </c>
      <c r="X9" s="22">
        <f>(X5*A财务假设!$D$18)</f>
        <v>0.10212</v>
      </c>
      <c r="Y9" s="22">
        <v>0</v>
      </c>
      <c r="Z9" s="22">
        <v>0</v>
      </c>
    </row>
    <row r="10" customHeight="1" spans="1:26">
      <c r="A10" s="22" t="s">
        <v>434</v>
      </c>
      <c r="B10" s="22" t="s">
        <v>435</v>
      </c>
      <c r="C10" s="22">
        <f>(SUM(D10:Y10))</f>
        <v>1.728</v>
      </c>
      <c r="D10" s="22">
        <f>(C.2项目每年借款信息!$C$3*(A财务假设!$D$16+A财务假设!$D$17))</f>
        <v>1.728</v>
      </c>
      <c r="E10" s="22">
        <f>(C.2项目每年借款信息!$D$3*(A财务假设!$D$16+A财务假设!$D$17))</f>
        <v>0</v>
      </c>
      <c r="F10" s="22">
        <f>(C.2项目每年借款信息!$E$3*(A财务假设!$D$16+A财务假设!$D$17))</f>
        <v>0</v>
      </c>
      <c r="G10" s="22">
        <f>(C.2项目每年借款信息!$F$3*(A财务假设!$D$16+A财务假设!$D$17))</f>
        <v>0</v>
      </c>
      <c r="H10" s="22">
        <f>(C.2项目每年借款信息!$G$3*(A财务假设!$D$16+A财务假设!$D$17))</f>
        <v>0</v>
      </c>
      <c r="I10" s="22">
        <f>(C.2项目每年借款信息!$H$3*(A财务假设!$D$16+A财务假设!$D$17))</f>
        <v>0</v>
      </c>
      <c r="J10" s="22">
        <f>(C.2项目每年借款信息!$I$3*(A财务假设!$D$16+A财务假设!$D$17))</f>
        <v>0</v>
      </c>
      <c r="K10" s="22">
        <f>(C.2项目每年借款信息!$J$3*(A财务假设!$D$16+A财务假设!$D$17))</f>
        <v>0</v>
      </c>
      <c r="L10" s="22">
        <f>(C.2项目每年借款信息!$K$3*(A财务假设!$D$16+A财务假设!$D$17))</f>
        <v>0</v>
      </c>
      <c r="M10" s="22">
        <f>(C.2项目每年借款信息!$L$3*(A财务假设!$D$16+A财务假设!$D$17))</f>
        <v>0</v>
      </c>
      <c r="N10" s="22">
        <f>(C.2项目每年借款信息!$M$3*(A财务假设!$D$16+A财务假设!$D$17))</f>
        <v>0</v>
      </c>
      <c r="O10" s="22">
        <f>(C.2项目每年借款信息!$N$3*(A财务假设!$D$16+A财务假设!$D$17))</f>
        <v>0</v>
      </c>
      <c r="P10" s="22">
        <f>(C.2项目每年借款信息!$O$3*(A财务假设!$D$16+A财务假设!$D$17))</f>
        <v>0</v>
      </c>
      <c r="Q10" s="22">
        <f>(C.2项目每年借款信息!$P$3*(A财务假设!$D$16+A财务假设!$D$17))</f>
        <v>0</v>
      </c>
      <c r="R10" s="22">
        <f>(C.2项目每年借款信息!$Q$3*(A财务假设!$D$16+A财务假设!$D$17))</f>
        <v>0</v>
      </c>
      <c r="S10" s="22">
        <f>(C.2项目每年借款信息!$R$3*(A财务假设!$D$16+A财务假设!$D$17))</f>
        <v>0</v>
      </c>
      <c r="T10" s="22">
        <f>(C.2项目每年借款信息!$S$3*(A财务假设!$D$16+A财务假设!$D$17))</f>
        <v>0</v>
      </c>
      <c r="U10" s="22">
        <f>(C.2项目每年借款信息!$T$3*(A财务假设!$D$16+A财务假设!$D$17))</f>
        <v>0</v>
      </c>
      <c r="V10" s="22">
        <f>(C.2项目每年借款信息!$U$3*(A财务假设!$D$16+A财务假设!$D$17))</f>
        <v>0</v>
      </c>
      <c r="W10" s="22">
        <f>(C.2项目每年借款信息!$V$3*(A财务假设!$D$16+A财务假设!$D$17))</f>
        <v>0</v>
      </c>
      <c r="X10" s="22">
        <f>(C.2项目每年借款信息!$W$3*(A财务假设!$D$16+A财务假设!$D$17))</f>
        <v>0</v>
      </c>
      <c r="Y10" s="22">
        <v>0</v>
      </c>
      <c r="Z10" s="22">
        <v>0</v>
      </c>
    </row>
    <row r="11" customHeight="1" spans="1:10">
      <c r="A11" s="22">
        <v>2</v>
      </c>
      <c r="B11" s="22" t="s">
        <v>76</v>
      </c>
      <c r="C11"/>
      <c r="J11"/>
    </row>
    <row r="12" customHeight="1" spans="1:26">
      <c r="A12" s="22" t="s">
        <v>436</v>
      </c>
      <c r="B12" s="22" t="s">
        <v>425</v>
      </c>
      <c r="C12" s="22">
        <v>0</v>
      </c>
      <c r="D12" s="22">
        <v>0</v>
      </c>
      <c r="E12" s="22">
        <f t="shared" ref="E12:Y12" si="2">(D16)</f>
        <v>0</v>
      </c>
      <c r="F12" s="22">
        <f t="shared" si="2"/>
        <v>10000</v>
      </c>
      <c r="G12" s="22">
        <f t="shared" si="2"/>
        <v>10000</v>
      </c>
      <c r="H12" s="22">
        <f t="shared" si="2"/>
        <v>10000</v>
      </c>
      <c r="I12" s="22">
        <f t="shared" si="2"/>
        <v>10000</v>
      </c>
      <c r="J12" s="22">
        <f t="shared" si="2"/>
        <v>10000</v>
      </c>
      <c r="K12" s="22">
        <f t="shared" si="2"/>
        <v>10000</v>
      </c>
      <c r="L12" s="22">
        <f t="shared" si="2"/>
        <v>10000</v>
      </c>
      <c r="M12" s="22">
        <f t="shared" si="2"/>
        <v>10000</v>
      </c>
      <c r="N12" s="22">
        <f t="shared" si="2"/>
        <v>10000</v>
      </c>
      <c r="O12" s="22">
        <f t="shared" si="2"/>
        <v>10000</v>
      </c>
      <c r="P12" s="22">
        <f t="shared" si="2"/>
        <v>10000</v>
      </c>
      <c r="Q12" s="22">
        <f t="shared" si="2"/>
        <v>10000</v>
      </c>
      <c r="R12" s="22">
        <f t="shared" si="2"/>
        <v>10000</v>
      </c>
      <c r="S12" s="22">
        <f t="shared" si="2"/>
        <v>10000</v>
      </c>
      <c r="T12" s="22">
        <f t="shared" si="2"/>
        <v>10000</v>
      </c>
      <c r="U12" s="22">
        <f t="shared" si="2"/>
        <v>10000</v>
      </c>
      <c r="V12" s="22">
        <f t="shared" si="2"/>
        <v>10000</v>
      </c>
      <c r="W12" s="22">
        <f t="shared" si="2"/>
        <v>10000</v>
      </c>
      <c r="X12" s="22">
        <f t="shared" si="2"/>
        <v>10000</v>
      </c>
      <c r="Y12" s="22">
        <f t="shared" si="2"/>
        <v>10000</v>
      </c>
      <c r="Z12" s="22">
        <v>0</v>
      </c>
    </row>
    <row r="13" customHeight="1" spans="1:26">
      <c r="A13" s="22" t="s">
        <v>437</v>
      </c>
      <c r="B13" s="22" t="s">
        <v>427</v>
      </c>
      <c r="C13" s="22">
        <f>(SUM(E13:Z13))</f>
        <v>14240</v>
      </c>
      <c r="D13" s="22">
        <v>0</v>
      </c>
      <c r="E13" s="22">
        <f t="shared" ref="E13:Y13" si="3">(E14+E15)</f>
        <v>0</v>
      </c>
      <c r="F13" s="22">
        <f t="shared" si="3"/>
        <v>212</v>
      </c>
      <c r="G13" s="22">
        <f t="shared" si="3"/>
        <v>212</v>
      </c>
      <c r="H13" s="22">
        <f t="shared" si="3"/>
        <v>212</v>
      </c>
      <c r="I13" s="22">
        <f t="shared" si="3"/>
        <v>212</v>
      </c>
      <c r="J13" s="22">
        <f t="shared" si="3"/>
        <v>212</v>
      </c>
      <c r="K13" s="22">
        <f t="shared" si="3"/>
        <v>212</v>
      </c>
      <c r="L13" s="22">
        <f t="shared" si="3"/>
        <v>212</v>
      </c>
      <c r="M13" s="22">
        <f t="shared" si="3"/>
        <v>212</v>
      </c>
      <c r="N13" s="22">
        <f t="shared" si="3"/>
        <v>212</v>
      </c>
      <c r="O13" s="22">
        <f t="shared" si="3"/>
        <v>212</v>
      </c>
      <c r="P13" s="22">
        <f t="shared" si="3"/>
        <v>212</v>
      </c>
      <c r="Q13" s="22">
        <f t="shared" si="3"/>
        <v>212</v>
      </c>
      <c r="R13" s="22">
        <f t="shared" si="3"/>
        <v>212</v>
      </c>
      <c r="S13" s="22">
        <f t="shared" si="3"/>
        <v>212</v>
      </c>
      <c r="T13" s="22">
        <f t="shared" si="3"/>
        <v>212</v>
      </c>
      <c r="U13" s="22">
        <f t="shared" si="3"/>
        <v>212</v>
      </c>
      <c r="V13" s="22">
        <f t="shared" si="3"/>
        <v>212</v>
      </c>
      <c r="W13" s="22">
        <f t="shared" si="3"/>
        <v>212</v>
      </c>
      <c r="X13" s="22">
        <f t="shared" si="3"/>
        <v>212</v>
      </c>
      <c r="Y13" s="22">
        <f t="shared" si="3"/>
        <v>10212</v>
      </c>
      <c r="Z13" s="22">
        <v>0</v>
      </c>
    </row>
    <row r="14" customHeight="1" spans="1:26">
      <c r="A14" s="22" t="s">
        <v>126</v>
      </c>
      <c r="B14" s="22" t="s">
        <v>428</v>
      </c>
      <c r="C14" s="22">
        <f>(SUM(E14:Z14))</f>
        <v>10000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0</v>
      </c>
      <c r="Y14" s="22">
        <f>(C.1项目融资信息!$D$5)</f>
        <v>10000</v>
      </c>
      <c r="Z14" s="22">
        <v>0</v>
      </c>
    </row>
    <row r="15" customHeight="1" spans="1:26">
      <c r="A15" s="22" t="s">
        <v>127</v>
      </c>
      <c r="B15" s="22" t="s">
        <v>429</v>
      </c>
      <c r="C15" s="22">
        <f>(SUM(E15:Z15))</f>
        <v>4240</v>
      </c>
      <c r="D15" s="22">
        <v>0</v>
      </c>
      <c r="E15" s="22">
        <v>0</v>
      </c>
      <c r="F15" s="22">
        <f>((F16+F14)*C.1项目融资信息!$H$5)</f>
        <v>212</v>
      </c>
      <c r="G15" s="22">
        <f>((G16+G14)*C.1项目融资信息!$H$5)</f>
        <v>212</v>
      </c>
      <c r="H15" s="22">
        <f>((H16+H14)*C.1项目融资信息!$H$5)</f>
        <v>212</v>
      </c>
      <c r="I15" s="22">
        <f>((I16+I14)*C.1项目融资信息!$H$5)</f>
        <v>212</v>
      </c>
      <c r="J15" s="22">
        <f>((J16+J14)*C.1项目融资信息!$H$5)</f>
        <v>212</v>
      </c>
      <c r="K15" s="22">
        <f>((K16+K14)*C.1项目融资信息!$H$5)</f>
        <v>212</v>
      </c>
      <c r="L15" s="22">
        <f>((L16+L14)*C.1项目融资信息!$H$5)</f>
        <v>212</v>
      </c>
      <c r="M15" s="22">
        <f>((M16+M14)*C.1项目融资信息!$H$5)</f>
        <v>212</v>
      </c>
      <c r="N15" s="22">
        <f>((N16+N14)*C.1项目融资信息!$H$5)</f>
        <v>212</v>
      </c>
      <c r="O15" s="22">
        <f>((O16+O14)*C.1项目融资信息!$H$5)</f>
        <v>212</v>
      </c>
      <c r="P15" s="22">
        <f>((P16+P14)*C.1项目融资信息!$H$5)</f>
        <v>212</v>
      </c>
      <c r="Q15" s="22">
        <f>((Q16+Q14)*C.1项目融资信息!$H$5)</f>
        <v>212</v>
      </c>
      <c r="R15" s="22">
        <f>((R16+R14)*C.1项目融资信息!$H$5)</f>
        <v>212</v>
      </c>
      <c r="S15" s="22">
        <f>((S16+S14)*C.1项目融资信息!$H$5)</f>
        <v>212</v>
      </c>
      <c r="T15" s="22">
        <f>((T16+T14)*C.1项目融资信息!$H$5)</f>
        <v>212</v>
      </c>
      <c r="U15" s="22">
        <f>((U16+U14)*C.1项目融资信息!$H$5)</f>
        <v>212</v>
      </c>
      <c r="V15" s="22">
        <f>((V16+V14)*C.1项目融资信息!$H$5)</f>
        <v>212</v>
      </c>
      <c r="W15" s="22">
        <f>((W16+W14)*C.1项目融资信息!$H$5)</f>
        <v>212</v>
      </c>
      <c r="X15" s="22">
        <f>((X16+X14)*C.1项目融资信息!$H$5)</f>
        <v>212</v>
      </c>
      <c r="Y15" s="22">
        <f>((Y16+Y14)*C.1项目融资信息!$H$5)</f>
        <v>212</v>
      </c>
      <c r="Z15" s="22">
        <v>0</v>
      </c>
    </row>
    <row r="16" customHeight="1" spans="1:26">
      <c r="A16" s="22" t="s">
        <v>438</v>
      </c>
      <c r="B16" s="22" t="s">
        <v>431</v>
      </c>
      <c r="C16" s="22">
        <v>0</v>
      </c>
      <c r="D16" s="22">
        <v>0</v>
      </c>
      <c r="E16" s="22">
        <f>(E12+C.2项目每年借款信息!$D$4-E14)</f>
        <v>10000</v>
      </c>
      <c r="F16" s="22">
        <f>(F12+C.2项目每年借款信息!$E$4-F14)</f>
        <v>10000</v>
      </c>
      <c r="G16" s="22">
        <f>(G12+C.2项目每年借款信息!$F$4-G14)</f>
        <v>10000</v>
      </c>
      <c r="H16" s="22">
        <f>(H12+C.2项目每年借款信息!$G$4-H14)</f>
        <v>10000</v>
      </c>
      <c r="I16" s="22">
        <f>(I12+C.2项目每年借款信息!$H$4-I14)</f>
        <v>10000</v>
      </c>
      <c r="J16" s="22">
        <f>(J12+C.2项目每年借款信息!$I$4-J14)</f>
        <v>10000</v>
      </c>
      <c r="K16" s="22">
        <f>(K12+C.2项目每年借款信息!$J$4-K14)</f>
        <v>10000</v>
      </c>
      <c r="L16" s="22">
        <f>(L12+C.2项目每年借款信息!$K$4-L14)</f>
        <v>10000</v>
      </c>
      <c r="M16" s="22">
        <f>(M12+C.2项目每年借款信息!$L$4-M14)</f>
        <v>10000</v>
      </c>
      <c r="N16" s="22">
        <f>(N12+C.2项目每年借款信息!$M$4-N14)</f>
        <v>10000</v>
      </c>
      <c r="O16" s="22">
        <f>(O12+C.2项目每年借款信息!$N$4-O14)</f>
        <v>10000</v>
      </c>
      <c r="P16" s="22">
        <f>(P12+C.2项目每年借款信息!$O$4-P14)</f>
        <v>10000</v>
      </c>
      <c r="Q16" s="22">
        <f>(Q12+C.2项目每年借款信息!$P$4-Q14)</f>
        <v>10000</v>
      </c>
      <c r="R16" s="22">
        <f>(R12+C.2项目每年借款信息!$Q$4-R14)</f>
        <v>10000</v>
      </c>
      <c r="S16" s="22">
        <f>(S12+C.2项目每年借款信息!$R$4-S14)</f>
        <v>10000</v>
      </c>
      <c r="T16" s="22">
        <f>(T12+C.2项目每年借款信息!$S$4-T14)</f>
        <v>10000</v>
      </c>
      <c r="U16" s="22">
        <f>(U12+C.2项目每年借款信息!$T$4-U14)</f>
        <v>10000</v>
      </c>
      <c r="V16" s="22">
        <f>(V12+C.2项目每年借款信息!$U$4-V14)</f>
        <v>10000</v>
      </c>
      <c r="W16" s="22">
        <f>(W12+C.2项目每年借款信息!$V$4-W14)</f>
        <v>10000</v>
      </c>
      <c r="X16" s="22">
        <f>(X12+C.2项目每年借款信息!$W$4-X14)</f>
        <v>10000</v>
      </c>
      <c r="Y16" s="22">
        <f>(Y12+C.2项目每年借款信息!$X$4-Y14)</f>
        <v>0</v>
      </c>
      <c r="Z16" s="22">
        <v>0</v>
      </c>
    </row>
    <row r="17" customHeight="1" spans="1:26">
      <c r="A17" s="22" t="s">
        <v>439</v>
      </c>
      <c r="B17" s="22" t="s">
        <v>433</v>
      </c>
      <c r="C17" s="22">
        <f>(SUM(E17:Z17))</f>
        <v>0.712</v>
      </c>
      <c r="D17" s="22">
        <v>0</v>
      </c>
      <c r="E17" s="22">
        <f>(E13*A财务假设!$D$18)</f>
        <v>0</v>
      </c>
      <c r="F17" s="22">
        <f>(F13*A财务假设!$D$18)</f>
        <v>0.0106</v>
      </c>
      <c r="G17" s="22">
        <f>(G13*A财务假设!$D$18)</f>
        <v>0.0106</v>
      </c>
      <c r="H17" s="22">
        <f>(H13*A财务假设!$D$18)</f>
        <v>0.0106</v>
      </c>
      <c r="I17" s="22">
        <f>(I13*A财务假设!$D$18)</f>
        <v>0.0106</v>
      </c>
      <c r="J17" s="22">
        <f>(J13*A财务假设!$D$18)</f>
        <v>0.0106</v>
      </c>
      <c r="K17" s="22">
        <f>(K13*A财务假设!$D$18)</f>
        <v>0.0106</v>
      </c>
      <c r="L17" s="22">
        <f>(L13*A财务假设!$D$18)</f>
        <v>0.0106</v>
      </c>
      <c r="M17" s="22">
        <f>(M13*A财务假设!$D$18)</f>
        <v>0.0106</v>
      </c>
      <c r="N17" s="22">
        <f>(N13*A财务假设!$D$18)</f>
        <v>0.0106</v>
      </c>
      <c r="O17" s="22">
        <f>(O13*A财务假设!$D$18)</f>
        <v>0.0106</v>
      </c>
      <c r="P17" s="22">
        <f>(P13*A财务假设!$D$18)</f>
        <v>0.0106</v>
      </c>
      <c r="Q17" s="22">
        <f>(Q13*A财务假设!$D$18)</f>
        <v>0.0106</v>
      </c>
      <c r="R17" s="22">
        <f>(R13*A财务假设!$D$18)</f>
        <v>0.0106</v>
      </c>
      <c r="S17" s="22">
        <f>(S13*A财务假设!$D$18)</f>
        <v>0.0106</v>
      </c>
      <c r="T17" s="22">
        <f>(T13*A财务假设!$D$18)</f>
        <v>0.0106</v>
      </c>
      <c r="U17" s="22">
        <f>(U13*A财务假设!$D$18)</f>
        <v>0.0106</v>
      </c>
      <c r="V17" s="22">
        <f>(V13*A财务假设!$D$18)</f>
        <v>0.0106</v>
      </c>
      <c r="W17" s="22">
        <f>(W13*A财务假设!$D$18)</f>
        <v>0.0106</v>
      </c>
      <c r="X17" s="22">
        <f>(X13*A财务假设!$D$18)</f>
        <v>0.0106</v>
      </c>
      <c r="Y17" s="22">
        <f>(Y13*A财务假设!$D$18)</f>
        <v>0.5106</v>
      </c>
      <c r="Z17" s="22">
        <v>0</v>
      </c>
    </row>
    <row r="18" customHeight="1" spans="1:26">
      <c r="A18" s="22" t="s">
        <v>440</v>
      </c>
      <c r="B18" s="22" t="s">
        <v>435</v>
      </c>
      <c r="C18" s="22">
        <f>(SUM(E18:Z18))</f>
        <v>8.64</v>
      </c>
      <c r="D18" s="22">
        <v>0</v>
      </c>
      <c r="E18" s="22">
        <f>(C.2项目每年借款信息!$D$4*(A财务假设!$D$16+A财务假设!$D$17))</f>
        <v>8.64</v>
      </c>
      <c r="F18" s="22">
        <f>(C.2项目每年借款信息!$E$4*(A财务假设!$D$16+A财务假设!$D$17))</f>
        <v>0</v>
      </c>
      <c r="G18" s="22">
        <f>(C.2项目每年借款信息!$F$4*(A财务假设!$D$16+A财务假设!$D$17))</f>
        <v>0</v>
      </c>
      <c r="H18" s="22">
        <f>(C.2项目每年借款信息!$G$4*(A财务假设!$D$16+A财务假设!$D$17))</f>
        <v>0</v>
      </c>
      <c r="I18" s="22">
        <f>(C.2项目每年借款信息!$H$4*(A财务假设!$D$16+A财务假设!$D$17))</f>
        <v>0</v>
      </c>
      <c r="J18" s="22">
        <f>(C.2项目每年借款信息!$I$4*(A财务假设!$D$16+A财务假设!$D$17))</f>
        <v>0</v>
      </c>
      <c r="K18" s="22">
        <f>(C.2项目每年借款信息!$J$4*(A财务假设!$D$16+A财务假设!$D$17))</f>
        <v>0</v>
      </c>
      <c r="L18" s="22">
        <f>(C.2项目每年借款信息!$K$4*(A财务假设!$D$16+A财务假设!$D$17))</f>
        <v>0</v>
      </c>
      <c r="M18" s="22">
        <f>(C.2项目每年借款信息!$L$4*(A财务假设!$D$16+A财务假设!$D$17))</f>
        <v>0</v>
      </c>
      <c r="N18" s="22">
        <f>(C.2项目每年借款信息!$M$4*(A财务假设!$D$16+A财务假设!$D$17))</f>
        <v>0</v>
      </c>
      <c r="O18" s="22">
        <f>(C.2项目每年借款信息!$N$4*(A财务假设!$D$16+A财务假设!$D$17))</f>
        <v>0</v>
      </c>
      <c r="P18" s="22">
        <f>(C.2项目每年借款信息!$O$4*(A财务假设!$D$16+A财务假设!$D$17))</f>
        <v>0</v>
      </c>
      <c r="Q18" s="22">
        <f>(C.2项目每年借款信息!$P$4*(A财务假设!$D$16+A财务假设!$D$17))</f>
        <v>0</v>
      </c>
      <c r="R18" s="22">
        <f>(C.2项目每年借款信息!$Q$4*(A财务假设!$D$16+A财务假设!$D$17))</f>
        <v>0</v>
      </c>
      <c r="S18" s="22">
        <f>(C.2项目每年借款信息!$R$4*(A财务假设!$D$16+A财务假设!$D$17))</f>
        <v>0</v>
      </c>
      <c r="T18" s="22">
        <f>(C.2项目每年借款信息!$S$4*(A财务假设!$D$16+A财务假设!$D$17))</f>
        <v>0</v>
      </c>
      <c r="U18" s="22">
        <f>(C.2项目每年借款信息!$T$4*(A财务假设!$D$16+A财务假设!$D$17))</f>
        <v>0</v>
      </c>
      <c r="V18" s="22">
        <f>(C.2项目每年借款信息!$U$4*(A财务假设!$D$16+A财务假设!$D$17))</f>
        <v>0</v>
      </c>
      <c r="W18" s="22">
        <f>(C.2项目每年借款信息!$V$4*(A财务假设!$D$16+A财务假设!$D$17))</f>
        <v>0</v>
      </c>
      <c r="X18" s="22">
        <f>(C.2项目每年借款信息!$W$4*(A财务假设!$D$16+A财务假设!$D$17))</f>
        <v>0</v>
      </c>
      <c r="Y18" s="22">
        <f>(C.2项目每年借款信息!$X$4*(A财务假设!$D$16+A财务假设!$D$17))</f>
        <v>0</v>
      </c>
      <c r="Z18" s="22">
        <v>0</v>
      </c>
    </row>
    <row r="19" customHeight="1" spans="1:10">
      <c r="A19" s="22">
        <v>3</v>
      </c>
      <c r="B19" s="22" t="s">
        <v>77</v>
      </c>
      <c r="C19"/>
      <c r="J19"/>
    </row>
    <row r="20" customHeight="1" spans="1:26">
      <c r="A20" s="22" t="s">
        <v>441</v>
      </c>
      <c r="B20" s="22" t="s">
        <v>425</v>
      </c>
      <c r="C20" s="22">
        <v>0</v>
      </c>
      <c r="D20" s="22">
        <v>0</v>
      </c>
      <c r="E20" s="22">
        <v>0</v>
      </c>
      <c r="F20" s="22">
        <f t="shared" ref="F20:Z20" si="4">(E24)</f>
        <v>0</v>
      </c>
      <c r="G20" s="22">
        <f t="shared" si="4"/>
        <v>10000</v>
      </c>
      <c r="H20" s="22">
        <f t="shared" si="4"/>
        <v>10000</v>
      </c>
      <c r="I20" s="22">
        <f t="shared" si="4"/>
        <v>10000</v>
      </c>
      <c r="J20" s="22">
        <f t="shared" si="4"/>
        <v>10000</v>
      </c>
      <c r="K20" s="22">
        <f t="shared" si="4"/>
        <v>10000</v>
      </c>
      <c r="L20" s="22">
        <f t="shared" si="4"/>
        <v>10000</v>
      </c>
      <c r="M20" s="22">
        <f t="shared" si="4"/>
        <v>10000</v>
      </c>
      <c r="N20" s="22">
        <f t="shared" si="4"/>
        <v>10000</v>
      </c>
      <c r="O20" s="22">
        <f t="shared" si="4"/>
        <v>10000</v>
      </c>
      <c r="P20" s="22">
        <f t="shared" si="4"/>
        <v>10000</v>
      </c>
      <c r="Q20" s="22">
        <f t="shared" si="4"/>
        <v>10000</v>
      </c>
      <c r="R20" s="22">
        <f t="shared" si="4"/>
        <v>10000</v>
      </c>
      <c r="S20" s="22">
        <f t="shared" si="4"/>
        <v>10000</v>
      </c>
      <c r="T20" s="22">
        <f t="shared" si="4"/>
        <v>10000</v>
      </c>
      <c r="U20" s="22">
        <f t="shared" si="4"/>
        <v>10000</v>
      </c>
      <c r="V20" s="22">
        <f t="shared" si="4"/>
        <v>10000</v>
      </c>
      <c r="W20" s="22">
        <f t="shared" si="4"/>
        <v>10000</v>
      </c>
      <c r="X20" s="22">
        <f t="shared" si="4"/>
        <v>10000</v>
      </c>
      <c r="Y20" s="22">
        <f t="shared" si="4"/>
        <v>10000</v>
      </c>
      <c r="Z20" s="22">
        <f t="shared" si="4"/>
        <v>10000</v>
      </c>
    </row>
    <row r="21" customHeight="1" spans="1:26">
      <c r="A21" s="22" t="s">
        <v>442</v>
      </c>
      <c r="B21" s="22" t="s">
        <v>427</v>
      </c>
      <c r="C21" s="22">
        <f>(SUM(F21:AA21))</f>
        <v>14240</v>
      </c>
      <c r="D21" s="22">
        <v>0</v>
      </c>
      <c r="E21" s="22">
        <v>0</v>
      </c>
      <c r="F21" s="22">
        <f t="shared" ref="F21:Z21" si="5">(F22+F23)</f>
        <v>0</v>
      </c>
      <c r="G21" s="22">
        <f t="shared" si="5"/>
        <v>212</v>
      </c>
      <c r="H21" s="22">
        <f t="shared" si="5"/>
        <v>212</v>
      </c>
      <c r="I21" s="22">
        <f t="shared" si="5"/>
        <v>212</v>
      </c>
      <c r="J21" s="22">
        <f t="shared" si="5"/>
        <v>212</v>
      </c>
      <c r="K21" s="22">
        <f t="shared" si="5"/>
        <v>212</v>
      </c>
      <c r="L21" s="22">
        <f t="shared" si="5"/>
        <v>212</v>
      </c>
      <c r="M21" s="22">
        <f t="shared" si="5"/>
        <v>212</v>
      </c>
      <c r="N21" s="22">
        <f t="shared" si="5"/>
        <v>212</v>
      </c>
      <c r="O21" s="22">
        <f t="shared" si="5"/>
        <v>212</v>
      </c>
      <c r="P21" s="22">
        <f t="shared" si="5"/>
        <v>212</v>
      </c>
      <c r="Q21" s="22">
        <f t="shared" si="5"/>
        <v>212</v>
      </c>
      <c r="R21" s="22">
        <f t="shared" si="5"/>
        <v>212</v>
      </c>
      <c r="S21" s="22">
        <f t="shared" si="5"/>
        <v>212</v>
      </c>
      <c r="T21" s="22">
        <f t="shared" si="5"/>
        <v>212</v>
      </c>
      <c r="U21" s="22">
        <f t="shared" si="5"/>
        <v>212</v>
      </c>
      <c r="V21" s="22">
        <f t="shared" si="5"/>
        <v>212</v>
      </c>
      <c r="W21" s="22">
        <f t="shared" si="5"/>
        <v>212</v>
      </c>
      <c r="X21" s="22">
        <f t="shared" si="5"/>
        <v>212</v>
      </c>
      <c r="Y21" s="22">
        <f t="shared" si="5"/>
        <v>212</v>
      </c>
      <c r="Z21" s="22">
        <f t="shared" si="5"/>
        <v>10212</v>
      </c>
    </row>
    <row r="22" customHeight="1" spans="1:26">
      <c r="A22" s="22" t="s">
        <v>443</v>
      </c>
      <c r="B22" s="22" t="s">
        <v>428</v>
      </c>
      <c r="C22" s="22">
        <f>(SUM(F22:AA22))</f>
        <v>10000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f>(C.1项目融资信息!$D$6)</f>
        <v>10000</v>
      </c>
    </row>
    <row r="23" customHeight="1" spans="1:26">
      <c r="A23" s="22" t="s">
        <v>444</v>
      </c>
      <c r="B23" s="22" t="s">
        <v>429</v>
      </c>
      <c r="C23" s="22">
        <f>(SUM(F23:AA23))</f>
        <v>4240</v>
      </c>
      <c r="D23" s="22">
        <v>0</v>
      </c>
      <c r="E23" s="22">
        <v>0</v>
      </c>
      <c r="F23" s="22">
        <v>0</v>
      </c>
      <c r="G23" s="22">
        <f>((G24+G22)*C.1项目融资信息!$H$6)</f>
        <v>212</v>
      </c>
      <c r="H23" s="22">
        <f>((H24+H22)*C.1项目融资信息!$H$6)</f>
        <v>212</v>
      </c>
      <c r="I23" s="22">
        <f>((I24+I22)*C.1项目融资信息!$H$6)</f>
        <v>212</v>
      </c>
      <c r="J23" s="22">
        <f>((J24+J22)*C.1项目融资信息!$H$6)</f>
        <v>212</v>
      </c>
      <c r="K23" s="22">
        <f>((K24+K22)*C.1项目融资信息!$H$6)</f>
        <v>212</v>
      </c>
      <c r="L23" s="22">
        <f>((L24+L22)*C.1项目融资信息!$H$6)</f>
        <v>212</v>
      </c>
      <c r="M23" s="22">
        <f>((M24+M22)*C.1项目融资信息!$H$6)</f>
        <v>212</v>
      </c>
      <c r="N23" s="22">
        <f>((N24+N22)*C.1项目融资信息!$H$6)</f>
        <v>212</v>
      </c>
      <c r="O23" s="22">
        <f>((O24+O22)*C.1项目融资信息!$H$6)</f>
        <v>212</v>
      </c>
      <c r="P23" s="22">
        <f>((P24+P22)*C.1项目融资信息!$H$6)</f>
        <v>212</v>
      </c>
      <c r="Q23" s="22">
        <f>((Q24+Q22)*C.1项目融资信息!$H$6)</f>
        <v>212</v>
      </c>
      <c r="R23" s="22">
        <f>((R24+R22)*C.1项目融资信息!$H$6)</f>
        <v>212</v>
      </c>
      <c r="S23" s="22">
        <f>((S24+S22)*C.1项目融资信息!$H$6)</f>
        <v>212</v>
      </c>
      <c r="T23" s="22">
        <f>((T24+T22)*C.1项目融资信息!$H$6)</f>
        <v>212</v>
      </c>
      <c r="U23" s="22">
        <f>((U24+U22)*C.1项目融资信息!$H$6)</f>
        <v>212</v>
      </c>
      <c r="V23" s="22">
        <f>((V24+V22)*C.1项目融资信息!$H$6)</f>
        <v>212</v>
      </c>
      <c r="W23" s="22">
        <f>((W24+W22)*C.1项目融资信息!$H$6)</f>
        <v>212</v>
      </c>
      <c r="X23" s="22">
        <f>((X24+X22)*C.1项目融资信息!$H$6)</f>
        <v>212</v>
      </c>
      <c r="Y23" s="22">
        <f>((Y24+Y22)*C.1项目融资信息!$H$6)</f>
        <v>212</v>
      </c>
      <c r="Z23" s="22">
        <f>((Z24+Z22)*C.1项目融资信息!$H$6)</f>
        <v>212</v>
      </c>
    </row>
    <row r="24" customHeight="1" spans="1:26">
      <c r="A24" s="22" t="s">
        <v>445</v>
      </c>
      <c r="B24" s="22" t="s">
        <v>431</v>
      </c>
      <c r="C24" s="22">
        <v>0</v>
      </c>
      <c r="D24" s="22">
        <v>0</v>
      </c>
      <c r="E24" s="22">
        <v>0</v>
      </c>
      <c r="F24" s="22">
        <f>(F20+C.2项目每年借款信息!$E$5-F22)</f>
        <v>10000</v>
      </c>
      <c r="G24" s="22">
        <f>(G20+C.2项目每年借款信息!$F$5-G22)</f>
        <v>10000</v>
      </c>
      <c r="H24" s="22">
        <f>(H20+C.2项目每年借款信息!$G$5-H22)</f>
        <v>10000</v>
      </c>
      <c r="I24" s="22">
        <f>(I20+C.2项目每年借款信息!$H$5-I22)</f>
        <v>10000</v>
      </c>
      <c r="J24" s="22">
        <f>(J20+C.2项目每年借款信息!$I$5-J22)</f>
        <v>10000</v>
      </c>
      <c r="K24" s="22">
        <f>(K20+C.2项目每年借款信息!$J$5-K22)</f>
        <v>10000</v>
      </c>
      <c r="L24" s="22">
        <f>(L20+C.2项目每年借款信息!$K$5-L22)</f>
        <v>10000</v>
      </c>
      <c r="M24" s="22">
        <f>(M20+C.2项目每年借款信息!$L$5-M22)</f>
        <v>10000</v>
      </c>
      <c r="N24" s="22">
        <f>(N20+C.2项目每年借款信息!$M$5-N22)</f>
        <v>10000</v>
      </c>
      <c r="O24" s="22">
        <f>(O20+C.2项目每年借款信息!$N$5-O22)</f>
        <v>10000</v>
      </c>
      <c r="P24" s="22">
        <f>(P20+C.2项目每年借款信息!$O$5-P22)</f>
        <v>10000</v>
      </c>
      <c r="Q24" s="22">
        <f>(Q20+C.2项目每年借款信息!$P$5-Q22)</f>
        <v>10000</v>
      </c>
      <c r="R24" s="22">
        <f>(R20+C.2项目每年借款信息!$Q$5-R22)</f>
        <v>10000</v>
      </c>
      <c r="S24" s="22">
        <f>(S20+C.2项目每年借款信息!$R$5-S22)</f>
        <v>10000</v>
      </c>
      <c r="T24" s="22">
        <f>(T20+C.2项目每年借款信息!$S$5-T22)</f>
        <v>10000</v>
      </c>
      <c r="U24" s="22">
        <f>(U20+C.2项目每年借款信息!$T$5-U22)</f>
        <v>10000</v>
      </c>
      <c r="V24" s="22">
        <f>(V20+C.2项目每年借款信息!$U$5-V22)</f>
        <v>10000</v>
      </c>
      <c r="W24" s="22">
        <f>(W20+C.2项目每年借款信息!$V$5-W22)</f>
        <v>10000</v>
      </c>
      <c r="X24" s="22">
        <f>(X20+C.2项目每年借款信息!$W$5-X22)</f>
        <v>10000</v>
      </c>
      <c r="Y24" s="22">
        <f>(Y20+C.2项目每年借款信息!$X$5-Y22)</f>
        <v>10000</v>
      </c>
      <c r="Z24" s="22">
        <f>(Z20+C.2项目每年借款信息!$Y$5-Z22)</f>
        <v>0</v>
      </c>
    </row>
    <row r="25" customHeight="1" spans="1:26">
      <c r="A25" s="22" t="s">
        <v>446</v>
      </c>
      <c r="B25" s="22" t="s">
        <v>433</v>
      </c>
      <c r="C25" s="22">
        <f>(SUM(F25:AA25))</f>
        <v>0.712</v>
      </c>
      <c r="D25" s="22">
        <v>0</v>
      </c>
      <c r="E25" s="22">
        <v>0</v>
      </c>
      <c r="F25" s="22">
        <f>(F21*A财务假设!$D$18)</f>
        <v>0</v>
      </c>
      <c r="G25" s="22">
        <f>(G21*A财务假设!$D$18)</f>
        <v>0.0106</v>
      </c>
      <c r="H25" s="22">
        <f>(H21*A财务假设!$D$18)</f>
        <v>0.0106</v>
      </c>
      <c r="I25" s="22">
        <f>(I21*A财务假设!$D$18)</f>
        <v>0.0106</v>
      </c>
      <c r="J25" s="22">
        <f>(J21*A财务假设!$D$18)</f>
        <v>0.0106</v>
      </c>
      <c r="K25" s="22">
        <f>(K21*A财务假设!$D$18)</f>
        <v>0.0106</v>
      </c>
      <c r="L25" s="22">
        <f>(L21*A财务假设!$D$18)</f>
        <v>0.0106</v>
      </c>
      <c r="M25" s="22">
        <f>(M21*A财务假设!$D$18)</f>
        <v>0.0106</v>
      </c>
      <c r="N25" s="22">
        <f>(N21*A财务假设!$D$18)</f>
        <v>0.0106</v>
      </c>
      <c r="O25" s="22">
        <f>(O21*A财务假设!$D$18)</f>
        <v>0.0106</v>
      </c>
      <c r="P25" s="22">
        <f>(P21*A财务假设!$D$18)</f>
        <v>0.0106</v>
      </c>
      <c r="Q25" s="22">
        <f>(Q21*A财务假设!$D$18)</f>
        <v>0.0106</v>
      </c>
      <c r="R25" s="22">
        <f>(R21*A财务假设!$D$18)</f>
        <v>0.0106</v>
      </c>
      <c r="S25" s="22">
        <f>(S21*A财务假设!$D$18)</f>
        <v>0.0106</v>
      </c>
      <c r="T25" s="22">
        <f>(T21*A财务假设!$D$18)</f>
        <v>0.0106</v>
      </c>
      <c r="U25" s="22">
        <f>(U21*A财务假设!$D$18)</f>
        <v>0.0106</v>
      </c>
      <c r="V25" s="22">
        <f>(V21*A财务假设!$D$18)</f>
        <v>0.0106</v>
      </c>
      <c r="W25" s="22">
        <f>(W21*A财务假设!$D$18)</f>
        <v>0.0106</v>
      </c>
      <c r="X25" s="22">
        <f>(X21*A财务假设!$D$18)</f>
        <v>0.0106</v>
      </c>
      <c r="Y25" s="22">
        <f>(Y21*A财务假设!$D$18)</f>
        <v>0.0106</v>
      </c>
      <c r="Z25" s="22">
        <f>(Z21*A财务假设!$D$18)</f>
        <v>0.5106</v>
      </c>
    </row>
    <row r="26" customHeight="1" spans="1:26">
      <c r="A26" s="22" t="s">
        <v>447</v>
      </c>
      <c r="B26" s="22" t="s">
        <v>435</v>
      </c>
      <c r="C26" s="22">
        <f>(SUM(F26:AA26))</f>
        <v>8.64</v>
      </c>
      <c r="D26" s="22">
        <v>0</v>
      </c>
      <c r="E26" s="22">
        <v>0</v>
      </c>
      <c r="F26" s="22">
        <f>(C.2项目每年借款信息!$E$5*(A财务假设!$D$16+A财务假设!$D$17))</f>
        <v>8.64</v>
      </c>
      <c r="G26" s="22">
        <f>(C.2项目每年借款信息!$F$5*(A财务假设!$D$16+A财务假设!$D$17))</f>
        <v>0</v>
      </c>
      <c r="H26" s="22">
        <f>(C.2项目每年借款信息!$G$5*(A财务假设!$D$16+A财务假设!$D$17))</f>
        <v>0</v>
      </c>
      <c r="I26" s="22">
        <f>(C.2项目每年借款信息!$H$5*(A财务假设!$D$16+A财务假设!$D$17))</f>
        <v>0</v>
      </c>
      <c r="J26" s="22">
        <f>(C.2项目每年借款信息!$I$5*(A财务假设!$D$16+A财务假设!$D$17))</f>
        <v>0</v>
      </c>
      <c r="K26" s="22">
        <f>(C.2项目每年借款信息!$J$5*(A财务假设!$D$16+A财务假设!$D$17))</f>
        <v>0</v>
      </c>
      <c r="L26" s="22">
        <f>(C.2项目每年借款信息!$K$5*(A财务假设!$D$16+A财务假设!$D$17))</f>
        <v>0</v>
      </c>
      <c r="M26" s="22">
        <f>(C.2项目每年借款信息!$L$5*(A财务假设!$D$16+A财务假设!$D$17))</f>
        <v>0</v>
      </c>
      <c r="N26" s="22">
        <f>(C.2项目每年借款信息!$M$5*(A财务假设!$D$16+A财务假设!$D$17))</f>
        <v>0</v>
      </c>
      <c r="O26" s="22">
        <f>(C.2项目每年借款信息!$N$5*(A财务假设!$D$16+A财务假设!$D$17))</f>
        <v>0</v>
      </c>
      <c r="P26" s="22">
        <f>(C.2项目每年借款信息!$O$5*(A财务假设!$D$16+A财务假设!$D$17))</f>
        <v>0</v>
      </c>
      <c r="Q26" s="22">
        <f>(C.2项目每年借款信息!$P$5*(A财务假设!$D$16+A财务假设!$D$17))</f>
        <v>0</v>
      </c>
      <c r="R26" s="22">
        <f>(C.2项目每年借款信息!$Q$5*(A财务假设!$D$16+A财务假设!$D$17))</f>
        <v>0</v>
      </c>
      <c r="S26" s="22">
        <f>(C.2项目每年借款信息!$R$5*(A财务假设!$D$16+A财务假设!$D$17))</f>
        <v>0</v>
      </c>
      <c r="T26" s="22">
        <f>(C.2项目每年借款信息!$S$5*(A财务假设!$D$16+A财务假设!$D$17))</f>
        <v>0</v>
      </c>
      <c r="U26" s="22">
        <f>(C.2项目每年借款信息!$T$5*(A财务假设!$D$16+A财务假设!$D$17))</f>
        <v>0</v>
      </c>
      <c r="V26" s="22">
        <f>(C.2项目每年借款信息!$U$5*(A财务假设!$D$16+A财务假设!$D$17))</f>
        <v>0</v>
      </c>
      <c r="W26" s="22">
        <f>(C.2项目每年借款信息!$V$5*(A财务假设!$D$16+A财务假设!$D$17))</f>
        <v>0</v>
      </c>
      <c r="X26" s="22">
        <f>(C.2项目每年借款信息!$W$5*(A财务假设!$D$16+A财务假设!$D$17))</f>
        <v>0</v>
      </c>
      <c r="Y26" s="22">
        <f>(C.2项目每年借款信息!$X$5*(A财务假设!$D$16+A财务假设!$D$17))</f>
        <v>0</v>
      </c>
      <c r="Z26" s="22">
        <f>(C.2项目每年借款信息!$Y$5*(A财务假设!$D$16+A财务假设!$D$17))</f>
        <v>0</v>
      </c>
    </row>
    <row r="27" customHeight="1" spans="1:10">
      <c r="A27" s="22">
        <v>4</v>
      </c>
      <c r="B27" s="22" t="s">
        <v>448</v>
      </c>
      <c r="C27" s="22">
        <f>(C.1项目融资信息!$D$4+C.1项目融资信息!$D$5+C.1项目融资信息!$D$6)</f>
        <v>22000</v>
      </c>
      <c r="D27"/>
      <c r="E27"/>
      <c r="F27"/>
      <c r="G27"/>
      <c r="H27"/>
      <c r="I27"/>
      <c r="J27"/>
    </row>
    <row r="28" customHeight="1" spans="1:26">
      <c r="A28" s="22" t="s">
        <v>449</v>
      </c>
      <c r="B28" s="22" t="s">
        <v>425</v>
      </c>
      <c r="C28" s="22">
        <v>0</v>
      </c>
      <c r="D28" s="22">
        <f t="shared" ref="D28:Z28" si="6">(D4+D12+D20)</f>
        <v>0</v>
      </c>
      <c r="E28" s="22">
        <f t="shared" si="6"/>
        <v>2000</v>
      </c>
      <c r="F28" s="22">
        <f t="shared" si="6"/>
        <v>12000</v>
      </c>
      <c r="G28" s="22">
        <f t="shared" si="6"/>
        <v>22000</v>
      </c>
      <c r="H28" s="22">
        <f t="shared" si="6"/>
        <v>22000</v>
      </c>
      <c r="I28" s="22">
        <f t="shared" si="6"/>
        <v>22000</v>
      </c>
      <c r="J28" s="22">
        <f t="shared" si="6"/>
        <v>22000</v>
      </c>
      <c r="K28" s="22">
        <f t="shared" si="6"/>
        <v>22000</v>
      </c>
      <c r="L28" s="22">
        <f t="shared" si="6"/>
        <v>22000</v>
      </c>
      <c r="M28" s="22">
        <f t="shared" si="6"/>
        <v>22000</v>
      </c>
      <c r="N28" s="22">
        <f t="shared" si="6"/>
        <v>22000</v>
      </c>
      <c r="O28" s="22">
        <f t="shared" si="6"/>
        <v>22000</v>
      </c>
      <c r="P28" s="22">
        <f t="shared" si="6"/>
        <v>22000</v>
      </c>
      <c r="Q28" s="22">
        <f t="shared" si="6"/>
        <v>22000</v>
      </c>
      <c r="R28" s="22">
        <f t="shared" si="6"/>
        <v>22000</v>
      </c>
      <c r="S28" s="22">
        <f t="shared" si="6"/>
        <v>22000</v>
      </c>
      <c r="T28" s="22">
        <f t="shared" si="6"/>
        <v>22000</v>
      </c>
      <c r="U28" s="22">
        <f t="shared" si="6"/>
        <v>22000</v>
      </c>
      <c r="V28" s="22">
        <f t="shared" si="6"/>
        <v>22000</v>
      </c>
      <c r="W28" s="22">
        <f t="shared" si="6"/>
        <v>22000</v>
      </c>
      <c r="X28" s="22">
        <f t="shared" si="6"/>
        <v>22000</v>
      </c>
      <c r="Y28" s="22">
        <f t="shared" si="6"/>
        <v>20000</v>
      </c>
      <c r="Z28" s="22">
        <f t="shared" si="6"/>
        <v>10000</v>
      </c>
    </row>
    <row r="29" customHeight="1" spans="1:26">
      <c r="A29" s="22" t="s">
        <v>450</v>
      </c>
      <c r="B29" s="22" t="s">
        <v>427</v>
      </c>
      <c r="C29" s="22">
        <f>(SUM(D29:AA29))</f>
        <v>31328</v>
      </c>
      <c r="D29" s="22">
        <f t="shared" ref="D29:Z29" si="7">(D5+D13+D21)</f>
        <v>0</v>
      </c>
      <c r="E29" s="22">
        <f t="shared" si="7"/>
        <v>42.4</v>
      </c>
      <c r="F29" s="22">
        <f t="shared" si="7"/>
        <v>254.4</v>
      </c>
      <c r="G29" s="22">
        <f t="shared" si="7"/>
        <v>466.4</v>
      </c>
      <c r="H29" s="22">
        <f t="shared" si="7"/>
        <v>466.4</v>
      </c>
      <c r="I29" s="22">
        <f t="shared" si="7"/>
        <v>466.4</v>
      </c>
      <c r="J29" s="22">
        <f t="shared" si="7"/>
        <v>466.4</v>
      </c>
      <c r="K29" s="22">
        <f t="shared" si="7"/>
        <v>466.4</v>
      </c>
      <c r="L29" s="22">
        <f t="shared" si="7"/>
        <v>466.4</v>
      </c>
      <c r="M29" s="22">
        <f t="shared" si="7"/>
        <v>466.4</v>
      </c>
      <c r="N29" s="22">
        <f t="shared" si="7"/>
        <v>466.4</v>
      </c>
      <c r="O29" s="22">
        <f t="shared" si="7"/>
        <v>466.4</v>
      </c>
      <c r="P29" s="22">
        <f t="shared" si="7"/>
        <v>466.4</v>
      </c>
      <c r="Q29" s="22">
        <f t="shared" si="7"/>
        <v>466.4</v>
      </c>
      <c r="R29" s="22">
        <f t="shared" si="7"/>
        <v>466.4</v>
      </c>
      <c r="S29" s="22">
        <f t="shared" si="7"/>
        <v>466.4</v>
      </c>
      <c r="T29" s="22">
        <f t="shared" si="7"/>
        <v>466.4</v>
      </c>
      <c r="U29" s="22">
        <f t="shared" si="7"/>
        <v>466.4</v>
      </c>
      <c r="V29" s="22">
        <f t="shared" si="7"/>
        <v>466.4</v>
      </c>
      <c r="W29" s="22">
        <f t="shared" si="7"/>
        <v>466.4</v>
      </c>
      <c r="X29" s="22">
        <f t="shared" si="7"/>
        <v>2466.4</v>
      </c>
      <c r="Y29" s="22">
        <f t="shared" si="7"/>
        <v>10424</v>
      </c>
      <c r="Z29" s="22">
        <f t="shared" si="7"/>
        <v>10212</v>
      </c>
    </row>
    <row r="30" customHeight="1" spans="1:26">
      <c r="A30" s="22" t="s">
        <v>451</v>
      </c>
      <c r="B30" s="22" t="s">
        <v>428</v>
      </c>
      <c r="C30" s="22">
        <f>(SUM(D30:AA30))</f>
        <v>22000</v>
      </c>
      <c r="D30" s="22">
        <f t="shared" ref="D30:Z30" si="8">(D6+D14+D22)</f>
        <v>0</v>
      </c>
      <c r="E30" s="22">
        <f t="shared" si="8"/>
        <v>0</v>
      </c>
      <c r="F30" s="22">
        <f t="shared" si="8"/>
        <v>0</v>
      </c>
      <c r="G30" s="22">
        <f t="shared" si="8"/>
        <v>0</v>
      </c>
      <c r="H30" s="22">
        <f t="shared" si="8"/>
        <v>0</v>
      </c>
      <c r="I30" s="22">
        <f t="shared" si="8"/>
        <v>0</v>
      </c>
      <c r="J30" s="22">
        <f t="shared" si="8"/>
        <v>0</v>
      </c>
      <c r="K30" s="22">
        <f t="shared" si="8"/>
        <v>0</v>
      </c>
      <c r="L30" s="22">
        <f t="shared" si="8"/>
        <v>0</v>
      </c>
      <c r="M30" s="22">
        <f t="shared" si="8"/>
        <v>0</v>
      </c>
      <c r="N30" s="22">
        <f t="shared" si="8"/>
        <v>0</v>
      </c>
      <c r="O30" s="22">
        <f t="shared" si="8"/>
        <v>0</v>
      </c>
      <c r="P30" s="22">
        <f t="shared" si="8"/>
        <v>0</v>
      </c>
      <c r="Q30" s="22">
        <f t="shared" si="8"/>
        <v>0</v>
      </c>
      <c r="R30" s="22">
        <f t="shared" si="8"/>
        <v>0</v>
      </c>
      <c r="S30" s="22">
        <f t="shared" si="8"/>
        <v>0</v>
      </c>
      <c r="T30" s="22">
        <f t="shared" si="8"/>
        <v>0</v>
      </c>
      <c r="U30" s="22">
        <f t="shared" si="8"/>
        <v>0</v>
      </c>
      <c r="V30" s="22">
        <f t="shared" si="8"/>
        <v>0</v>
      </c>
      <c r="W30" s="22">
        <f t="shared" si="8"/>
        <v>0</v>
      </c>
      <c r="X30" s="22">
        <f t="shared" si="8"/>
        <v>2000</v>
      </c>
      <c r="Y30" s="22">
        <f t="shared" si="8"/>
        <v>10000</v>
      </c>
      <c r="Z30" s="22">
        <f t="shared" si="8"/>
        <v>10000</v>
      </c>
    </row>
    <row r="31" customHeight="1" spans="1:26">
      <c r="A31" s="22" t="s">
        <v>452</v>
      </c>
      <c r="B31" s="22" t="s">
        <v>429</v>
      </c>
      <c r="C31" s="22">
        <f>(SUM(D31:AA31))</f>
        <v>9328</v>
      </c>
      <c r="D31" s="22">
        <f t="shared" ref="D31:Z31" si="9">(D7+D15+D23)</f>
        <v>0</v>
      </c>
      <c r="E31" s="22">
        <f t="shared" si="9"/>
        <v>42.4</v>
      </c>
      <c r="F31" s="22">
        <f t="shared" si="9"/>
        <v>254.4</v>
      </c>
      <c r="G31" s="22">
        <f t="shared" si="9"/>
        <v>466.4</v>
      </c>
      <c r="H31" s="22">
        <f t="shared" si="9"/>
        <v>466.4</v>
      </c>
      <c r="I31" s="22">
        <f t="shared" si="9"/>
        <v>466.4</v>
      </c>
      <c r="J31" s="22">
        <f t="shared" si="9"/>
        <v>466.4</v>
      </c>
      <c r="K31" s="22">
        <f t="shared" si="9"/>
        <v>466.4</v>
      </c>
      <c r="L31" s="22">
        <f t="shared" si="9"/>
        <v>466.4</v>
      </c>
      <c r="M31" s="22">
        <f t="shared" si="9"/>
        <v>466.4</v>
      </c>
      <c r="N31" s="22">
        <f t="shared" si="9"/>
        <v>466.4</v>
      </c>
      <c r="O31" s="22">
        <f t="shared" si="9"/>
        <v>466.4</v>
      </c>
      <c r="P31" s="22">
        <f t="shared" si="9"/>
        <v>466.4</v>
      </c>
      <c r="Q31" s="22">
        <f t="shared" si="9"/>
        <v>466.4</v>
      </c>
      <c r="R31" s="22">
        <f t="shared" si="9"/>
        <v>466.4</v>
      </c>
      <c r="S31" s="22">
        <f t="shared" si="9"/>
        <v>466.4</v>
      </c>
      <c r="T31" s="22">
        <f t="shared" si="9"/>
        <v>466.4</v>
      </c>
      <c r="U31" s="22">
        <f t="shared" si="9"/>
        <v>466.4</v>
      </c>
      <c r="V31" s="22">
        <f t="shared" si="9"/>
        <v>466.4</v>
      </c>
      <c r="W31" s="22">
        <f t="shared" si="9"/>
        <v>466.4</v>
      </c>
      <c r="X31" s="22">
        <f t="shared" si="9"/>
        <v>466.4</v>
      </c>
      <c r="Y31" s="22">
        <f t="shared" si="9"/>
        <v>424</v>
      </c>
      <c r="Z31" s="22">
        <f t="shared" si="9"/>
        <v>212</v>
      </c>
    </row>
    <row r="32" customHeight="1" spans="1:26">
      <c r="A32" s="22" t="s">
        <v>453</v>
      </c>
      <c r="B32" s="22" t="s">
        <v>431</v>
      </c>
      <c r="C32" s="22">
        <v>0</v>
      </c>
      <c r="D32" s="22">
        <f t="shared" ref="D32:Z32" si="10">(D8+D16+D24)</f>
        <v>2000</v>
      </c>
      <c r="E32" s="22">
        <f t="shared" si="10"/>
        <v>12000</v>
      </c>
      <c r="F32" s="22">
        <f t="shared" si="10"/>
        <v>22000</v>
      </c>
      <c r="G32" s="22">
        <f t="shared" si="10"/>
        <v>22000</v>
      </c>
      <c r="H32" s="22">
        <f t="shared" si="10"/>
        <v>22000</v>
      </c>
      <c r="I32" s="22">
        <f t="shared" si="10"/>
        <v>22000</v>
      </c>
      <c r="J32" s="22">
        <f t="shared" si="10"/>
        <v>22000</v>
      </c>
      <c r="K32" s="22">
        <f t="shared" si="10"/>
        <v>22000</v>
      </c>
      <c r="L32" s="22">
        <f t="shared" si="10"/>
        <v>22000</v>
      </c>
      <c r="M32" s="22">
        <f t="shared" si="10"/>
        <v>22000</v>
      </c>
      <c r="N32" s="22">
        <f t="shared" si="10"/>
        <v>22000</v>
      </c>
      <c r="O32" s="22">
        <f t="shared" si="10"/>
        <v>22000</v>
      </c>
      <c r="P32" s="22">
        <f t="shared" si="10"/>
        <v>22000</v>
      </c>
      <c r="Q32" s="22">
        <f t="shared" si="10"/>
        <v>22000</v>
      </c>
      <c r="R32" s="22">
        <f t="shared" si="10"/>
        <v>22000</v>
      </c>
      <c r="S32" s="22">
        <f t="shared" si="10"/>
        <v>22000</v>
      </c>
      <c r="T32" s="22">
        <f t="shared" si="10"/>
        <v>22000</v>
      </c>
      <c r="U32" s="22">
        <f t="shared" si="10"/>
        <v>22000</v>
      </c>
      <c r="V32" s="22">
        <f t="shared" si="10"/>
        <v>22000</v>
      </c>
      <c r="W32" s="22">
        <f t="shared" si="10"/>
        <v>22000</v>
      </c>
      <c r="X32" s="22">
        <f t="shared" si="10"/>
        <v>20000</v>
      </c>
      <c r="Y32" s="22">
        <f t="shared" si="10"/>
        <v>10000</v>
      </c>
      <c r="Z32" s="22">
        <f t="shared" si="10"/>
        <v>0</v>
      </c>
    </row>
    <row r="33" customHeight="1" spans="1:26">
      <c r="A33" s="22" t="s">
        <v>454</v>
      </c>
      <c r="B33" s="22" t="s">
        <v>433</v>
      </c>
      <c r="C33" s="22">
        <f>(SUM(D33:AA33))</f>
        <v>1.5664</v>
      </c>
      <c r="D33" s="22">
        <f t="shared" ref="D33:Z33" si="11">(D9+D17+D25)</f>
        <v>0</v>
      </c>
      <c r="E33" s="22">
        <f t="shared" si="11"/>
        <v>0.00212</v>
      </c>
      <c r="F33" s="22">
        <f t="shared" si="11"/>
        <v>0.01272</v>
      </c>
      <c r="G33" s="22">
        <f t="shared" si="11"/>
        <v>0.02332</v>
      </c>
      <c r="H33" s="22">
        <f t="shared" si="11"/>
        <v>0.02332</v>
      </c>
      <c r="I33" s="22">
        <f t="shared" si="11"/>
        <v>0.02332</v>
      </c>
      <c r="J33" s="22">
        <f t="shared" si="11"/>
        <v>0.02332</v>
      </c>
      <c r="K33" s="22">
        <f t="shared" si="11"/>
        <v>0.02332</v>
      </c>
      <c r="L33" s="22">
        <f t="shared" si="11"/>
        <v>0.02332</v>
      </c>
      <c r="M33" s="22">
        <f t="shared" si="11"/>
        <v>0.02332</v>
      </c>
      <c r="N33" s="22">
        <f t="shared" si="11"/>
        <v>0.02332</v>
      </c>
      <c r="O33" s="22">
        <f t="shared" si="11"/>
        <v>0.02332</v>
      </c>
      <c r="P33" s="22">
        <f t="shared" si="11"/>
        <v>0.02332</v>
      </c>
      <c r="Q33" s="22">
        <f t="shared" si="11"/>
        <v>0.02332</v>
      </c>
      <c r="R33" s="22">
        <f t="shared" si="11"/>
        <v>0.02332</v>
      </c>
      <c r="S33" s="22">
        <f t="shared" si="11"/>
        <v>0.02332</v>
      </c>
      <c r="T33" s="22">
        <f t="shared" si="11"/>
        <v>0.02332</v>
      </c>
      <c r="U33" s="22">
        <f t="shared" si="11"/>
        <v>0.02332</v>
      </c>
      <c r="V33" s="22">
        <f t="shared" si="11"/>
        <v>0.02332</v>
      </c>
      <c r="W33" s="22">
        <f t="shared" si="11"/>
        <v>0.02332</v>
      </c>
      <c r="X33" s="22">
        <f t="shared" si="11"/>
        <v>0.12332</v>
      </c>
      <c r="Y33" s="22">
        <f t="shared" si="11"/>
        <v>0.5212</v>
      </c>
      <c r="Z33" s="22">
        <f t="shared" si="11"/>
        <v>0.5106</v>
      </c>
    </row>
    <row r="34" customHeight="1" spans="1:26">
      <c r="A34" s="22" t="s">
        <v>455</v>
      </c>
      <c r="B34" s="22" t="s">
        <v>435</v>
      </c>
      <c r="C34" s="22">
        <f>(SUM(D34:AA34))</f>
        <v>19.008</v>
      </c>
      <c r="D34" s="22">
        <f t="shared" ref="D34:Z34" si="12">(D10+D18+D26)</f>
        <v>1.728</v>
      </c>
      <c r="E34" s="22">
        <f t="shared" si="12"/>
        <v>8.64</v>
      </c>
      <c r="F34" s="22">
        <f t="shared" si="12"/>
        <v>8.64</v>
      </c>
      <c r="G34" s="22">
        <f t="shared" si="12"/>
        <v>0</v>
      </c>
      <c r="H34" s="22">
        <f t="shared" si="12"/>
        <v>0</v>
      </c>
      <c r="I34" s="22">
        <f t="shared" si="12"/>
        <v>0</v>
      </c>
      <c r="J34" s="22">
        <f t="shared" si="12"/>
        <v>0</v>
      </c>
      <c r="K34" s="22">
        <f t="shared" si="12"/>
        <v>0</v>
      </c>
      <c r="L34" s="22">
        <f t="shared" si="12"/>
        <v>0</v>
      </c>
      <c r="M34" s="22">
        <f t="shared" si="12"/>
        <v>0</v>
      </c>
      <c r="N34" s="22">
        <f t="shared" si="12"/>
        <v>0</v>
      </c>
      <c r="O34" s="22">
        <f t="shared" si="12"/>
        <v>0</v>
      </c>
      <c r="P34" s="22">
        <f t="shared" si="12"/>
        <v>0</v>
      </c>
      <c r="Q34" s="22">
        <f t="shared" si="12"/>
        <v>0</v>
      </c>
      <c r="R34" s="22">
        <f t="shared" si="12"/>
        <v>0</v>
      </c>
      <c r="S34" s="22">
        <f t="shared" si="12"/>
        <v>0</v>
      </c>
      <c r="T34" s="22">
        <f t="shared" si="12"/>
        <v>0</v>
      </c>
      <c r="U34" s="22">
        <f t="shared" si="12"/>
        <v>0</v>
      </c>
      <c r="V34" s="22">
        <f t="shared" si="12"/>
        <v>0</v>
      </c>
      <c r="W34" s="22">
        <f t="shared" si="12"/>
        <v>0</v>
      </c>
      <c r="X34" s="22">
        <f t="shared" si="12"/>
        <v>0</v>
      </c>
      <c r="Y34" s="22">
        <f t="shared" si="12"/>
        <v>0</v>
      </c>
      <c r="Z34" s="22">
        <f t="shared" si="12"/>
        <v>0</v>
      </c>
    </row>
  </sheetData>
  <mergeCells count="5">
    <mergeCell ref="A1:I1"/>
    <mergeCell ref="C3:I3"/>
    <mergeCell ref="C11:I11"/>
    <mergeCell ref="C19:I19"/>
    <mergeCell ref="A35:A36"/>
  </mergeCells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tabColor rgb="FFFFC000"/>
  </sheetPr>
  <dimension ref="A1:H31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D29" sqref="D29"/>
    </sheetView>
  </sheetViews>
  <sheetFormatPr defaultColWidth="8.89090909090909" defaultRowHeight="28.05" customHeight="1" outlineLevelCol="7"/>
  <cols>
    <col min="2" max="2" width="20.6636363636364" style="1" customWidth="1"/>
    <col min="3" max="3" width="18.1090909090909" style="1" customWidth="1"/>
    <col min="4" max="4" width="11.5545454545455" style="1" customWidth="1"/>
    <col min="5" max="6" width="11.8909090909091" style="1" customWidth="1"/>
    <col min="7" max="7" width="11.5545454545455" style="1" customWidth="1"/>
    <col min="8" max="8" width="11.8909090909091" style="1" customWidth="1"/>
  </cols>
  <sheetData>
    <row r="1" ht="20" customHeight="1" spans="1:8">
      <c r="A1" s="36" t="s">
        <v>456</v>
      </c>
      <c r="B1" s="3"/>
      <c r="C1" s="3"/>
      <c r="D1" s="3"/>
      <c r="E1" s="3"/>
      <c r="F1" s="3"/>
      <c r="G1" s="3"/>
      <c r="H1" s="4"/>
    </row>
    <row r="2" ht="16.5" customHeight="1" spans="1:8">
      <c r="A2" s="5" t="s">
        <v>1</v>
      </c>
      <c r="B2" s="5" t="s">
        <v>140</v>
      </c>
      <c r="C2" s="5" t="s">
        <v>80</v>
      </c>
      <c r="D2" s="31">
        <v>2025</v>
      </c>
      <c r="E2" s="31">
        <v>2026</v>
      </c>
      <c r="F2" s="31">
        <v>2027</v>
      </c>
      <c r="G2" s="31">
        <v>2028</v>
      </c>
      <c r="H2" s="31">
        <v>2029</v>
      </c>
    </row>
    <row r="3" ht="16.5" customHeight="1" spans="1:8">
      <c r="A3" s="8">
        <v>1</v>
      </c>
      <c r="B3" s="8" t="s">
        <v>457</v>
      </c>
      <c r="C3" s="13">
        <f t="shared" ref="C3:C30" si="0">SUM(D3:H3)</f>
        <v>1572.32252450602</v>
      </c>
      <c r="D3" s="13">
        <f>D4-D9</f>
        <v>0</v>
      </c>
      <c r="E3" s="13">
        <f>E4-E9</f>
        <v>173.418579347056</v>
      </c>
      <c r="F3" s="13">
        <f>F4-F9</f>
        <v>374.059821415653</v>
      </c>
      <c r="G3" s="13">
        <f>G4-G9</f>
        <v>520.142733526266</v>
      </c>
      <c r="H3" s="13">
        <f>H4-H9</f>
        <v>504.701390217049</v>
      </c>
    </row>
    <row r="4" ht="16.5" customHeight="1" spans="1:8">
      <c r="A4" s="8">
        <v>1.1</v>
      </c>
      <c r="B4" s="8" t="s">
        <v>333</v>
      </c>
      <c r="C4" s="13">
        <f t="shared" si="0"/>
        <v>2156.8804</v>
      </c>
      <c r="D4" s="13">
        <f>SUM(D5:D8)</f>
        <v>0</v>
      </c>
      <c r="E4" s="13">
        <f>SUM(E5:E8)</f>
        <v>325</v>
      </c>
      <c r="F4" s="13">
        <f>SUM(F5:F8)</f>
        <v>521.8</v>
      </c>
      <c r="G4" s="13">
        <f>SUM(G5:G8)</f>
        <v>654.02</v>
      </c>
      <c r="H4" s="13">
        <f>SUM(H5:H8)</f>
        <v>656.0604</v>
      </c>
    </row>
    <row r="5" ht="16.5" customHeight="1" spans="1:8">
      <c r="A5" s="8" t="s">
        <v>259</v>
      </c>
      <c r="B5" s="8" t="s">
        <v>334</v>
      </c>
      <c r="C5" s="13">
        <f t="shared" si="0"/>
        <v>1977.72168599619</v>
      </c>
      <c r="D5" s="39">
        <f>F项目收入!D12-F项目收入!D9</f>
        <v>0</v>
      </c>
      <c r="E5" s="39">
        <f>F项目收入!E12-F项目收入!E9</f>
        <v>298.814263458542</v>
      </c>
      <c r="F5" s="39">
        <f>F项目收入!F12-F项目收入!F9</f>
        <v>478.8575385148</v>
      </c>
      <c r="G5" s="39">
        <f>F项目收入!G12-F项目收入!G9</f>
        <v>599.534187294443</v>
      </c>
      <c r="H5" s="39">
        <f>F项目收入!H12-F项目收入!H9</f>
        <v>600.515696728406</v>
      </c>
    </row>
    <row r="6" ht="16.5" customHeight="1" spans="1:8">
      <c r="A6" s="8" t="s">
        <v>261</v>
      </c>
      <c r="B6" s="8" t="s">
        <v>458</v>
      </c>
      <c r="C6" s="13">
        <f t="shared" si="0"/>
        <v>173.158714003808</v>
      </c>
      <c r="D6" s="41">
        <f>G.税金及附加测算表!D25</f>
        <v>0</v>
      </c>
      <c r="E6" s="41">
        <f>G.税金及附加测算表!E25</f>
        <v>26.1857365414575</v>
      </c>
      <c r="F6" s="41">
        <f>G.税金及附加测算表!F25</f>
        <v>41.9424614851999</v>
      </c>
      <c r="G6" s="41">
        <f>G.税金及附加测算表!G25</f>
        <v>52.4858127055565</v>
      </c>
      <c r="H6" s="41">
        <f>G.税金及附加测算表!H25</f>
        <v>52.5447032715943</v>
      </c>
    </row>
    <row r="7" ht="16.5" customHeight="1" spans="1:8">
      <c r="A7" s="8" t="s">
        <v>263</v>
      </c>
      <c r="B7" s="8" t="s">
        <v>285</v>
      </c>
      <c r="C7" s="13">
        <f t="shared" si="0"/>
        <v>0</v>
      </c>
      <c r="D7" s="39">
        <f>F项目收入!D9</f>
        <v>0</v>
      </c>
      <c r="E7" s="39">
        <f>F项目收入!E9</f>
        <v>0</v>
      </c>
      <c r="F7" s="39">
        <f>F项目收入!F9</f>
        <v>0</v>
      </c>
      <c r="G7" s="39">
        <f>F项目收入!G9</f>
        <v>0</v>
      </c>
      <c r="H7" s="39">
        <f>F项目收入!H9</f>
        <v>0</v>
      </c>
    </row>
    <row r="8" ht="16.5" customHeight="1" spans="1:8">
      <c r="A8" s="8" t="s">
        <v>459</v>
      </c>
      <c r="B8" s="8" t="s">
        <v>460</v>
      </c>
      <c r="C8" s="13">
        <f t="shared" si="0"/>
        <v>6</v>
      </c>
      <c r="D8" s="37">
        <v>0</v>
      </c>
      <c r="E8" s="37">
        <v>0</v>
      </c>
      <c r="F8" s="37">
        <v>1</v>
      </c>
      <c r="G8" s="37">
        <v>2</v>
      </c>
      <c r="H8" s="37">
        <v>3</v>
      </c>
    </row>
    <row r="9" ht="16.5" customHeight="1" spans="1:8">
      <c r="A9" s="8">
        <v>1.2</v>
      </c>
      <c r="B9" s="8" t="s">
        <v>337</v>
      </c>
      <c r="C9" s="13">
        <f t="shared" si="0"/>
        <v>584.557875493975</v>
      </c>
      <c r="D9" s="13">
        <f>SUM(D10:D15)</f>
        <v>0</v>
      </c>
      <c r="E9" s="13">
        <f>SUM(E10:E15)</f>
        <v>151.581420652944</v>
      </c>
      <c r="F9" s="13">
        <f>SUM(F10:F15)</f>
        <v>147.740178584347</v>
      </c>
      <c r="G9" s="13">
        <f>SUM(G10:G15)</f>
        <v>133.877266473734</v>
      </c>
      <c r="H9" s="13">
        <f>SUM(H10:H15)</f>
        <v>151.359009782951</v>
      </c>
    </row>
    <row r="10" ht="16.5" customHeight="1" spans="1:8">
      <c r="A10" s="8" t="s">
        <v>146</v>
      </c>
      <c r="B10" s="8" t="s">
        <v>338</v>
      </c>
      <c r="C10" s="13">
        <f t="shared" si="0"/>
        <v>474.79548</v>
      </c>
      <c r="D10" s="13">
        <f>E总成本费用估算表!C11</f>
        <v>0</v>
      </c>
      <c r="E10" s="13">
        <f>E总成本费用估算表!D11</f>
        <v>107.20012</v>
      </c>
      <c r="F10" s="13">
        <f>E总成本费用估算表!E11</f>
        <v>107.21072</v>
      </c>
      <c r="G10" s="13">
        <f>E总成本费用估算表!F11</f>
        <v>122.53532</v>
      </c>
      <c r="H10" s="13">
        <f>E总成本费用估算表!G11</f>
        <v>137.84932</v>
      </c>
    </row>
    <row r="11" ht="16.5" customHeight="1" spans="1:8">
      <c r="A11" s="8" t="s">
        <v>148</v>
      </c>
      <c r="B11" s="8" t="s">
        <v>461</v>
      </c>
      <c r="C11" s="13">
        <f t="shared" si="0"/>
        <v>36.2000425857191</v>
      </c>
      <c r="D11" s="37">
        <f>G.税金及附加测算表!D4</f>
        <v>0</v>
      </c>
      <c r="E11" s="37">
        <f>G.税金及附加测算表!E4</f>
        <v>8.17420316451721</v>
      </c>
      <c r="F11" s="37">
        <f>G.税金及附加测算表!F4</f>
        <v>8.17420316451721</v>
      </c>
      <c r="G11" s="37">
        <f>G.税金及附加测算表!G4</f>
        <v>9.34194647373396</v>
      </c>
      <c r="H11" s="37">
        <f>G.税金及附加测算表!H4</f>
        <v>10.5096897829507</v>
      </c>
    </row>
    <row r="12" ht="16.5" customHeight="1" spans="1:8">
      <c r="A12" s="8" t="s">
        <v>150</v>
      </c>
      <c r="B12" s="8" t="s">
        <v>339</v>
      </c>
      <c r="C12" s="13">
        <f t="shared" si="0"/>
        <v>0</v>
      </c>
      <c r="D12" s="13">
        <f>G.税金及附加测算表!D30</f>
        <v>0</v>
      </c>
      <c r="E12" s="13">
        <f>G.税金及附加测算表!E30</f>
        <v>0</v>
      </c>
      <c r="F12" s="13">
        <f>G.税金及附加测算表!F30</f>
        <v>0</v>
      </c>
      <c r="G12" s="13">
        <f>G.税金及附加测算表!G30</f>
        <v>0</v>
      </c>
      <c r="H12" s="13">
        <f>G.税金及附加测算表!H30</f>
        <v>0</v>
      </c>
    </row>
    <row r="13" ht="16.5" customHeight="1" spans="1:8">
      <c r="A13" s="8" t="s">
        <v>152</v>
      </c>
      <c r="B13" s="8" t="s">
        <v>340</v>
      </c>
      <c r="C13" s="13">
        <f t="shared" si="0"/>
        <v>0</v>
      </c>
      <c r="D13" s="13">
        <f>G.税金及附加测算表!D29</f>
        <v>0</v>
      </c>
      <c r="E13" s="13">
        <f>G.税金及附加测算表!E29</f>
        <v>0</v>
      </c>
      <c r="F13" s="13">
        <f>G.税金及附加测算表!F29</f>
        <v>0</v>
      </c>
      <c r="G13" s="13">
        <f>G.税金及附加测算表!G29</f>
        <v>0</v>
      </c>
      <c r="H13" s="13">
        <f>G.税金及附加测算表!H29</f>
        <v>0</v>
      </c>
    </row>
    <row r="14" ht="16.5" customHeight="1" spans="1:8">
      <c r="A14" s="8" t="s">
        <v>462</v>
      </c>
      <c r="B14" s="8" t="s">
        <v>375</v>
      </c>
      <c r="C14" s="13">
        <f t="shared" si="0"/>
        <v>67.5623529082563</v>
      </c>
      <c r="D14" s="13">
        <f>'b利润与利润分配表（损益和利润分配表）'!D11</f>
        <v>0</v>
      </c>
      <c r="E14" s="13">
        <f>'b利润与利润分配表（损益和利润分配表）'!E11</f>
        <v>36.207097488427</v>
      </c>
      <c r="F14" s="13">
        <f>'b利润与利润分配表（损益和利润分配表）'!F11</f>
        <v>31.3552554198293</v>
      </c>
      <c r="G14" s="13">
        <f>'b利润与利润分配表（损益和利润分配表）'!G11</f>
        <v>0</v>
      </c>
      <c r="H14" s="13">
        <f>'b利润与利润分配表（损益和利润分配表）'!H11</f>
        <v>0</v>
      </c>
    </row>
    <row r="15" ht="16.5" customHeight="1" spans="1:8">
      <c r="A15" s="8" t="s">
        <v>463</v>
      </c>
      <c r="B15" s="8" t="s">
        <v>464</v>
      </c>
      <c r="C15" s="13">
        <f t="shared" si="0"/>
        <v>6</v>
      </c>
      <c r="D15" s="37">
        <v>0</v>
      </c>
      <c r="E15" s="37">
        <v>0</v>
      </c>
      <c r="F15" s="37">
        <v>1</v>
      </c>
      <c r="G15" s="37">
        <v>2</v>
      </c>
      <c r="H15" s="37">
        <v>3</v>
      </c>
    </row>
    <row r="16" ht="16.5" customHeight="1" spans="1:8">
      <c r="A16" s="8">
        <v>2</v>
      </c>
      <c r="B16" s="8" t="s">
        <v>465</v>
      </c>
      <c r="C16" s="13">
        <f t="shared" si="0"/>
        <v>-1702.94356569759</v>
      </c>
      <c r="D16" s="13">
        <f>D17-D18</f>
        <v>-288.84239147918</v>
      </c>
      <c r="E16" s="13">
        <f>E17-E18</f>
        <v>-570.014343010307</v>
      </c>
      <c r="F16" s="13">
        <f>F17-F18</f>
        <v>-834.3507912081</v>
      </c>
      <c r="G16" s="13">
        <f>G17-G18</f>
        <v>-4.54926666666667</v>
      </c>
      <c r="H16" s="13">
        <f>H17-H18</f>
        <v>-5.18677333333333</v>
      </c>
    </row>
    <row r="17" ht="25.2" customHeight="1" spans="1:8">
      <c r="A17" s="8">
        <v>2.1</v>
      </c>
      <c r="B17" s="34" t="s">
        <v>333</v>
      </c>
      <c r="C17" s="13">
        <f t="shared" si="0"/>
        <v>6</v>
      </c>
      <c r="D17" s="37">
        <v>0</v>
      </c>
      <c r="E17" s="37">
        <v>0</v>
      </c>
      <c r="F17" s="37">
        <v>1</v>
      </c>
      <c r="G17" s="37">
        <v>2</v>
      </c>
      <c r="H17" s="37">
        <v>3</v>
      </c>
    </row>
    <row r="18" ht="16.5" customHeight="1" spans="1:8">
      <c r="A18" s="8">
        <v>2.2</v>
      </c>
      <c r="B18" s="8" t="s">
        <v>337</v>
      </c>
      <c r="C18" s="13">
        <f t="shared" si="0"/>
        <v>1708.94356569759</v>
      </c>
      <c r="D18" s="13">
        <f>SUM(D19:D22)</f>
        <v>288.84239147918</v>
      </c>
      <c r="E18" s="13">
        <f>SUM(E19:E22)</f>
        <v>570.014343010307</v>
      </c>
      <c r="F18" s="13">
        <f>SUM(F19:F22)</f>
        <v>835.3507912081</v>
      </c>
      <c r="G18" s="13">
        <f>SUM(G19:G22)</f>
        <v>6.54926666666667</v>
      </c>
      <c r="H18" s="13">
        <f>SUM(H19:H22)</f>
        <v>8.18677333333333</v>
      </c>
    </row>
    <row r="19" ht="16.5" customHeight="1" spans="1:8">
      <c r="A19" s="8" t="s">
        <v>126</v>
      </c>
      <c r="B19" s="8" t="s">
        <v>113</v>
      </c>
      <c r="C19" s="13">
        <f t="shared" si="0"/>
        <v>1682.47261569759</v>
      </c>
      <c r="D19" s="13">
        <f>E.4建设投资税后金额表!H21</f>
        <v>288.84239147918</v>
      </c>
      <c r="E19" s="13">
        <f>E.4建设投资税后金额表!I21</f>
        <v>560.824205232529</v>
      </c>
      <c r="F19" s="13">
        <f>E.4建设投资税后金额表!J21</f>
        <v>832.806018985878</v>
      </c>
      <c r="G19" s="13">
        <f>E.4建设投资税后金额表!K21</f>
        <v>0</v>
      </c>
      <c r="H19" s="13">
        <f>E.4建设投资税后金额表!L21</f>
        <v>0</v>
      </c>
    </row>
    <row r="20" ht="16.5" customHeight="1" spans="1:8">
      <c r="A20" s="8" t="s">
        <v>127</v>
      </c>
      <c r="B20" s="8" t="s">
        <v>341</v>
      </c>
      <c r="C20" s="13">
        <f t="shared" si="0"/>
        <v>6</v>
      </c>
      <c r="D20" s="37">
        <v>0</v>
      </c>
      <c r="E20" s="37">
        <v>0</v>
      </c>
      <c r="F20" s="37">
        <v>1</v>
      </c>
      <c r="G20" s="37">
        <v>2</v>
      </c>
      <c r="H20" s="37">
        <v>3</v>
      </c>
    </row>
    <row r="21" ht="16.5" customHeight="1" spans="1:8">
      <c r="A21" s="8" t="s">
        <v>128</v>
      </c>
      <c r="B21" s="8" t="s">
        <v>115</v>
      </c>
      <c r="C21" s="13">
        <f t="shared" si="0"/>
        <v>14.47095</v>
      </c>
      <c r="D21" s="13">
        <f>D.2项目总投资使用计划与资金筹措表!D6</f>
        <v>0</v>
      </c>
      <c r="E21" s="13">
        <f>D.2项目总投资使用计划与资金筹措表!E6</f>
        <v>9.19013777777778</v>
      </c>
      <c r="F21" s="13">
        <f>D.2项目总投资使用计划与资金筹措表!F6</f>
        <v>0.544772222222226</v>
      </c>
      <c r="G21" s="13">
        <f>D.2项目总投资使用计划与资金筹措表!G6</f>
        <v>2.54926666666667</v>
      </c>
      <c r="H21" s="13">
        <f>D.2项目总投资使用计划与资金筹措表!H6</f>
        <v>2.18677333333333</v>
      </c>
    </row>
    <row r="22" ht="16.5" customHeight="1" spans="1:8">
      <c r="A22" s="8" t="s">
        <v>466</v>
      </c>
      <c r="B22" s="8" t="s">
        <v>464</v>
      </c>
      <c r="C22" s="13">
        <f t="shared" si="0"/>
        <v>6</v>
      </c>
      <c r="D22" s="37">
        <v>0</v>
      </c>
      <c r="E22" s="37">
        <v>0</v>
      </c>
      <c r="F22" s="37">
        <v>1</v>
      </c>
      <c r="G22" s="37">
        <v>2</v>
      </c>
      <c r="H22" s="37">
        <v>3</v>
      </c>
    </row>
    <row r="23" ht="16.5" customHeight="1" spans="1:8">
      <c r="A23" s="8">
        <v>3</v>
      </c>
      <c r="B23" s="8" t="s">
        <v>467</v>
      </c>
      <c r="C23" s="13">
        <f t="shared" si="0"/>
        <v>1889.47895</v>
      </c>
      <c r="D23" s="13">
        <f>D24-D27</f>
        <v>319.728</v>
      </c>
      <c r="E23" s="13">
        <f>E24-E27</f>
        <v>635.830137777779</v>
      </c>
      <c r="F23" s="13">
        <f>F24-F27</f>
        <v>927.184772222222</v>
      </c>
      <c r="G23" s="13">
        <f>G24-G27</f>
        <v>2.54926666666665</v>
      </c>
      <c r="H23" s="13">
        <f>H24-H27</f>
        <v>4.18677333333335</v>
      </c>
    </row>
    <row r="24" ht="16.5" customHeight="1" spans="1:8">
      <c r="A24" s="8">
        <v>3.1</v>
      </c>
      <c r="B24" s="8" t="s">
        <v>333</v>
      </c>
      <c r="C24" s="13">
        <f t="shared" si="0"/>
        <v>3119.07895</v>
      </c>
      <c r="D24" s="13">
        <f>SUM(D25:D26)</f>
        <v>319.728</v>
      </c>
      <c r="E24" s="13">
        <f>SUM(E25:E26)</f>
        <v>678.230137777779</v>
      </c>
      <c r="F24" s="13">
        <f>SUM(F25:F26)</f>
        <v>1181.58477222222</v>
      </c>
      <c r="G24" s="13">
        <f>SUM(G25:G26)</f>
        <v>468.949266666667</v>
      </c>
      <c r="H24" s="13">
        <f>SUM(H25:H26)</f>
        <v>470.586773333333</v>
      </c>
    </row>
    <row r="25" ht="16.5" customHeight="1" spans="1:8">
      <c r="A25" s="8" t="s">
        <v>468</v>
      </c>
      <c r="B25" s="8" t="s">
        <v>469</v>
      </c>
      <c r="C25" s="13">
        <f t="shared" si="0"/>
        <v>-18880.92105</v>
      </c>
      <c r="D25" s="13">
        <f>D.2项目总投资使用计划与资金筹措表!D8</f>
        <v>-1680.272</v>
      </c>
      <c r="E25" s="13">
        <f>D.2项目总投资使用计划与资金筹措表!E8</f>
        <v>-9321.76986222222</v>
      </c>
      <c r="F25" s="13">
        <f>D.2项目总投资使用计划与资金筹措表!F8</f>
        <v>-8818.41522777778</v>
      </c>
      <c r="G25" s="13">
        <f>D.2项目总投资使用计划与资金筹措表!G8</f>
        <v>468.949266666667</v>
      </c>
      <c r="H25" s="13">
        <f>D.2项目总投资使用计划与资金筹措表!H8</f>
        <v>470.586773333333</v>
      </c>
    </row>
    <row r="26" ht="16.5" customHeight="1" spans="1:8">
      <c r="A26" s="8" t="s">
        <v>470</v>
      </c>
      <c r="B26" s="8" t="s">
        <v>471</v>
      </c>
      <c r="C26" s="13">
        <f t="shared" si="0"/>
        <v>22000</v>
      </c>
      <c r="D26" s="13">
        <f>D.2项目总投资使用计划与资金筹措表!D12</f>
        <v>2000</v>
      </c>
      <c r="E26" s="13">
        <f>D.2项目总投资使用计划与资金筹措表!E12</f>
        <v>10000</v>
      </c>
      <c r="F26" s="13">
        <f>D.2项目总投资使用计划与资金筹措表!F12</f>
        <v>10000</v>
      </c>
      <c r="G26" s="13">
        <f>D.2项目总投资使用计划与资金筹措表!G12</f>
        <v>0</v>
      </c>
      <c r="H26" s="13">
        <f>D.2项目总投资使用计划与资金筹措表!H12</f>
        <v>0</v>
      </c>
    </row>
    <row r="27" ht="16.5" customHeight="1" spans="1:8">
      <c r="A27" s="8">
        <v>3.2</v>
      </c>
      <c r="B27" s="8" t="s">
        <v>337</v>
      </c>
      <c r="C27" s="13">
        <f t="shared" si="0"/>
        <v>1229.6</v>
      </c>
      <c r="D27" s="13">
        <f>SUM(D28:D29)</f>
        <v>0</v>
      </c>
      <c r="E27" s="13">
        <f>SUM(E28:E29)</f>
        <v>42.4</v>
      </c>
      <c r="F27" s="13">
        <f>SUM(F28:F29)</f>
        <v>254.4</v>
      </c>
      <c r="G27" s="13">
        <f>SUM(G28:G29)</f>
        <v>466.4</v>
      </c>
      <c r="H27" s="13">
        <f>SUM(H28:H29)</f>
        <v>466.4</v>
      </c>
    </row>
    <row r="28" ht="16.5" customHeight="1" spans="1:8">
      <c r="A28" s="8" t="s">
        <v>443</v>
      </c>
      <c r="B28" s="8" t="s">
        <v>472</v>
      </c>
      <c r="C28" s="13">
        <f t="shared" si="0"/>
        <v>1229.6</v>
      </c>
      <c r="D28" s="13">
        <f>c借款还本付息计划表!D31</f>
        <v>0</v>
      </c>
      <c r="E28" s="13">
        <f>c借款还本付息计划表!E31</f>
        <v>42.4</v>
      </c>
      <c r="F28" s="13">
        <f>c借款还本付息计划表!F31</f>
        <v>254.4</v>
      </c>
      <c r="G28" s="13">
        <f>c借款还本付息计划表!G31</f>
        <v>466.4</v>
      </c>
      <c r="H28" s="13">
        <f>c借款还本付息计划表!H31</f>
        <v>466.4</v>
      </c>
    </row>
    <row r="29" ht="16.5" customHeight="1" spans="1:8">
      <c r="A29" s="8" t="s">
        <v>444</v>
      </c>
      <c r="B29" s="8" t="s">
        <v>473</v>
      </c>
      <c r="C29" s="13">
        <f t="shared" si="0"/>
        <v>0</v>
      </c>
      <c r="D29" s="13">
        <f>c借款还本付息计划表!D30</f>
        <v>0</v>
      </c>
      <c r="E29" s="13">
        <f>c借款还本付息计划表!E30</f>
        <v>0</v>
      </c>
      <c r="F29" s="13">
        <f>c借款还本付息计划表!F30</f>
        <v>0</v>
      </c>
      <c r="G29" s="13">
        <f>c借款还本付息计划表!G30</f>
        <v>0</v>
      </c>
      <c r="H29" s="13">
        <f>c借款还本付息计划表!H30</f>
        <v>0</v>
      </c>
    </row>
    <row r="30" ht="16.5" customHeight="1" spans="1:8">
      <c r="A30" s="8">
        <v>4</v>
      </c>
      <c r="B30" s="8" t="s">
        <v>376</v>
      </c>
      <c r="C30" s="13">
        <f t="shared" si="0"/>
        <v>1758.85790880844</v>
      </c>
      <c r="D30" s="13">
        <f>D3+D16+D23</f>
        <v>30.8856085208204</v>
      </c>
      <c r="E30" s="13">
        <f>E3+E16+E23</f>
        <v>239.234374114528</v>
      </c>
      <c r="F30" s="13">
        <f>F3+F16+F23</f>
        <v>466.893802429776</v>
      </c>
      <c r="G30" s="13">
        <f>G3+G16+G23</f>
        <v>518.142733526266</v>
      </c>
      <c r="H30" s="13">
        <f>H3+H16+H23</f>
        <v>503.701390217049</v>
      </c>
    </row>
    <row r="31" ht="16.5" customHeight="1" spans="1:8">
      <c r="A31" s="8">
        <v>5</v>
      </c>
      <c r="B31" s="8" t="s">
        <v>474</v>
      </c>
      <c r="C31" s="13"/>
      <c r="D31" s="13">
        <f>D30</f>
        <v>30.8856085208204</v>
      </c>
      <c r="E31" s="13">
        <f>E30</f>
        <v>239.234374114528</v>
      </c>
      <c r="F31" s="13">
        <f>F30</f>
        <v>466.893802429776</v>
      </c>
      <c r="G31" s="13">
        <f>G30</f>
        <v>518.142733526266</v>
      </c>
      <c r="H31" s="13">
        <f>H30</f>
        <v>503.701390217049</v>
      </c>
    </row>
  </sheetData>
  <mergeCells count="1">
    <mergeCell ref="A1:H1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tabColor rgb="FFFFC000"/>
  </sheetPr>
  <dimension ref="A1:J27"/>
  <sheetViews>
    <sheetView zoomScale="85" zoomScaleNormal="85" workbookViewId="0">
      <pane xSplit="2" ySplit="2" topLeftCell="C20" activePane="bottomRight" state="frozen"/>
      <selection/>
      <selection pane="topRight"/>
      <selection pane="bottomLeft"/>
      <selection pane="bottomRight" activeCell="C19" sqref="C19"/>
    </sheetView>
  </sheetViews>
  <sheetFormatPr defaultColWidth="8.89090909090909" defaultRowHeight="28.05" customHeight="1"/>
  <cols>
    <col min="2" max="2" width="20.6636363636364" style="1" customWidth="1"/>
    <col min="3" max="3" width="11" style="1" customWidth="1"/>
    <col min="4" max="7" width="11.2181818181818" style="1" customWidth="1"/>
  </cols>
  <sheetData>
    <row r="1" customHeight="1" spans="1:7">
      <c r="A1" s="36" t="s">
        <v>475</v>
      </c>
      <c r="B1" s="3"/>
      <c r="C1" s="3"/>
      <c r="D1" s="3"/>
      <c r="E1" s="3"/>
      <c r="F1" s="3"/>
      <c r="G1" s="4"/>
    </row>
    <row r="2" customHeight="1" spans="1:7">
      <c r="A2" s="5" t="s">
        <v>1</v>
      </c>
      <c r="B2" s="5" t="s">
        <v>140</v>
      </c>
      <c r="C2" s="31">
        <v>2025</v>
      </c>
      <c r="D2" s="31">
        <v>2026</v>
      </c>
      <c r="E2" s="31">
        <v>2027</v>
      </c>
      <c r="F2" s="31">
        <v>2028</v>
      </c>
      <c r="G2" s="31">
        <v>2029</v>
      </c>
    </row>
    <row r="3" customHeight="1" spans="1:7">
      <c r="A3" s="8">
        <v>1</v>
      </c>
      <c r="B3" s="8" t="s">
        <v>476</v>
      </c>
      <c r="C3" s="13">
        <f>SUM(C4+C10+C11+C12)</f>
        <v>350.61360852082</v>
      </c>
      <c r="D3" s="13">
        <f>SUM(D4+D10+D11+D12)</f>
        <v>1204.90506781325</v>
      </c>
      <c r="E3" s="13">
        <f>SUM(E4+E10+E11+E12)</f>
        <v>2508.07538136827</v>
      </c>
      <c r="F3" s="13">
        <f>SUM(F4+F10+F11+F12)</f>
        <v>2854.79910459281</v>
      </c>
      <c r="G3" s="13">
        <f>SUM(G4+G10+G11+G12)</f>
        <v>2751.89705331466</v>
      </c>
    </row>
    <row r="4" customHeight="1" spans="1:7">
      <c r="A4" s="8">
        <v>1.1</v>
      </c>
      <c r="B4" s="8" t="s">
        <v>477</v>
      </c>
      <c r="C4" s="13">
        <f>SUM(C5:C9)</f>
        <v>30.8856085208204</v>
      </c>
      <c r="D4" s="13">
        <f>SUM(D5:D9)</f>
        <v>248.664495225639</v>
      </c>
      <c r="E4" s="13">
        <f>SUM(E5:E9)</f>
        <v>476.868695763109</v>
      </c>
      <c r="F4" s="13">
        <f>SUM(F5:F9)</f>
        <v>532.701176859599</v>
      </c>
      <c r="G4" s="13">
        <f>SUM(G5:G9)</f>
        <v>522.480890217049</v>
      </c>
    </row>
    <row r="5" customHeight="1" spans="1:7">
      <c r="A5" s="8" t="s">
        <v>259</v>
      </c>
      <c r="B5" s="8" t="s">
        <v>478</v>
      </c>
      <c r="C5" s="13">
        <f>D.4流动资金估算表!E10+d财务计划现金流量表!D31</f>
        <v>30.8856085208204</v>
      </c>
      <c r="D5" s="13">
        <f>D.4流动资金估算表!F10+d财务计划现金流量表!E31</f>
        <v>241.934712447861</v>
      </c>
      <c r="E5" s="13">
        <f>D.4流动资金估算表!G10+d财务计划现金流量表!F31</f>
        <v>469.594582429776</v>
      </c>
      <c r="F5" s="13">
        <f>D.4流动资金估算表!H10+d财务计划现金流量表!G31</f>
        <v>521.229705192933</v>
      </c>
      <c r="G5" s="13">
        <f>D.4流动资金估算表!I10+d财务计划现金流量表!H31</f>
        <v>507.174111883716</v>
      </c>
    </row>
    <row r="6" customHeight="1" spans="1:7">
      <c r="A6" s="8" t="s">
        <v>261</v>
      </c>
      <c r="B6" s="8" t="s">
        <v>144</v>
      </c>
      <c r="C6" s="13">
        <f>D.4流动资金估算表!E4</f>
        <v>0</v>
      </c>
      <c r="D6" s="13">
        <f>D.4流动资金估算表!F4</f>
        <v>0.902777777777778</v>
      </c>
      <c r="E6" s="13">
        <f>D.4流动资金估算表!G4</f>
        <v>1.44666666666667</v>
      </c>
      <c r="F6" s="13">
        <f>D.4流动资金估算表!H4</f>
        <v>1.81116666666667</v>
      </c>
      <c r="G6" s="13">
        <f>D.4流动资金估算表!I4</f>
        <v>1.81405666666667</v>
      </c>
    </row>
    <row r="7" customHeight="1" spans="1:7">
      <c r="A7" s="8" t="s">
        <v>263</v>
      </c>
      <c r="B7" s="8" t="s">
        <v>479</v>
      </c>
      <c r="C7" s="37">
        <v>0</v>
      </c>
      <c r="D7" s="37">
        <v>0</v>
      </c>
      <c r="E7" s="37">
        <v>0</v>
      </c>
      <c r="F7" s="37">
        <v>1</v>
      </c>
      <c r="G7" s="37">
        <v>2</v>
      </c>
    </row>
    <row r="8" customHeight="1" spans="1:7">
      <c r="A8" s="8" t="s">
        <v>459</v>
      </c>
      <c r="B8" s="8" t="s">
        <v>145</v>
      </c>
      <c r="C8" s="13">
        <f>D.4流动资金估算表!E5</f>
        <v>0</v>
      </c>
      <c r="D8" s="13">
        <f>D.4流动资金估算表!F5</f>
        <v>5.827005</v>
      </c>
      <c r="E8" s="13">
        <f>D.4流动资金估算表!G5</f>
        <v>5.82744666666667</v>
      </c>
      <c r="F8" s="13">
        <f>D.4流动资金估算表!H5</f>
        <v>7.660305</v>
      </c>
      <c r="G8" s="13">
        <f>D.4流动资金估算表!I5</f>
        <v>9.49272166666667</v>
      </c>
    </row>
    <row r="9" customHeight="1" spans="1:7">
      <c r="A9" s="8" t="s">
        <v>480</v>
      </c>
      <c r="B9" s="8" t="s">
        <v>481</v>
      </c>
      <c r="C9" s="37">
        <v>0</v>
      </c>
      <c r="D9" s="37">
        <v>0</v>
      </c>
      <c r="E9" s="37">
        <v>0</v>
      </c>
      <c r="F9" s="37">
        <v>1</v>
      </c>
      <c r="G9" s="37">
        <v>2</v>
      </c>
    </row>
    <row r="10" customHeight="1" spans="1:7">
      <c r="A10" s="8">
        <v>1.2</v>
      </c>
      <c r="B10" s="8" t="s">
        <v>482</v>
      </c>
      <c r="C10" s="13">
        <f>D.2项目总投资使用计划与资金筹措表!D3</f>
        <v>319.728</v>
      </c>
      <c r="D10" s="13">
        <f>D.2项目总投资使用计划与资金筹措表!E3</f>
        <v>678.230137777778</v>
      </c>
      <c r="E10" s="13">
        <f>D.2项目总投资使用计划与资金筹措表!F3</f>
        <v>1181.58477222222</v>
      </c>
      <c r="F10" s="13">
        <f>D.2项目总投资使用计划与资金筹措表!G3</f>
        <v>468.949266666667</v>
      </c>
      <c r="G10" s="13">
        <f>D.2项目总投资使用计划与资金筹措表!H3</f>
        <v>468.586773333333</v>
      </c>
    </row>
    <row r="11" customHeight="1" spans="1:7">
      <c r="A11" s="8">
        <v>1.3</v>
      </c>
      <c r="B11" s="8" t="s">
        <v>483</v>
      </c>
      <c r="C11" s="37">
        <f>E.2固定资产折旧费估算表!F7</f>
        <v>0</v>
      </c>
      <c r="D11" s="37">
        <f>E.2固定资产折旧费估算表!G7</f>
        <v>272.718915509293</v>
      </c>
      <c r="E11" s="37">
        <f>E.2固定资产折旧费估算表!H7</f>
        <v>839.302850801395</v>
      </c>
      <c r="F11" s="37">
        <f>E.2固定资产折旧费估算表!I7</f>
        <v>1838.0792300245</v>
      </c>
      <c r="G11" s="37">
        <f>E.2固定资产折旧费估算表!J7</f>
        <v>1746.55308667181</v>
      </c>
    </row>
    <row r="12" customHeight="1" spans="1:7">
      <c r="A12" s="8">
        <v>1.4</v>
      </c>
      <c r="B12" s="8" t="s">
        <v>484</v>
      </c>
      <c r="C12" s="37">
        <f>E.3无形资产和其他资产摊销费估算表!F25</f>
        <v>0</v>
      </c>
      <c r="D12" s="37">
        <f>E.3无形资产和其他资产摊销费估算表!G25</f>
        <v>5.29151930053583</v>
      </c>
      <c r="E12" s="37">
        <f>E.3无形资产和其他资产摊销费估算表!H25</f>
        <v>10.3190625815438</v>
      </c>
      <c r="F12" s="37">
        <f>E.3无形资产和其他资产摊销费估算表!I25</f>
        <v>15.0694310420475</v>
      </c>
      <c r="G12" s="37">
        <f>E.3无形资产和其他资产摊销费估算表!J25</f>
        <v>14.2763030924661</v>
      </c>
    </row>
    <row r="13" customHeight="1" spans="1:7">
      <c r="A13" s="8">
        <v>2</v>
      </c>
      <c r="B13" s="8" t="s">
        <v>485</v>
      </c>
      <c r="C13" s="13">
        <f>C21+C22</f>
        <v>319.728</v>
      </c>
      <c r="D13" s="13">
        <f>D21+D22</f>
        <v>2694.22020851858</v>
      </c>
      <c r="E13" s="13">
        <f>E21+E22</f>
        <v>13195.4642916632</v>
      </c>
      <c r="F13" s="13">
        <f>F21+F22</f>
        <v>22432.8034382823</v>
      </c>
      <c r="G13" s="13">
        <f>G21+G22</f>
        <v>22435.3875336471</v>
      </c>
    </row>
    <row r="14" customHeight="1" spans="1:7">
      <c r="A14" s="8">
        <v>2.1</v>
      </c>
      <c r="B14" s="8" t="s">
        <v>486</v>
      </c>
      <c r="C14" s="13">
        <f>SUM(C15:C18)</f>
        <v>0</v>
      </c>
      <c r="D14" s="13">
        <f>SUM(D15:D18)</f>
        <v>0.239983333333333</v>
      </c>
      <c r="E14" s="13">
        <f>SUM(E15:E18)</f>
        <v>0.239983333333333</v>
      </c>
      <c r="F14" s="13">
        <f>SUM(F15:F18)</f>
        <v>1.27426666666667</v>
      </c>
      <c r="G14" s="13">
        <f>SUM(G15:G18)</f>
        <v>2.30855</v>
      </c>
    </row>
    <row r="15" customHeight="1" spans="1:7">
      <c r="A15" s="8" t="s">
        <v>118</v>
      </c>
      <c r="B15" s="8" t="s">
        <v>487</v>
      </c>
      <c r="C15" s="37">
        <v>0</v>
      </c>
      <c r="D15" s="37">
        <v>0</v>
      </c>
      <c r="E15" s="37">
        <v>0</v>
      </c>
      <c r="F15" s="37">
        <v>1</v>
      </c>
      <c r="G15" s="37">
        <v>2</v>
      </c>
    </row>
    <row r="16" customHeight="1" spans="1:7">
      <c r="A16" s="8" t="s">
        <v>120</v>
      </c>
      <c r="B16" s="8" t="s">
        <v>156</v>
      </c>
      <c r="C16" s="13">
        <f>D.4流动资金估算表!E12</f>
        <v>0</v>
      </c>
      <c r="D16" s="13">
        <f>D.4流动资金估算表!F12</f>
        <v>0.239983333333333</v>
      </c>
      <c r="E16" s="13">
        <f>D.4流动资金估算表!G12</f>
        <v>0.239983333333333</v>
      </c>
      <c r="F16" s="13">
        <f>D.4流动资金估算表!H12</f>
        <v>0.274266666666667</v>
      </c>
      <c r="G16" s="13">
        <f>D.4流动资金估算表!I12</f>
        <v>0.30855</v>
      </c>
    </row>
    <row r="17" customHeight="1" spans="1:7">
      <c r="A17" s="8" t="s">
        <v>122</v>
      </c>
      <c r="B17" s="8" t="s">
        <v>488</v>
      </c>
      <c r="C17" s="37">
        <v>0</v>
      </c>
      <c r="D17" s="37">
        <v>0</v>
      </c>
      <c r="E17" s="37">
        <v>0</v>
      </c>
      <c r="F17" s="37">
        <v>0</v>
      </c>
      <c r="G17" s="37">
        <v>0</v>
      </c>
    </row>
    <row r="18" customHeight="1" spans="1:7">
      <c r="A18" s="8" t="s">
        <v>489</v>
      </c>
      <c r="B18" s="8" t="s">
        <v>481</v>
      </c>
      <c r="C18" s="37">
        <v>0</v>
      </c>
      <c r="D18" s="37">
        <v>0</v>
      </c>
      <c r="E18" s="37">
        <v>0</v>
      </c>
      <c r="F18" s="37">
        <v>0</v>
      </c>
      <c r="G18" s="37">
        <v>0</v>
      </c>
    </row>
    <row r="19" s="35" customFormat="1" customHeight="1" spans="1:10">
      <c r="A19" s="38">
        <v>2.2</v>
      </c>
      <c r="B19" s="38" t="s">
        <v>471</v>
      </c>
      <c r="C19" s="39">
        <f>c借款还本付息计划表!D32</f>
        <v>2000</v>
      </c>
      <c r="D19" s="39">
        <f>c借款还本付息计划表!E32</f>
        <v>12000</v>
      </c>
      <c r="E19" s="39">
        <f>c借款还本付息计划表!F32</f>
        <v>22000</v>
      </c>
      <c r="F19" s="39">
        <f>c借款还本付息计划表!G32</f>
        <v>22000</v>
      </c>
      <c r="G19" s="39">
        <f>c借款还本付息计划表!H32</f>
        <v>22000</v>
      </c>
      <c r="H19"/>
      <c r="I19"/>
      <c r="J19"/>
    </row>
    <row r="20" customHeight="1" spans="1:7">
      <c r="A20" s="8">
        <v>2.3</v>
      </c>
      <c r="B20" s="8" t="s">
        <v>490</v>
      </c>
      <c r="C20" s="13">
        <f>D.4流动资金估算表!E15</f>
        <v>0</v>
      </c>
      <c r="D20" s="13">
        <f>D.4流动资金估算表!F15</f>
        <v>0</v>
      </c>
      <c r="E20" s="13">
        <f>D.4流动资金估算表!G15</f>
        <v>0</v>
      </c>
      <c r="F20" s="13">
        <f>D.4流动资金估算表!H15</f>
        <v>0</v>
      </c>
      <c r="G20" s="13">
        <f>D.4流动资金估算表!I15</f>
        <v>0</v>
      </c>
    </row>
    <row r="21" customHeight="1" spans="1:7">
      <c r="A21" s="8">
        <v>2.4</v>
      </c>
      <c r="B21" s="8" t="s">
        <v>491</v>
      </c>
      <c r="C21" s="13">
        <f>C14+C19+C20</f>
        <v>2000</v>
      </c>
      <c r="D21" s="13">
        <f>D14+D19+D20</f>
        <v>12000.2399833333</v>
      </c>
      <c r="E21" s="13">
        <f>E14+E19+E20</f>
        <v>22000.2399833333</v>
      </c>
      <c r="F21" s="13">
        <f>F14+F19+F20</f>
        <v>22001.2742666667</v>
      </c>
      <c r="G21" s="13">
        <f>G14+G19+G20</f>
        <v>22002.30855</v>
      </c>
    </row>
    <row r="22" customHeight="1" spans="1:7">
      <c r="A22" s="8">
        <v>2.5</v>
      </c>
      <c r="B22" s="8" t="s">
        <v>492</v>
      </c>
      <c r="C22" s="13">
        <f>SUM(C23:C26)</f>
        <v>-1680.272</v>
      </c>
      <c r="D22" s="13">
        <f>SUM(D23:D26)</f>
        <v>-9306.01977481475</v>
      </c>
      <c r="E22" s="13">
        <f>SUM(E23:E26)</f>
        <v>-8804.77569167015</v>
      </c>
      <c r="F22" s="13">
        <f>SUM(F23:F26)</f>
        <v>431.529171615627</v>
      </c>
      <c r="G22" s="13">
        <f>SUM(G23:G26)</f>
        <v>433.078983647111</v>
      </c>
    </row>
    <row r="23" customHeight="1" spans="1:7">
      <c r="A23" s="8" t="s">
        <v>493</v>
      </c>
      <c r="B23" s="8" t="s">
        <v>494</v>
      </c>
      <c r="C23" s="13">
        <f>D.2项目总投资使用计划与资金筹措表!D8</f>
        <v>-1680.272</v>
      </c>
      <c r="D23" s="13">
        <f>D.2项目总投资使用计划与资金筹措表!E8</f>
        <v>-9321.76986222222</v>
      </c>
      <c r="E23" s="13">
        <f>D.2项目总投资使用计划与资金筹措表!F8</f>
        <v>-8818.41522777778</v>
      </c>
      <c r="F23" s="13">
        <f>D.2项目总投资使用计划与资金筹措表!G8</f>
        <v>468.949266666667</v>
      </c>
      <c r="G23" s="13">
        <f>D.2项目总投资使用计划与资金筹措表!H8</f>
        <v>470.586773333333</v>
      </c>
    </row>
    <row r="24" customHeight="1" spans="1:7">
      <c r="A24" s="8" t="s">
        <v>495</v>
      </c>
      <c r="B24" s="8" t="s">
        <v>496</v>
      </c>
      <c r="C24" s="13">
        <f>'b利润与利润分配表（损益和利润分配表）'!D15</f>
        <v>0</v>
      </c>
      <c r="D24" s="13">
        <f>'b利润与利润分配表（损益和利润分配表）'!E15</f>
        <v>10.8621292465281</v>
      </c>
      <c r="E24" s="13">
        <f>'b利润与利润分配表（损益和利润分配表）'!F15</f>
        <v>9.40657662594879</v>
      </c>
      <c r="F24" s="13">
        <f>'b利润与利润分配表（损益和利润分配表）'!G15</f>
        <v>-25.8069621041652</v>
      </c>
      <c r="G24" s="13">
        <f>'b利润与利润分配表（损益和利润分配表）'!H15</f>
        <v>-25.8674411629121</v>
      </c>
    </row>
    <row r="25" customHeight="1" spans="1:7">
      <c r="A25" s="8" t="s">
        <v>497</v>
      </c>
      <c r="B25" s="8" t="s">
        <v>498</v>
      </c>
      <c r="C25" s="13">
        <f>'b利润与利润分配表（损益和利润分配表）'!D18</f>
        <v>0</v>
      </c>
      <c r="D25" s="13">
        <f>'b利润与利润分配表（损益和利润分配表）'!E18</f>
        <v>4.88795816093765</v>
      </c>
      <c r="E25" s="13">
        <f>'b利润与利润分配表（损益和利润分配表）'!F18</f>
        <v>4.23295948167696</v>
      </c>
      <c r="F25" s="13">
        <f>'b利润与利润分配表（损益和利润分配表）'!G18</f>
        <v>-11.6131329468743</v>
      </c>
      <c r="G25" s="13">
        <f>'b利润与利润分配表（损益和利润分配表）'!H18</f>
        <v>-11.6403485233104</v>
      </c>
    </row>
    <row r="26" customHeight="1" spans="1:7">
      <c r="A26" s="8" t="s">
        <v>499</v>
      </c>
      <c r="B26" s="8" t="s">
        <v>397</v>
      </c>
      <c r="C26" s="13">
        <f>'b利润与利润分配表（损益和利润分配表）'!D24</f>
        <v>0</v>
      </c>
      <c r="D26" s="13">
        <f>'b利润与利润分配表（损益和利润分配表）'!E24</f>
        <v>0</v>
      </c>
      <c r="E26" s="13">
        <f>'b利润与利润分配表（损益和利润分配表）'!F24</f>
        <v>0</v>
      </c>
      <c r="F26" s="13">
        <f>'b利润与利润分配表（损益和利润分配表）'!G24</f>
        <v>0</v>
      </c>
      <c r="G26" s="13">
        <f>'b利润与利润分配表（损益和利润分配表）'!H24</f>
        <v>0</v>
      </c>
    </row>
    <row r="27" customHeight="1" spans="1:7">
      <c r="A27" s="40" t="s">
        <v>500</v>
      </c>
      <c r="B27" s="4"/>
      <c r="C27" s="33">
        <f>C21/C3</f>
        <v>5.70428514865028</v>
      </c>
      <c r="D27" s="33">
        <f>D21/D3</f>
        <v>9.95949000788277</v>
      </c>
      <c r="E27" s="33">
        <f>E21/E3</f>
        <v>8.77176186440265</v>
      </c>
      <c r="F27" s="33">
        <f>F21/F3</f>
        <v>7.70676795830254</v>
      </c>
      <c r="G27" s="33">
        <f>G21/G3</f>
        <v>7.99532399785749</v>
      </c>
    </row>
  </sheetData>
  <mergeCells count="2">
    <mergeCell ref="A1:G1"/>
    <mergeCell ref="A27:B27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tabColor rgb="FFFFC000"/>
  </sheetPr>
  <dimension ref="A1:G4"/>
  <sheetViews>
    <sheetView workbookViewId="0">
      <selection activeCell="F3" sqref="F3"/>
    </sheetView>
  </sheetViews>
  <sheetFormatPr defaultColWidth="14.7818181818182" defaultRowHeight="28.05" customHeight="1" outlineLevelRow="3" outlineLevelCol="6"/>
  <cols>
    <col min="1" max="1" width="20.2181818181818" style="1" customWidth="1"/>
    <col min="2" max="2" width="14.7818181818182" style="1" customWidth="1"/>
    <col min="3" max="3" width="17.7818181818182" style="1" customWidth="1"/>
    <col min="4" max="4" width="14.7818181818182" style="1" customWidth="1"/>
  </cols>
  <sheetData>
    <row r="1" customHeight="1" spans="1:7">
      <c r="A1" s="2" t="s">
        <v>501</v>
      </c>
      <c r="B1" s="3"/>
      <c r="C1" s="3"/>
      <c r="D1" s="3"/>
      <c r="E1" s="3"/>
      <c r="F1" s="3"/>
      <c r="G1" s="4"/>
    </row>
    <row r="2" customHeight="1" spans="1:7">
      <c r="A2" s="5" t="s">
        <v>502</v>
      </c>
      <c r="B2" s="5" t="s">
        <v>503</v>
      </c>
      <c r="C2" s="5" t="s">
        <v>100</v>
      </c>
      <c r="D2" s="5" t="s">
        <v>504</v>
      </c>
      <c r="E2" s="5" t="s">
        <v>114</v>
      </c>
      <c r="F2" s="5" t="s">
        <v>115</v>
      </c>
      <c r="G2" s="5" t="s">
        <v>80</v>
      </c>
    </row>
    <row r="3" customHeight="1" spans="1:7">
      <c r="A3" s="8" t="s">
        <v>505</v>
      </c>
      <c r="B3" s="9">
        <f>D.1建设投资!D3</f>
        <v>1824</v>
      </c>
      <c r="C3" s="9">
        <f>D.1建设投资!D13</f>
        <v>24</v>
      </c>
      <c r="D3" s="9">
        <f>D.1建设投资!D19</f>
        <v>6</v>
      </c>
      <c r="E3" s="9">
        <f>D.2项目总投资使用计划与资金筹措表!C5</f>
        <v>1248.608</v>
      </c>
      <c r="F3" s="9">
        <f>D.2项目总投资使用计划与资金筹措表!C6</f>
        <v>14.47095</v>
      </c>
      <c r="G3" s="9">
        <f>SUM(B3:F3)</f>
        <v>3117.07895</v>
      </c>
    </row>
    <row r="4" customHeight="1" spans="1:7">
      <c r="A4" s="8" t="s">
        <v>506</v>
      </c>
      <c r="B4" s="33">
        <f>B3/$G$3</f>
        <v>0.585163234315897</v>
      </c>
      <c r="C4" s="33">
        <f>C3/$G$3</f>
        <v>0.00769951624099864</v>
      </c>
      <c r="D4" s="33">
        <f>D3/$G$3</f>
        <v>0.00192487906024966</v>
      </c>
      <c r="E4" s="33">
        <f>E3/$G$3</f>
        <v>0.400569898943368</v>
      </c>
      <c r="F4" s="33">
        <f>F3/$G$3</f>
        <v>0.00464247143948664</v>
      </c>
      <c r="G4" s="33" t="s">
        <v>131</v>
      </c>
    </row>
  </sheetData>
  <mergeCells count="1">
    <mergeCell ref="A1:G1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tabColor rgb="FFFFC000"/>
  </sheetPr>
  <dimension ref="A1:G10"/>
  <sheetViews>
    <sheetView workbookViewId="0">
      <selection activeCell="E4" sqref="E4"/>
    </sheetView>
  </sheetViews>
  <sheetFormatPr defaultColWidth="14.7818181818182" defaultRowHeight="28.05" customHeight="1" outlineLevelCol="6"/>
  <cols>
    <col min="1" max="1" width="22" style="1" customWidth="1"/>
    <col min="2" max="2" width="15.6636363636364" style="1" customWidth="1"/>
  </cols>
  <sheetData>
    <row r="1" ht="18" customHeight="1" spans="1:7">
      <c r="A1" s="2" t="s">
        <v>507</v>
      </c>
      <c r="B1" s="3"/>
      <c r="C1" s="3"/>
      <c r="D1" s="3"/>
      <c r="E1" s="3"/>
      <c r="F1" s="4"/>
      <c r="G1" s="30" t="s">
        <v>508</v>
      </c>
    </row>
    <row r="2" ht="16.5" customHeight="1" spans="1:6">
      <c r="A2" s="5" t="s">
        <v>509</v>
      </c>
      <c r="B2" s="31">
        <v>2025</v>
      </c>
      <c r="C2" s="31">
        <v>2026</v>
      </c>
      <c r="D2" s="31">
        <v>2027</v>
      </c>
      <c r="E2" s="5" t="s">
        <v>80</v>
      </c>
      <c r="F2" s="5" t="s">
        <v>510</v>
      </c>
    </row>
    <row r="3" ht="16.5" customHeight="1" spans="1:6">
      <c r="A3" s="8" t="s">
        <v>511</v>
      </c>
      <c r="B3" s="32">
        <v>0</v>
      </c>
      <c r="C3" s="32">
        <v>0</v>
      </c>
      <c r="D3" s="32">
        <v>0</v>
      </c>
      <c r="E3" s="9">
        <f t="shared" ref="E3:E8" si="0">SUM(B3:D3)</f>
        <v>0</v>
      </c>
      <c r="F3" s="33">
        <f>E3/E9</f>
        <v>0</v>
      </c>
    </row>
    <row r="4" ht="16.5" customHeight="1" spans="1:6">
      <c r="A4" s="8" t="s">
        <v>512</v>
      </c>
      <c r="B4" s="13">
        <f>D.2项目总投资使用计划与资金筹措表!D8</f>
        <v>-1680.272</v>
      </c>
      <c r="C4" s="13">
        <f>D.2项目总投资使用计划与资金筹措表!E8</f>
        <v>-9321.76986222222</v>
      </c>
      <c r="D4" s="13">
        <f>D.2项目总投资使用计划与资金筹措表!F8</f>
        <v>-8818.41522777778</v>
      </c>
      <c r="E4" s="13">
        <f t="shared" si="0"/>
        <v>-19820.45709</v>
      </c>
      <c r="F4" s="33">
        <f>E4/E9</f>
        <v>-9.09385954232026</v>
      </c>
    </row>
    <row r="5" ht="39" customHeight="1" spans="1:6">
      <c r="A5" s="34" t="s">
        <v>513</v>
      </c>
      <c r="B5" s="32">
        <v>0</v>
      </c>
      <c r="C5" s="32">
        <v>0</v>
      </c>
      <c r="D5" s="32">
        <v>0</v>
      </c>
      <c r="E5" s="9">
        <f t="shared" si="0"/>
        <v>0</v>
      </c>
      <c r="F5" s="33">
        <f>E5/E9</f>
        <v>0</v>
      </c>
    </row>
    <row r="6" ht="39" customHeight="1" spans="1:6">
      <c r="A6" s="34" t="s">
        <v>514</v>
      </c>
      <c r="B6" s="9">
        <f>D.2项目总投资使用计划与资金筹措表!D12</f>
        <v>2000</v>
      </c>
      <c r="C6" s="9">
        <f>D.2项目总投资使用计划与资金筹措表!E12</f>
        <v>10000</v>
      </c>
      <c r="D6" s="9">
        <f>D.2项目总投资使用计划与资金筹措表!F12</f>
        <v>10000</v>
      </c>
      <c r="E6" s="9">
        <f t="shared" si="0"/>
        <v>22000</v>
      </c>
      <c r="F6" s="33">
        <f>E6/E9</f>
        <v>10.0938595423203</v>
      </c>
    </row>
    <row r="7" ht="16.5" customHeight="1" spans="1:6">
      <c r="A7" s="8" t="s">
        <v>515</v>
      </c>
      <c r="B7" s="32">
        <v>0</v>
      </c>
      <c r="C7" s="32">
        <v>0</v>
      </c>
      <c r="D7" s="32">
        <v>0</v>
      </c>
      <c r="E7" s="9">
        <f t="shared" si="0"/>
        <v>0</v>
      </c>
      <c r="F7" s="33">
        <f>E7/E9</f>
        <v>0</v>
      </c>
    </row>
    <row r="8" ht="16.5" customHeight="1" spans="1:6">
      <c r="A8" s="8" t="s">
        <v>516</v>
      </c>
      <c r="B8" s="32">
        <v>0</v>
      </c>
      <c r="C8" s="32">
        <v>0</v>
      </c>
      <c r="D8" s="32">
        <v>0</v>
      </c>
      <c r="E8" s="9">
        <f t="shared" si="0"/>
        <v>0</v>
      </c>
      <c r="F8" s="33">
        <f>E8/E9</f>
        <v>0</v>
      </c>
    </row>
    <row r="9" ht="16.5" customHeight="1" spans="1:6">
      <c r="A9" s="8" t="s">
        <v>80</v>
      </c>
      <c r="B9" s="9">
        <f>SUM(B3:B8)</f>
        <v>319.728</v>
      </c>
      <c r="C9" s="9">
        <f>SUM(C3:C8)</f>
        <v>678.230137777779</v>
      </c>
      <c r="D9" s="9">
        <f>SUM(D3:D8)</f>
        <v>1181.58477222222</v>
      </c>
      <c r="E9" s="9">
        <f>SUM(E3:E8)</f>
        <v>2179.54291</v>
      </c>
      <c r="F9" s="8" t="s">
        <v>131</v>
      </c>
    </row>
    <row r="10" ht="16.5" customHeight="1" spans="1:6">
      <c r="A10" s="8" t="s">
        <v>517</v>
      </c>
      <c r="B10" s="33">
        <f>B9/E9</f>
        <v>0.146694978352135</v>
      </c>
      <c r="C10" s="33">
        <f>C9/E9</f>
        <v>0.311179988549882</v>
      </c>
      <c r="D10" s="33">
        <f>D9/E9</f>
        <v>0.542125033097981</v>
      </c>
      <c r="E10" s="8" t="s">
        <v>131</v>
      </c>
      <c r="F10" s="8" t="s">
        <v>131</v>
      </c>
    </row>
  </sheetData>
  <mergeCells count="1">
    <mergeCell ref="A1:F1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tabColor rgb="FFFFC000"/>
  </sheetPr>
  <dimension ref="A1:G6"/>
  <sheetViews>
    <sheetView workbookViewId="0">
      <pane xSplit="1" ySplit="3" topLeftCell="B4" activePane="bottomRight" state="frozen"/>
      <selection/>
      <selection pane="topRight"/>
      <selection pane="bottomLeft"/>
      <selection pane="bottomRight" activeCell="J10" sqref="J10"/>
    </sheetView>
  </sheetViews>
  <sheetFormatPr defaultColWidth="15.7818181818182" defaultRowHeight="28.05" customHeight="1" outlineLevelRow="5" outlineLevelCol="6"/>
  <cols>
    <col min="1" max="1" width="15.7818181818182" style="1" customWidth="1"/>
    <col min="2" max="2" width="6.44545454545455" style="1" customWidth="1"/>
    <col min="3" max="6" width="8.78181818181818" style="1" customWidth="1"/>
  </cols>
  <sheetData>
    <row r="1" customHeight="1" spans="1:7">
      <c r="A1" s="15" t="s">
        <v>518</v>
      </c>
      <c r="B1" s="3"/>
      <c r="C1" s="3"/>
      <c r="D1" s="3"/>
      <c r="E1" s="3"/>
      <c r="F1" s="3"/>
      <c r="G1" s="27" t="s">
        <v>519</v>
      </c>
    </row>
    <row r="2" customHeight="1" spans="1:6">
      <c r="A2" s="5" t="s">
        <v>520</v>
      </c>
      <c r="B2" s="28" t="s">
        <v>521</v>
      </c>
      <c r="C2" s="3"/>
      <c r="D2" s="3"/>
      <c r="E2" s="3"/>
      <c r="F2" s="3"/>
    </row>
    <row r="3" customHeight="1" spans="1:6">
      <c r="A3" s="16"/>
      <c r="B3" s="29">
        <v>2025</v>
      </c>
      <c r="C3" s="29">
        <v>2026</v>
      </c>
      <c r="D3" s="29">
        <v>2027</v>
      </c>
      <c r="E3" s="29">
        <v>2028</v>
      </c>
      <c r="F3" s="29">
        <v>2029</v>
      </c>
    </row>
    <row r="4" customHeight="1" spans="1:6">
      <c r="A4" s="8" t="s">
        <v>522</v>
      </c>
      <c r="B4" s="9">
        <f>F项目收入!D11-F项目收入!D9</f>
        <v>0</v>
      </c>
      <c r="C4" s="9">
        <f>F项目收入!E11-F项目收入!E9</f>
        <v>325</v>
      </c>
      <c r="D4" s="9">
        <f>F项目收入!F11-F项目收入!F9</f>
        <v>520.8</v>
      </c>
      <c r="E4" s="9">
        <f>F项目收入!G11-F项目收入!G9</f>
        <v>652.02</v>
      </c>
      <c r="F4" s="9">
        <f>F项目收入!H11-F项目收入!H9</f>
        <v>653.0604</v>
      </c>
    </row>
    <row r="5" customHeight="1" spans="1:6">
      <c r="A5" s="8" t="s">
        <v>523</v>
      </c>
      <c r="B5" s="9">
        <f>F项目收入!D9</f>
        <v>0</v>
      </c>
      <c r="C5" s="9">
        <f>F项目收入!E9</f>
        <v>0</v>
      </c>
      <c r="D5" s="9">
        <f>F项目收入!F9</f>
        <v>0</v>
      </c>
      <c r="E5" s="9">
        <f>F项目收入!G9</f>
        <v>0</v>
      </c>
      <c r="F5" s="9">
        <f>F项目收入!H9</f>
        <v>0</v>
      </c>
    </row>
    <row r="6" customHeight="1" spans="1:6">
      <c r="A6" s="8" t="s">
        <v>80</v>
      </c>
      <c r="B6" s="9">
        <f>SUM(B4:B5)</f>
        <v>0</v>
      </c>
      <c r="C6" s="9">
        <f>SUM(C4:C5)</f>
        <v>325</v>
      </c>
      <c r="D6" s="9">
        <f>SUM(D4:D5)</f>
        <v>520.8</v>
      </c>
      <c r="E6" s="9">
        <f>SUM(E4:E5)</f>
        <v>652.02</v>
      </c>
      <c r="F6" s="9">
        <f>SUM(F4:F5)</f>
        <v>653.0604</v>
      </c>
    </row>
  </sheetData>
  <mergeCells count="3">
    <mergeCell ref="A1:F1"/>
    <mergeCell ref="B2:F2"/>
    <mergeCell ref="A2:A3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tabColor rgb="FFFFC000"/>
  </sheetPr>
  <dimension ref="A1:N23"/>
  <sheetViews>
    <sheetView zoomScale="70" zoomScaleNormal="70" workbookViewId="0">
      <selection activeCell="J5" sqref="J5"/>
    </sheetView>
  </sheetViews>
  <sheetFormatPr defaultColWidth="13.7818181818182" defaultRowHeight="28.05" customHeight="1"/>
  <cols>
    <col min="1" max="1" width="13.6636363636364" style="1" customWidth="1"/>
    <col min="2" max="2" width="11.2181818181818" style="1" customWidth="1"/>
    <col min="3" max="3" width="44.2181818181818" style="17" customWidth="1"/>
    <col min="4" max="4" width="43.8909090909091" style="17" customWidth="1"/>
    <col min="5" max="16355" width="13.7818181818182" style="1" customWidth="1"/>
  </cols>
  <sheetData>
    <row r="1" customHeight="1" spans="1:14">
      <c r="A1" s="18" t="s">
        <v>524</v>
      </c>
      <c r="N1" s="25" t="s">
        <v>525</v>
      </c>
    </row>
    <row r="2" customHeight="1" spans="1:13">
      <c r="A2" s="19" t="s">
        <v>179</v>
      </c>
      <c r="B2" s="19" t="s">
        <v>1</v>
      </c>
      <c r="C2" s="20" t="s">
        <v>111</v>
      </c>
      <c r="D2" s="20" t="s">
        <v>180</v>
      </c>
      <c r="E2" s="19" t="s">
        <v>181</v>
      </c>
      <c r="F2" s="20" t="s">
        <v>526</v>
      </c>
      <c r="G2" s="5" t="s">
        <v>183</v>
      </c>
      <c r="H2" s="21" t="s">
        <v>527</v>
      </c>
      <c r="I2" s="26" t="s">
        <v>528</v>
      </c>
      <c r="J2" s="21" t="s">
        <v>529</v>
      </c>
      <c r="K2" s="26" t="s">
        <v>530</v>
      </c>
      <c r="L2" s="21" t="s">
        <v>531</v>
      </c>
      <c r="M2" s="19" t="s">
        <v>80</v>
      </c>
    </row>
    <row r="3" customHeight="1" spans="1:13">
      <c r="A3" s="16"/>
      <c r="B3" s="16"/>
      <c r="C3" s="16"/>
      <c r="D3" s="16"/>
      <c r="E3" s="16"/>
      <c r="F3" s="16"/>
      <c r="G3" s="16"/>
      <c r="H3" s="22" t="s">
        <v>184</v>
      </c>
      <c r="I3" s="14">
        <v>0.7</v>
      </c>
      <c r="J3" s="14">
        <v>0.7</v>
      </c>
      <c r="K3" s="14">
        <v>0.8</v>
      </c>
      <c r="L3" s="14">
        <v>0.9</v>
      </c>
      <c r="M3" s="8" t="s">
        <v>131</v>
      </c>
    </row>
    <row r="4" customHeight="1" spans="1:13">
      <c r="A4" s="12" t="str">
        <f>E.1项目运营期费用!A4</f>
        <v>场地维护成本</v>
      </c>
      <c r="B4" s="12">
        <f>E.1项目运营期费用!B4</f>
        <v>1</v>
      </c>
      <c r="C4" s="23" t="str">
        <f>E.1项目运营期费用!C4</f>
        <v>场地租金</v>
      </c>
      <c r="D4" s="23" t="str">
        <f>E.1项目运营期费用!D4</f>
        <v>按面积×租金单价</v>
      </c>
      <c r="E4" s="8">
        <f>E.1项目运营期费用!E4</f>
        <v>1</v>
      </c>
      <c r="F4" s="8">
        <f>E.1项目运营期费用!F4</f>
        <v>2</v>
      </c>
      <c r="G4" s="8">
        <f>E.1项目运营期费用!G4</f>
        <v>2</v>
      </c>
      <c r="H4" s="8">
        <f>E.1项目运营期费用!H4</f>
        <v>0</v>
      </c>
      <c r="I4" s="8">
        <f>E.1项目运营期费用!I4</f>
        <v>1.4</v>
      </c>
      <c r="J4" s="8">
        <f>E.1项目运营期费用!J4</f>
        <v>1.4</v>
      </c>
      <c r="K4" s="8">
        <f>E.1项目运营期费用!K4</f>
        <v>1.6</v>
      </c>
      <c r="L4" s="8">
        <f>E.1项目运营期费用!L4</f>
        <v>1.8</v>
      </c>
      <c r="M4" s="8">
        <f>E.1项目运营期费用!M4</f>
        <v>6.2</v>
      </c>
    </row>
    <row r="5" customHeight="1" spans="1:13">
      <c r="A5" s="24"/>
      <c r="B5" s="12">
        <f>E.1项目运营期费用!B5</f>
        <v>2</v>
      </c>
      <c r="C5" s="23" t="str">
        <f>E.1项目运营期费用!C5</f>
        <v>场地日常维护（停机坪/起降场/交通枢纽/飞行营地/指挥中心等）</v>
      </c>
      <c r="D5" s="23" t="str">
        <f>E.1项目运营期费用!D5</f>
        <v>按面积 × 单位维护单价（元 / ㎡・年）</v>
      </c>
      <c r="E5" s="8">
        <f>E.1项目运营期费用!E5</f>
        <v>2</v>
      </c>
      <c r="F5" s="8">
        <f>E.1项目运营期费用!F5</f>
        <v>2</v>
      </c>
      <c r="G5" s="8">
        <f>E.1项目运营期费用!G5</f>
        <v>2</v>
      </c>
      <c r="H5" s="8">
        <f>E.1项目运营期费用!H5</f>
        <v>0</v>
      </c>
      <c r="I5" s="8">
        <f>E.1项目运营期费用!I5</f>
        <v>2.8</v>
      </c>
      <c r="J5" s="8">
        <f>E.1项目运营期费用!J5</f>
        <v>2.8</v>
      </c>
      <c r="K5" s="8">
        <f>E.1项目运营期费用!K5</f>
        <v>3.2</v>
      </c>
      <c r="L5" s="8">
        <f>E.1项目运营期费用!L5</f>
        <v>3.6</v>
      </c>
      <c r="M5" s="8">
        <f>E.1项目运营期费用!M5</f>
        <v>12.4</v>
      </c>
    </row>
    <row r="6" customHeight="1" spans="1:13">
      <c r="A6" s="24"/>
      <c r="B6" s="12">
        <f>E.1项目运营期费用!B6</f>
        <v>3</v>
      </c>
      <c r="C6" s="23" t="str">
        <f>E.1项目运营期费用!C6</f>
        <v>消防设施年检</v>
      </c>
      <c r="D6" s="23" t="str">
        <f>E.1项目运营期费用!D6</f>
        <v>按设备数量 × 单台年检费（元 / 台・次）</v>
      </c>
      <c r="E6" s="8">
        <f>E.1项目运营期费用!E6</f>
        <v>3</v>
      </c>
      <c r="F6" s="8">
        <f>E.1项目运营期费用!F6</f>
        <v>2</v>
      </c>
      <c r="G6" s="8">
        <f>E.1项目运营期费用!G6</f>
        <v>2</v>
      </c>
      <c r="H6" s="8">
        <f>E.1项目运营期费用!H6</f>
        <v>0</v>
      </c>
      <c r="I6" s="8">
        <f>E.1项目运营期费用!I6</f>
        <v>4.2</v>
      </c>
      <c r="J6" s="8">
        <f>E.1项目运营期费用!J6</f>
        <v>4.2</v>
      </c>
      <c r="K6" s="8">
        <f>E.1项目运营期费用!K6</f>
        <v>4.8</v>
      </c>
      <c r="L6" s="8">
        <f>E.1项目运营期费用!L6</f>
        <v>5.4</v>
      </c>
      <c r="M6" s="8">
        <f>E.1项目运营期费用!M6</f>
        <v>18.6</v>
      </c>
    </row>
    <row r="7" customHeight="1" spans="1:13">
      <c r="A7" s="16"/>
      <c r="B7" s="12">
        <f>E.1项目运营期费用!B7</f>
        <v>4</v>
      </c>
      <c r="C7" s="23" t="str">
        <f>E.1项目运营期费用!C7</f>
        <v>防鸟措施（驱鸟器维护）</v>
      </c>
      <c r="D7" s="23" t="str">
        <f>E.1项目运营期费用!D7</f>
        <v>按套数 × 年费（元 / 套・年）+ 耗材费（如驱鸟剂）</v>
      </c>
      <c r="E7" s="8">
        <f>E.1项目运营期费用!E7</f>
        <v>4</v>
      </c>
      <c r="F7" s="8">
        <f>E.1项目运营期费用!F7</f>
        <v>2</v>
      </c>
      <c r="G7" s="8">
        <f>E.1项目运营期费用!G7</f>
        <v>2</v>
      </c>
      <c r="H7" s="8">
        <f>E.1项目运营期费用!H7</f>
        <v>0</v>
      </c>
      <c r="I7" s="8">
        <f>E.1项目运营期费用!I7</f>
        <v>5.6</v>
      </c>
      <c r="J7" s="8">
        <f>E.1项目运营期费用!J7</f>
        <v>5.6</v>
      </c>
      <c r="K7" s="8">
        <f>E.1项目运营期费用!K7</f>
        <v>6.4</v>
      </c>
      <c r="L7" s="8">
        <f>E.1项目运营期费用!L7</f>
        <v>7.2</v>
      </c>
      <c r="M7" s="8">
        <f>E.1项目运营期费用!M7</f>
        <v>24.8</v>
      </c>
    </row>
    <row r="8" customHeight="1" spans="1:13">
      <c r="A8" s="12" t="str">
        <f>E.1项目运营期费用!A8</f>
        <v>燃料动力费</v>
      </c>
      <c r="B8" s="12">
        <f>E.1项目运营期费用!B8</f>
        <v>5</v>
      </c>
      <c r="C8" s="23" t="str">
        <f>E.1项目运营期费用!C8</f>
        <v>飞行器能耗</v>
      </c>
      <c r="D8" s="23" t="str">
        <f>E.1项目运营期费用!D8</f>
        <v>按电耗或油耗计算</v>
      </c>
      <c r="E8" s="8">
        <f>E.1项目运营期费用!E8</f>
        <v>5</v>
      </c>
      <c r="F8" s="8">
        <f>E.1项目运营期费用!F8</f>
        <v>2</v>
      </c>
      <c r="G8" s="8">
        <f>E.1项目运营期费用!G8</f>
        <v>2</v>
      </c>
      <c r="H8" s="8">
        <f>E.1项目运营期费用!H8</f>
        <v>0</v>
      </c>
      <c r="I8" s="8">
        <f>E.1项目运营期费用!I8</f>
        <v>7</v>
      </c>
      <c r="J8" s="8">
        <f>E.1项目运营期费用!J8</f>
        <v>7</v>
      </c>
      <c r="K8" s="8">
        <f>E.1项目运营期费用!K8</f>
        <v>8</v>
      </c>
      <c r="L8" s="8">
        <f>E.1项目运营期费用!L8</f>
        <v>9</v>
      </c>
      <c r="M8" s="8">
        <f>E.1项目运营期费用!M8</f>
        <v>31</v>
      </c>
    </row>
    <row r="9" customHeight="1" spans="1:13">
      <c r="A9" s="24"/>
      <c r="B9" s="12">
        <f>E.1项目运营期费用!B9</f>
        <v>6</v>
      </c>
      <c r="C9" s="23" t="str">
        <f>E.1项目运营期费用!C9</f>
        <v>核心设备电力能耗</v>
      </c>
      <c r="D9" s="23" t="str">
        <f>E.1项目运营期费用!D9</f>
        <v>按实际用电量 × 电价（元 / 千瓦 时）</v>
      </c>
      <c r="E9" s="8">
        <f>E.1项目运营期费用!E9</f>
        <v>6</v>
      </c>
      <c r="F9" s="8">
        <f>E.1项目运营期费用!F9</f>
        <v>2</v>
      </c>
      <c r="G9" s="8">
        <f>E.1项目运营期费用!G9</f>
        <v>2</v>
      </c>
      <c r="H9" s="8">
        <f>E.1项目运营期费用!H9</f>
        <v>0</v>
      </c>
      <c r="I9" s="8">
        <f>E.1项目运营期费用!I9</f>
        <v>8.4</v>
      </c>
      <c r="J9" s="8">
        <f>E.1项目运营期费用!J9</f>
        <v>8.4</v>
      </c>
      <c r="K9" s="8">
        <f>E.1项目运营期费用!K9</f>
        <v>9.6</v>
      </c>
      <c r="L9" s="8">
        <f>E.1项目运营期费用!L9</f>
        <v>10.8</v>
      </c>
      <c r="M9" s="8">
        <f>E.1项目运营期费用!M9</f>
        <v>37.2</v>
      </c>
    </row>
    <row r="10" customHeight="1" spans="1:13">
      <c r="A10" s="16"/>
      <c r="B10" s="12">
        <f>E.1项目运营期费用!B10</f>
        <v>7</v>
      </c>
      <c r="C10" s="23" t="str">
        <f>E.1项目运营期费用!C10</f>
        <v>水电能耗</v>
      </c>
      <c r="D10" s="23" t="str">
        <f>E.1项目运营期费用!D10</f>
        <v>按面积估算</v>
      </c>
      <c r="E10" s="8">
        <f>E.1项目运营期费用!E10</f>
        <v>7</v>
      </c>
      <c r="F10" s="8">
        <f>E.1项目运营期费用!F10</f>
        <v>2</v>
      </c>
      <c r="G10" s="8">
        <f>E.1项目运营期费用!G10</f>
        <v>2</v>
      </c>
      <c r="H10" s="8">
        <f>E.1项目运营期费用!H10</f>
        <v>0</v>
      </c>
      <c r="I10" s="8">
        <f>E.1项目运营期费用!I10</f>
        <v>9.8</v>
      </c>
      <c r="J10" s="8">
        <f>E.1项目运营期费用!J10</f>
        <v>9.8</v>
      </c>
      <c r="K10" s="8">
        <f>E.1项目运营期费用!K10</f>
        <v>11.2</v>
      </c>
      <c r="L10" s="8">
        <f>E.1项目运营期费用!L10</f>
        <v>12.6</v>
      </c>
      <c r="M10" s="8">
        <f>E.1项目运营期费用!M10</f>
        <v>43.4</v>
      </c>
    </row>
    <row r="11" customHeight="1" spans="1:13">
      <c r="A11" s="12" t="str">
        <f>E.1项目运营期费用!A11</f>
        <v>网络费</v>
      </c>
      <c r="B11" s="12">
        <f>E.1项目运营期费用!B11</f>
        <v>8</v>
      </c>
      <c r="C11" s="23" t="str">
        <f>E.1项目运营期费用!C11</f>
        <v>网络通信费用</v>
      </c>
      <c r="D11" s="23" t="str">
        <f>E.1项目运营期费用!D11</f>
        <v>按年计算租金</v>
      </c>
      <c r="E11" s="8">
        <f>E.1项目运营期费用!E11</f>
        <v>8</v>
      </c>
      <c r="F11" s="8">
        <f>E.1项目运营期费用!F11</f>
        <v>2</v>
      </c>
      <c r="G11" s="8">
        <f>E.1项目运营期费用!G11</f>
        <v>2</v>
      </c>
      <c r="H11" s="8">
        <f>E.1项目运营期费用!H11</f>
        <v>0</v>
      </c>
      <c r="I11" s="8">
        <f>E.1项目运营期费用!I11</f>
        <v>11.2</v>
      </c>
      <c r="J11" s="8">
        <f>E.1项目运营期费用!J11</f>
        <v>11.2</v>
      </c>
      <c r="K11" s="8">
        <f>E.1项目运营期费用!K11</f>
        <v>12.8</v>
      </c>
      <c r="L11" s="8">
        <f>E.1项目运营期费用!L11</f>
        <v>14.4</v>
      </c>
      <c r="M11" s="8">
        <f>E.1项目运营期费用!M11</f>
        <v>49.6</v>
      </c>
    </row>
    <row r="12" customHeight="1" spans="1:13">
      <c r="A12" s="12" t="str">
        <f>E.1项目运营期费用!A12</f>
        <v>硬件维护成本</v>
      </c>
      <c r="B12" s="12">
        <f>E.1项目运营期费用!B12</f>
        <v>9</v>
      </c>
      <c r="C12" s="23" t="str">
        <f>E.1项目运营期费用!C12</f>
        <v>硬件设备维护</v>
      </c>
      <c r="D12" s="23" t="str">
        <f>E.1项目运营期费用!D12</f>
        <v>按照固定资产15%计算</v>
      </c>
      <c r="E12" s="8">
        <f>E.1项目运营期费用!E12</f>
        <v>9</v>
      </c>
      <c r="F12" s="8">
        <f>E.1项目运营期费用!F12</f>
        <v>2</v>
      </c>
      <c r="G12" s="8">
        <f>E.1项目运营期费用!G12</f>
        <v>2</v>
      </c>
      <c r="H12" s="8">
        <f>E.1项目运营期费用!H12</f>
        <v>0</v>
      </c>
      <c r="I12" s="8">
        <f>E.1项目运营期费用!I12</f>
        <v>12.6</v>
      </c>
      <c r="J12" s="8">
        <f>E.1项目运营期费用!J12</f>
        <v>12.6</v>
      </c>
      <c r="K12" s="8">
        <f>E.1项目运营期费用!K12</f>
        <v>14.4</v>
      </c>
      <c r="L12" s="8">
        <f>E.1项目运营期费用!L12</f>
        <v>16.2</v>
      </c>
      <c r="M12" s="8">
        <f>E.1项目运营期费用!M12</f>
        <v>55.8</v>
      </c>
    </row>
    <row r="13" customHeight="1" spans="1:13">
      <c r="A13" s="16"/>
      <c r="B13" s="12">
        <f>E.1项目运营期费用!B13</f>
        <v>10</v>
      </c>
      <c r="C13" s="23" t="str">
        <f>E.1项目运营期费用!C13</f>
        <v>备品备件储备</v>
      </c>
      <c r="D13" s="23" t="str">
        <f>E.1项目运营期费用!D13</f>
        <v>按年度设备维护预算 × 储备比例 （10%-20%）</v>
      </c>
      <c r="E13" s="8">
        <f>E.1项目运营期费用!E13</f>
        <v>1</v>
      </c>
      <c r="F13" s="8">
        <f>E.1项目运营期费用!F13</f>
        <v>2</v>
      </c>
      <c r="G13" s="8">
        <f>E.1项目运营期费用!G13</f>
        <v>2</v>
      </c>
      <c r="H13" s="8">
        <f>E.1项目运营期费用!H13</f>
        <v>0</v>
      </c>
      <c r="I13" s="8">
        <f>E.1项目运营期费用!I13</f>
        <v>1.4</v>
      </c>
      <c r="J13" s="8">
        <f>E.1项目运营期费用!J13</f>
        <v>1.4</v>
      </c>
      <c r="K13" s="8">
        <f>E.1项目运营期费用!K13</f>
        <v>1.6</v>
      </c>
      <c r="L13" s="8">
        <f>E.1项目运营期费用!L13</f>
        <v>1.8</v>
      </c>
      <c r="M13" s="8">
        <f>E.1项目运营期费用!M13</f>
        <v>6.2</v>
      </c>
    </row>
    <row r="14" customHeight="1" spans="1:13">
      <c r="A14" s="12" t="str">
        <f>E.1项目运营期费用!A14</f>
        <v>软件维护费</v>
      </c>
      <c r="B14" s="12">
        <f>E.1项目运营期费用!B14</f>
        <v>11</v>
      </c>
      <c r="C14" s="23" t="str">
        <f>E.1项目运营期费用!C14</f>
        <v>软件维护</v>
      </c>
      <c r="D14" s="23" t="str">
        <f>E.1项目运营期费用!D14</f>
        <v>按无形资产造价的20%计算</v>
      </c>
      <c r="E14" s="8">
        <f>E.1项目运营期费用!E14</f>
        <v>2</v>
      </c>
      <c r="F14" s="8">
        <f>E.1项目运营期费用!F14</f>
        <v>2</v>
      </c>
      <c r="G14" s="8">
        <f>E.1项目运营期费用!G14</f>
        <v>2</v>
      </c>
      <c r="H14" s="8">
        <f>E.1项目运营期费用!H14</f>
        <v>0</v>
      </c>
      <c r="I14" s="8">
        <f>E.1项目运营期费用!I14</f>
        <v>2.8</v>
      </c>
      <c r="J14" s="8">
        <f>E.1项目运营期费用!J14</f>
        <v>2.8</v>
      </c>
      <c r="K14" s="8">
        <f>E.1项目运营期费用!K14</f>
        <v>3.2</v>
      </c>
      <c r="L14" s="8">
        <f>E.1项目运营期费用!L14</f>
        <v>3.6</v>
      </c>
      <c r="M14" s="8">
        <f>E.1项目运营期费用!M14</f>
        <v>12.4</v>
      </c>
    </row>
    <row r="15" customHeight="1" spans="1:13">
      <c r="A15" s="12" t="str">
        <f>E.1项目运营期费用!A15</f>
        <v>营销费用</v>
      </c>
      <c r="B15" s="12">
        <f>E.1项目运营期费用!B15</f>
        <v>12</v>
      </c>
      <c r="C15" s="23" t="str">
        <f>E.1项目运营期费用!C15</f>
        <v>营销及活动</v>
      </c>
      <c r="D15" s="23" t="str">
        <f>E.1项目运营期费用!D15</f>
        <v>按年平均营业收入的2%计算</v>
      </c>
      <c r="E15" s="8">
        <f>E.1项目运营期费用!E15</f>
        <v>2</v>
      </c>
      <c r="F15" s="8">
        <f>E.1项目运营期费用!F15</f>
        <v>2</v>
      </c>
      <c r="G15" s="8">
        <f>E.1项目运营期费用!G15</f>
        <v>2</v>
      </c>
      <c r="H15" s="8">
        <f>E.1项目运营期费用!H15</f>
        <v>0</v>
      </c>
      <c r="I15" s="8">
        <f>E.1项目运营期费用!I15</f>
        <v>2.8</v>
      </c>
      <c r="J15" s="8">
        <f>E.1项目运营期费用!J15</f>
        <v>2.8</v>
      </c>
      <c r="K15" s="8">
        <f>E.1项目运营期费用!K15</f>
        <v>3.2</v>
      </c>
      <c r="L15" s="8">
        <f>E.1项目运营期费用!L15</f>
        <v>3.6</v>
      </c>
      <c r="M15" s="8">
        <f>E.1项目运营期费用!M15</f>
        <v>12.4</v>
      </c>
    </row>
    <row r="16" customHeight="1" spans="1:13">
      <c r="A16" s="12" t="str">
        <f>E.1项目运营期费用!A16</f>
        <v>工资及福利费</v>
      </c>
      <c r="B16" s="12">
        <f>E.1项目运营期费用!B16</f>
        <v>13</v>
      </c>
      <c r="C16" s="23" t="str">
        <f>E.1项目运营期费用!C16</f>
        <v>人员薪酬</v>
      </c>
      <c r="D16" s="23" t="str">
        <f>E.1项目运营期费用!D16</f>
        <v>按岗位月薪 ×12 + 福利（月薪 ×20%-30%）</v>
      </c>
      <c r="E16" s="8">
        <f>E.1项目运营期费用!E16</f>
        <v>3</v>
      </c>
      <c r="F16" s="8">
        <f>E.1项目运营期费用!F16</f>
        <v>2</v>
      </c>
      <c r="G16" s="8">
        <f>E.1项目运营期费用!G16</f>
        <v>2</v>
      </c>
      <c r="H16" s="8">
        <f>E.1项目运营期费用!H16</f>
        <v>0</v>
      </c>
      <c r="I16" s="8">
        <f>E.1项目运营期费用!I16</f>
        <v>4.2</v>
      </c>
      <c r="J16" s="8">
        <f>E.1项目运营期费用!J16</f>
        <v>4.2</v>
      </c>
      <c r="K16" s="8">
        <f>E.1项目运营期费用!K16</f>
        <v>4.8</v>
      </c>
      <c r="L16" s="8">
        <f>E.1项目运营期费用!L16</f>
        <v>5.4</v>
      </c>
      <c r="M16" s="8">
        <f>E.1项目运营期费用!M16</f>
        <v>18.6</v>
      </c>
    </row>
    <row r="17" customHeight="1" spans="1:13">
      <c r="A17" s="24"/>
      <c r="B17" s="12">
        <f>E.1项目运营期费用!B17</f>
        <v>14</v>
      </c>
      <c r="C17" s="23" t="str">
        <f>E.1项目运营期费用!C17</f>
        <v>培训与资质认证</v>
      </c>
      <c r="D17" s="23" t="str">
        <f>E.1项目运营期费用!D17</f>
        <v>按人次 × 人均培训费（元 / 人 次）</v>
      </c>
      <c r="E17" s="8">
        <f>E.1项目运营期费用!E17</f>
        <v>3</v>
      </c>
      <c r="F17" s="8">
        <f>E.1项目运营期费用!F17</f>
        <v>2</v>
      </c>
      <c r="G17" s="8">
        <f>E.1项目运营期费用!G17</f>
        <v>2</v>
      </c>
      <c r="H17" s="8">
        <f>E.1项目运营期费用!H17</f>
        <v>0</v>
      </c>
      <c r="I17" s="8">
        <f>E.1项目运营期费用!I17</f>
        <v>4.2</v>
      </c>
      <c r="J17" s="8">
        <f>E.1项目运营期费用!J17</f>
        <v>4.2</v>
      </c>
      <c r="K17" s="8">
        <f>E.1项目运营期费用!K17</f>
        <v>4.8</v>
      </c>
      <c r="L17" s="8">
        <f>E.1项目运营期费用!L17</f>
        <v>5.4</v>
      </c>
      <c r="M17" s="8">
        <f>E.1项目运营期费用!M17</f>
        <v>18.6</v>
      </c>
    </row>
    <row r="18" customHeight="1" spans="1:13">
      <c r="A18" s="16"/>
      <c r="B18" s="12">
        <f>E.1项目运营期费用!B18</f>
        <v>15</v>
      </c>
      <c r="C18" s="23" t="str">
        <f>E.1项目运营期费用!C18</f>
        <v>办公与行政支出</v>
      </c>
      <c r="D18" s="23" t="str">
        <f>E.1项目运营期费用!D18</f>
        <v>按人员数量 × 人均办公费（元 / 人・月）</v>
      </c>
      <c r="E18" s="8">
        <f>E.1项目运营期费用!E18</f>
        <v>4</v>
      </c>
      <c r="F18" s="8">
        <f>E.1项目运营期费用!F18</f>
        <v>2</v>
      </c>
      <c r="G18" s="8">
        <f>E.1项目运营期费用!G18</f>
        <v>2</v>
      </c>
      <c r="H18" s="8">
        <f>E.1项目运营期费用!H18</f>
        <v>0</v>
      </c>
      <c r="I18" s="8">
        <f>E.1项目运营期费用!I18</f>
        <v>5.6</v>
      </c>
      <c r="J18" s="8">
        <f>E.1项目运营期费用!J18</f>
        <v>5.6</v>
      </c>
      <c r="K18" s="8">
        <f>E.1项目运营期费用!K18</f>
        <v>6.4</v>
      </c>
      <c r="L18" s="8">
        <f>E.1项目运营期费用!L18</f>
        <v>7.2</v>
      </c>
      <c r="M18" s="8">
        <f>E.1项目运营期费用!M18</f>
        <v>24.8</v>
      </c>
    </row>
    <row r="19" customHeight="1" spans="1:13">
      <c r="A19" s="12" t="str">
        <f>E.1项目运营期费用!A19</f>
        <v>合规性与安全成本</v>
      </c>
      <c r="B19" s="12">
        <f>E.1项目运营期费用!B19</f>
        <v>16</v>
      </c>
      <c r="C19" s="23" t="str">
        <f>E.1项目运营期费用!C19</f>
        <v>空域使用审批费</v>
      </c>
      <c r="D19" s="23" t="str">
        <f>E.1项目运营期费用!D19</f>
        <v>按空域面积 × 年费率（元 / 平方 公里・年）</v>
      </c>
      <c r="E19" s="8">
        <f>E.1项目运营期费用!E19</f>
        <v>1</v>
      </c>
      <c r="F19" s="8">
        <f>E.1项目运营期费用!F19</f>
        <v>2</v>
      </c>
      <c r="G19" s="8">
        <f>E.1项目运营期费用!G19</f>
        <v>2</v>
      </c>
      <c r="H19" s="8">
        <f>E.1项目运营期费用!H19</f>
        <v>0</v>
      </c>
      <c r="I19" s="8">
        <f>E.1项目运营期费用!I19</f>
        <v>1.4</v>
      </c>
      <c r="J19" s="8">
        <f>E.1项目运营期费用!J19</f>
        <v>1.4</v>
      </c>
      <c r="K19" s="8">
        <f>E.1项目运营期费用!K19</f>
        <v>1.6</v>
      </c>
      <c r="L19" s="8">
        <f>E.1项目运营期费用!L19</f>
        <v>1.8</v>
      </c>
      <c r="M19" s="8">
        <f>E.1项目运营期费用!M19</f>
        <v>6.2</v>
      </c>
    </row>
    <row r="20" customHeight="1" spans="1:13">
      <c r="A20" s="24"/>
      <c r="B20" s="12">
        <f>E.1项目运营期费用!B20</f>
        <v>17</v>
      </c>
      <c r="C20" s="23" t="str">
        <f>E.1项目运营期费用!C20</f>
        <v>场地责任险</v>
      </c>
      <c r="D20" s="23" t="str">
        <f>E.1项目运营期费用!D20</f>
        <v>按保额 × 保险费率（年费率 0.1%-0.3%）</v>
      </c>
      <c r="E20" s="8">
        <f>E.1项目运营期费用!E20</f>
        <v>4</v>
      </c>
      <c r="F20" s="8">
        <f>E.1项目运营期费用!F20</f>
        <v>2</v>
      </c>
      <c r="G20" s="8">
        <f>E.1项目运营期费用!G20</f>
        <v>2</v>
      </c>
      <c r="H20" s="8">
        <f>E.1项目运营期费用!H20</f>
        <v>0</v>
      </c>
      <c r="I20" s="8">
        <f>E.1项目运营期费用!I20</f>
        <v>5.6</v>
      </c>
      <c r="J20" s="8">
        <f>E.1项目运营期费用!J20</f>
        <v>5.6</v>
      </c>
      <c r="K20" s="8">
        <f>E.1项目运营期费用!K20</f>
        <v>6.4</v>
      </c>
      <c r="L20" s="8">
        <f>E.1项目运营期费用!L20</f>
        <v>7.2</v>
      </c>
      <c r="M20" s="8">
        <f>E.1项目运营期费用!M20</f>
        <v>24.8</v>
      </c>
    </row>
    <row r="21" customHeight="1" spans="1:13">
      <c r="A21" s="16"/>
      <c r="B21" s="12">
        <f>E.1项目运营期费用!B21</f>
        <v>18</v>
      </c>
      <c r="C21" s="23" t="str">
        <f>E.1项目运营期费用!C21</f>
        <v>安全演练与应急处置</v>
      </c>
      <c r="D21" s="23" t="str">
        <f>E.1项目运营期费用!D21</f>
        <v>按次数 × 单次演练成本（元 / 次）</v>
      </c>
      <c r="E21" s="8">
        <f>E.1项目运营期费用!E21</f>
        <v>8</v>
      </c>
      <c r="F21" s="8">
        <f>E.1项目运营期费用!F21</f>
        <v>2</v>
      </c>
      <c r="G21" s="8">
        <f>E.1项目运营期费用!G21</f>
        <v>2</v>
      </c>
      <c r="H21" s="8">
        <f>E.1项目运营期费用!H21</f>
        <v>0</v>
      </c>
      <c r="I21" s="8">
        <f>E.1项目运营期费用!I21</f>
        <v>11.2</v>
      </c>
      <c r="J21" s="8">
        <f>E.1项目运营期费用!J21</f>
        <v>11.2</v>
      </c>
      <c r="K21" s="8">
        <f>E.1项目运营期费用!K21</f>
        <v>12.8</v>
      </c>
      <c r="L21" s="8">
        <f>E.1项目运营期费用!L21</f>
        <v>14.4</v>
      </c>
      <c r="M21" s="8">
        <f>E.1项目运营期费用!M21</f>
        <v>49.6</v>
      </c>
    </row>
    <row r="22" customHeight="1" spans="1:13">
      <c r="A22" s="12" t="str">
        <f>E.1项目运营期费用!A22</f>
        <v>其他费用</v>
      </c>
      <c r="B22" s="12">
        <f>E.1项目运营期费用!B22</f>
        <v>19</v>
      </c>
      <c r="C22" s="23" t="str">
        <f>E.1项目运营期费用!C22</f>
        <v>第三方安全评估</v>
      </c>
      <c r="D22" s="23" t="str">
        <f>E.1项目运营期费用!D22</f>
        <v>按项目投资额 × 评估费率 （0.1%-0.3%）</v>
      </c>
      <c r="E22" s="8">
        <f>E.1项目运营期费用!E22</f>
        <v>1</v>
      </c>
      <c r="F22" s="8">
        <f>E.1项目运营期费用!F22</f>
        <v>2</v>
      </c>
      <c r="G22" s="8">
        <f>E.1项目运营期费用!G22</f>
        <v>2</v>
      </c>
      <c r="H22" s="8">
        <f>E.1项目运营期费用!H22</f>
        <v>0</v>
      </c>
      <c r="I22" s="8">
        <f>E.1项目运营期费用!I22</f>
        <v>1.4</v>
      </c>
      <c r="J22" s="8">
        <f>E.1项目运营期费用!J22</f>
        <v>1.4</v>
      </c>
      <c r="K22" s="8">
        <f>E.1项目运营期费用!K22</f>
        <v>1.6</v>
      </c>
      <c r="L22" s="8">
        <f>E.1项目运营期费用!L22</f>
        <v>1.8</v>
      </c>
      <c r="M22" s="8">
        <f>E.1项目运营期费用!M22</f>
        <v>6.2</v>
      </c>
    </row>
    <row r="23" customHeight="1" spans="1:13">
      <c r="A23" s="16"/>
      <c r="B23" s="12">
        <f>E.1项目运营期费用!B23</f>
        <v>20</v>
      </c>
      <c r="C23" s="23" t="str">
        <f>E.1项目运营期费用!C23</f>
        <v>不可预见支出</v>
      </c>
      <c r="D23" s="23" t="str">
        <f>E.1项目运营期费用!D23</f>
        <v>按年度总成本 × 计提比例 （5%-10%）</v>
      </c>
      <c r="E23" s="8">
        <f>E.1项目运营期费用!E23</f>
        <v>9</v>
      </c>
      <c r="F23" s="8">
        <f>E.1项目运营期费用!F23</f>
        <v>2</v>
      </c>
      <c r="G23" s="8">
        <f>E.1项目运营期费用!G23</f>
        <v>2</v>
      </c>
      <c r="H23" s="8">
        <f>E.1项目运营期费用!H23</f>
        <v>0</v>
      </c>
      <c r="I23" s="8">
        <f>E.1项目运营期费用!I23</f>
        <v>12.6</v>
      </c>
      <c r="J23" s="8">
        <f>E.1项目运营期费用!J23</f>
        <v>12.6</v>
      </c>
      <c r="K23" s="8">
        <f>E.1项目运营期费用!K23</f>
        <v>14.4</v>
      </c>
      <c r="L23" s="8">
        <f>E.1项目运营期费用!L23</f>
        <v>16.2</v>
      </c>
      <c r="M23" s="8">
        <f>E.1项目运营期费用!M23</f>
        <v>55.8</v>
      </c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tabColor rgb="FFFFC000"/>
  </sheetPr>
  <dimension ref="A1:F6"/>
  <sheetViews>
    <sheetView workbookViewId="0">
      <selection activeCell="G8" sqref="G8"/>
    </sheetView>
  </sheetViews>
  <sheetFormatPr defaultColWidth="14.7818181818182" defaultRowHeight="28.05" customHeight="1" outlineLevelRow="5" outlineLevelCol="5"/>
  <cols>
    <col min="1" max="1" width="14.7818181818182" style="1" customWidth="1"/>
    <col min="2" max="2" width="6.44545454545455" style="1" customWidth="1"/>
    <col min="3" max="4" width="8.66363636363636" style="1" customWidth="1"/>
    <col min="5" max="6" width="9.55454545454545" style="1" customWidth="1"/>
    <col min="7" max="7" width="14.7818181818182" style="1" customWidth="1"/>
  </cols>
  <sheetData>
    <row r="1" customHeight="1" spans="1:6">
      <c r="A1" s="15" t="s">
        <v>532</v>
      </c>
      <c r="B1" s="3"/>
      <c r="C1" s="3"/>
      <c r="D1" s="3"/>
      <c r="E1" s="3"/>
      <c r="F1" s="3"/>
    </row>
    <row r="2" customHeight="1" spans="1:6">
      <c r="A2" s="5" t="s">
        <v>533</v>
      </c>
      <c r="B2" s="5" t="s">
        <v>521</v>
      </c>
      <c r="C2" s="3"/>
      <c r="D2" s="3"/>
      <c r="E2" s="3"/>
      <c r="F2" s="4"/>
    </row>
    <row r="3" customHeight="1" spans="1:6">
      <c r="A3" s="16"/>
      <c r="B3" s="12">
        <v>2025</v>
      </c>
      <c r="C3" s="12">
        <v>2026</v>
      </c>
      <c r="D3" s="12">
        <v>2027</v>
      </c>
      <c r="E3" s="12">
        <v>2028</v>
      </c>
      <c r="F3" s="12">
        <v>2029</v>
      </c>
    </row>
    <row r="4" customHeight="1" spans="1:6">
      <c r="A4" s="8" t="s">
        <v>534</v>
      </c>
      <c r="B4" s="13">
        <f>Ⅲ项目分年度收入合计表!B6</f>
        <v>0</v>
      </c>
      <c r="C4" s="13">
        <f>Ⅲ项目分年度收入合计表!C6</f>
        <v>325</v>
      </c>
      <c r="D4" s="13">
        <f>Ⅲ项目分年度收入合计表!D6</f>
        <v>520.8</v>
      </c>
      <c r="E4" s="13">
        <f>Ⅲ项目分年度收入合计表!E6</f>
        <v>652.02</v>
      </c>
      <c r="F4" s="13">
        <f>Ⅲ项目分年度收入合计表!F6</f>
        <v>653.0604</v>
      </c>
    </row>
    <row r="5" customHeight="1" spans="1:6">
      <c r="A5" s="8" t="s">
        <v>535</v>
      </c>
      <c r="B5" s="13">
        <f>E总成本费用估算表!C15</f>
        <v>0</v>
      </c>
      <c r="C5" s="13">
        <f>E总成本费用估算表!D15</f>
        <v>162.160076669351</v>
      </c>
      <c r="D5" s="13">
        <f>E总成本费用估算表!E15</f>
        <v>361.61072</v>
      </c>
      <c r="E5" s="13">
        <f>E总成本费用估算表!F15</f>
        <v>866.945754809829</v>
      </c>
      <c r="F5" s="13">
        <f>E总成本费用估算表!G15</f>
        <v>869.699798140477</v>
      </c>
    </row>
    <row r="6" customHeight="1" spans="1:6">
      <c r="A6" s="8" t="s">
        <v>536</v>
      </c>
      <c r="B6" s="13">
        <f>B4-B5</f>
        <v>0</v>
      </c>
      <c r="C6" s="13">
        <f>C4-C5</f>
        <v>162.839923330649</v>
      </c>
      <c r="D6" s="13">
        <f>D4-D5</f>
        <v>159.18928</v>
      </c>
      <c r="E6" s="13">
        <f>E4-E5</f>
        <v>-214.925754809829</v>
      </c>
      <c r="F6" s="13">
        <f>F4-F5</f>
        <v>-216.639398140478</v>
      </c>
    </row>
  </sheetData>
  <mergeCells count="3">
    <mergeCell ref="A1:F1"/>
    <mergeCell ref="B2:F2"/>
    <mergeCell ref="A2:A3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tabColor rgb="FFFFC000"/>
  </sheetPr>
  <dimension ref="A1:F8"/>
  <sheetViews>
    <sheetView workbookViewId="0">
      <selection activeCell="G3" sqref="G3"/>
    </sheetView>
  </sheetViews>
  <sheetFormatPr defaultColWidth="14.7818181818182" defaultRowHeight="28.95" customHeight="1" outlineLevelRow="7" outlineLevelCol="5"/>
  <cols>
    <col min="2" max="2" width="9.89090909090909" style="1" customWidth="1"/>
    <col min="3" max="6" width="11.2181818181818" style="1" customWidth="1"/>
  </cols>
  <sheetData>
    <row r="1" customHeight="1" spans="1:6">
      <c r="A1" s="10" t="s">
        <v>537</v>
      </c>
      <c r="B1" s="11"/>
      <c r="C1" s="11"/>
      <c r="D1" s="11"/>
      <c r="E1" s="11"/>
      <c r="F1" s="11"/>
    </row>
    <row r="2" customHeight="1" spans="1:6">
      <c r="A2" s="5" t="s">
        <v>538</v>
      </c>
      <c r="B2" s="12">
        <v>2025</v>
      </c>
      <c r="C2" s="12">
        <v>2026</v>
      </c>
      <c r="D2" s="12">
        <v>2027</v>
      </c>
      <c r="E2" s="12">
        <v>2028</v>
      </c>
      <c r="F2" s="12">
        <v>2029</v>
      </c>
    </row>
    <row r="3" customHeight="1" spans="1:6">
      <c r="A3" s="5" t="s">
        <v>539</v>
      </c>
      <c r="B3" s="13">
        <f>c借款还本付息计划表!E28-c借款还本付息计划表!D28</f>
        <v>2000</v>
      </c>
      <c r="C3" s="13">
        <f>c借款还本付息计划表!F28-c借款还本付息计划表!E28</f>
        <v>10000</v>
      </c>
      <c r="D3" s="13">
        <f>c借款还本付息计划表!G28-c借款还本付息计划表!F28</f>
        <v>10000</v>
      </c>
      <c r="E3" s="13">
        <f>c借款还本付息计划表!H28-c借款还本付息计划表!G28</f>
        <v>0</v>
      </c>
      <c r="F3" s="13">
        <f>c借款还本付息计划表!I28-c借款还本付息计划表!H28</f>
        <v>0</v>
      </c>
    </row>
    <row r="4" customHeight="1" spans="1:6">
      <c r="A4" s="5" t="s">
        <v>540</v>
      </c>
      <c r="B4" s="13">
        <f>c借款还本付息计划表!D30</f>
        <v>0</v>
      </c>
      <c r="C4" s="13">
        <f>c借款还本付息计划表!E30</f>
        <v>0</v>
      </c>
      <c r="D4" s="13">
        <f>c借款还本付息计划表!F30</f>
        <v>0</v>
      </c>
      <c r="E4" s="13">
        <f>c借款还本付息计划表!G30</f>
        <v>0</v>
      </c>
      <c r="F4" s="13">
        <f>c借款还本付息计划表!H30</f>
        <v>0</v>
      </c>
    </row>
    <row r="5" customHeight="1" spans="1:6">
      <c r="A5" s="5" t="s">
        <v>541</v>
      </c>
      <c r="B5" s="13">
        <f>c借款还本付息计划表!D32</f>
        <v>2000</v>
      </c>
      <c r="C5" s="13">
        <f>c借款还本付息计划表!E32</f>
        <v>12000</v>
      </c>
      <c r="D5" s="13">
        <f>c借款还本付息计划表!F32</f>
        <v>22000</v>
      </c>
      <c r="E5" s="13">
        <f>c借款还本付息计划表!G32</f>
        <v>22000</v>
      </c>
      <c r="F5" s="13">
        <f>c借款还本付息计划表!H32</f>
        <v>22000</v>
      </c>
    </row>
    <row r="6" customHeight="1" spans="1:6">
      <c r="A6" s="5" t="s">
        <v>542</v>
      </c>
      <c r="B6" s="14">
        <v>0.0212</v>
      </c>
      <c r="C6" s="14">
        <v>0.0212</v>
      </c>
      <c r="D6" s="14">
        <v>1.0212</v>
      </c>
      <c r="E6" s="14">
        <v>2.0212</v>
      </c>
      <c r="F6" s="14">
        <v>3.0212</v>
      </c>
    </row>
    <row r="7" customHeight="1" spans="1:6">
      <c r="A7" s="5" t="s">
        <v>543</v>
      </c>
      <c r="B7" s="13">
        <f>c借款还本付息计划表!D31</f>
        <v>0</v>
      </c>
      <c r="C7" s="13">
        <f>c借款还本付息计划表!E31</f>
        <v>42.4</v>
      </c>
      <c r="D7" s="13">
        <f>c借款还本付息计划表!F31</f>
        <v>254.4</v>
      </c>
      <c r="E7" s="13">
        <f>c借款还本付息计划表!G31</f>
        <v>466.4</v>
      </c>
      <c r="F7" s="13">
        <f>c借款还本付息计划表!H31</f>
        <v>466.4</v>
      </c>
    </row>
    <row r="8" customHeight="1" spans="1:6">
      <c r="A8" s="5" t="s">
        <v>544</v>
      </c>
      <c r="B8" s="13">
        <f>B7+B4</f>
        <v>0</v>
      </c>
      <c r="C8" s="13">
        <f>C7+C4</f>
        <v>42.4</v>
      </c>
      <c r="D8" s="13">
        <f>D7+D4</f>
        <v>254.4</v>
      </c>
      <c r="E8" s="13">
        <f>E7+E4</f>
        <v>466.4</v>
      </c>
      <c r="F8" s="13">
        <f>F7+F4</f>
        <v>466.4</v>
      </c>
    </row>
  </sheetData>
  <mergeCells count="1">
    <mergeCell ref="A1:F1"/>
  </mergeCells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tabColor rgb="FFFFC000"/>
  </sheetPr>
  <dimension ref="A3"/>
  <sheetViews>
    <sheetView workbookViewId="0">
      <selection activeCell="I12" sqref="I12"/>
    </sheetView>
  </sheetViews>
  <sheetFormatPr defaultColWidth="15.7818181818182" defaultRowHeight="28.05" customHeight="1" outlineLevelRow="2"/>
  <sheetData>
    <row r="3" ht="40.95" customHeight="1"/>
  </sheetData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>
    <tabColor rgb="FFFFC000"/>
  </sheetPr>
  <dimension ref="A1:H11"/>
  <sheetViews>
    <sheetView zoomScale="85" zoomScaleNormal="85" workbookViewId="0">
      <selection activeCell="G15" sqref="G15"/>
    </sheetView>
  </sheetViews>
  <sheetFormatPr defaultColWidth="15.7818181818182" defaultRowHeight="28.05" customHeight="1" outlineLevelCol="7"/>
  <cols>
    <col min="1" max="1" width="29.6636363636364" style="1" customWidth="1"/>
    <col min="2" max="2" width="12.6636363636364" style="1" customWidth="1"/>
    <col min="3" max="3" width="15.7818181818182" style="1" customWidth="1"/>
  </cols>
  <sheetData>
    <row r="1" customHeight="1" spans="1:8">
      <c r="A1" s="2" t="s">
        <v>545</v>
      </c>
      <c r="B1" s="3"/>
      <c r="C1" s="3"/>
      <c r="D1" s="3"/>
      <c r="E1" s="3"/>
      <c r="F1" s="3"/>
      <c r="G1" s="3"/>
      <c r="H1" s="4"/>
    </row>
    <row r="2" customHeight="1" spans="1:8">
      <c r="A2" s="5" t="s">
        <v>546</v>
      </c>
      <c r="B2" s="6">
        <v>-0.15</v>
      </c>
      <c r="C2" s="6">
        <v>-0.1</v>
      </c>
      <c r="D2" s="6">
        <v>-0.05</v>
      </c>
      <c r="E2" s="6">
        <v>0</v>
      </c>
      <c r="F2" s="6">
        <v>0.05</v>
      </c>
      <c r="G2" s="6">
        <v>0.1</v>
      </c>
      <c r="H2" s="6">
        <v>0.15</v>
      </c>
    </row>
    <row r="3" customHeight="1" spans="1:8">
      <c r="A3" s="7" t="s">
        <v>547</v>
      </c>
      <c r="B3" s="3"/>
      <c r="C3" s="3"/>
      <c r="D3" s="3"/>
      <c r="E3" s="3"/>
      <c r="F3" s="3"/>
      <c r="G3" s="3"/>
      <c r="H3" s="4"/>
    </row>
    <row r="4" customHeight="1" spans="1:8">
      <c r="A4" s="8" t="s">
        <v>548</v>
      </c>
      <c r="B4" s="9">
        <v>0.0547032025158285</v>
      </c>
      <c r="C4" s="9">
        <v>0.0587561655510622</v>
      </c>
      <c r="D4" s="9">
        <v>0.062809128586296</v>
      </c>
      <c r="E4" s="9">
        <v>0.0668620916215297</v>
      </c>
      <c r="F4" s="9">
        <v>0.0709150546567635</v>
      </c>
      <c r="G4" s="9">
        <v>0.0749680176919973</v>
      </c>
      <c r="H4" s="9">
        <v>0.079020980727231</v>
      </c>
    </row>
    <row r="5" customHeight="1" spans="1:8">
      <c r="A5" s="8" t="s">
        <v>549</v>
      </c>
      <c r="B5" s="9">
        <v>0.0514321197027345</v>
      </c>
      <c r="C5" s="9">
        <v>0.0552427280472567</v>
      </c>
      <c r="D5" s="9">
        <v>0.0590533363917788</v>
      </c>
      <c r="E5" s="9">
        <v>0.062863944736301</v>
      </c>
      <c r="F5" s="9">
        <v>0.0666745530808232</v>
      </c>
      <c r="G5" s="9">
        <v>0.0704851614253453</v>
      </c>
      <c r="H5" s="9">
        <v>0.0742957697698674</v>
      </c>
    </row>
    <row r="6" customHeight="1" spans="1:8">
      <c r="A6" s="7" t="s">
        <v>550</v>
      </c>
      <c r="B6" s="3"/>
      <c r="C6" s="3"/>
      <c r="D6" s="3"/>
      <c r="E6" s="3"/>
      <c r="F6" s="3"/>
      <c r="G6" s="3"/>
      <c r="H6" s="4"/>
    </row>
    <row r="7" customHeight="1" spans="1:8">
      <c r="A7" s="8" t="s">
        <v>548</v>
      </c>
      <c r="B7" s="9">
        <v>0.0695145147510516</v>
      </c>
      <c r="C7" s="9">
        <v>0.0686303737078776</v>
      </c>
      <c r="D7" s="9">
        <v>0.0677462326647037</v>
      </c>
      <c r="E7" s="9">
        <v>0.0668620916215297</v>
      </c>
      <c r="F7" s="9">
        <v>0.0659779505783558</v>
      </c>
      <c r="G7" s="9">
        <v>0.0650938095351818</v>
      </c>
      <c r="H7" s="9">
        <v>0.0642096684920079</v>
      </c>
    </row>
    <row r="8" customHeight="1" spans="1:8">
      <c r="A8" s="8" t="s">
        <v>549</v>
      </c>
      <c r="B8" s="9">
        <v>0.0653577611423953</v>
      </c>
      <c r="C8" s="9">
        <v>0.0645264890070305</v>
      </c>
      <c r="D8" s="9">
        <v>0.0636952168716658</v>
      </c>
      <c r="E8" s="9">
        <v>0.062863944736301</v>
      </c>
      <c r="F8" s="9">
        <v>0.0620326726009362</v>
      </c>
      <c r="G8" s="9">
        <v>0.0612014004655715</v>
      </c>
      <c r="H8" s="9">
        <v>0.0603701283302067</v>
      </c>
    </row>
    <row r="9" customHeight="1" spans="1:8">
      <c r="A9" s="7" t="s">
        <v>551</v>
      </c>
      <c r="B9" s="3"/>
      <c r="C9" s="3"/>
      <c r="D9" s="3"/>
      <c r="E9" s="3"/>
      <c r="F9" s="3"/>
      <c r="G9" s="3"/>
      <c r="H9" s="4"/>
    </row>
    <row r="10" customHeight="1" spans="1:8">
      <c r="A10" s="8" t="s">
        <v>548</v>
      </c>
      <c r="B10" s="9">
        <v>0.0663565619624388</v>
      </c>
      <c r="C10" s="9">
        <v>0.0665250718488025</v>
      </c>
      <c r="D10" s="9">
        <v>0.0666935817351661</v>
      </c>
      <c r="E10" s="9">
        <v>0.0668620916215297</v>
      </c>
      <c r="F10" s="9">
        <v>0.0670306015078934</v>
      </c>
      <c r="G10" s="9">
        <v>0.067199111394257</v>
      </c>
      <c r="H10" s="9">
        <v>0.0673676212806206</v>
      </c>
    </row>
    <row r="11" customHeight="1" spans="1:8">
      <c r="A11" s="8" t="s">
        <v>549</v>
      </c>
      <c r="B11" s="9">
        <v>0.0629533062277658</v>
      </c>
      <c r="C11" s="9">
        <v>0.0629233398743923</v>
      </c>
      <c r="D11" s="9">
        <v>0.0628935532479264</v>
      </c>
      <c r="E11" s="9">
        <v>0.062863944736301</v>
      </c>
      <c r="F11" s="9">
        <v>0.0628345127466707</v>
      </c>
      <c r="G11" s="9">
        <v>0.0628052557051264</v>
      </c>
      <c r="H11" s="9">
        <v>0.0627761720564145</v>
      </c>
    </row>
  </sheetData>
  <mergeCells count="4">
    <mergeCell ref="A1:H1"/>
    <mergeCell ref="A3:H3"/>
    <mergeCell ref="A6:H6"/>
    <mergeCell ref="A9:H9"/>
  </mergeCells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A财务假设</vt:lpstr>
      <vt:lpstr>B项目信息</vt:lpstr>
      <vt:lpstr>C.1项目融资信息</vt:lpstr>
      <vt:lpstr>C.2项目每年借款信息</vt:lpstr>
      <vt:lpstr>D.1建设投资</vt:lpstr>
      <vt:lpstr>D.2项目总投资使用计划与资金筹措表</vt:lpstr>
      <vt:lpstr>D.3建设投资分年计划表</vt:lpstr>
      <vt:lpstr>D.4流动资金估算表</vt:lpstr>
      <vt:lpstr>E总成本费用估算表</vt:lpstr>
      <vt:lpstr>E.1项目运营期费用</vt:lpstr>
      <vt:lpstr>E.1.1项目运营期费用(不含税）</vt:lpstr>
      <vt:lpstr>E.2固定资产折旧费估算表</vt:lpstr>
      <vt:lpstr>E.3无形资产和其他资产摊销费估算表</vt:lpstr>
      <vt:lpstr>E.4建设投资税后金额表</vt:lpstr>
      <vt:lpstr>F项目收入</vt:lpstr>
      <vt:lpstr>F.1项目单项收入信息</vt:lpstr>
      <vt:lpstr>G.税金及附加测算表</vt:lpstr>
      <vt:lpstr>G.1进项增值税率-建设投资</vt:lpstr>
      <vt:lpstr>G.2进项增值税率-运营成本</vt:lpstr>
      <vt:lpstr>G.3销项增值税率</vt:lpstr>
      <vt:lpstr>a.1财务现金流量表</vt:lpstr>
      <vt:lpstr>a.2项目资本金现金流量表</vt:lpstr>
      <vt:lpstr>b利润与利润分配表（损益和利润分配表）</vt:lpstr>
      <vt:lpstr>c借款还本付息计划表</vt:lpstr>
      <vt:lpstr>d财务计划现金流量表</vt:lpstr>
      <vt:lpstr>e资产负债表</vt:lpstr>
      <vt:lpstr>Ⅰ项目投资估算构成表</vt:lpstr>
      <vt:lpstr>Ⅱ项目分年度资金筹措计划表</vt:lpstr>
      <vt:lpstr>Ⅲ项目分年度收入合计表</vt:lpstr>
      <vt:lpstr>Ⅳ项目分年度成本明细表</vt:lpstr>
      <vt:lpstr>Ⅴ项目分年度收益表</vt:lpstr>
      <vt:lpstr>Ⅵ专项债券应付本息情况表</vt:lpstr>
      <vt:lpstr>Ⅶ专项债券资金收益与融资平衡情况表</vt:lpstr>
      <vt:lpstr>VIII债券资金覆盖率压力测试表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周亮;谢玉君</dc:creator>
  <cp:lastModifiedBy>lenovo</cp:lastModifiedBy>
  <dcterms:created xsi:type="dcterms:W3CDTF">2025-07-25T07:38:00Z</dcterms:created>
  <dcterms:modified xsi:type="dcterms:W3CDTF">2025-08-21T08:38:42Z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5B0515E3698A41968C0858727A12FADA_13</vt:lpwstr>
  </property>
  <property fmtid="{D5CDD505-2E9C-101B-9397-08002B2CF9AE}" pid="3" name="KSOProductBuildVer">
    <vt:lpwstr>2052-12.8.2.18205</vt:lpwstr>
  </property>
</Properties>
</file>